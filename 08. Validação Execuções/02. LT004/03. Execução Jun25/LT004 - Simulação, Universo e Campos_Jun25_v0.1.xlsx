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2. LT004/03. Execução Jun25/"/>
    </mc:Choice>
  </mc:AlternateContent>
  <xr:revisionPtr revIDLastSave="670" documentId="8_{245743D3-FC61-4EF2-B1C2-7AE9BFB8785B}" xr6:coauthVersionLast="47" xr6:coauthVersionMax="47" xr10:uidLastSave="{4EF79D9A-3BCA-4322-A115-81464D29C18F}"/>
  <bookViews>
    <workbookView xWindow="-120" yWindow="-120" windowWidth="29040" windowHeight="15720" activeTab="1" xr2:uid="{40AE5347-95AE-4A67-8A2B-A58E6B09EEBC}"/>
  </bookViews>
  <sheets>
    <sheet name="LT004" sheetId="3" r:id="rId1"/>
    <sheet name="Análise" sheetId="4" r:id="rId2"/>
  </sheets>
  <definedNames>
    <definedName name="_xlnm._FilterDatabase" localSheetId="1" hidden="1">Análise!$B$6:$I$6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<sst xmlns="http://schemas.openxmlformats.org/spreadsheetml/2006/main" count="70" uniqueCount="36">
  <si>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Tabela</t>
  </si>
  <si>
    <t/>
  </si>
  <si>
    <t>Query</t>
  </si>
  <si>
    <t># Registos</t>
  </si>
  <si>
    <t>#</t>
  </si>
  <si>
    <t>Inner Join</t>
  </si>
  <si>
    <t>-</t>
  </si>
  <si>
    <t>Diferença</t>
  </si>
  <si>
    <t>Notas</t>
  </si>
  <si>
    <t>Descrição Tabela</t>
  </si>
  <si>
    <t>1. LT004</t>
  </si>
  <si>
    <t>O universo da tabela lt004_protection para o Loan Tape / Green Dashboard é composto pelos seguintes universos:  
•	Universo de bens imóveis que são utilizados como garantias (2.1)
•	Universo de bens imóveis que estão a ser financiados e não são utilizados como garantias (nomeadamente,  os bens exclusivamente financiados) (2.2)
•	Universo de bens móveis (2.3)</t>
  </si>
  <si>
    <t>F</t>
  </si>
  <si>
    <t>Com row_number porque damos prioridade às garantias do MUG</t>
  </si>
  <si>
    <t>universo</t>
  </si>
  <si>
    <t>count(*)</t>
  </si>
  <si>
    <t>comum</t>
  </si>
  <si>
    <t>ok</t>
  </si>
  <si>
    <t>3. Tabela Final</t>
  </si>
  <si>
    <t>2. Tabela intermédia - Universo</t>
  </si>
  <si>
    <t>val_ref_date</t>
  </si>
  <si>
    <t>val_cod_soc</t>
  </si>
  <si>
    <t>val_typ_prtctn</t>
  </si>
  <si>
    <t>val_prtctn_vl</t>
  </si>
  <si>
    <t>val_typ_vhcl</t>
  </si>
  <si>
    <t>val_flg_elctrc_vhcl</t>
  </si>
  <si>
    <t>Overview</t>
  </si>
  <si>
    <t>Teste comparativo com LT (vs Nossa Simulação)</t>
  </si>
  <si>
    <t>create table bu_captools_work.lt004_universo_gd_jun25_dg as
SELECT 
    CHAVE_BEM
	,CHAVE_BEM_PRE
	,ORIGEM
FROM
    (
	SELECT 
		CHAVE_BEM
		,CHAVE_BEM_PRE
		,ORIGEM
		,ROW_NUMBER() OVER (PARTITION BY CHAVE_BEM ORDER BY CASE WHEN ORIGEM='MUG' OR ORIGEM='PM-F' OR ORIGEM='PM-I' OR ORIGEM='PM-P' THEN 1 ELSE 0 END DESC) AS ROW_1
    FROM
	    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IDComb'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IDComb'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IDComb'
		AND segmento= 'ESTR' 
		AND ambito= 'PM'
		AND entidade = '00100'
	) LT002	
INNER JOIN
	(
	SELECT INSTRMNT_ID, PRTCTN_ID
	FROM BU_LOANTAPE_WORK.lt006_instr_prot
	WHERE ref_date='${ref_date}'
		AND nome_perimetro= 'Individual IDComb'
		AND segmento= 'ESTR' 
		AND ambito= 'PM'
	) LT006 
	    ON LT002.INSTRMNT_ID = LT006.INSTRMNT_ID
        ) UNIV_TOTAL
    ) UNIV_TRAT
WHERE ROW_1 = 1</t>
  </si>
  <si>
    <t>bu_captools_work.lt004_universo_gd_jun25_dg</t>
  </si>
  <si>
    <t>bu_captools_work.lt004_gd_jun25_dg</t>
  </si>
  <si>
    <t>with dg as (
select 
    *,
    case
        when prtctn_id_sim is null and prtctn_id_it is not null then 'exclusivo it'
        when prtctn_id_sim is not null and prtctn_id_it is null then 'exclusivo sim'
        when prtctn_id_sim is not null and prtctn_id_it is not null then 'comum'
        else 'ver'
    end as universo,
    case
        when prtctn_id_sim is null and prtctn_id_it is not null then 'exclusivo it'
        when prtctn_id_sim is not null and prtctn_id_it is null then 'exclusivo sim'
        when prtctn_id_sim is not null and prtctn_id_it is not null and ref_date_sim = ref_date_it then 'ok'
        when prtctn_id_sim is not null and prtctn_id_it is not null and ref_date_sim &lt;&gt; ref_date_it then 'nok'
        else 'ver'
    end as val_ref_date,
    case
        when prtctn_id_sim is null and prtctn_id_it is not null then 'exclusivo it'
        when prtctn_id_sim is not null and prtctn_id_it is null then 'exclusivo sim'
        when prtctn_id_sim is not null and prtctn_id_it is not null and cod_soc_sim = cod_soc_it then 'ok'
        when prtctn_id_sim is not null and prtctn_id_it is not null and cod_soc_sim &lt;&gt; cod_soc_it then 'nok'
        else 'ver'
    end as val_cod_soc,
    case
        when prtctn_id_sim is null and prtctn_id_it is not null then 'exclusivo it'
        when prtctn_id_sim is not null and prtctn_id_it is null then 'exclusivo sim'
        when prtctn_id_sim is not null and prtctn_id_it is not null and typ_prtctn_sim = typ_prtctn_it then 'ok'
        when prtctn_id_sim is not null and prtctn_id_it is not null and typ_prtctn_sim &lt;&gt; typ_prtctn_it then 'nok'
        when prtctn_id_sim is not null and prtctn_id_it is not null and typ_prtctn_sim is null and typ_prtctn_it is not null then 'null do lado de cdg'
        else 'ver'
    end as val_typ_prtctn,
    case
        when prtctn_id_sim is null and prtctn_id_it is not null then 'exclusivo it'
        when prtctn_id_sim is not null and prtctn_id_it is null then 'exclusivo sim'
        when prtctn_id_sim is not null and prtctn_id_it is not null and prtctn_vl_sim = prtctn_vl_it then 'ok'
        when prtctn_id_sim is not null and prtctn_id_it is not null and prtctn_vl_sim &lt;&gt; prtctn_vl_it then 'nok'
        when prtctn_id_sim is not null and prtctn_id_it is not null and prtctn_vl_sim is null and prtctn_vl_it is not null then 'null do lado de cdg'
        else 'ver'
    end as val_prtctn_vl,
    case
        when prtctn_id_sim is null and prtctn_id_it is not null then 'exclusivo it'
        when prtctn_id_sim is not null and prtctn_id_it is null then 'exclusivo sim'
        when prtctn_id_sim is not null and prtctn_id_it is not null and typ_vhcl_sim = typ_vhcl_it then 'ok'
        when prtctn_id_sim is not null and prtctn_id_it is not null and typ_vhcl_sim &lt;&gt; typ_vhcl_it then 'nok'
        when prtctn_id_sim is not null and prtctn_id_it is not null and typ_vhcl_sim is null and typ_vhcl_it is not null then 'null do lado de cdg'
        else 'ver'
    end as val_typ_vhcl,
    case
        when prtctn_id_sim is null and prtctn_id_it is not null then 'exclusivo it'
        when prtctn_id_sim is not null and prtctn_id_it is null then 'exclusivo sim'
        when prtctn_id_sim is not null and prtctn_id_it is not null and flg_elctrc_vhcl_sim = flg_elctrc_vhcl_it then 'ok'
        when prtctn_id_sim is not null and prtctn_id_it is not null and flg_elctrc_vhcl_sim &lt;&gt; flg_elctrc_vhcl_it then 'nok'
        else 'ver'
    end as val_flg_elctrc_vhcl  
from
    (
    select
        ref_date as ref_date_sim,
        cod_soc as cod_soc_sim,
        prtctn_id prtctn_id_sim,
        typ_prtctn as typ_prtctn_sim,
        prtctn_vl as prtctn_vl_sim,
        typ_vhcl as typ_vhcl_sim,
        flg_elctrc_vhcl as flg_elctrc_vhcl_sim,
        'GD' as ambito_sim
    from bu_captools_work.lt004_gd_jun25_dg
    ) a
full join
    (
    select 
        ref_date as ref_date_it,
        cod_soc as cod_soc_it,
        prtctn_id prtctn_id_it,
        typ_prtctn as typ_prtctn_it,
        prtctn_vl as prtctn_vl_it,
        typ_vhcl as typ_vhcl_it,
        flg_elctrc_vhcl as flg_elctrc_vhcl_it,
        ambito as ambito_it
    from bu_loantape_work.lt004_protection
    where ambito = 'GD'
    and ref_date = '2025-06-30'
    and segmento = 'ESTR'
    and nome_perimetro = 'Individual IDComb'
    ) b
        on a.prtctn_id_sim = b.prtctn_id_it
)
select 
    universo,
    val_ref_date,
    val_cod_soc,
    val_typ_prtctn,
    val_prtctn_vl,
    val_typ_vhcl,
    val_flg_elctrc_vhcl,
    count(*)
from dg
group by 1,2,3,4,5,6,7
-- where val_typ_prtctn = 'ver'</t>
  </si>
  <si>
    <t>create table bu_captools_work.lt004_gd_jun25_dg as
select distinct
    case 
        when COD_SOC is null then '00411'
        else COD_SOC
    end as COD_SOC,
    PRTCTN_ID,
    TYP_PRTCTN,
    PRTCTN_VL,
    TYP_VHCL,
    case
        when TYP_VHCL not in ('N/A','MISS') and combustivel = 'ELECTRICO' then 'Y'
        when TYP_VHCL not in ('N/A','MISS') and trim(combustivel) = '' then 'MISS'
        else 'N'
    end as FLG_ELCTRC_VHCL,
    '${ref_date}' as REF_DATE
from
    (
    select
        BASE.CHAVE_BEM_PRE AS PRTCTN_ID,
        CASE
    		WHEN BASE.ORIGEM = 'MUG' AND GT018_MOB.CHAVE_BEM_PRE IS NOT NULL AND TRIM(GT018_MOB.CGARANT_BEM) IN ('7500','7501','7502','7503','7504','7505','7506','7507','7508','7509','7510','7511','7512','7513','7514','7515') THEN '3'
    		WHEN BASE.ORIGEM = 'MUG' AND GT018_MOB.CHAVE_BEM_PRE IS NOT NULL AND TRIM(GT018_MOB.CGARANT_BEM) IN ('6101','6102') THEN '5'
    		WHEN BASE.ORIGEM = 'MUG' AND GT018_MOB.CHAVE_BEM_PRE IS NOT NULL AND TRIM(GT018_MOB.CGARANT_BEM)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'MUG' AND GT018_MOB.CHAVE_BEM_PRE IS NOT NULL AND TRIM(GT018_MOB.CGARANT_BEM) IN ('5101','5102','5103','5104') THEN '8'
    		WHEN BASE.ORIGEM = 'MUG' AND GT018_MOB.CHAVE_BEM_PRE IS NOT NULL AND TRIM(GT018_MOB.CGARANT_BEM) IN ('5203','5204') THEN '9'
    		WHEN BASE.ORIGEM = 'MUG' AND GT018_MOB.CHAVE_BEM_PRE IS NOT NULL AND TRIM(GT018_MOB.CGARANT_BEM) IN ('5000','5201','5202','5302','5205','5206','5207','5207','5209','5210','5211','5300','5212','5213','5214','5303','5301','5215','5216','5217','5218') THEN '10'
    		WHEN BASE.ORIGEM = 'MUG' AND GT018_MOB.CHAVE_BEM_PRE IS NOT NULL AND TRIM(GT018_MOB.CGARANT_BEM) IN ('6401','6402','6403','6404','6405','6406','6407','6408') THEN '12'
    		WHEN BASE.ORIGEM = 'MUG' AND GT018_MOB.CHAVE_BEM_PRE IS NOT NULL AND TRIM(GT018_MOB.CGARANT_BEM) IN ('6201','6202') THEN '15'
    		WHEN BASE.ORIGEM = 'MUG' AND GT018_MOB.CHAVE_BEM_PRE IS NOT NULL AND TRIM(GT018_MOB.CGARANT_BEM) IN ('6300','6501','6502','6503','6504') THEN '18'
    		WHEN BASE.ORIGEM = 'MUG' AND GT018_MOB.CHAVE_BEM_PRE IS NOT NULL AND TRIM(GT018_MOB.CGARANT_BEM) IN ('7100','7101','7102','7103','7104','7105','7106','7107','7110','7111') THEN '51'
    		WHEN BASE.ORIGEM = 'MUG' AND GT018_MOB.CHAVE_BEM_PRE IS NOT NULL AND TRIM(GT018_MOB.CGARANT_BEM) IN ('7108') THEN '52'
    		WHEN BASE.ORIGEM = 'MUG' AND GT018_MOB.CHAVE_BEM_PRE IS NOT NULL AND TRIM(GT018_MOB.CGARANT_BEM) IN ('7109') THEN '53'
    		WHEN BASE.ORIGEM = 'PM-I' OR BASE.ORIGEM = 'PM-M' OR BASE.ORIGEM = 'PM-F' OR BASE.ORIGEM = 'PM-P' THEN LT_ESTRUT.TYP_PRTCTN
    		WHEN BASE.ORIGEM = 'MBI' AND PROPERTY.CHAVE_BEM IS NOT NULL AND TRIM(PROPERTY.property_code) IN ('7500','7501','7502','7503','7504','7505','7506','7507','7508','7509','7510','7511','7512','7513','7514','7515') THEN '3'
    		WHEN BASE.ORIGEM = 'MBI' AND PROPERTY.CHAVE_BEM IS NOT NULL AND TRIM(PROPERTY.property_code) IN ('6101','6102') THEN '5'
    		WHEN BASE.ORIGEM = 'MBI' AND PROPERTY.CHAVE_BEM IS NOT NULL AND TRIM(PROPERTY.property_code)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'MBI' AND PROPERTY.CHAVE_BEM IS NOT NULL AND TRIM(PROPERTY.property_code) IN ('5101','5102','5103','5104') THEN '8'
    		WHEN BASE.ORIGEM = 'MBI' AND PROPERTY.CHAVE_BEM IS NOT NULL AND TRIM(PROPERTY.property_code) IN ('5203','5204') THEN '9'
    		WHEN BASE.ORIGEM = 'MBI' AND PROPERTY.CHAVE_BEM IS NOT NULL AND TRIM(PROPERTY.property_code) IN ('5000','5201','5202','5302','5205','5206','5207','5207','5209','5210','5211','5300','5212','5213','5214','5303','5301','5215','5216','5217','5218') THEN '10'
    		WHEN BASE.ORIGEM = 'MBI' AND PROPERTY.CHAVE_BEM IS NOT NULL AND TRIM(PROPERTY.property_code) IN ('6401','6402','6403','6404','6405','6406','6407','6408') THEN '12'
    		WHEN BASE.ORIGEM = 'MBI' AND PROPERTY.CHAVE_BEM IS NOT NULL AND TRIM(PROPERTY.property_code) IN ('6201','6202') THEN '15'
    		WHEN BASE.ORIGEM = 'MBI' AND PROPERTY.CHAVE_BEM IS NOT NULL AND TRIM(PROPERTY.property_code) IN ('6300','6501','6502','6503','6504') THEN '18'
    		WHEN BASE.ORIGEM = 'MBI' AND PROPERTY.CHAVE_BEM IS NOT NULL AND TRIM(PROPERTY.property_code) IN ('7100','7101','7102','7103','7104','7105','7106','7107','7110','7111') THEN '51'
    		WHEN BASE.ORIGEM = 'MBI' AND PROPERTY.CHAVE_BEM IS NOT NULL AND TRIM(PROPERTY.property_code) IN ('7108') THEN '52'
    		WHEN BASE.ORIGEM = 'MBI' AND PROPERTY.CHAVE_BEM IS NOT NULL AND TRIM(PROPERTY.property_code) IN ('7109') THEN '53'
    		WHEN BASE.ORIGEM = 'MBI' AND PROPERTY.CHAVE_BEM IS NOT NULL AND PROPERTY.property_code IS NULL THEN '99999999999'
    		ELSE 'NOK'
    	END AS TYP_PRTCTN,
    	CASE
    		WHEN LT_ESTRUT.PRTCTN_ID IS NOT NULL THEN LT_ESTRUT.PRTCTN_VL
    		WHEN BASE.ORIGEM = 'MBI' AND PROPERTY.CHAVE_BEM IS NOT NULL AND PROPERTY.LAST_APPRAISAL_AMOUNT IS NOT NULL THEN PROPERTY.LAST_APPRAISAL_AMOUNT
    		WHEN BASE.ORIGEM = 'MBI' AND PROPERTY.CHAVE_BEM IS NOT NULL AND PROPERTY.LAST_APPRAISAL_AMOUNT IS NULL THEN 99999999999
    		WHEN BASE.ORIGEM = 'MUG' AND GT018_MOB_2.CHAVE_BEM_PRE IS NOT NULL AND GT018_MOB_2.MAVALIAA IS NOT NULL THEN GT018_MOB_2.MAVALIAA -- 25/03: Este universo devia estar em PM, ou seja este case é de forma tática para obter valor no univ de móveis
    		WHEN BASE.ORIGEM = 'MUG' AND GT018_MOB_2.CHAVE_BEM_PRE IS NOT NULL AND GT018_MOB_2.MAVALIAA IS NULL THEN 99999999999 -- 25/03: Este universo devia estar em PM, ou seja este case é de forma tática para obter valor no univ de móveis
    	END AS PRTCTN_VL,
    	CASE 
    			WHEN SUBSTR(BASE.CHAVE_BEM_PRE,1,1) &lt;&gt; 'M' THEN 'N/A'
    			WHEN SUBSTR(BASE.CHAVE_BEM_PRE,1,1) = 'M' AND GT013.TIPO_EQP IS NULL THEN 'MISS'
    			WHEN SUBSTR(BASE.CHAVE_BEM_PRE,1,1) = 'M' AND GT013.TIPO_EQP IS NOT NULL AND TRIM(GT013.TIPO_EQP) = '141' THEN 'VEH01'
    			WHEN SUBSTR(BASE.CHAVE_BEM_PRE,1,1) = 'M' AND GT013.TIPO_EQP IS NOT NULL AND TRIM(GT013.TIPO_EQP) = '203' THEN 'VEH01'
    			WHEN SUBSTR(BASE.CHAVE_BEM_PRE,1,1) = 'M' AND GT013.TIPO_EQP IS NOT NULL AND TRIM(GT013.TIPO_EQP) = '241' THEN 'VEH01'
    			WHEN SUBSTR(BASE.CHAVE_BEM_PRE,1,1) = 'M' AND GT013.TIPO_EQP IS NOT NULL AND TRIM(GT013.TIPO_EQP) = '251' THEN 'VEH01'
    			WHEN SUBSTR(BASE.CHAVE_BEM_PRE,1,1) = 'M' AND GT013.TIPO_EQP IS NOT NULL AND TRIM(GT013.TIPO_EQP) = '140' THEN 'VEH01'
    			WHEN SUBSTR(BASE.CHAVE_BEM_PRE,1,1) = 'M' AND GT013.TIPO_EQP IS NOT NULL AND TRIM(GT013.TIPO_EQP) = '149' THEN 'VEH01'
    			WHEN SUBSTR(BASE.CHAVE_BEM_PRE,1,1) = 'M' AND GT013.TIPO_EQP IS NOT NULL AND TRIM(GT013.TIPO_EQP) = '143' THEN 'VEH03'
    			WHEN SUBSTR(BASE.CHAVE_BEM_PRE,1,1) = 'M' AND GT013.TIPO_EQP IS NOT NULL AND TRIM(GT013.TIPO_EQP) = '227' THEN 'VEH03'
    			WHEN SUBSTR(BASE.CHAVE_BEM_PRE,1,1) = 'M' AND GT013.TIPO_EQP IS NOT NULL AND TRIM(GT013.TIPO_EQP) = '142' THEN 'VEH04'
    			WHEN SUBSTR(BASE.CHAVE_BEM_PRE,1,1) = 'M' AND GT013.TIPO_EQP IS NOT NULL AND TRIM(GT013.TIPO_EQP) = '252' THEN 'VEH04'
    			WHEN SUBSTR(BASE.CHAVE_BEM_PRE,1,1) = 'M' AND GT013.TIPO_EQP IS NOT NULL AND TRIM(GT013.TIPO_EQP) = '253' THEN 'VEH04'
    			WHEN SUBSTR(BASE.CHAVE_BEM_PRE,1,1) = 'M' AND GT013.TIPO_EQP IS NOT NULL AND TRIM(GT013.TIPO_EQP) = '254' THEN 'VEH04'
    			WHEN SUBSTR(BASE.CHAVE_BEM_PRE,1,1) = 'M' AND GT013.TIPO_EQP IS NOT NULL AND TRIM(GT013.TIPO_EQP) = '712' THEN 'VEH04'
    			WHEN SUBSTR(BASE.CHAVE_BEM_PRE,1,1) = 'M' AND GT013.TIPO_EQP IS NOT NULL AND TRIM(GT013.TIPO_EQP) = '713' THEN 'VEH04'
    			WHEN SUBSTR(BASE.CHAVE_BEM_PRE,1,1) = 'M' AND GT013.TIPO_EQP IS NOT NULL AND TRIM(GT013.TIPO_EQP) = '144' THEN 'VEH05'
    			WHEN SUBSTR(BASE.CHAVE_BEM_PRE,1,1) = 'M' AND GT013.TIPO_EQP IS NOT NULL AND TRIM(GT013.TIPO_EQP) = '145' THEN 'VEH05'
    			WHEN SUBSTR(BASE.CHAVE_BEM_PRE,1,1) = 'M' AND GT013.TIPO_EQP IS NOT NULL AND TRIM(GT013.TIPO_EQP) = '180' THEN 'VEH07'
    			WHEN SUBSTR(BASE.CHAVE_BEM_PRE,1,1) = 'M' AND GT013.TIPO_EQP IS NOT NULL AND TRIM(GT013.TIPO_EQP) = '181' THEN 'VEH08'
    			WHEN SUBSTR(BASE.CHAVE_BEM_PRE,1,1) = 'M' AND GT013.TIPO_EQP IS NOT NULL AND TRIM(GT013.TIPO_EQP) = '146' THEN 'VEH09'
    			WHEN SUBSTR(BASE.CHAVE_BEM_PRE,1,1) = 'M' AND GT013.TIPO_EQP IS NOT NULL AND TRIM(GT013.TIPO_EQP) = '161' THEN 'VEH15'
    			WHEN SUBSTR(BASE.CHAVE_BEM_PRE,1,1) = 'M' AND GT013.TIPO_EQP IS NOT NULL AND TRIM(GT013.TIPO_EQP) = '162' THEN 'VEH15'
    			WHEN SUBSTR(BASE.CHAVE_BEM_PRE,1,1) = 'M' AND GT013.TIPO_EQP IS NOT NULL AND TRIM(GT013.TIPO_EQP) = '167' THEN 'VEH15'
    			WHEN SUBSTR(BASE.CHAVE_BEM_PRE,1,1) = 'M' AND GT013.TIPO_EQP IS NOT NULL AND TRIM(GT013.TIPO_EQP) = '148' THEN 'VEH16'
    			WHEN SUBSTR(BASE.CHAVE_BEM_PRE,1,1) = 'M' AND GT013.TIPO_EQP IS NOT NULL AND TRIM(GT013.TIPO_EQP) = '171' THEN 'VEH16'
    			WHEN SUBSTR(BASE.CHAVE_BEM_PRE,1,1) = 'M' AND GT013.TIPO_EQP IS NOT NULL AND TRIM(GT013.TIPO_EQP) = '15'THEN 'VEH18'
    			WHEN SUBSTR(BASE.CHAVE_BEM_PRE,1,1) = 'M' AND GT013.TIPO_EQP IS NOT NULL AND TRIM(GT013.TIPO_EQP) = '152' THEN 'VEH18'
    			WHEN SUBSTR(BASE.CHAVE_BEM_PRE,1,1) = 'M' AND GT013.TIPO_EQP IS NOT NULL AND TRIM(GT013.TIPO_EQP) = '211' THEN 'VEH18'
    			WHEN SUBSTR(BASE.CHAVE_BEM_PRE,1,1) = 'M' AND GT013.TIPO_EQP IS NOT NULL AND TRIM(GT013.TIPO_EQP) = '212' THEN 'VEH18'
    			WHEN SUBSTR(BASE.CHAVE_BEM_PRE,1,1) = 'M' AND GT013.TIPO_EQP IS NOT NULL AND TRIM(GT013.TIPO_EQP) = '213' THEN 'VEH18'
    			WHEN SUBSTR(BASE.CHAVE_BEM_PRE,1,1) = 'M' AND GT013.TIPO_EQP IS NOT NULL AND TRIM(GT013.TIPO_EQP) = '214' THEN 'VEH18'
    			WHEN SUBSTR(BASE.CHAVE_BEM_PRE,1,1) = 'M' AND GT013.TIPO_EQP IS NOT NULL AND TRIM(GT013.TIPO_EQP) = '216' THEN 'VEH18'
    			WHEN SUBSTR(BASE.CHAVE_BEM_PRE,1,1) = 'M' AND GT013.TIPO_EQP IS NOT NULL AND TRIM(GT013.TIPO_EQP) = '225' THEN 'VEH18'
    			WHEN SUBSTR(BASE.CHAVE_BEM_PRE,1,1) = 'M' AND GT013.TIPO_EQP IS NOT NULL AND TRIM(GT013.TIPO_EQP) = '14'THEN 'VEH18'
    			WHEN SUBSTR(BASE.CHAVE_BEM_PRE,1,1) = 'M' AND GT013.TIPO_EQP IS NOT NULL AND TRIM(GT013.TIPO_EQP) = '147' THEN 'VEH19'
    			WHEN SUBSTR(BASE.CHAVE_BEM_PRE,1,1) = 'M' AND GT013.TIPO_EQP IS NOT NULL AND TRIM(GT013.TIPO_EQP) = '255' THEN 'VEH19'
    			WHEN SUBSTR(BASE.CHAVE_BEM_PRE,1,1) = 'M' AND GT013.TIPO_EQP IS NOT NULL AND TRIM(GT013.TIPO_EQP) = '256' THEN 'VEH19'
    			WHEN SUBSTR(BASE.CHAVE_BEM_PRE,1,1) = 'M' AND GT013.TIPO_EQP IS NOT NULL AND TRIM(GT013.TIPO_EQP) = '257' THEN 'VEH19'
    			WHEN SUBSTR(BASE.CHAVE_BEM_PRE,1,1) = 'M' AND GT013.TIPO_EQP IS NOT NULL AND TRIM(GT013.TIPO_EQP) = '242' THEN 'VEH19'
    			WHEN SUBSTR(BASE.CHAVE_BEM_PRE,1,1) = 'M' AND GT013.TIPO_EQP IS NOT NULL AND TRIM(GT013.TIPO_EQP) = '243' THEN 'VEH19'
    			WHEN SUBSTR(BASE.CHAVE_BEM_PRE,1,1) = 'M' AND GT013.TIPO_EQP IS NOT NULL AND TRIM(GT013.TIPO_EQP) = '244' THEN 'VEH19'
    			WHEN SUBSTR(BASE.CHAVE_BEM_PRE,1,1) = 'M' AND GT013.TIPO_EQP IS NOT NULL AND TRIM(GT013.TIPO_EQP) = '33' THEN 'VEH20'
    			WHEN SUBSTR(BASE.CHAVE_BEM_PRE,1,1) = 'M' AND GT013.TIPO_EQP IS NOT NULL AND TRIM(GT013.TIPO_EQP) = '210' THEN 'VEH20'
    			WHEN SUBSTR(BASE.CHAVE_BEM_PRE,1,1) = 'M' AND GT013.TIPO_EQP IS NOT NULL AND TRIM(GT013.TIPO_EQP) = '222' THEN 'VEH20'
    			WHEN SUBSTR(BASE.CHAVE_BEM_PRE,1,1) = 'M' AND GT013.TIPO_EQP IS NOT NULL AND TRIM(GT013.TIPO_EQP) = '223' THEN 'VEH20'
    			WHEN SUBSTR(BASE.CHAVE_BEM_PRE,1,1) = 'M' AND GT013.TIPO_EQP IS NOT NULL AND TRIM(GT013.TIPO_EQP) = '224' THEN 'VEH20'
    			WHEN SUBSTR(BASE.CHAVE_BEM_PRE,1,1) = 'M' AND GT013.TIPO_EQP IS NOT NULL AND TRIM(GT013.TIPO_EQP) = '150' THEN 'VEH21'
    			WHEN SUBSTR(BASE.CHAVE_BEM_PRE,1,1) = 'M' AND GT013.TIPO_EQP IS NOT NULL AND TRIM(GT013.TIPO_EQP) = '151' THEN 'VEH21'
    			WHEN SUBSTR(BASE.CHAVE_BEM_PRE,1,1) = 'M' AND GT013.TIPO_EQP IS NOT NULL AND TRIM(GT013.TIPO_EQP) = '215' THEN 'VEH21'
    			WHEN SUBSTR(BASE.CHAVE_BEM_PRE,1,1) = 'M' AND GT013.TIPO_EQP IS NOT NULL AND TRIM(GT013.TIPO_EQP) = '220' THEN 'VEH21'
    			WHEN SUBSTR(BASE.CHAVE_BEM_PRE,1,1) = 'M' AND GT013.TIPO_EQP IS NOT NULL AND TRIM(GT013.TIPO_EQP) = '221' THEN 'VEH21'
    			WHEN SUBSTR(BASE.CHAVE_BEM_PRE,1,1) = 'M' AND GT013.TIPO_EQP IS NOT NULL AND TRIM(GT013.TIPO_EQP) = '226' THEN 'VEH21'
    			WHEN SUBSTR(BASE.CHAVE_BEM_PRE,1,1) = 'M' AND GT013.TIPO_EQP IS NOT NULL AND TRIM(GT013.TIPO_EQP) = '704' THEN 'VEH21'
    			WHEN SUBSTR(BASE.CHAVE_BEM_PRE,1,1) = 'M' AND GT013.TIPO_EQP IS NOT NULL AND TRIM(GT013.TIPO_EQP) NOT IN ('203','241',
    			'251','140','149','143','227','142','252','253','254','712','713','144','145','180','181','146','161','162','167'
    			,'148','171','15','152','211','212','213','214','216','225','14','147','255','256','257','242','243','244','33','210','222','223','224','150','151','215','220','221','226','704') THEN 'N/A'
    	END AS TYP_VHCL,
    	COD_SOC,
    	combustivel
    from
        (
        select *
        from bu_captools_work.lt004_universo_gd_jun25_dg
        ) BASE
    left join
    	(
    	select distinct concat ('M','_',ckbalbem,'_',ckctabem,'_',ckrefbem) as chave_bem_pre ,cgarant_bem
    	from cd_garantias.gt018_rateio_aval
    	where trim(tipologia) = 'MOB' 
    	and ref_date='${ref_date}'
    	) gt018_mob
    	    on base.chave_bem_pre = gt018_mob.chave_bem_pre
    left join 
    	(
    	SELECT
    	    CONCAT (PROPERTY_BRANCH_CODE,PROPERTY_CONTRACT_ID,PROPERTY_REFERENCE_CODE) AS CHAVE_BEM,
    	    LAST_APPRAISAL_AMOUNT,
    	    property_code
    	FROM BU_ESG_WORK.PROPERTY
    	WHERE DATA_DATE_PART IN (SELECT MAX (DATA_DATE_PART)
    	FROM BU_ESG_WORK.PROPERTY 
    	WHERE DATA_DATE_PART &lt;='${ref_date}') 
    	) property
    	    on base.chave_bem = property.chave_bem
    left join 
    	(
    	SELECT DISTINCT
    	    PRTCTN_ID,
	        PRTCTN_VL,
	        TYP_PRTCTN,
	        COD_SOC
    	FROM  BU_LOANTAPE_WORK.LT004_PROTECTION
    	WHERE ref_date='${ref_date}'
    		AND nome_perimetro= 'Individual IDComb'
    		AND segmento= 'ESTR'
    		AND ambito= 'PM'
    	) lt_estrut
    	    on base.chave_bem_pre = lt_estrut.prtctn_id
    LEFT JOIN
    	(
    	SELECT*
    	FROM
    		(
    		SELECT
    			CASE
    				WHEN TRIM(tipologia) = 'MOB' THEN CONCAT ('M','_',CKBALBEM,'_',CKCTABEM,'_',CKREFBEM) 
    				WHEN TRIM(tipologia) = 'PES' THEN CONCAT ('P','_',CKBALBEM,'_',CKCTABEM,'_',CKREFBEM)
    				WHEN TRIM(tipologia) = 'FIN' THEN CONCAT ('F','_',CKBALBEM,'_',CKCTABEM,'_',CKREFBEM)
    				WHEN TRIM(tipologia) = 'IMO' THEN CONCAT ('I','_',CKBALBEM,'_',CKCTABEM,'_',CKREFBEM)
    			END AS CHAVE_BEM_PRE, SUM(MAVALIAA) AS MAVALIAA 
    		FROM cd_garantias.gt018_rateio_aval
    		WHERE REF_DATE='${ref_date}'
    		GROUP BY 1
    		) GT018_1
    	WHERE GT018_1.CHAVE_BEM_PRE IS NOT NULL 
    	) GT018_MOB_2
    	    ON BASE.CHAVE_BEM_PRE = GT018_MOB_2.CHAVE_BEM_PRE
    left join 
        (
        SELECT
            concat(cempbem,ckbalbem,ckctabem,ckrefbem) as chave_bem,
            CONCAT ('M','_',CKBALBEM,'_',CKCTABEM,'_',CKREFBEM) AS CHAVE_BEM_PRE,
            tipo_eqp,
            combustivel
        FROM cd_garantias.gt013_bens_mob
        WHERE REF_DATE='${ref_date}'
        ) GT013
            ON GT013.CHAVE_BEM_PRE = BASE.CHAVE_BEM_PRE
    ) final</t>
  </si>
  <si>
    <t>ver</t>
  </si>
  <si>
    <t>Teste comparativo GD vs P3</t>
  </si>
  <si>
    <t>with dg as (
select 
    *,
    case
        when prtctn_id_p3 is null and prtctn_id_gd is not null then 'exclusivo it'
        when prtctn_id_p3 is not null and prtctn_id_gd is null then 'exclusivo sim'
        when prtctn_id_p3 is not null and prtctn_id_gd is not null then 'comum'
        else 'ver'
    end as universo,
    case
        when prtctn_id_p3 is null and prtctn_id_gd is not null then 'exclusivo it'
        when prtctn_id_p3 is not null and prtctn_id_gd is null then 'exclusivo sim'
        when prtctn_id_p3 is not null and prtctn_id_gd is not null and ref_date_p3 = ref_date_gd then 'ok'
        when prtctn_id_p3 is not null and prtctn_id_gd is not null and ref_date_p3 &lt;&gt; ref_date_gd then 'nok'
        else 'ver'
    end as val_ref_date,
    case
        when prtctn_id_p3 is null and prtctn_id_gd is not null then 'exclusivo it'
        when prtctn_id_p3 is not null and prtctn_id_gd is null then 'exclusivo sim'
        when prtctn_id_p3 is not null and prtctn_id_gd is not null and cod_soc_p3 = cod_soc_gd then 'ok'
        when prtctn_id_p3 is not null and prtctn_id_gd is not null and cod_soc_p3 &lt;&gt; cod_soc_gd then 'nok'
        else 'ver'
    end as val_cod_soc,
    case
        when prtctn_id_p3 is null and prtctn_id_gd is not null then 'exclusivo it'
        when prtctn_id_p3 is not null and prtctn_id_gd is null then 'exclusivo sim'
        when prtctn_id_p3 is not null and prtctn_id_gd is not null and typ_prtctn_p3 = typ_prtctn_gd then 'ok'
        when prtctn_id_p3 is not null and prtctn_id_gd is not null and typ_prtctn_p3 &lt;&gt; typ_prtctn_gd then 'nok'
        when prtctn_id_p3 is not null and prtctn_id_gd is not null and typ_prtctn_p3 is null and typ_prtctn_gd is not null then 'null do lado de cdg'
        else 'ver'
    end as val_typ_prtctn,
    case
        when prtctn_id_p3 is null and prtctn_id_gd is not null then 'exclusivo it'
        when prtctn_id_p3 is not null and prtctn_id_gd is null then 'exclusivo sim'
        when prtctn_id_p3 is not null and prtctn_id_gd is not null and prtctn_vl_p3 = prtctn_vl_gd then 'ok'
        when prtctn_id_p3 is not null and prtctn_id_gd is not null and prtctn_vl_p3 &lt;&gt; prtctn_vl_gd then 'nok'
        when prtctn_id_p3 is not null and prtctn_id_gd is not null and prtctn_vl_p3 is null and prtctn_vl_gd is not null then 'null do lado de cdg'
        else 'ver'
    end as val_prtctn_vl,
    case
        when prtctn_id_p3 is null and prtctn_id_gd is not null then 'exclusivo it'
        when prtctn_id_p3 is not null and prtctn_id_gd is null then 'exclusivo sim'
        when prtctn_id_p3 is not null and prtctn_id_gd is not null and typ_vhcl_p3 = typ_vhcl_gd then 'ok'
        when prtctn_id_p3 is not null and prtctn_id_gd is not null and typ_vhcl_p3 &lt;&gt; typ_vhcl_gd then 'nok'
        when prtctn_id_p3 is not null and prtctn_id_gd is not null and typ_vhcl_p3 is null and typ_vhcl_gd is not null then 'null do lado de cdg'
        else 'ver'
    end as val_typ_vhcl,
    case
        when prtctn_id_p3 is null and prtctn_id_gd is not null then 'exclusivo it'
        when prtctn_id_p3 is not null and prtctn_id_gd is null then 'exclusivo sim'
        when prtctn_id_p3 is not null and prtctn_id_gd is not null and flg_elctrc_vhcl_p3 = flg_elctrc_vhcl_gd then 'ok'
        when prtctn_id_p3 is not null and prtctn_id_gd is not null and flg_elctrc_vhcl_p3 &lt;&gt; flg_elctrc_vhcl_gd then 'nok'
        else 'ver'
    end as val_flg_elctrc_vhcl  
from
    (
    select 
        ref_date as ref_date_p3,
        cod_soc as cod_soc_p3,
        prtctn_id prtctn_id_p3,
        typ_prtctn as typ_prtctn_p3,
        prtctn_vl as prtctn_vl_p3,
        typ_vhcl as typ_vhcl_p3,
        flg_elctrc_vhcl as flg_elctrc_vhcl_p3,
        ambito as ambito_p3
    from bu_loantape_work.lt004_protection
    where ambito = 'PILAR3'
    and ref_date = '2025-06-30'
    and segmento = 'ESTR'
    and nome_perimetro = 'Individual IDComb'
    ) a
full join
    (
    select 
        ref_date as ref_date_gd,
        cod_soc as cod_soc_gd,
        prtctn_id prtctn_id_gd,
        typ_prtctn as typ_prtctn_gd,
        prtctn_vl as prtctn_vl_gd,
        typ_vhcl as typ_vhcl_gd,
        flg_elctrc_vhcl as flg_elctrc_vhcl_gd,
        ambito as ambito_gd
    from bu_loantape_work.lt004_protection
    where ambito = 'GD'
    and ref_date = '2025-06-30'
    and segmento = 'ESTR'
    and nome_perimetro = 'Individual IDComb'
    ) b
        on a.prtctn_id_p3 = b.prtctn_id_gd
)
select 
    -- prtctn_id_gd,
    universo,
    val_ref_date,
    val_cod_soc,
    val_typ_prtctn,
    val_prtctn_vl,
    -- prtctn_vl_gd,
    -- prtctn_vl_p3
    val_typ_vhcl,
    val_flg_elctrc_vhcl,
    count(*)
from dg
group by 1,2,3,4,5,6,7
-- where val_prtctn_vl = 'nok'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</si>
</sst>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3" fontId="0" fillId="0" borderId="1" xfId="0" applyNumberFormat="1" applyBorder="1"/>
    <xf numFmtId="0" fontId="2" fillId="0" borderId="7" xfId="0" applyFont="1" applyBorder="1"/>
    <xf numFmtId="0" fontId="0" fillId="0" borderId="7" xfId="0" applyBorder="1"/>
    <xf numFmtId="0" fontId="0" fillId="3" borderId="1" xfId="0" applyFill="1" applyBorder="1"/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3" borderId="8" xfId="0" applyNumberForma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left" vertical="center"/>
    </xf>
    <xf numFmtId="3" fontId="0" fillId="3" borderId="4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9C0F-7D56-44AC-B275-E02BC3160C0D}">
  <dimension ref="B2:H27"/>
  <sheetViews>
    <sheetView showGridLines="0" workbookViewId="0"/>
  </sheetViews>
  <sheetFormatPr defaultRowHeight="15" x14ac:dyDescent="0.25"/>
  <cols>
    <col min="1" max="1" width="3.7109375" customWidth="1"/>
    <col min="2" max="2" width="20.42578125" customWidth="1"/>
    <col min="3" max="3" width="41.85546875" bestFit="1" customWidth="1"/>
    <col min="4" max="4" width="82" customWidth="1"/>
    <col min="5" max="5" width="37.5703125" customWidth="1"/>
    <col min="6" max="8" width="14.5703125" customWidth="1"/>
    <col min="9" max="10" width="52.85546875" bestFit="1" customWidth="1"/>
  </cols>
  <sheetData>
    <row r="2" spans="2:8" x14ac:dyDescent="0.25">
      <c r="B2" s="3" t="s">
        <v>10</v>
      </c>
      <c r="C2" s="3"/>
      <c r="D2" s="3"/>
      <c r="E2" s="2"/>
      <c r="F2" s="2"/>
      <c r="G2" s="2"/>
      <c r="H2" s="2"/>
    </row>
    <row r="3" spans="2:8" ht="6.95" customHeight="1" x14ac:dyDescent="0.25"/>
    <row r="4" spans="2:8" x14ac:dyDescent="0.25">
      <c r="B4" s="13" t="s">
        <v>8</v>
      </c>
      <c r="C4" s="13"/>
      <c r="D4" s="13"/>
      <c r="E4" s="13"/>
      <c r="F4" s="13"/>
      <c r="G4" s="13"/>
      <c r="H4" s="13"/>
    </row>
    <row r="5" spans="2:8" ht="15" customHeight="1" x14ac:dyDescent="0.25">
      <c r="B5" s="12" t="s">
        <v>11</v>
      </c>
      <c r="C5" s="12"/>
      <c r="D5" s="12"/>
      <c r="E5" s="12"/>
      <c r="F5" s="12"/>
      <c r="G5" s="12"/>
      <c r="H5" s="12"/>
    </row>
    <row r="6" spans="2:8" x14ac:dyDescent="0.25">
      <c r="B6" s="12"/>
      <c r="C6" s="12"/>
      <c r="D6" s="12"/>
      <c r="E6" s="12"/>
      <c r="F6" s="12"/>
      <c r="G6" s="12"/>
      <c r="H6" s="12"/>
    </row>
    <row r="7" spans="2:8" x14ac:dyDescent="0.25">
      <c r="B7" s="12"/>
      <c r="C7" s="12"/>
      <c r="D7" s="12"/>
      <c r="E7" s="12"/>
      <c r="F7" s="12"/>
      <c r="G7" s="12"/>
      <c r="H7" s="12"/>
    </row>
    <row r="8" spans="2:8" x14ac:dyDescent="0.25">
      <c r="B8" s="12"/>
      <c r="C8" s="12"/>
      <c r="D8" s="12"/>
      <c r="E8" s="12"/>
      <c r="F8" s="12"/>
      <c r="G8" s="12"/>
      <c r="H8" s="12"/>
    </row>
    <row r="9" spans="2:8" x14ac:dyDescent="0.25">
      <c r="B9" s="12"/>
      <c r="C9" s="12"/>
      <c r="D9" s="12"/>
      <c r="E9" s="12"/>
      <c r="F9" s="12"/>
      <c r="G9" s="12"/>
      <c r="H9" s="12"/>
    </row>
    <row r="11" spans="2:8" x14ac:dyDescent="0.25">
      <c r="B11" s="6" t="s">
        <v>19</v>
      </c>
      <c r="C11" s="6"/>
      <c r="D11" s="6"/>
      <c r="E11" s="2"/>
      <c r="F11" s="2"/>
      <c r="G11" s="2"/>
      <c r="H11" s="2"/>
    </row>
    <row r="12" spans="2:8" ht="6.95" customHeight="1" x14ac:dyDescent="0.25"/>
    <row r="13" spans="2:8" x14ac:dyDescent="0.25">
      <c r="B13" s="4" t="s">
        <v>4</v>
      </c>
      <c r="C13" s="4" t="s">
        <v>0</v>
      </c>
      <c r="D13" s="4" t="s">
        <v>9</v>
      </c>
      <c r="E13" s="4" t="s">
        <v>3</v>
      </c>
      <c r="F13" s="4" t="s">
        <v>5</v>
      </c>
      <c r="G13" s="4" t="s">
        <v>7</v>
      </c>
      <c r="H13" s="4" t="s">
        <v>2</v>
      </c>
    </row>
    <row r="14" spans="2:8" x14ac:dyDescent="0.25">
      <c r="B14" s="18" t="s">
        <v>12</v>
      </c>
      <c r="C14" s="19" t="s">
        <v>29</v>
      </c>
      <c r="D14" s="20" t="s">
        <v>13</v>
      </c>
      <c r="E14" s="14">
        <v>491916</v>
      </c>
      <c r="F14" s="14" t="s">
        <v>6</v>
      </c>
      <c r="G14" s="14" t="s">
        <v>6</v>
      </c>
      <c r="H14" s="21" t="s">
        <v>28</v>
      </c>
    </row>
    <row r="15" spans="2:8" x14ac:dyDescent="0.25">
      <c r="B15" s="18"/>
      <c r="C15" s="19"/>
      <c r="D15" s="20"/>
      <c r="E15" s="14"/>
      <c r="F15" s="14"/>
      <c r="G15" s="14"/>
      <c r="H15" s="21"/>
    </row>
    <row r="16" spans="2:8" x14ac:dyDescent="0.25">
      <c r="B16" s="18"/>
      <c r="C16" s="19"/>
      <c r="D16" s="20"/>
      <c r="E16" s="14"/>
      <c r="F16" s="14"/>
      <c r="G16" s="14"/>
      <c r="H16" s="21"/>
    </row>
    <row r="19" spans="2:8" x14ac:dyDescent="0.25">
      <c r="B19" s="6" t="s">
        <v>18</v>
      </c>
      <c r="C19" s="6"/>
      <c r="D19" s="6"/>
      <c r="E19" s="2"/>
      <c r="F19" s="2"/>
      <c r="G19" s="2"/>
      <c r="H19" s="2"/>
    </row>
    <row r="20" spans="2:8" ht="6.95" customHeight="1" x14ac:dyDescent="0.25"/>
    <row r="21" spans="2:8" x14ac:dyDescent="0.25">
      <c r="B21" s="4" t="s">
        <v>4</v>
      </c>
      <c r="C21" s="4" t="s">
        <v>0</v>
      </c>
      <c r="D21" s="4" t="s">
        <v>9</v>
      </c>
      <c r="E21" s="4" t="s">
        <v>3</v>
      </c>
      <c r="F21" s="4" t="s">
        <v>5</v>
      </c>
      <c r="G21" s="4" t="s">
        <v>7</v>
      </c>
      <c r="H21" s="4" t="s">
        <v>2</v>
      </c>
    </row>
    <row r="22" spans="2:8" x14ac:dyDescent="0.25">
      <c r="B22" s="18" t="s">
        <v>12</v>
      </c>
      <c r="C22" s="19" t="s">
        <v>30</v>
      </c>
      <c r="D22" s="20" t="s">
        <v>6</v>
      </c>
      <c r="E22" s="14">
        <v>466540</v>
      </c>
      <c r="F22" s="14" t="s">
        <v>6</v>
      </c>
      <c r="G22" s="14" t="s">
        <v>6</v>
      </c>
      <c r="H22" s="15" t="s">
        <v>32</v>
      </c>
    </row>
    <row r="23" spans="2:8" x14ac:dyDescent="0.25">
      <c r="B23" s="18"/>
      <c r="C23" s="19"/>
      <c r="D23" s="20"/>
      <c r="E23" s="14"/>
      <c r="F23" s="14"/>
      <c r="G23" s="14"/>
      <c r="H23" s="16"/>
    </row>
    <row r="24" spans="2:8" x14ac:dyDescent="0.25">
      <c r="B24" s="18"/>
      <c r="C24" s="19"/>
      <c r="D24" s="20"/>
      <c r="E24" s="14"/>
      <c r="F24" s="14"/>
      <c r="G24" s="14"/>
      <c r="H24" s="17"/>
    </row>
    <row r="27" spans="2:8" x14ac:dyDescent="0.25">
      <c r="D27" s="1"/>
    </row>
  </sheetData>
  <mergeCells count="16">
    <mergeCell ref="B5:H9"/>
    <mergeCell ref="B4:H4"/>
    <mergeCell ref="G22:G24"/>
    <mergeCell ref="H22:H24"/>
    <mergeCell ref="B14:B16"/>
    <mergeCell ref="C14:C16"/>
    <mergeCell ref="D14:D16"/>
    <mergeCell ref="E14:E16"/>
    <mergeCell ref="F14:F16"/>
    <mergeCell ref="G14:G16"/>
    <mergeCell ref="H14:H16"/>
    <mergeCell ref="B22:B24"/>
    <mergeCell ref="C22:C24"/>
    <mergeCell ref="D22:D24"/>
    <mergeCell ref="E22:E24"/>
    <mergeCell ref="F22:F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O13"/>
  <sheetViews>
    <sheetView showGridLines="0" tabSelected="1" workbookViewId="0"/>
  </sheetViews>
  <sheetFormatPr defaultRowHeight="15" x14ac:dyDescent="0.25"/>
  <cols>
    <col min="1" max="1" width="3.7109375" customWidth="1"/>
    <col min="2" max="2" width="35.5703125" bestFit="1" customWidth="1"/>
    <col min="3" max="3" width="23.28515625" customWidth="1"/>
    <col min="4" max="4" width="15.28515625" customWidth="1"/>
    <col min="5" max="6" width="18" bestFit="1" customWidth="1"/>
    <col min="7" max="7" width="12.7109375" customWidth="1"/>
    <col min="8" max="8" width="17.85546875" customWidth="1"/>
    <col min="9" max="9" width="23.42578125" customWidth="1"/>
    <col min="10" max="10" width="22.7109375" customWidth="1"/>
    <col min="13" max="13" width="12.42578125" customWidth="1"/>
    <col min="14" max="14" width="11.28515625" customWidth="1"/>
    <col min="16" max="16" width="10" bestFit="1" customWidth="1"/>
  </cols>
  <sheetData>
    <row r="2" spans="2:15" x14ac:dyDescent="0.25">
      <c r="B2" s="3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5" customHeight="1" x14ac:dyDescent="0.25"/>
    <row r="4" spans="2:15" x14ac:dyDescent="0.25">
      <c r="B4" s="9" t="s">
        <v>27</v>
      </c>
      <c r="C4" s="10"/>
      <c r="D4" s="10"/>
      <c r="E4" s="10"/>
      <c r="F4" s="10"/>
      <c r="G4" s="10"/>
      <c r="H4" s="10"/>
      <c r="I4" s="10"/>
      <c r="J4" s="10"/>
    </row>
    <row r="5" spans="2:15" ht="6.95" customHeight="1" x14ac:dyDescent="0.25"/>
    <row r="6" spans="2:15" x14ac:dyDescent="0.25">
      <c r="B6" s="5" t="s">
        <v>14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15</v>
      </c>
      <c r="J6" s="5" t="s">
        <v>2</v>
      </c>
    </row>
    <row r="7" spans="2:15" x14ac:dyDescent="0.25">
      <c r="B7" s="7" t="s">
        <v>16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8" t="s">
        <v>17</v>
      </c>
      <c r="I7" s="8">
        <v>466540</v>
      </c>
      <c r="J7" s="11" t="s">
        <v>31</v>
      </c>
      <c r="K7" s="1" t="s">
        <v>1</v>
      </c>
    </row>
    <row r="9" spans="2:15" x14ac:dyDescent="0.25">
      <c r="B9" s="9" t="s">
        <v>34</v>
      </c>
      <c r="C9" s="10"/>
      <c r="D9" s="10"/>
      <c r="E9" s="10"/>
      <c r="F9" s="10"/>
      <c r="G9" s="10"/>
      <c r="H9" s="10"/>
      <c r="I9" s="10"/>
      <c r="J9" s="10"/>
    </row>
    <row r="10" spans="2:15" ht="6.95" customHeight="1" x14ac:dyDescent="0.25"/>
    <row r="11" spans="2:15" x14ac:dyDescent="0.25">
      <c r="B11" s="5" t="s">
        <v>14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15</v>
      </c>
      <c r="J11" s="5" t="s">
        <v>2</v>
      </c>
    </row>
    <row r="12" spans="2:15" x14ac:dyDescent="0.25">
      <c r="B12" s="7" t="s">
        <v>16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33</v>
      </c>
      <c r="I12" s="8">
        <v>466540</v>
      </c>
      <c r="J12" s="22" t="s">
        <v>35</v>
      </c>
      <c r="K12" s="1" t="s">
        <v>1</v>
      </c>
    </row>
    <row r="13" spans="2:15" ht="6.95" customHeight="1" x14ac:dyDescent="0.25"/>
  </sheetData>
  <conditionalFormatting sqref="B7:H7">
    <cfRule type="containsText" dxfId="5" priority="4" operator="containsText" text="exclusivo">
      <formula>NOT(ISERROR(SEARCH("exclusivo",B7)))</formula>
    </cfRule>
    <cfRule type="containsText" dxfId="4" priority="5" operator="containsText" text="null">
      <formula>NOT(ISERROR(SEARCH("null",B7)))</formula>
    </cfRule>
  </conditionalFormatting>
  <conditionalFormatting sqref="C7:H7">
    <cfRule type="containsText" dxfId="3" priority="7" operator="containsText" text="nok">
      <formula>NOT(ISERROR(SEARCH("nok",C7)))</formula>
    </cfRule>
  </conditionalFormatting>
  <conditionalFormatting sqref="B12:I12">
    <cfRule type="containsText" dxfId="2" priority="1" operator="containsText" text="exclusivo">
      <formula>NOT(ISERROR(SEARCH("exclusivo",B12)))</formula>
    </cfRule>
    <cfRule type="containsText" dxfId="1" priority="2" operator="containsText" text="null">
      <formula>NOT(ISERROR(SEARCH("null",B12)))</formula>
    </cfRule>
  </conditionalFormatting>
  <conditionalFormatting sqref="C12:E12 G12:I12">
    <cfRule type="containsText" dxfId="0" priority="3" operator="containsText" text="nok">
      <formula>NOT(ISERROR(SEARCH("nok",C12)))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33D4A6C-2B1B-4C6C-BFF3-CB5A8A7952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LT004</vt:lpstr>
      <vt:lpstr>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2025-07-31T10:15:16Z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