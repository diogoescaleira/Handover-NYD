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2. LT004/"/>
    </mc:Choice>
  </mc:AlternateContent>
  <xr:revisionPtr revIDLastSave="428" documentId="13_ncr:1_{89458B4C-5EF4-45CD-830A-49A24B40D7EE}" xr6:coauthVersionLast="47" xr6:coauthVersionMax="47" xr10:uidLastSave="{ACF6243E-556A-4605-8181-ED1F48C6D0EC}"/>
  <bookViews>
    <workbookView xWindow="-120" yWindow="-120" windowWidth="29040" windowHeight="15720" activeTab="1" xr2:uid="{40AE5347-95AE-4A67-8A2B-A58E6B09EEBC}"/>
  </bookViews>
  <sheets>
    <sheet name="LT004" sheetId="3" r:id="rId1"/>
    <sheet name="Análi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3" l="1"/>
  <c r="G71" i="3"/>
  <c r="G61" i="3"/>
  <c r="G48" i="3"/>
  <c r="G38" i="3"/>
  <c r="G34" i="3"/>
  <c r="G25" i="3"/>
  <c r="G56" i="3"/>
  <c r="G52" i="3"/>
  <c r="G30" i="3"/>
  <c r="G29" i="3" l="1"/>
  <c r="G33" i="3" s="1"/>
</calcChain>
</file>

<file path=xl/sharedStrings.xml><?xml version="1.0" encoding="utf-8"?>
<sst xmlns="http://schemas.openxmlformats.org/spreadsheetml/2006/main" count="269" uniqueCount="105">
  <si>
    <t>Tabela</t>
  </si>
  <si>
    <t/>
  </si>
  <si>
    <t>Query</t>
  </si>
  <si>
    <t># Registos</t>
  </si>
  <si>
    <t>#</t>
  </si>
  <si>
    <t>Inner Join</t>
  </si>
  <si>
    <t>-</t>
  </si>
  <si>
    <t>Diferença</t>
  </si>
  <si>
    <t>Notas</t>
  </si>
  <si>
    <t>Check</t>
  </si>
  <si>
    <t>BU_LOANTAPE_WORK.LT002_INSTRUMENT</t>
  </si>
  <si>
    <t>cd_captools.kt_chaves_finrep</t>
  </si>
  <si>
    <t xml:space="preserve">cd_garantias.gt001_trz_rsp_gt </t>
  </si>
  <si>
    <t>cd_garantias.gt012_trz_gt_mob</t>
  </si>
  <si>
    <t>Descrição Tabela</t>
  </si>
  <si>
    <t>1. LT004</t>
  </si>
  <si>
    <t>2. Construção da query</t>
  </si>
  <si>
    <t>Tabela com um código único (que não pode ser reutilizado para outro contrato e deve manter-se inalterado durante a vigência do contrato) por contrato para aqueles que apresentsm transações no âmbito de um empréstimo.</t>
  </si>
  <si>
    <t>Tradutor de chaves mis --&gt; finrep</t>
  </si>
  <si>
    <t>Rastreabilidade entre as chaves dos contratos e as chaves dos processos no modelo único de garantias, e os respetivos atributos desta relação.</t>
  </si>
  <si>
    <t>Tabela apenas com  os contratos com garantidas associadas a bens móveis</t>
  </si>
  <si>
    <t>BU_ESG_WORK.RESPONSIBILITY_PROCESS_REL</t>
  </si>
  <si>
    <t>BU_ESG_WORK.PROCESS_PROPERTY_REL</t>
  </si>
  <si>
    <t>O universo da tabela lt004_protection para o Loan Tape / Green Dashboard é composto pelos seguintes universos:  
•	Universo de bens imóveis que são utilizados como garantias (2.1)
•	Universo de bens imóveis que estão a ser financiados e não são utilizados como garantias (nomeadamente,  os bens exclusivamente financiados) (2.2)
•	Universo de bens móveis (2.3)</t>
  </si>
  <si>
    <t>BU_LOANTAPE_WORK.lt006_instr_prot</t>
  </si>
  <si>
    <t>2.1 - Universo de bens imóveis que são utilizados como garantias</t>
  </si>
  <si>
    <t xml:space="preserve"> </t>
  </si>
  <si>
    <t>2.2 - Universo de bens imóveis que estão a ser financiados e não são utilizados como garantias (nomeadamente,  os bens exclusivamente financiados)</t>
  </si>
  <si>
    <t>SELECT INSTRMNT_ID
FROM bu_loantape_work.LT002_INSTRUMENT
WHERE ref_date='${ref_date}'
AND nome_perimetro= 'Individual Corporativo'
AND segmento= 'ESTR' 
AND ambito= 'PM'
AND entidade = '00100'</t>
  </si>
  <si>
    <t>(
SELECT DISTINCT 
	CONCAT (CEMPRESA_FR, CBALCAO_FR, CNUMECTA_FR, ZDEPOSIT_FR) AS CHAVE_FINREP
	,CONCAT (CEMPRESA, CBALCAO, CNUMECTA, ZDEPOSIT) AS CHAVE_MASTER
FROM cd_captools.kt_chaves_finrep
WHERE ref_date='${ref_date}'
) FR 
    ON LT002.INSTRMNT_ID = FR.CHAVE_FINREP</t>
  </si>
  <si>
    <t>(
SELECT DISTINCT 
	CONCAT (CEMPRESP, CKBALRES, CKCTARES, CKREFRESP) AS CHAVE_MASTER
	,CONCAT (CEMPRESA, CKBALCAO, CKNUMCTA, COMP_ID_GAR) AS CHAVE_PROCESSO
FROM cd_garantias.gt001_trz_rsp_gt
WHERE ref_date='${ref_date}'
) GT001 
    ON FR.CHAVE_MASTER = GT001.CHAVE_MASTER</t>
  </si>
  <si>
    <t>(
SELECT DISTINCT 
	CONCAT (CEMPRESA, CKBALCAO, CKNUMCTA, COMP_ID_GAR) AS CHAVE_PROCESSO
	,CONCAT (CEMPBEM, CKBALBEM, CKCTABEM, CKREFBEM) AS CHAVE_BEM
	,CONCAT ('M','_',CKBALBEM,'_',CKCTABEM,'_',CKREFBEM) AS CHAVE_BEM_PRE
FROM cd_garantias.gt012_trz_gt_mob
WHERE ref_date='${ref_date}'
) GT012 
    ON GT001.CHAVE_PROCESSO = GT012.CHAVE_PROCESSO</t>
  </si>
  <si>
    <t>F</t>
  </si>
  <si>
    <t>Todas</t>
  </si>
  <si>
    <t>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</t>
  </si>
  <si>
    <t>(
SELECT DISTINCT 
	CONCAT (BANK_ID, BRANCH_CODE, CONTRACT_ID, REFERENCE_CODE) AS CHAVE_RESPONSABILIDADE,
	CONCAT (PROCESS_BANK_ID, PROCESS_BRANCH_CODE, PROCESS_ACCOUNT_ID, PROCESS_REFERENCE_CODE) AS CHAVE_PROCESSO
FROM BU_ESG_WORK.RESPONSIBILITY_PROCESS_REL
WHERE DATA_DATE_PART IN (SELECT MAX (DATA_DATE_PART) FROM BU_ESG_WORK.RESPONSIBILITY_PROCESS_REL  WHERE DATA_DATE_PART &lt;= '${ref_date}') 
) CREDITO_PROCESSO 
    ON CREDITO_PROCESSO.CHAVE_RESPONSABILIDADE = FR.CHAVE_MASTER</t>
  </si>
  <si>
    <t>(
SELECT DISTINCT 
	CONCAT (PROCESS_BANK_ID, PROCESS_BRANCH_CODE, PROCESS_ACCOUNT_ID, PROCESS_REFERENCE_CODE) AS CHAVE_PROCESSO
	,CONCAT ('I','_',PROPERTY_BRANCH_CODE,'_',PROPERTY_CONTRACT_ID,'_',PROPERTY_REFERENCE_CODE) AS CHAVE_BEM_PRE
	,CONCAT (PROPERTY_BRANCH_CODE,PROPERTY_CONTRACT_ID,PROPERTY_REFERENCE_CODE) AS CHAVE_BEM
	,COLLATERAL_PROPERTY_IND AS FLG_COL
	,FINANCED_PROPERTY_IND AS FLG_FIN
FROM BU_ESG_WORK.PROCESS_PROPERTY_REL
WHERE DATA_DATE_PART IN 
        				(
        				SELECT MAX (DATA_DATE_PART)
        				FROM BU_ESG_WORK.PROCESS_PROPERTY_REL 
        				WHERE DATA_DATE_PART &lt;= '${ref_date}'
        				) 
AND (COLLATERAL_PROPERTY_IND = 1 OR FINANCED_PROPERTY_IND = 1)
) PROCESSO_BI
    ON CREDITO_PROCESSO.CHAVE_PROCESSO = PROCESSO_BI.CHAVE_PROCESSO</t>
  </si>
  <si>
    <t xml:space="preserve">SELECT DISTINCT PROCESSO_BI.CHAVE_BEM,PROCESSO_BI.CHAVE_BEM_PRE,'MBI' AS ORIGEM 
FROM 
(
SELECT 
	INSTRMNT_ID
FROM BU_LOANTAPE_WORK.LT002_INSTRUMENT
WHERE ref_date='${ref_date}'
	AND nome_perimetro= 'Individual Corporativo'
	AND segmento= 'ESTR' 
	AND ambito= 'PM'
	AND entidade = '00100'
) LT002	
INNER JOIN
(
SELECT DISTINCT 
	CONCAT (CEMPRESA_FR, CBALCAO_FR, CNUMECTA_FR, ZDEPOSIT_FR) AS CHAVE_FINREP
	,CONCAT (CEMPRESA, CBALCAO, CNUMECTA, ZDEPOSIT) AS CHAVE_MASTER
FROM cd_captools.kt_chaves_finrep
WHERE ref_date='${ref_date}'
) FR
    ON LT002.INSTRMNT_ID = FR.CHAVE_FINREP
INNER JOIN	
(
SELECT DISTINCT 
	CONCAT (BANK_ID, BRANCH_CODE, CONTRACT_ID, REFERENCE_CODE) AS CHAVE_RESPONSABILIDADE,
	CONCAT (PROCESS_BANK_ID, PROCESS_BRANCH_CODE, PROCESS_ACCOUNT_ID, PROCESS_REFERENCE_CODE) AS CHAVE_PROCESSO
FROM BU_ESG_WORK.RESPONSIBILITY_PROCESS_REL
WHERE DATA_DATE_PART IN (SELECT MAX (DATA_DATE_PART) FROM BU_ESG_WORK.RESPONSIBILITY_PROCESS_REL  WHERE DATA_DATE_PART &lt;= '${ref_date}') 
) CREDITO_PROCESSO 
    ON CREDITO_PROCESSO.CHAVE_RESPONSABILIDADE = FR.CHAVE_MASTER
INNER JOIN
(
SELECT DISTINCT 
	CONCAT (PROCESS_BANK_ID, PROCESS_BRANCH_CODE, PROCESS_ACCOUNT_ID, PROCESS_REFERENCE_CODE) AS CHAVE_PROCESSO
	,CONCAT ('I','_',PROPERTY_BRANCH_CODE,'_',PROPERTY_CONTRACT_ID,'_',PROPERTY_REFERENCE_CODE) AS CHAVE_BEM_PRE
	,CONCAT (PROPERTY_BRANCH_CODE,PROPERTY_CONTRACT_ID,PROPERTY_REFERENCE_CODE) AS CHAVE_BEM
	,COLLATERAL_PROPERTY_IND AS FLG_COL
	,FINANCED_PROPERTY_IND AS FLG_FIN
FROM BU_ESG_WORK.PROCESS_PROPERTY_REL
WHERE DATA_DATE_PART IN 
        				(
        				SELECT MAX (DATA_DATE_PART)
        				FROM BU_ESG_WORK.PROCESS_PROPERTY_REL 
        				WHERE DATA_DATE_PART &lt;= '${ref_date}'
        				) 
AND (COLLATERAL_PROPERTY_IND = 1 OR FINANCED_PROPERTY_IND = 1)
) PROCESSO_BI
    ON CREDITO_PROCESSO.CHAVE_PROCESSO = PROCESSO_BI.CHAVE_PROCESSO
</t>
  </si>
  <si>
    <t>2.3 - Universo de bens móveis</t>
  </si>
  <si>
    <t>(
SELECT INSTRMNT_ID, PRTCTN_ID
FROM BU_LOANTAPE_WORK.lt006_instr_prot
WHERE ref_date='${ref_date}'
	AND nome_perimetro= 'Individual Corporativo'
	AND segmento= 'ESTR' 
	AND ambito= 'PM'
) LT006 
    ON LT002.INSTRMNT_ID = LT006.INSTRMNT_ID</t>
  </si>
  <si>
    <t>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</t>
  </si>
  <si>
    <t>3. Tabela intermédia - Universo</t>
  </si>
  <si>
    <t>Com row_number porque damos prioridade às garantias do MUG</t>
  </si>
  <si>
    <t>create table bu_captools_work.lt004_universo_gd_fev25_dg as
SELECT 
    CHAVE_BEM
	,CHAVE_BEM_PRE
	,ORIGEM
FROM
    (
	SELECT 
		CHAVE_BEM
		,CHAVE_BEM_PRE
		,ORIGEM
		,ROW_NUMBER() OVER (PARTITION BY CHAVE_BEM ORDER BY CASE WHEN ORIGEM='MUG' OR ORIGEM='PM-F' OR ORIGEM='PM-I' OR ORIGEM='PM-P' THEN 1 ELSE 0 END DESC) AS ROW_1
    FROM
	    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Corporativo'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
        ) UNIV_TOTAL
    ) UNIV_TRAT
WHERE ROW_1 = 1</t>
  </si>
  <si>
    <t>bu_captools_work.lt004_universo_gd_fev25_dg</t>
  </si>
  <si>
    <t>Check do total das três partes anteriores</t>
  </si>
  <si>
    <t>SELECT count(*)
from
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Corporativo'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
) UNIV_TOTAL</t>
  </si>
  <si>
    <t>4. Tabela Final</t>
  </si>
  <si>
    <t>Query única</t>
  </si>
  <si>
    <t>bu_captools_work.lt004_gd_fev25_dg</t>
  </si>
  <si>
    <t>Campos Necessários</t>
  </si>
  <si>
    <t>COD_SOC, DT_RFRNC, PRTCTN_ID, TYP_PRTCTN, PRTCTN_VL, TYP_VHCL, FLG_ELCTRC_VHCL</t>
  </si>
  <si>
    <t>select distinct 
    COD_SOC,
    PRTCTN_ID,
    TYP_PRTCTN,
    PRTCTN_VL,
    TYP_VHCL,
    case
        when TYP_VHCL not in ('N/A','MISS') and combustivel = 'ELECTRICO' then 'Y'
        when TYP_VHCL not in ('N/A','MISS') and trim(combustivel) = '' then 'MISS'
        else 'N'
    end as FLG_ELCTRC_VHCL,
    '${ref_date}' as REF_DATE
from
    (
    select
        BASE.CHAVE_BEM_PRE AS PRTCTN_ID,
        CASE
    		WHEN BASE.ORIGEM = 'MUG' AND GT018_MOB.CHAVE_BEM_PRE IS NOT NULL AND TRIM(GT018_MOB.CGARANT_BEM) IN ('7500','7501','7502','7503','7504','7505','7506','7507','7508','7509','7510','7511','7512','7513','7514','7515') THEN '3'
    		WHEN BASE.ORIGEM = 'MUG' AND GT018_MOB.CHAVE_BEM_PRE IS NOT NULL AND TRIM(GT018_MOB.CGARANT_BEM) IN ('6101','6102') THEN '5'
    		WHEN BASE.ORIGEM = 'MUG' AND GT018_MOB.CHAVE_BEM_PRE IS NOT NULL AND TRIM(GT018_MOB.CGARANT_BEM)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'MUG' AND GT018_MOB.CHAVE_BEM_PRE IS NOT NULL AND TRIM(GT018_MOB.CGARANT_BEM) IN ('5101','5102','5103','5104') THEN '8'
    		WHEN BASE.ORIGEM = 'MUG' AND GT018_MOB.CHAVE_BEM_PRE IS NOT NULL AND TRIM(GT018_MOB.CGARANT_BEM) IN ('5203','5204') THEN '9'
    		WHEN BASE.ORIGEM = 'MUG' AND GT018_MOB.CHAVE_BEM_PRE IS NOT NULL AND TRIM(GT018_MOB.CGARANT_BEM) IN ('5000','5201','5202','5302','5205','5206','5207','5207','5209','5210','5211','5300','5212','5213','5214','5303','5301','5215','5216','5217','5218') THEN '10'
    		WHEN BASE.ORIGEM = 'MUG' AND GT018_MOB.CHAVE_BEM_PRE IS NOT NULL AND TRIM(GT018_MOB.CGARANT_BEM) IN ('6401','6402','6403','6404','6405','6406','6407','6408') THEN '12'
    		WHEN BASE.ORIGEM = 'MUG' AND GT018_MOB.CHAVE_BEM_PRE IS NOT NULL AND TRIM(GT018_MOB.CGARANT_BEM) IN ('6201','6202') THEN '15'
    		WHEN BASE.ORIGEM = 'MUG' AND GT018_MOB.CHAVE_BEM_PRE IS NOT NULL AND TRIM(GT018_MOB.CGARANT_BEM) IN ('6300','6501','6502','6503','6504') THEN '18'
    		WHEN BASE.ORIGEM = 'MUG' AND GT018_MOB.CHAVE_BEM_PRE IS NOT NULL AND TRIM(GT018_MOB.CGARANT_BEM) IN ('7100','7101','7102','7103','7104','7105','7106','7107','7110','7111') THEN '51'
    		WHEN BASE.ORIGEM = 'MUG' AND GT018_MOB.CHAVE_BEM_PRE IS NOT NULL AND TRIM(GT018_MOB.CGARANT_BEM) IN ('7108') THEN '52'
    		WHEN BASE.ORIGEM = 'MUG' AND GT018_MOB.CHAVE_BEM_PRE IS NOT NULL AND TRIM(GT018_MOB.CGARANT_BEM) IN ('7109') THEN '53'
    		WHEN BASE.ORIGEM = 'PM-I' OR BASE.ORIGEM = 'PM-M' OR BASE.ORIGEM = 'PM-F' OR BASE.ORIGEM = 'PM-P' THEN LT_ESTRUT.TYP_PRTCTN
    		WHEN BASE.ORIGEM = 'MBI' AND PROPERTY.CHAVE_BEM IS NOT NULL AND TRIM(PROPERTY.property_code) IN ('7500','7501','7502','7503','7504','7505','7506','7507','7508','7509','7510','7511','7512','7513','7514','7515') THEN '3'
    		WHEN BASE.ORIGEM = 'MBI' AND PROPERTY.CHAVE_BEM IS NOT NULL AND TRIM(PROPERTY.property_code) IN ('6101','6102') THEN '5'
    		WHEN BASE.ORIGEM = 'MBI' AND PROPERTY.CHAVE_BEM IS NOT NULL AND TRIM(PROPERTY.property_code)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'MBI' AND PROPERTY.CHAVE_BEM IS NOT NULL AND TRIM(PROPERTY.property_code) IN ('5101','5102','5103','5104') THEN '8'
    		WHEN BASE.ORIGEM = 'MBI' AND PROPERTY.CHAVE_BEM IS NOT NULL AND TRIM(PROPERTY.property_code) IN ('5203','5204') THEN '9'
    		WHEN BASE.ORIGEM = 'MBI' AND PROPERTY.CHAVE_BEM IS NOT NULL AND TRIM(PROPERTY.property_code) IN ('5000','5201','5202','5302','5205','5206','5207','5207','5209','5210','5211','5300','5212','5213','5214','5303','5301','5215','5216','5217','5218') THEN '10'
    		WHEN BASE.ORIGEM = 'MBI' AND PROPERTY.CHAVE_BEM IS NOT NULL AND TRIM(PROPERTY.property_code) IN ('6401','6402','6403','6404','6405','6406','6407','6408') THEN '12'
    		WHEN BASE.ORIGEM = 'MBI' AND PROPERTY.CHAVE_BEM IS NOT NULL AND TRIM(PROPERTY.property_code) IN ('6201','6202') THEN '15'
    		WHEN BASE.ORIGEM = 'MBI' AND PROPERTY.CHAVE_BEM IS NOT NULL AND TRIM(PROPERTY.property_code) IN ('6300','6501','6502','6503','6504') THEN '18'
    		WHEN BASE.ORIGEM = 'MBI' AND PROPERTY.CHAVE_BEM IS NOT NULL AND TRIM(PROPERTY.property_code) IN ('7100','7101','7102','7103','7104','7105','7106','7107','7110','7111') THEN '51'
    		WHEN BASE.ORIGEM = 'MBI' AND PROPERTY.CHAVE_BEM IS NOT NULL AND TRIM(PROPERTY.property_code) IN ('7108') THEN '52'
    		WHEN BASE.ORIGEM = 'MBI' AND PROPERTY.CHAVE_BEM IS NOT NULL AND TRIM(PROPERTY.property_code) IN ('7109') THEN '53'
    		WHEN BASE.ORIGEM = 'MBI' AND PROPERTY.CHAVE_BEM IS NOT NULL AND PROPERTY.property_code IS NULL THEN '99999999999'
    		ELSE 'NOK'
    	END AS TYP_PRTCTN,
    	CASE
    		WHEN LT_ESTRUT.PRTCTN_ID IS NOT NULL THEN LT_ESTRUT.PRTCTN_VL
    		WHEN BASE.ORIGEM = 'MBI' AND PROPERTY.CHAVE_BEM IS NOT NULL AND PROPERTY.LAST_APPRAISAL_AMOUNT IS NOT NULL THEN PROPERTY.LAST_APPRAISAL_AMOUNT
    		WHEN BASE.ORIGEM = 'MBI' AND PROPERTY.CHAVE_BEM IS NOT NULL AND PROPERTY.LAST_APPRAISAL_AMOUNT IS NULL THEN 99999999999
    		WHEN BASE.ORIGEM = 'MUG' AND GT018_MOB_2.CHAVE_BEM_PRE IS NOT NULL AND GT018_MOB_2.MAVALIAA IS NOT NULL THEN GT018_MOB_2.MAVALIAA -- 25/03: Este universo devia estar em PM, ou seja este case é de forma tática para obter valor no univ de móveis
    		WHEN BASE.ORIGEM = 'MUG' AND GT018_MOB_2.CHAVE_BEM_PRE IS NOT NULL AND GT018_MOB_2.MAVALIAA IS NULL THEN 99999999999 -- 25/03: Este universo devia estar em PM, ou seja este case é de forma tática para obter valor no univ de móveis
    	END AS PRTCTN_VL,
    	CASE 
    			WHEN SUBSTR(BASE.CHAVE_BEM_PRE,1,1) &lt;&gt; 'M' THEN 'N/A'
    			WHEN SUBSTR(BASE.CHAVE_BEM_PRE,1,1) = 'M' AND GT013.TIPO_EQP IS NULL THEN 'MISS'
    			WHEN SUBSTR(BASE.CHAVE_BEM_PRE,1,1) = 'M' AND GT013.TIPO_EQP IS NOT NULL AND TRIM(GT013.TIPO_EQP) = '141' THEN 'VEH01'
    			WHEN SUBSTR(BASE.CHAVE_BEM_PRE,1,1) = 'M' AND GT013.TIPO_EQP IS NOT NULL AND TRIM(GT013.TIPO_EQP) = '203' THEN 'VEH01'
    			WHEN SUBSTR(BASE.CHAVE_BEM_PRE,1,1) = 'M' AND GT013.TIPO_EQP IS NOT NULL AND TRIM(GT013.TIPO_EQP) = '241' THEN 'VEH01'
    			WHEN SUBSTR(BASE.CHAVE_BEM_PRE,1,1) = 'M' AND GT013.TIPO_EQP IS NOT NULL AND TRIM(GT013.TIPO_EQP) = '251' THEN 'VEH01'
    			WHEN SUBSTR(BASE.CHAVE_BEM_PRE,1,1) = 'M' AND GT013.TIPO_EQP IS NOT NULL AND TRIM(GT013.TIPO_EQP) = '140' THEN 'VEH01'
    			WHEN SUBSTR(BASE.CHAVE_BEM_PRE,1,1) = 'M' AND GT013.TIPO_EQP IS NOT NULL AND TRIM(GT013.TIPO_EQP) = '149' THEN 'VEH01'
    			WHEN SUBSTR(BASE.CHAVE_BEM_PRE,1,1) = 'M' AND GT013.TIPO_EQP IS NOT NULL AND TRIM(GT013.TIPO_EQP) = '143' THEN 'VEH03'
    			WHEN SUBSTR(BASE.CHAVE_BEM_PRE,1,1) = 'M' AND GT013.TIPO_EQP IS NOT NULL AND TRIM(GT013.TIPO_EQP) = '227' THEN 'VEH03'
    			WHEN SUBSTR(BASE.CHAVE_BEM_PRE,1,1) = 'M' AND GT013.TIPO_EQP IS NOT NULL AND TRIM(GT013.TIPO_EQP) = '142' THEN 'VEH04'
    			WHEN SUBSTR(BASE.CHAVE_BEM_PRE,1,1) = 'M' AND GT013.TIPO_EQP IS NOT NULL AND TRIM(GT013.TIPO_EQP) = '252' THEN 'VEH04'
    			WHEN SUBSTR(BASE.CHAVE_BEM_PRE,1,1) = 'M' AND GT013.TIPO_EQP IS NOT NULL AND TRIM(GT013.TIPO_EQP) = '253' THEN 'VEH04'
    			WHEN SUBSTR(BASE.CHAVE_BEM_PRE,1,1) = 'M' AND GT013.TIPO_EQP IS NOT NULL AND TRIM(GT013.TIPO_EQP) = '254' THEN 'VEH04'
    			WHEN SUBSTR(BASE.CHAVE_BEM_PRE,1,1) = 'M' AND GT013.TIPO_EQP IS NOT NULL AND TRIM(GT013.TIPO_EQP) = '712' THEN 'VEH04'
    			WHEN SUBSTR(BASE.CHAVE_BEM_PRE,1,1) = 'M' AND GT013.TIPO_EQP IS NOT NULL AND TRIM(GT013.TIPO_EQP) = '713' THEN 'VEH04'
    			WHEN SUBSTR(BASE.CHAVE_BEM_PRE,1,1) = 'M' AND GT013.TIPO_EQP IS NOT NULL AND TRIM(GT013.TIPO_EQP) = '144' THEN 'VEH05'
    			WHEN SUBSTR(BASE.CHAVE_BEM_PRE,1,1) = 'M' AND GT013.TIPO_EQP IS NOT NULL AND TRIM(GT013.TIPO_EQP) = '145' THEN 'VEH05'
    			WHEN SUBSTR(BASE.CHAVE_BEM_PRE,1,1) = 'M' AND GT013.TIPO_EQP IS NOT NULL AND TRIM(GT013.TIPO_EQP) = '180' THEN 'VEH07'
    			WHEN SUBSTR(BASE.CHAVE_BEM_PRE,1,1) = 'M' AND GT013.TIPO_EQP IS NOT NULL AND TRIM(GT013.TIPO_EQP) = '181' THEN 'VEH08'
    			WHEN SUBSTR(BASE.CHAVE_BEM_PRE,1,1) = 'M' AND GT013.TIPO_EQP IS NOT NULL AND TRIM(GT013.TIPO_EQP) = '146' THEN 'VEH09'
    			WHEN SUBSTR(BASE.CHAVE_BEM_PRE,1,1) = 'M' AND GT013.TIPO_EQP IS NOT NULL AND TRIM(GT013.TIPO_EQP) = '161' THEN 'VEH15'
    			WHEN SUBSTR(BASE.CHAVE_BEM_PRE,1,1) = 'M' AND GT013.TIPO_EQP IS NOT NULL AND TRIM(GT013.TIPO_EQP) = '162' THEN 'VEH15'
    			WHEN SUBSTR(BASE.CHAVE_BEM_PRE,1,1) = 'M' AND GT013.TIPO_EQP IS NOT NULL AND TRIM(GT013.TIPO_EQP) = '167' THEN 'VEH15'
    			WHEN SUBSTR(BASE.CHAVE_BEM_PRE,1,1) = 'M' AND GT013.TIPO_EQP IS NOT NULL AND TRIM(GT013.TIPO_EQP) = '148' THEN 'VEH16'
    			WHEN SUBSTR(BASE.CHAVE_BEM_PRE,1,1) = 'M' AND GT013.TIPO_EQP IS NOT NULL AND TRIM(GT013.TIPO_EQP) = '171' THEN 'VEH16'
    			WHEN SUBSTR(BASE.CHAVE_BEM_PRE,1,1) = 'M' AND GT013.TIPO_EQP IS NOT NULL AND TRIM(GT013.TIPO_EQP) = '15'THEN 'VEH18'
    			WHEN SUBSTR(BASE.CHAVE_BEM_PRE,1,1) = 'M' AND GT013.TIPO_EQP IS NOT NULL AND TRIM(GT013.TIPO_EQP) = '152' THEN 'VEH18'
    			WHEN SUBSTR(BASE.CHAVE_BEM_PRE,1,1) = 'M' AND GT013.TIPO_EQP IS NOT NULL AND TRIM(GT013.TIPO_EQP) = '211' THEN 'VEH18'
    			WHEN SUBSTR(BASE.CHAVE_BEM_PRE,1,1) = 'M' AND GT013.TIPO_EQP IS NOT NULL AND TRIM(GT013.TIPO_EQP) = '212' THEN 'VEH18'
    			WHEN SUBSTR(BASE.CHAVE_BEM_PRE,1,1) = 'M' AND GT013.TIPO_EQP IS NOT NULL AND TRIM(GT013.TIPO_EQP) = '213' THEN 'VEH18'
    			WHEN SUBSTR(BASE.CHAVE_BEM_PRE,1,1) = 'M' AND GT013.TIPO_EQP IS NOT NULL AND TRIM(GT013.TIPO_EQP) = '214' THEN 'VEH18'
    			WHEN SUBSTR(BASE.CHAVE_BEM_PRE,1,1) = 'M' AND GT013.TIPO_EQP IS NOT NULL AND TRIM(GT013.TIPO_EQP) = '216' THEN 'VEH18'
    			WHEN SUBSTR(BASE.CHAVE_BEM_PRE,1,1) = 'M' AND GT013.TIPO_EQP IS NOT NULL AND TRIM(GT013.TIPO_EQP) = '225' THEN 'VEH18'
    			WHEN SUBSTR(BASE.CHAVE_BEM_PRE,1,1) = 'M' AND GT013.TIPO_EQP IS NOT NULL AND TRIM(GT013.TIPO_EQP) = '14'THEN 'VEH18'
    			WHEN SUBSTR(BASE.CHAVE_BEM_PRE,1,1) = 'M' AND GT013.TIPO_EQP IS NOT NULL AND TRIM(GT013.TIPO_EQP) = '147' THEN 'VEH19'
    			WHEN SUBSTR(BASE.CHAVE_BEM_PRE,1,1) = 'M' AND GT013.TIPO_EQP IS NOT NULL AND TRIM(GT013.TIPO_EQP) = '255' THEN 'VEH19'
    			WHEN SUBSTR(BASE.CHAVE_BEM_PRE,1,1) = 'M' AND GT013.TIPO_EQP IS NOT NULL AND TRIM(GT013.TIPO_EQP) = '256' THEN 'VEH19'
    			WHEN SUBSTR(BASE.CHAVE_BEM_PRE,1,1) = 'M' AND GT013.TIPO_EQP IS NOT NULL AND TRIM(GT013.TIPO_EQP) = '257' THEN 'VEH19'
    			WHEN SUBSTR(BASE.CHAVE_BEM_PRE,1,1) = 'M' AND GT013.TIPO_EQP IS NOT NULL AND TRIM(GT013.TIPO_EQP) = '242' THEN 'VEH19'
    			WHEN SUBSTR(BASE.CHAVE_BEM_PRE,1,1) = 'M' AND GT013.TIPO_EQP IS NOT NULL AND TRIM(GT013.TIPO_EQP) = '243' THEN 'VEH19'
    			WHEN SUBSTR(BASE.CHAVE_BEM_PRE,1,1) = 'M' AND GT013.TIPO_EQP IS NOT NULL AND TRIM(GT013.TIPO_EQP) = '244' THEN 'VEH19'
    			WHEN SUBSTR(BASE.CHAVE_BEM_PRE,1,1) = 'M' AND GT013.TIPO_EQP IS NOT NULL AND TRIM(GT013.TIPO_EQP) = '33' THEN 'VEH20'
    			WHEN SUBSTR(BASE.CHAVE_BEM_PRE,1,1) = 'M' AND GT013.TIPO_EQP IS NOT NULL AND TRIM(GT013.TIPO_EQP) = '210' THEN 'VEH20'
    			WHEN SUBSTR(BASE.CHAVE_BEM_PRE,1,1) = 'M' AND GT013.TIPO_EQP IS NOT NULL AND TRIM(GT013.TIPO_EQP) = '222' THEN 'VEH20'
    			WHEN SUBSTR(BASE.CHAVE_BEM_PRE,1,1) = 'M' AND GT013.TIPO_EQP IS NOT NULL AND TRIM(GT013.TIPO_EQP) = '223' THEN 'VEH20'
    			WHEN SUBSTR(BASE.CHAVE_BEM_PRE,1,1) = 'M' AND GT013.TIPO_EQP IS NOT NULL AND TRIM(GT013.TIPO_EQP) = '224' THEN 'VEH20'
    			WHEN SUBSTR(BASE.CHAVE_BEM_PRE,1,1) = 'M' AND GT013.TIPO_EQP IS NOT NULL AND TRIM(GT013.TIPO_EQP) = '150' THEN 'VEH21'
    			WHEN SUBSTR(BASE.CHAVE_BEM_PRE,1,1) = 'M' AND GT013.TIPO_EQP IS NOT NULL AND TRIM(GT013.TIPO_EQP) = '151' THEN 'VEH21'
    			WHEN SUBSTR(BASE.CHAVE_BEM_PRE,1,1) = 'M' AND GT013.TIPO_EQP IS NOT NULL AND TRIM(GT013.TIPO_EQP) = '215' THEN 'VEH21'
    			WHEN SUBSTR(BASE.CHAVE_BEM_PRE,1,1) = 'M' AND GT013.TIPO_EQP IS NOT NULL AND TRIM(GT013.TIPO_EQP) = '220' THEN 'VEH21'
    			WHEN SUBSTR(BASE.CHAVE_BEM_PRE,1,1) = 'M' AND GT013.TIPO_EQP IS NOT NULL AND TRIM(GT013.TIPO_EQP) = '221' THEN 'VEH21'
    			WHEN SUBSTR(BASE.CHAVE_BEM_PRE,1,1) = 'M' AND GT013.TIPO_EQP IS NOT NULL AND TRIM(GT013.TIPO_EQP) = '226' THEN 'VEH21'
    			WHEN SUBSTR(BASE.CHAVE_BEM_PRE,1,1) = 'M' AND GT013.TIPO_EQP IS NOT NULL AND TRIM(GT013.TIPO_EQP) = '704' THEN 'VEH21'
    			WHEN SUBSTR(BASE.CHAVE_BEM_PRE,1,1) = 'M' AND GT013.TIPO_EQP IS NOT NULL AND TRIM(GT013.TIPO_EQP) NOT IN ('203','241',
    			'251','140','149','143','227','142','252','253','254','712','713','144','145','180','181','146','161','162','167'
    			,'148','171','15','152','211','212','213','214','216','225','14','147','255','256','257','242','243','244','33','210','222','223','224','150','151','215','220','221','226','704') THEN 'N/A'
    	END AS TYP_VHCL,
    	COD_SOC,
    	combustivel
    from
--------------------------------------------------------------------------------------------------------------------------------------------------------------
---------------------------------------------------------------------------- Universo  -----------------------------------------------------------------------
--------------------------------------------------------------------------------------------------------------------------------------------------------------
(
SELECT 
    CHAVE_BEM
	,CHAVE_BEM_PRE
	,ORIGEM
FROM
    (
	SELECT 
		CHAVE_BEM
		,CHAVE_BEM_PRE
		,ORIGEM
		,ROW_NUMBER() OVER (PARTITION BY CHAVE_BEM ORDER BY CASE WHEN ORIGEM='MUG' OR ORIGEM='PM-F' OR ORIGEM='PM-I' OR ORIGEM='PM-P' THEN 1 ELSE 0 END DESC) AS ROW_1
    FROM
	    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Corporativo'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
        ) UNIV_TOTAL
    ) UNIV_TRAT
WHERE ROW_1 = 1) BASE
    left join
    	(
    	select distinct concat ('M','_',ckbalbem,'_',ckctabem,'_',ckrefbem) as chave_bem_pre ,cgarant_bem
    	from cd_garantias.gt018_rateio_aval
    	where trim(tipologia) = 'MOB' 
    	and ref_date='${ref_date}'
    	) gt018_mob
    	    on base.chave_bem_pre = gt018_mob.chave_bem_pre
    left join 
    	(
    	SELECT
    	    CONCAT (PROPERTY_BRANCH_CODE,PROPERTY_CONTRACT_ID,PROPERTY_REFERENCE_CODE) AS CHAVE_BEM,
    	    LAST_APPRAISAL_AMOUNT,
    	    property_code
    	FROM BU_ESG_WORK.PROPERTY
    	WHERE DATA_DATE_PART IN (SELECT MAX (DATA_DATE_PART)
    	FROM BU_ESG_WORK.PROPERTY 
    	WHERE DATA_DATE_PART &lt;='${ref_date}') 
    	) property
    	    on base.chave_bem = property.chave_bem
    left join 
    	(
    	SELECT DISTINCT PRTCTN_ID, PRTCTN_VL, TYP_PRTCTN, COD_SOC
    	FROM  BU_LOANTAPE_WORK.LT004_PROTECTION
    	WHERE ref_date='${ref_date}'
    		AND nome_perimetro= 'Individual Corporativo'
    		AND segmento= 'ESTR'
    		AND ambito= 'PM'
    		AND entidade = '00100'
    	) lt_estrut
    	    on base.chave_bem_pre = lt_estrut.prtctn_id
    LEFT JOIN
    	(
    	SELECT*
    	FROM
    		(
    		SELECT
    			CASE
    				WHEN TRIM(tipologia) = 'MOB' THEN CONCAT ('M','_',CKBALBEM,'_',CKCTABEM,'_',CKREFBEM) 
    				WHEN TRIM(tipologia) = 'PES' THEN CONCAT ('P','_',CKBALBEM,'_',CKCTABEM,'_',CKREFBEM)
    				WHEN TRIM(tipologia) = 'FIN' THEN CONCAT ('F','_',CKBALBEM,'_',CKCTABEM,'_',CKREFBEM)
    				WHEN TRIM(tipologia) = 'IMO' THEN CONCAT ('I','_',CKBALBEM,'_',CKCTABEM,'_',CKREFBEM)
    			END AS CHAVE_BEM_PRE, SUM(MAVALIAA) AS MAVALIAA 
    		FROM cd_garantias.gt018_rateio_aval
    		WHERE REF_DATE='${ref_date}'
    		GROUP BY 1
    		) GT018_1
    	WHERE GT018_1.CHAVE_BEM_PRE IS NOT NULL 
    	) GT018_MOB_2
    	    ON BASE.CHAVE_BEM_PRE = GT018_MOB_2.CHAVE_BEM_PRE
    left join 
        (
        SELECT
            concat(cempbem,ckbalbem,ckctabem,ckrefbem) as chave_bem,
            CONCAT ('M','_',CKBALBEM,'_',CKCTABEM,'_',CKREFBEM) AS CHAVE_BEM_PRE,
            tipo_eqp,
            combustivel
        FROM cd_garantias.gt013_bens_mob
        WHERE REF_DATE='${ref_date}'
        ) GT013
            ON GT013.CHAVE_BEM_PRE = BASE.CHAVE_BEM_PRE
    ) final</t>
  </si>
  <si>
    <t xml:space="preserve">create table bu_captools_work.lt004_gd_fev25_dg as
select distinct
    COD_SOC,
    PRTCTN_ID,
    TYP_PRTCTN,
    PRTCTN_VL,
    TYP_VHCL,
    case
        when TYP_VHCL not in ('N/A','MISS') and combustivel = 'ELECTRICO' then 'Y'
        when TYP_VHCL not in ('N/A','MISS') and trim(combustivel) = '' then 'MISS'
        else 'N'
    end as FLG_ELCTRC_VHCL,
    '${ref_date}' as REF_DATE
from
    (
    select
        BASE.CHAVE_BEM_PRE AS PRTCTN_ID,
        CASE
    		WHEN BASE.ORIGEM = 'MUG' AND GT018_MOB.CHAVE_BEM_PRE IS NOT NULL AND TRIM(GT018_MOB.CGARANT_BEM) IN ('7500','7501','7502','7503','7504','7505','7506','7507','7508','7509','7510','7511','7512','7513','7514','7515') THEN '3'
    		WHEN BASE.ORIGEM = 'MUG' AND GT018_MOB.CHAVE_BEM_PRE IS NOT NULL AND TRIM(GT018_MOB.CGARANT_BEM) IN ('6101','6102') THEN '5'
    		WHEN BASE.ORIGEM = 'MUG' AND GT018_MOB.CHAVE_BEM_PRE IS NOT NULL AND TRIM(GT018_MOB.CGARANT_BEM)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'MUG' AND GT018_MOB.CHAVE_BEM_PRE IS NOT NULL AND TRIM(GT018_MOB.CGARANT_BEM) IN ('5101','5102','5103','5104') THEN '8'
    		WHEN BASE.ORIGEM = 'MUG' AND GT018_MOB.CHAVE_BEM_PRE IS NOT NULL AND TRIM(GT018_MOB.CGARANT_BEM) IN ('5203','5204') THEN '9'
    		WHEN BASE.ORIGEM = 'MUG' AND GT018_MOB.CHAVE_BEM_PRE IS NOT NULL AND TRIM(GT018_MOB.CGARANT_BEM) IN ('5000','5201','5202','5302','5205','5206','5207','5207','5209','5210','5211','5300','5212','5213','5214','5303','5301','5215','5216','5217','5218') THEN '10'
    		WHEN BASE.ORIGEM = 'MUG' AND GT018_MOB.CHAVE_BEM_PRE IS NOT NULL AND TRIM(GT018_MOB.CGARANT_BEM) IN ('6401','6402','6403','6404','6405','6406','6407','6408') THEN '12'
    		WHEN BASE.ORIGEM = 'MUG' AND GT018_MOB.CHAVE_BEM_PRE IS NOT NULL AND TRIM(GT018_MOB.CGARANT_BEM) IN ('6201','6202') THEN '15'
    		WHEN BASE.ORIGEM = 'MUG' AND GT018_MOB.CHAVE_BEM_PRE IS NOT NULL AND TRIM(GT018_MOB.CGARANT_BEM) IN ('6300','6501','6502','6503','6504') THEN '18'
    		WHEN BASE.ORIGEM = 'MUG' AND GT018_MOB.CHAVE_BEM_PRE IS NOT NULL AND TRIM(GT018_MOB.CGARANT_BEM) IN ('7100','7101','7102','7103','7104','7105','7106','7107','7110','7111') THEN '51'
    		WHEN BASE.ORIGEM = 'MUG' AND GT018_MOB.CHAVE_BEM_PRE IS NOT NULL AND TRIM(GT018_MOB.CGARANT_BEM) IN ('7108') THEN '52'
    		WHEN BASE.ORIGEM = 'MUG' AND GT018_MOB.CHAVE_BEM_PRE IS NOT NULL AND TRIM(GT018_MOB.CGARANT_BEM) IN ('7109') THEN '53'
    		WHEN BASE.ORIGEM = 'PM-I' OR BASE.ORIGEM = 'PM-M' OR BASE.ORIGEM = 'PM-F' OR BASE.ORIGEM = 'PM-P' THEN LT_ESTRUT.TYP_PRTCTN
    		WHEN BASE.ORIGEM = 'MBI' AND PROPERTY.CHAVE_BEM IS NOT NULL AND TRIM(PROPERTY.property_code) IN ('7500','7501','7502','7503','7504','7505','7506','7507','7508','7509','7510','7511','7512','7513','7514','7515') THEN '3'
    		WHEN BASE.ORIGEM = 'MBI' AND PROPERTY.CHAVE_BEM IS NOT NULL AND TRIM(PROPERTY.property_code) IN ('6101','6102') THEN '5'
    		WHEN BASE.ORIGEM = 'MBI' AND PROPERTY.CHAVE_BEM IS NOT NULL AND TRIM(PROPERTY.property_code)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'MBI' AND PROPERTY.CHAVE_BEM IS NOT NULL AND TRIM(PROPERTY.property_code) IN ('5101','5102','5103','5104') THEN '8'
    		WHEN BASE.ORIGEM = 'MBI' AND PROPERTY.CHAVE_BEM IS NOT NULL AND TRIM(PROPERTY.property_code) IN ('5203','5204') THEN '9'
    		WHEN BASE.ORIGEM = 'MBI' AND PROPERTY.CHAVE_BEM IS NOT NULL AND TRIM(PROPERTY.property_code) IN ('5000','5201','5202','5302','5205','5206','5207','5207','5209','5210','5211','5300','5212','5213','5214','5303','5301','5215','5216','5217','5218') THEN '10'
    		WHEN BASE.ORIGEM = 'MBI' AND PROPERTY.CHAVE_BEM IS NOT NULL AND TRIM(PROPERTY.property_code) IN ('6401','6402','6403','6404','6405','6406','6407','6408') THEN '12'
    		WHEN BASE.ORIGEM = 'MBI' AND PROPERTY.CHAVE_BEM IS NOT NULL AND TRIM(PROPERTY.property_code) IN ('6201','6202') THEN '15'
    		WHEN BASE.ORIGEM = 'MBI' AND PROPERTY.CHAVE_BEM IS NOT NULL AND TRIM(PROPERTY.property_code) IN ('6300','6501','6502','6503','6504') THEN '18'
    		WHEN BASE.ORIGEM = 'MBI' AND PROPERTY.CHAVE_BEM IS NOT NULL AND TRIM(PROPERTY.property_code) IN ('7100','7101','7102','7103','7104','7105','7106','7107','7110','7111') THEN '51'
    		WHEN BASE.ORIGEM = 'MBI' AND PROPERTY.CHAVE_BEM IS NOT NULL AND TRIM(PROPERTY.property_code) IN ('7108') THEN '52'
    		WHEN BASE.ORIGEM = 'MBI' AND PROPERTY.CHAVE_BEM IS NOT NULL AND TRIM(PROPERTY.property_code) IN ('7109') THEN '53'
    		WHEN BASE.ORIGEM = 'MBI' AND PROPERTY.CHAVE_BEM IS NOT NULL AND PROPERTY.property_code IS NULL THEN '99999999999'
    		ELSE 'NOK'
    	END AS TYP_PRTCTN,
    	CASE
    		WHEN LT_ESTRUT.PRTCTN_ID IS NOT NULL THEN LT_ESTRUT.PRTCTN_VL
    		WHEN BASE.ORIGEM = 'MBI' AND PROPERTY.CHAVE_BEM IS NOT NULL AND PROPERTY.LAST_APPRAISAL_AMOUNT IS NOT NULL THEN PROPERTY.LAST_APPRAISAL_AMOUNT
    		WHEN BASE.ORIGEM = 'MBI' AND PROPERTY.CHAVE_BEM IS NOT NULL AND PROPERTY.LAST_APPRAISAL_AMOUNT IS NULL THEN 99999999999
    		WHEN BASE.ORIGEM = 'MUG' AND GT018_MOB_2.CHAVE_BEM_PRE IS NOT NULL AND GT018_MOB_2.MAVALIAA IS NOT NULL THEN GT018_MOB_2.MAVALIAA -- 25/03: Este universo devia estar em PM, ou seja este case é de forma tática para obter valor no univ de móveis
    		WHEN BASE.ORIGEM = 'MUG' AND GT018_MOB_2.CHAVE_BEM_PRE IS NOT NULL AND GT018_MOB_2.MAVALIAA IS NULL THEN 99999999999 -- 25/03: Este universo devia estar em PM, ou seja este case é de forma tática para obter valor no univ de móveis
    	END AS PRTCTN_VL,
    	CASE 
    			WHEN SUBSTR(BASE.CHAVE_BEM_PRE,1,1) &lt;&gt; 'M' THEN 'N/A'
    			WHEN SUBSTR(BASE.CHAVE_BEM_PRE,1,1) = 'M' AND GT013.TIPO_EQP IS NULL THEN 'MISS'
    			WHEN SUBSTR(BASE.CHAVE_BEM_PRE,1,1) = 'M' AND GT013.TIPO_EQP IS NOT NULL AND TRIM(GT013.TIPO_EQP) = '141' THEN 'VEH01'
    			WHEN SUBSTR(BASE.CHAVE_BEM_PRE,1,1) = 'M' AND GT013.TIPO_EQP IS NOT NULL AND TRIM(GT013.TIPO_EQP) = '203' THEN 'VEH01'
    			WHEN SUBSTR(BASE.CHAVE_BEM_PRE,1,1) = 'M' AND GT013.TIPO_EQP IS NOT NULL AND TRIM(GT013.TIPO_EQP) = '241' THEN 'VEH01'
    			WHEN SUBSTR(BASE.CHAVE_BEM_PRE,1,1) = 'M' AND GT013.TIPO_EQP IS NOT NULL AND TRIM(GT013.TIPO_EQP) = '251' THEN 'VEH01'
    			WHEN SUBSTR(BASE.CHAVE_BEM_PRE,1,1) = 'M' AND GT013.TIPO_EQP IS NOT NULL AND TRIM(GT013.TIPO_EQP) = '140' THEN 'VEH01'
    			WHEN SUBSTR(BASE.CHAVE_BEM_PRE,1,1) = 'M' AND GT013.TIPO_EQP IS NOT NULL AND TRIM(GT013.TIPO_EQP) = '149' THEN 'VEH01'
    			WHEN SUBSTR(BASE.CHAVE_BEM_PRE,1,1) = 'M' AND GT013.TIPO_EQP IS NOT NULL AND TRIM(GT013.TIPO_EQP) = '143' THEN 'VEH03'
    			WHEN SUBSTR(BASE.CHAVE_BEM_PRE,1,1) = 'M' AND GT013.TIPO_EQP IS NOT NULL AND TRIM(GT013.TIPO_EQP) = '227' THEN 'VEH03'
    			WHEN SUBSTR(BASE.CHAVE_BEM_PRE,1,1) = 'M' AND GT013.TIPO_EQP IS NOT NULL AND TRIM(GT013.TIPO_EQP) = '142' THEN 'VEH04'
    			WHEN SUBSTR(BASE.CHAVE_BEM_PRE,1,1) = 'M' AND GT013.TIPO_EQP IS NOT NULL AND TRIM(GT013.TIPO_EQP) = '252' THEN 'VEH04'
    			WHEN SUBSTR(BASE.CHAVE_BEM_PRE,1,1) = 'M' AND GT013.TIPO_EQP IS NOT NULL AND TRIM(GT013.TIPO_EQP) = '253' THEN 'VEH04'
    			WHEN SUBSTR(BASE.CHAVE_BEM_PRE,1,1) = 'M' AND GT013.TIPO_EQP IS NOT NULL AND TRIM(GT013.TIPO_EQP) = '254' THEN 'VEH04'
    			WHEN SUBSTR(BASE.CHAVE_BEM_PRE,1,1) = 'M' AND GT013.TIPO_EQP IS NOT NULL AND TRIM(GT013.TIPO_EQP) = '712' THEN 'VEH04'
    			WHEN SUBSTR(BASE.CHAVE_BEM_PRE,1,1) = 'M' AND GT013.TIPO_EQP IS NOT NULL AND TRIM(GT013.TIPO_EQP) = '713' THEN 'VEH04'
    			WHEN SUBSTR(BASE.CHAVE_BEM_PRE,1,1) = 'M' AND GT013.TIPO_EQP IS NOT NULL AND TRIM(GT013.TIPO_EQP) = '144' THEN 'VEH05'
    			WHEN SUBSTR(BASE.CHAVE_BEM_PRE,1,1) = 'M' AND GT013.TIPO_EQP IS NOT NULL AND TRIM(GT013.TIPO_EQP) = '145' THEN 'VEH05'
    			WHEN SUBSTR(BASE.CHAVE_BEM_PRE,1,1) = 'M' AND GT013.TIPO_EQP IS NOT NULL AND TRIM(GT013.TIPO_EQP) = '180' THEN 'VEH07'
    			WHEN SUBSTR(BASE.CHAVE_BEM_PRE,1,1) = 'M' AND GT013.TIPO_EQP IS NOT NULL AND TRIM(GT013.TIPO_EQP) = '181' THEN 'VEH08'
    			WHEN SUBSTR(BASE.CHAVE_BEM_PRE,1,1) = 'M' AND GT013.TIPO_EQP IS NOT NULL AND TRIM(GT013.TIPO_EQP) = '146' THEN 'VEH09'
    			WHEN SUBSTR(BASE.CHAVE_BEM_PRE,1,1) = 'M' AND GT013.TIPO_EQP IS NOT NULL AND TRIM(GT013.TIPO_EQP) = '161' THEN 'VEH15'
    			WHEN SUBSTR(BASE.CHAVE_BEM_PRE,1,1) = 'M' AND GT013.TIPO_EQP IS NOT NULL AND TRIM(GT013.TIPO_EQP) = '162' THEN 'VEH15'
    			WHEN SUBSTR(BASE.CHAVE_BEM_PRE,1,1) = 'M' AND GT013.TIPO_EQP IS NOT NULL AND TRIM(GT013.TIPO_EQP) = '167' THEN 'VEH15'
    			WHEN SUBSTR(BASE.CHAVE_BEM_PRE,1,1) = 'M' AND GT013.TIPO_EQP IS NOT NULL AND TRIM(GT013.TIPO_EQP) = '148' THEN 'VEH16'
    			WHEN SUBSTR(BASE.CHAVE_BEM_PRE,1,1) = 'M' AND GT013.TIPO_EQP IS NOT NULL AND TRIM(GT013.TIPO_EQP) = '171' THEN 'VEH16'
    			WHEN SUBSTR(BASE.CHAVE_BEM_PRE,1,1) = 'M' AND GT013.TIPO_EQP IS NOT NULL AND TRIM(GT013.TIPO_EQP) = '15'THEN 'VEH18'
    			WHEN SUBSTR(BASE.CHAVE_BEM_PRE,1,1) = 'M' AND GT013.TIPO_EQP IS NOT NULL AND TRIM(GT013.TIPO_EQP) = '152' THEN 'VEH18'
    			WHEN SUBSTR(BASE.CHAVE_BEM_PRE,1,1) = 'M' AND GT013.TIPO_EQP IS NOT NULL AND TRIM(GT013.TIPO_EQP) = '211' THEN 'VEH18'
    			WHEN SUBSTR(BASE.CHAVE_BEM_PRE,1,1) = 'M' AND GT013.TIPO_EQP IS NOT NULL AND TRIM(GT013.TIPO_EQP) = '212' THEN 'VEH18'
    			WHEN SUBSTR(BASE.CHAVE_BEM_PRE,1,1) = 'M' AND GT013.TIPO_EQP IS NOT NULL AND TRIM(GT013.TIPO_EQP) = '213' THEN 'VEH18'
    			WHEN SUBSTR(BASE.CHAVE_BEM_PRE,1,1) = 'M' AND GT013.TIPO_EQP IS NOT NULL AND TRIM(GT013.TIPO_EQP) = '214' THEN 'VEH18'
    			WHEN SUBSTR(BASE.CHAVE_BEM_PRE,1,1) = 'M' AND GT013.TIPO_EQP IS NOT NULL AND TRIM(GT013.TIPO_EQP) = '216' THEN 'VEH18'
    			WHEN SUBSTR(BASE.CHAVE_BEM_PRE,1,1) = 'M' AND GT013.TIPO_EQP IS NOT NULL AND TRIM(GT013.TIPO_EQP) = '225' THEN 'VEH18'
    			WHEN SUBSTR(BASE.CHAVE_BEM_PRE,1,1) = 'M' AND GT013.TIPO_EQP IS NOT NULL AND TRIM(GT013.TIPO_EQP) = '14'THEN 'VEH18'
    			WHEN SUBSTR(BASE.CHAVE_BEM_PRE,1,1) = 'M' AND GT013.TIPO_EQP IS NOT NULL AND TRIM(GT013.TIPO_EQP) = '147' THEN 'VEH19'
    			WHEN SUBSTR(BASE.CHAVE_BEM_PRE,1,1) = 'M' AND GT013.TIPO_EQP IS NOT NULL AND TRIM(GT013.TIPO_EQP) = '255' THEN 'VEH19'
    			WHEN SUBSTR(BASE.CHAVE_BEM_PRE,1,1) = 'M' AND GT013.TIPO_EQP IS NOT NULL AND TRIM(GT013.TIPO_EQP) = '256' THEN 'VEH19'
    			WHEN SUBSTR(BASE.CHAVE_BEM_PRE,1,1) = 'M' AND GT013.TIPO_EQP IS NOT NULL AND TRIM(GT013.TIPO_EQP) = '257' THEN 'VEH19'
    			WHEN SUBSTR(BASE.CHAVE_BEM_PRE,1,1) = 'M' AND GT013.TIPO_EQP IS NOT NULL AND TRIM(GT013.TIPO_EQP) = '242' THEN 'VEH19'
    			WHEN SUBSTR(BASE.CHAVE_BEM_PRE,1,1) = 'M' AND GT013.TIPO_EQP IS NOT NULL AND TRIM(GT013.TIPO_EQP) = '243' THEN 'VEH19'
    			WHEN SUBSTR(BASE.CHAVE_BEM_PRE,1,1) = 'M' AND GT013.TIPO_EQP IS NOT NULL AND TRIM(GT013.TIPO_EQP) = '244' THEN 'VEH19'
    			WHEN SUBSTR(BASE.CHAVE_BEM_PRE,1,1) = 'M' AND GT013.TIPO_EQP IS NOT NULL AND TRIM(GT013.TIPO_EQP) = '33' THEN 'VEH20'
    			WHEN SUBSTR(BASE.CHAVE_BEM_PRE,1,1) = 'M' AND GT013.TIPO_EQP IS NOT NULL AND TRIM(GT013.TIPO_EQP) = '210' THEN 'VEH20'
    			WHEN SUBSTR(BASE.CHAVE_BEM_PRE,1,1) = 'M' AND GT013.TIPO_EQP IS NOT NULL AND TRIM(GT013.TIPO_EQP) = '222' THEN 'VEH20'
    			WHEN SUBSTR(BASE.CHAVE_BEM_PRE,1,1) = 'M' AND GT013.TIPO_EQP IS NOT NULL AND TRIM(GT013.TIPO_EQP) = '223' THEN 'VEH20'
    			WHEN SUBSTR(BASE.CHAVE_BEM_PRE,1,1) = 'M' AND GT013.TIPO_EQP IS NOT NULL AND TRIM(GT013.TIPO_EQP) = '224' THEN 'VEH20'
    			WHEN SUBSTR(BASE.CHAVE_BEM_PRE,1,1) = 'M' AND GT013.TIPO_EQP IS NOT NULL AND TRIM(GT013.TIPO_EQP) = '150' THEN 'VEH21'
    			WHEN SUBSTR(BASE.CHAVE_BEM_PRE,1,1) = 'M' AND GT013.TIPO_EQP IS NOT NULL AND TRIM(GT013.TIPO_EQP) = '151' THEN 'VEH21'
    			WHEN SUBSTR(BASE.CHAVE_BEM_PRE,1,1) = 'M' AND GT013.TIPO_EQP IS NOT NULL AND TRIM(GT013.TIPO_EQP) = '215' THEN 'VEH21'
    			WHEN SUBSTR(BASE.CHAVE_BEM_PRE,1,1) = 'M' AND GT013.TIPO_EQP IS NOT NULL AND TRIM(GT013.TIPO_EQP) = '220' THEN 'VEH21'
    			WHEN SUBSTR(BASE.CHAVE_BEM_PRE,1,1) = 'M' AND GT013.TIPO_EQP IS NOT NULL AND TRIM(GT013.TIPO_EQP) = '221' THEN 'VEH21'
    			WHEN SUBSTR(BASE.CHAVE_BEM_PRE,1,1) = 'M' AND GT013.TIPO_EQP IS NOT NULL AND TRIM(GT013.TIPO_EQP) = '226' THEN 'VEH21'
    			WHEN SUBSTR(BASE.CHAVE_BEM_PRE,1,1) = 'M' AND GT013.TIPO_EQP IS NOT NULL AND TRIM(GT013.TIPO_EQP) = '704' THEN 'VEH21'
    			WHEN SUBSTR(BASE.CHAVE_BEM_PRE,1,1) = 'M' AND GT013.TIPO_EQP IS NOT NULL AND TRIM(GT013.TIPO_EQP) NOT IN ('203','241',
    			'251','140','149','143','227','142','252','253','254','712','713','144','145','180','181','146','161','162','167'
    			,'148','171','15','152','211','212','213','214','216','225','14','147','255','256','257','242','243','244','33','210','222','223','224','150','151','215','220','221','226','704') THEN 'N/A'
    	END AS TYP_VHCL,
    	COD_SOC,
    	combustivel
    from
        (
        select *
        from bu_captools_work.lt004_universo_gd_fev25_dg
        ) BASE
    left join
    	(
    	select distinct concat ('M','_',ckbalbem,'_',ckctabem,'_',ckrefbem) as chave_bem_pre ,cgarant_bem
    	from cd_garantias.gt018_rateio_aval
    	where trim(tipologia) = 'MOB' 
    	and ref_date='${ref_date}'
    	) gt018_mob
    	    on base.chave_bem_pre = gt018_mob.chave_bem_pre
    left join 
    	(
    	SELECT
    	    CONCAT (PROPERTY_BRANCH_CODE,PROPERTY_CONTRACT_ID,PROPERTY_REFERENCE_CODE) AS CHAVE_BEM,
    	    LAST_APPRAISAL_AMOUNT,
    	    property_code
    	FROM BU_ESG_WORK.PROPERTY
    	WHERE DATA_DATE_PART IN (SELECT MAX (DATA_DATE_PART)
    	FROM BU_ESG_WORK.PROPERTY 
    	WHERE DATA_DATE_PART &lt;='${ref_date}') 
    	) property
    	    on base.chave_bem = property.chave_bem
    left join 
    	(
    	SELECT DISTINCT
    	    PRTCTN_ID,
	        PRTCTN_VL,
	        TYP_PRTCTN,
	        COD_SOC
    	FROM  BU_LOANTAPE_WORK.LT004_PROTECTION
    	WHERE ref_date='${ref_date}'
    		AND nome_perimetro= 'Individual Corporativo'
    		AND segmento= 'ESTR'
    		AND ambito= 'PM'
    		AND entidade = '00100'
    	) lt_estrut
    	    on base.chave_bem_pre = lt_estrut.prtctn_id
    LEFT JOIN
    	(
    	SELECT*
    	FROM
    		(
    		SELECT
    			CASE
    				WHEN TRIM(tipologia) = 'MOB' THEN CONCAT ('M','_',CKBALBEM,'_',CKCTABEM,'_',CKREFBEM) 
    				WHEN TRIM(tipologia) = 'PES' THEN CONCAT ('P','_',CKBALBEM,'_',CKCTABEM,'_',CKREFBEM)
    				WHEN TRIM(tipologia) = 'FIN' THEN CONCAT ('F','_',CKBALBEM,'_',CKCTABEM,'_',CKREFBEM)
    				WHEN TRIM(tipologia) = 'IMO' THEN CONCAT ('I','_',CKBALBEM,'_',CKCTABEM,'_',CKREFBEM)
    			END AS CHAVE_BEM_PRE, SUM(MAVALIAA) AS MAVALIAA 
    		FROM cd_garantias.gt018_rateio_aval
    		WHERE REF_DATE='${ref_date}'
    		GROUP BY 1
    		) GT018_1
    	WHERE GT018_1.CHAVE_BEM_PRE IS NOT NULL 
    	) GT018_MOB_2
    	    ON BASE.CHAVE_BEM_PRE = GT018_MOB_2.CHAVE_BEM_PRE
    left join 
        (
        SELECT
            concat(cempbem,ckbalbem,ckctabem,ckrefbem) as chave_bem,
            CONCAT ('M','_',CKBALBEM,'_',CKCTABEM,'_',CKREFBEM) AS CHAVE_BEM_PRE,
            tipo_eqp,
            combustivel
        FROM cd_garantias.gt013_bens_mob
        WHERE REF_DATE='${ref_date}'
        ) GT013
            ON GT013.CHAVE_BEM_PRE = BASE.CHAVE_BEM_PRE
    ) final
</t>
  </si>
  <si>
    <t>universo</t>
  </si>
  <si>
    <t>count(*)</t>
  </si>
  <si>
    <t>comum</t>
  </si>
  <si>
    <t>1. Universo</t>
  </si>
  <si>
    <t>2.3 Validação de parametrizações</t>
  </si>
  <si>
    <t>2.2 Validação de formatos</t>
  </si>
  <si>
    <t>2.4 Testes comparativos (Espec. VS Impl.)</t>
  </si>
  <si>
    <t>typ_vhcl igual</t>
  </si>
  <si>
    <t>CDG</t>
  </si>
  <si>
    <t>ok</t>
  </si>
  <si>
    <t>Equipa</t>
  </si>
  <si>
    <t>IT</t>
  </si>
  <si>
    <t>Resultado</t>
  </si>
  <si>
    <t xml:space="preserve">select count(*)
from bu_captools_work.lt004_gd_fev25_dg
where typ_vhcl &lt;&gt; 'N/A'
and
    (
    length(typ_vhcl) &lt;&gt; 5
    or not regexp_like(substring(typ_vhcl, 1, 3), '^[A-Za-z]{3}$')
    or not regexp_like(substring(typ_vhcl, 4, 2), '^[0-9]{2}$')
    )
;
</t>
  </si>
  <si>
    <t xml:space="preserve">select count(*)
from bu_loantape_work.lt004_protection
where ambito = 'GD' 
and typ_vhcl &lt;&gt; 'N/A'
and
    (
    length(typ_vhcl) &lt;&gt; 5
    or not regexp_like(substring(typ_vhcl, 1, 3), '^[A-Za-z]{3}$')
    or not regexp_like(substring(typ_vhcl, 4, 2), '^[0-9]{2}$')
    )
;
</t>
  </si>
  <si>
    <t>select
    typ_vhcl,
    count(*)
from bu_captools_work.lt004_gd_fev25_dg
where typ_vhcl not in ('N/A','VEH01','VEH02','VEH03','VEH04','VEH05','VEH06','VEH07','VEH08','VEH09','VEH10','VEH11','VEH12','VEH13','VEH14','VEH15','VEH16','VEH17','VEH18','VEH19','VEH20','VEH21')
group by 1
;</t>
  </si>
  <si>
    <t>select
    typ_vhcl,
    count(*)
from bu_loantape_work.lt004_protection
where typ_vhcl not in ('N/A','VEH01','VEH02','VEH03','VEH04','VEH05','VEH06','VEH07','VEH08','VEH09','VEH10','VEH11','VEH12','VEH13','VEH14','VEH15','VEH16','VEH17','VEH18','VEH19','VEH20','VEH21')
group by 1
;</t>
  </si>
  <si>
    <t>with dg as (
select 
    *,
    case
        when  typ_vhcl_cdg = typ_vhcl_it then 'typ_vhcl ok'
        when  typ_vhcl_cdg &lt;&gt; typ_vhcl_it then 'typ_vhcl nok'
        else 'ver'
    end as val_typ_vhcl
from
    (
    select distinct prtctn_id as prtctn_id_cgd, typ_vhcl as typ_vhcl_cdg
    from bu_captools_work.lt004_gd_fev25_dg
    ) a
full join 
    (
    select distinct prtctn_id as prtctn_id_it, typ_vhcl as typ_vhcl_it
    from bu_loantape_work.lt004_protection
    where ambito = 'GD'
    and ref_date = '2025-02-28'
    ) b
        on a.prtctn_id_cgd = b.prtctn_id_it
)
select 
    universo, 
    count(*)
from dg
group by 1
;</t>
  </si>
  <si>
    <t>Registos</t>
  </si>
  <si>
    <t>2.1 Teste comparativo com LT (vs Pilar3)</t>
  </si>
  <si>
    <t>select 
    *,
    ---------------- Universo--------------------
    case
        when a.prtctn_id_cdg is null then 'exclusivo IT'
        when b.prtctn_id_it is null then 'exclusivo sim'
        else 'comum'
    end as val_universo,
    ---------------- Formatos --------------------
    case
        when typ_vhcl_cdg &lt;&gt; 'N/A' 
        and
            (
            length(typ_vhcl_cdg) &lt;&gt; 5
            or not regexp_like(substring(typ_vhcl_cdg, 1, 3), '^[A-Za-z]{3}$')
            or not regexp_like(substring(typ_vhcl_cdg, 4, 2), '^[0-9]{2}$')
            )
        then 'val_typ_vhcl_formatos_cdg_nok'
        else 'val_typ_vhcl_formatos_cdg_ok'
    end as val_typ_vhcl_formatos_cdg,
    case
        when typ_vhcl_it &lt;&gt; 'N/A' 
        and
            (
            length(typ_vhcl_it) &lt;&gt; 5
            or not regexp_like(substring(typ_vhcl_it, 1, 3), '^[A-Za-z]{3}$')
            or not regexp_like(substring(typ_vhcl_it, 4, 2), '^[0-9]{2}$')
            )
        then 'val_typ_vhcl_formatos_it_nok'
        else 'val_typ_vhcl_formatos_it_ok'
    end as val_typ_vhcl_formatos_it,
    ---------------- Parametrização --------------------
    case
        when typ_vhcl_cdg not in ('N/A','VEH01','VEH02','VEH03','VEH04','VEH05','VEH06','VEH07','VEH08','VEH09','VEH10','VEH11','VEH12','VEH13','VEH14','VEH15','VEH16','VEH17','VEH18','VEH19','VEH20','VEH21')
        then 'val_typ_vhcl_parametrização_cdg_nok'
        else 'val_typ_vhcl_parametrização_cdg_ok'
    end as val_typ_vhcl_parametrização_cdg,
    case
        when typ_vhcl_it not in ('N/A','VEH01','VEH02','VEH03','VEH04','VEH05','VEH06','VEH07','VEH08','VEH09','VEH10','VEH11','VEH12','VEH13','VEH14','VEH15','VEH16','VEH17','VEH18','VEH19','VEH20','VEH21')
        then 'val_typ_vhcl_parametrização_it_nok'
        else 'val_typ_vhcl_parametrização_it_ok'
    end as val_typ_vhcl_parametrização_it,
---------------- typ_vhcl Espec vs IT --------------------
    case
        when  typ_vhcl_cdg = typ_vhcl_it then 'typ_vhcl ok'
        when  typ_vhcl_cdg &lt;&gt; typ_vhcl_it then 'typ_vhcl nok'
        else 'ver'
    end as val_typ_vhcl
from
    (
    select distinct prtctn_id as prtctn_id_cdg, typ_vhcl as typ_vhcl_cdg
    from bu_captools_work.lt004_gd_fev25_dg
    ) a
full join 
    (
    select distinct prtctn_id as prtctn_id_it, typ_vhcl as typ_vhcl_it
    from bu_loantape_work.lt004_protection
    where ambito = 'GD'
    and ref_date = '2025-02-28'
    ) b
        on a.prtctn_id_cdg = b.prtctn_id_it
;</t>
  </si>
  <si>
    <t>3. Tabela Final</t>
  </si>
  <si>
    <t>7. TYP_VHCL</t>
  </si>
  <si>
    <t>2. COD_SOC</t>
  </si>
  <si>
    <t>cod_soc</t>
  </si>
  <si>
    <t>ambito</t>
  </si>
  <si>
    <t>PM</t>
  </si>
  <si>
    <t>GD</t>
  </si>
  <si>
    <t>00411</t>
  </si>
  <si>
    <t>3. DT_RFRNC</t>
  </si>
  <si>
    <t>Campo não existe. Existe apenas a ref_date (presumo que seja o mesmo, mas confirmar)</t>
  </si>
  <si>
    <t>4. PRTCTN_ID</t>
  </si>
  <si>
    <t>univ</t>
  </si>
  <si>
    <t>Ponto 5.1.4.2 - "A variável deve ser aprovisionada de acordo com a metodologia presente no âmbito ‘PM’."</t>
  </si>
  <si>
    <r>
      <t xml:space="preserve">Ponto 5.1.3.2 - "As variáveis ‘cod_soc’, </t>
    </r>
    <r>
      <rPr>
        <b/>
        <u/>
        <sz val="11"/>
        <color theme="1"/>
        <rFont val="Aptos Narrow"/>
        <family val="2"/>
        <scheme val="minor"/>
      </rPr>
      <t>‘dt_rfrnc’</t>
    </r>
    <r>
      <rPr>
        <b/>
        <sz val="11"/>
        <color theme="1"/>
        <rFont val="Aptos Narrow"/>
        <family val="2"/>
        <scheme val="minor"/>
      </rPr>
      <t>, ‘instrmnt_id’ e ‘prtctn_id’ devem ser aprovisionadas de acordo com a metodologia de cálculo definida no Loan Tape para ambito = ‘PM’."</t>
    </r>
  </si>
  <si>
    <r>
      <t xml:space="preserve">Ponto 5.1.3.2 - "As variáveis ‘cod_soc’, ‘dt_rfrnc’, ‘instrmnt_id’ e </t>
    </r>
    <r>
      <rPr>
        <b/>
        <u/>
        <sz val="11"/>
        <color theme="1"/>
        <rFont val="Aptos Narrow"/>
        <family val="2"/>
        <scheme val="minor"/>
      </rPr>
      <t>‘prtctn_id’</t>
    </r>
    <r>
      <rPr>
        <b/>
        <sz val="11"/>
        <color theme="1"/>
        <rFont val="Aptos Narrow"/>
        <family val="2"/>
        <scheme val="minor"/>
      </rPr>
      <t xml:space="preserve"> devem ser aprovisionadas de acordo com a metodologia de cálculo definida no Loan Tape para ambito = ‘PM’."</t>
    </r>
  </si>
  <si>
    <t>5. TYP_PRTCTN</t>
  </si>
  <si>
    <r>
      <t xml:space="preserve">Ponto 5.1.2.2 - "As variáveis ‘cod_soc’, ‘dt_rfrnc’, ‘prtctn_id’, </t>
    </r>
    <r>
      <rPr>
        <b/>
        <u/>
        <sz val="11"/>
        <color theme="1"/>
        <rFont val="Aptos Narrow"/>
        <family val="2"/>
        <scheme val="minor"/>
      </rPr>
      <t>‘typ_prtctn’</t>
    </r>
    <r>
      <rPr>
        <b/>
        <sz val="11"/>
        <color theme="1"/>
        <rFont val="Aptos Narrow"/>
        <family val="2"/>
        <scheme val="minor"/>
      </rPr>
      <t xml:space="preserve"> e ‘prtctn_vl’ devem ser aprovisionadas de acordo com a metodologia de cálculo definida no Loan Tape para ambito = ‘PM’."</t>
    </r>
  </si>
  <si>
    <t>count(prtctn_id</t>
  </si>
  <si>
    <t>with dg as (
select 
    *,
    case
        when a.prtctn_id_cgd is null then 'exclusivo IT'
        when b.prtctn_id_it is null then 'exclusivo sim'
        else 'comum'
    end as universo
from
    (
    select distinct prtctn_id as prtctn_id_cgd
    from bu_captools_work.lt004_gd_fev25_dg
    ) a
full join 
    (
    select distinct prtctn_id as prtctn_id_it
    from bu_loantape_work.lt004_protection
    where ambito = 'GD'
    and ref_date = '2025-02-28'
    ) b
        on a.prtctn_id_cgd = b.prtctn_id_it
)
select 
    universo, 
    count(*)
from dg
group by 1</t>
  </si>
  <si>
    <t>Nossa simulação vs IT</t>
  </si>
  <si>
    <t>exclusivo GD</t>
  </si>
  <si>
    <t>6. PRTCTN_VL</t>
  </si>
  <si>
    <r>
      <t xml:space="preserve">Ponto 5.1.2.2 - "As variáveis ‘cod_soc’, ‘dt_rfrnc’, ‘prtctn_id’, ‘typ_prtctn’ e </t>
    </r>
    <r>
      <rPr>
        <b/>
        <u/>
        <sz val="11"/>
        <color theme="1"/>
        <rFont val="Aptos Narrow"/>
        <family val="2"/>
        <scheme val="minor"/>
      </rPr>
      <t>‘prtctn_vl’</t>
    </r>
    <r>
      <rPr>
        <b/>
        <sz val="11"/>
        <color theme="1"/>
        <rFont val="Aptos Narrow"/>
        <family val="2"/>
        <scheme val="minor"/>
      </rPr>
      <t xml:space="preserve"> devem ser aprovisionadas de acordo com a metodologia de cálculo definida no Loan Tape para ambito = ‘PM’."</t>
    </r>
  </si>
  <si>
    <t>select cod_soc, ambito, count(prtctn_id)
from bu_loantape_work.lt004_protection
-- where ambito = 'PILAR3'
where ref_date = '2025-02-28'
and segmento = 'ESTR'
and nome_perimetro = 'Individual Corporativo'
group by 1,2</t>
  </si>
  <si>
    <t>ATUALIZAR VS PILAR3</t>
  </si>
  <si>
    <t>select
    case
        when a.PRTCTN_ID = b.PRTCTN_ID then 'ok'
        when a.PRTCTN_ID &lt;&gt; b.PRTCTN_ID then 'nok'
        when a.PRTCTN_ID is null and b.PRTCTN_ID is not null then 'exclusivo PM'
        when a.PRTCTN_ID is not null and b.PRTCTN_ID is null then 'exclusivo GD'
        else 'ver'
    end as univ,
    count(*)
from
    (
    select distinct PRTCTN_ID
    from bu_loantape_work.lt004_protection
    where ambito = 'GD'
    and ref_date = '2025-02-28'
    and segmento = 'ESTR'
    and nome_perimetro = 'Individual Corporativo'
    ) a
full join 
    (
    select distinct PRTCTN_ID
    from bu_loantape_work.lt004_protection
    where ambito = 'PM'
    and ref_date = '2025-02-28'
    and segmento = 'ESTR'
    and nome_perimetro = 'Individual Corporativo'
    ) b
        on a.PRTCTN_ID = b.PRTCTN_ID
group by 1</t>
  </si>
  <si>
    <t>select
    case
        when a.TYP_PRTCTN = b.TYP_PRTCTN then 'ok'
        when a.TYP_PRTCTN &lt;&gt; b.TYP_PRTCTN then 'nok'
        when a.TYP_PRTCTN is null and b.TYP_PRTCTN is not null then 'exclusivo PM'
        when a.TYP_PRTCTN is not null and b.TYP_PRTCTN is null then 'exclusivo GD'
        else 'ver'
    end as univ,
    count(*)
from
    (
    select distinct prtctn_id, typ_prtctn
    from bu_loantape_work.lt004_protection
    where ambito = 'GD'
    and ref_date = '2025-02-28'
    and segmento = 'ESTR'
    and nome_perimetro = 'Individual Corporativo'
    ) a
left join 
    (
    select distinct prtctn_id, typ_prtctn
    from bu_loantape_work.lt004_protection
    where ambito = 'PM'
    and ref_date = '2025-02-28'
    and segmento = 'ESTR'
    and nome_perimetro = 'Individual Corporativo'
    ) b
        on a.prtctn_id = b.prtctn_id
group by 1</t>
  </si>
  <si>
    <t>select
    case
        when a.prtctn_vl = b.prtctn_vl then 'ok'
        when a.prtctn_vl &lt;&gt; b.prtctn_vl then 'nok'
        when a.prtctn_vl is null and b.prtctn_vl is not null then 'exclusivo PM'
        when a.prtctn_vl is not null and b.prtctn_vl is null then 'exclusivo GD'
        else 'ver'
    end as univ,
    count(*)
from
    (
    select distinct prtctn_id, prtctn_vl
    from bu_loantape_work.lt004_protection
    where ambito = 'GD'
    and ref_date = '2025-02-28'
    and segmento = 'ESTR'
    and nome_perimetro = 'Individual Corporativo'
    ) a
left join 
    (
    select distinct prtctn_id, prtctn_vl
    from bu_loantape_work.lt004_protection
    where ambito = 'PM'
    and ref_date = '2025-02-28'
    and segmento = 'ESTR'
    and nome_perimetro = 'Individual Corporativo'
    ) b
        on a.prtctn_id = b.prtctn_id
group by 1</t>
  </si>
  <si>
    <t>8. FLG_Eletricooooo</t>
  </si>
  <si>
    <t>só da para comparar vs a nossa simulação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</si>
</sst>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quotePrefix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4" fillId="0" borderId="0" xfId="0" applyFont="1"/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0" fontId="3" fillId="0" borderId="2" xfId="0" applyFont="1" applyBorder="1"/>
    <xf numFmtId="0" fontId="0" fillId="3" borderId="1" xfId="0" applyFill="1" applyBorder="1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2" fillId="0" borderId="7" xfId="0" applyFont="1" applyBorder="1"/>
    <xf numFmtId="0" fontId="0" fillId="0" borderId="7" xfId="0" applyBorder="1"/>
    <xf numFmtId="0" fontId="2" fillId="0" borderId="1" xfId="0" applyFont="1" applyBorder="1"/>
    <xf numFmtId="49" fontId="0" fillId="0" borderId="1" xfId="0" applyNumberFormat="1" applyBorder="1"/>
    <xf numFmtId="0" fontId="1" fillId="2" borderId="10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3" fontId="0" fillId="3" borderId="8" xfId="0" applyNumberForma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left" vertical="center"/>
    </xf>
    <xf numFmtId="3" fontId="0" fillId="3" borderId="4" xfId="0" applyNumberFormat="1" applyFill="1" applyBorder="1" applyAlignment="1">
      <alignment horizontal="left" vertical="center"/>
    </xf>
    <xf numFmtId="3" fontId="0" fillId="6" borderId="1" xfId="0" applyNumberFormat="1" applyFill="1" applyBorder="1" applyAlignment="1">
      <alignment horizontal="center" vertical="center"/>
    </xf>
    <xf numFmtId="0" fontId="0" fillId="3" borderId="9" xfId="0" applyFill="1" applyBorder="1" applyAlignment="1"/>
    <xf numFmtId="0" fontId="2" fillId="4" borderId="0" xfId="0" applyFont="1" applyFill="1" applyAlignment="1">
      <alignment horizontal="center" vertical="center" wrapText="1"/>
    </xf>
    <xf numFmtId="0" fontId="0" fillId="0" borderId="0" xfId="0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9C0F-7D56-44AC-B275-E02BC3160C0D}">
  <dimension ref="A2:L97"/>
  <sheetViews>
    <sheetView showGridLines="0" topLeftCell="A67" workbookViewId="0">
      <selection activeCell="E95" sqref="E95:E97"/>
    </sheetView>
  </sheetViews>
  <sheetFormatPr defaultRowHeight="15" x14ac:dyDescent="0.25"/>
  <cols>
    <col min="1" max="1" width="3.7109375" customWidth="1"/>
    <col min="2" max="2" width="20.42578125" customWidth="1"/>
    <col min="3" max="3" width="41.85546875" bestFit="1" customWidth="1"/>
    <col min="4" max="4" width="82" customWidth="1"/>
    <col min="5" max="5" width="37.5703125" customWidth="1"/>
    <col min="6" max="8" width="14.5703125" customWidth="1"/>
    <col min="9" max="10" width="52.85546875" bestFit="1" customWidth="1"/>
  </cols>
  <sheetData>
    <row r="2" spans="2:8" x14ac:dyDescent="0.25">
      <c r="B2" s="4" t="s">
        <v>15</v>
      </c>
      <c r="C2" s="4"/>
      <c r="D2" s="4"/>
      <c r="E2" s="2"/>
      <c r="F2" s="2"/>
      <c r="G2" s="2"/>
      <c r="H2" s="2"/>
    </row>
    <row r="3" spans="2:8" ht="6.95" customHeight="1" x14ac:dyDescent="0.25"/>
    <row r="4" spans="2:8" x14ac:dyDescent="0.25">
      <c r="B4" s="29" t="s">
        <v>8</v>
      </c>
      <c r="C4" s="29"/>
      <c r="D4" s="29"/>
      <c r="E4" s="29"/>
      <c r="F4" s="29"/>
      <c r="G4" s="29"/>
      <c r="H4" s="29"/>
    </row>
    <row r="5" spans="2:8" ht="15" customHeight="1" x14ac:dyDescent="0.25">
      <c r="B5" s="28" t="s">
        <v>23</v>
      </c>
      <c r="C5" s="28"/>
      <c r="D5" s="28"/>
      <c r="E5" s="28"/>
      <c r="F5" s="28"/>
      <c r="G5" s="28"/>
      <c r="H5" s="28"/>
    </row>
    <row r="6" spans="2:8" x14ac:dyDescent="0.25">
      <c r="B6" s="28"/>
      <c r="C6" s="28"/>
      <c r="D6" s="28"/>
      <c r="E6" s="28"/>
      <c r="F6" s="28"/>
      <c r="G6" s="28"/>
      <c r="H6" s="28"/>
    </row>
    <row r="7" spans="2:8" x14ac:dyDescent="0.25">
      <c r="B7" s="28"/>
      <c r="C7" s="28"/>
      <c r="D7" s="28"/>
      <c r="E7" s="28"/>
      <c r="F7" s="28"/>
      <c r="G7" s="28"/>
      <c r="H7" s="28"/>
    </row>
    <row r="8" spans="2:8" x14ac:dyDescent="0.25">
      <c r="B8" s="28"/>
      <c r="C8" s="28"/>
      <c r="D8" s="28"/>
      <c r="E8" s="28"/>
      <c r="F8" s="28"/>
      <c r="G8" s="28"/>
      <c r="H8" s="28"/>
    </row>
    <row r="9" spans="2:8" x14ac:dyDescent="0.25">
      <c r="B9" s="28"/>
      <c r="C9" s="28"/>
      <c r="D9" s="28"/>
      <c r="E9" s="28"/>
      <c r="F9" s="28"/>
      <c r="G9" s="28"/>
      <c r="H9" s="28"/>
    </row>
    <row r="11" spans="2:8" x14ac:dyDescent="0.25">
      <c r="B11" s="3" t="s">
        <v>48</v>
      </c>
      <c r="C11" s="18" t="s">
        <v>52</v>
      </c>
      <c r="D11" s="1" t="s">
        <v>1</v>
      </c>
    </row>
    <row r="12" spans="2:8" x14ac:dyDescent="0.25">
      <c r="C12" s="1" t="s">
        <v>1</v>
      </c>
    </row>
    <row r="13" spans="2:8" x14ac:dyDescent="0.25">
      <c r="B13" s="3" t="s">
        <v>50</v>
      </c>
      <c r="C13" s="34" t="s">
        <v>51</v>
      </c>
      <c r="D13" s="34"/>
    </row>
    <row r="16" spans="2:8" x14ac:dyDescent="0.25">
      <c r="B16" s="4" t="s">
        <v>16</v>
      </c>
      <c r="C16" s="4"/>
      <c r="D16" s="4"/>
      <c r="E16" s="2"/>
      <c r="F16" s="2"/>
      <c r="G16" s="2"/>
      <c r="H16" s="2"/>
    </row>
    <row r="18" spans="1:12" x14ac:dyDescent="0.25">
      <c r="B18" s="8" t="s">
        <v>25</v>
      </c>
      <c r="C18" s="8"/>
      <c r="D18" s="8"/>
      <c r="E18" s="8"/>
      <c r="F18" s="8"/>
      <c r="G18" s="8"/>
      <c r="H18" s="8"/>
      <c r="J18" s="6"/>
      <c r="K18" s="6"/>
      <c r="L18" s="6"/>
    </row>
    <row r="19" spans="1:12" ht="6.95" customHeight="1" x14ac:dyDescent="0.25"/>
    <row r="20" spans="1:12" x14ac:dyDescent="0.25">
      <c r="B20" s="7" t="s">
        <v>4</v>
      </c>
      <c r="C20" s="7" t="s">
        <v>0</v>
      </c>
      <c r="D20" s="7" t="s">
        <v>14</v>
      </c>
      <c r="E20" s="7" t="s">
        <v>3</v>
      </c>
      <c r="F20" s="7" t="s">
        <v>5</v>
      </c>
      <c r="G20" s="7" t="s">
        <v>7</v>
      </c>
      <c r="H20" s="7" t="s">
        <v>2</v>
      </c>
    </row>
    <row r="21" spans="1:12" x14ac:dyDescent="0.25">
      <c r="B21" s="30">
        <v>1</v>
      </c>
      <c r="C21" s="31" t="s">
        <v>10</v>
      </c>
      <c r="D21" s="32" t="s">
        <v>17</v>
      </c>
      <c r="E21" s="33">
        <v>2102057</v>
      </c>
      <c r="F21" s="33" t="s">
        <v>6</v>
      </c>
      <c r="G21" s="33" t="s">
        <v>6</v>
      </c>
      <c r="H21" s="27" t="s">
        <v>28</v>
      </c>
      <c r="I21" s="1" t="s">
        <v>1</v>
      </c>
    </row>
    <row r="22" spans="1:12" x14ac:dyDescent="0.25">
      <c r="A22" t="s">
        <v>26</v>
      </c>
      <c r="B22" s="30"/>
      <c r="C22" s="31"/>
      <c r="D22" s="32"/>
      <c r="E22" s="33"/>
      <c r="F22" s="33"/>
      <c r="G22" s="33"/>
      <c r="H22" s="27"/>
    </row>
    <row r="23" spans="1:12" x14ac:dyDescent="0.25">
      <c r="B23" s="30"/>
      <c r="C23" s="31"/>
      <c r="D23" s="32"/>
      <c r="E23" s="33"/>
      <c r="F23" s="33"/>
      <c r="G23" s="33"/>
      <c r="H23" s="27"/>
    </row>
    <row r="24" spans="1:12" ht="6.95" customHeight="1" x14ac:dyDescent="0.25">
      <c r="B24" s="9"/>
      <c r="C24" s="10"/>
      <c r="D24" s="10"/>
      <c r="F24" s="11"/>
    </row>
    <row r="25" spans="1:12" x14ac:dyDescent="0.25">
      <c r="B25" s="30">
        <v>2</v>
      </c>
      <c r="C25" s="31" t="s">
        <v>11</v>
      </c>
      <c r="D25" s="32" t="s">
        <v>18</v>
      </c>
      <c r="E25" s="33">
        <v>6326543</v>
      </c>
      <c r="F25" s="35">
        <v>2134296</v>
      </c>
      <c r="G25" s="33">
        <f>F25-E21</f>
        <v>32239</v>
      </c>
      <c r="H25" s="27" t="s">
        <v>29</v>
      </c>
    </row>
    <row r="26" spans="1:12" x14ac:dyDescent="0.25">
      <c r="B26" s="30"/>
      <c r="C26" s="31"/>
      <c r="D26" s="32"/>
      <c r="E26" s="33"/>
      <c r="F26" s="33"/>
      <c r="G26" s="33"/>
      <c r="H26" s="27"/>
    </row>
    <row r="27" spans="1:12" x14ac:dyDescent="0.25">
      <c r="B27" s="30"/>
      <c r="C27" s="31"/>
      <c r="D27" s="32"/>
      <c r="E27" s="33"/>
      <c r="F27" s="33"/>
      <c r="G27" s="33"/>
      <c r="H27" s="27"/>
    </row>
    <row r="28" spans="1:12" ht="6.95" customHeight="1" x14ac:dyDescent="0.25">
      <c r="B28" s="9"/>
      <c r="C28" s="10"/>
      <c r="D28" s="10"/>
      <c r="F28" s="11"/>
      <c r="G28" s="11"/>
      <c r="H28" s="11"/>
    </row>
    <row r="29" spans="1:12" x14ac:dyDescent="0.25">
      <c r="B29" s="30">
        <v>3</v>
      </c>
      <c r="C29" s="31" t="s">
        <v>12</v>
      </c>
      <c r="D29" s="32" t="s">
        <v>19</v>
      </c>
      <c r="E29" s="33">
        <v>568363</v>
      </c>
      <c r="F29" s="33">
        <v>541543</v>
      </c>
      <c r="G29" s="33">
        <f>F29-G25</f>
        <v>509304</v>
      </c>
      <c r="H29" s="27" t="s">
        <v>30</v>
      </c>
    </row>
    <row r="30" spans="1:12" x14ac:dyDescent="0.25">
      <c r="B30" s="30">
        <v>4</v>
      </c>
      <c r="C30" s="31" t="s">
        <v>13</v>
      </c>
      <c r="D30" s="32" t="s">
        <v>20</v>
      </c>
      <c r="E30" s="33">
        <v>24658</v>
      </c>
      <c r="F30" s="33">
        <v>24652</v>
      </c>
      <c r="G30" s="33">
        <f>F30-F29</f>
        <v>-516891</v>
      </c>
      <c r="H30" s="27"/>
    </row>
    <row r="31" spans="1:12" x14ac:dyDescent="0.25">
      <c r="B31" s="30"/>
      <c r="C31" s="31"/>
      <c r="D31" s="32"/>
      <c r="E31" s="33"/>
      <c r="F31" s="33"/>
      <c r="G31" s="33"/>
      <c r="H31" s="27"/>
    </row>
    <row r="32" spans="1:12" ht="6.95" customHeight="1" x14ac:dyDescent="0.25">
      <c r="B32" s="13"/>
      <c r="C32" s="14"/>
      <c r="D32" s="15"/>
      <c r="E32" s="16"/>
      <c r="F32" s="16"/>
      <c r="G32" s="16"/>
    </row>
    <row r="33" spans="2:12" x14ac:dyDescent="0.25">
      <c r="B33" s="30">
        <v>4</v>
      </c>
      <c r="C33" s="31" t="s">
        <v>13</v>
      </c>
      <c r="D33" s="32" t="s">
        <v>20</v>
      </c>
      <c r="E33" s="33">
        <v>24658</v>
      </c>
      <c r="F33" s="33">
        <v>24652</v>
      </c>
      <c r="G33" s="33">
        <f>F33-G29</f>
        <v>-484652</v>
      </c>
      <c r="H33" s="27" t="s">
        <v>31</v>
      </c>
    </row>
    <row r="34" spans="2:12" x14ac:dyDescent="0.25">
      <c r="B34" s="30">
        <v>4</v>
      </c>
      <c r="C34" s="31"/>
      <c r="D34" s="32" t="s">
        <v>20</v>
      </c>
      <c r="E34" s="33"/>
      <c r="F34" s="33"/>
      <c r="G34" s="33">
        <f>F34-F33</f>
        <v>-24652</v>
      </c>
      <c r="H34" s="27"/>
    </row>
    <row r="35" spans="2:12" x14ac:dyDescent="0.25">
      <c r="B35" s="30"/>
      <c r="C35" s="31"/>
      <c r="D35" s="32"/>
      <c r="E35" s="33"/>
      <c r="F35" s="33"/>
      <c r="G35" s="33"/>
      <c r="H35" s="27"/>
    </row>
    <row r="36" spans="2:12" ht="6.95" customHeight="1" x14ac:dyDescent="0.25">
      <c r="B36" s="13"/>
      <c r="C36" s="14"/>
      <c r="D36" s="15"/>
      <c r="E36" s="16"/>
      <c r="F36" s="16"/>
      <c r="G36" s="16"/>
    </row>
    <row r="37" spans="2:12" x14ac:dyDescent="0.25">
      <c r="B37" s="30" t="s">
        <v>32</v>
      </c>
      <c r="C37" s="31" t="s">
        <v>33</v>
      </c>
      <c r="D37" s="32" t="s">
        <v>6</v>
      </c>
      <c r="E37" s="33">
        <v>24652</v>
      </c>
      <c r="F37" s="33" t="s">
        <v>6</v>
      </c>
      <c r="G37" s="33" t="s">
        <v>6</v>
      </c>
      <c r="H37" s="27" t="s">
        <v>34</v>
      </c>
    </row>
    <row r="38" spans="2:12" x14ac:dyDescent="0.25">
      <c r="B38" s="30">
        <v>4</v>
      </c>
      <c r="C38" s="31"/>
      <c r="D38" s="32" t="s">
        <v>20</v>
      </c>
      <c r="E38" s="33"/>
      <c r="F38" s="33"/>
      <c r="G38" s="33" t="e">
        <f>F38-F37</f>
        <v>#VALUE!</v>
      </c>
      <c r="H38" s="27"/>
    </row>
    <row r="39" spans="2:12" x14ac:dyDescent="0.25">
      <c r="B39" s="30"/>
      <c r="C39" s="31"/>
      <c r="D39" s="32"/>
      <c r="E39" s="33"/>
      <c r="F39" s="33"/>
      <c r="G39" s="33"/>
      <c r="H39" s="27"/>
    </row>
    <row r="40" spans="2:12" x14ac:dyDescent="0.25">
      <c r="B40" s="13"/>
      <c r="C40" s="14"/>
      <c r="D40" s="15"/>
      <c r="E40" s="16"/>
      <c r="F40" s="16"/>
      <c r="G40" s="16"/>
    </row>
    <row r="41" spans="2:12" x14ac:dyDescent="0.25">
      <c r="B41" s="8" t="s">
        <v>27</v>
      </c>
      <c r="C41" s="8"/>
      <c r="D41" s="8"/>
      <c r="E41" s="8"/>
      <c r="F41" s="8"/>
      <c r="G41" s="8"/>
      <c r="H41" s="8"/>
      <c r="J41" s="6"/>
      <c r="K41" s="6"/>
      <c r="L41" s="6"/>
    </row>
    <row r="42" spans="2:12" ht="6.95" customHeight="1" x14ac:dyDescent="0.25"/>
    <row r="43" spans="2:12" x14ac:dyDescent="0.25">
      <c r="B43" s="5" t="s">
        <v>4</v>
      </c>
      <c r="C43" s="5" t="s">
        <v>0</v>
      </c>
      <c r="D43" s="5" t="s">
        <v>14</v>
      </c>
      <c r="E43" s="5" t="s">
        <v>3</v>
      </c>
      <c r="F43" s="5" t="s">
        <v>5</v>
      </c>
      <c r="G43" s="5" t="s">
        <v>7</v>
      </c>
      <c r="H43" s="5" t="s">
        <v>2</v>
      </c>
    </row>
    <row r="44" spans="2:12" ht="15" customHeight="1" x14ac:dyDescent="0.25">
      <c r="B44" s="30">
        <v>1</v>
      </c>
      <c r="C44" s="31" t="s">
        <v>10</v>
      </c>
      <c r="D44" s="32" t="s">
        <v>17</v>
      </c>
      <c r="E44" s="33">
        <v>2102057</v>
      </c>
      <c r="F44" s="33" t="s">
        <v>6</v>
      </c>
      <c r="G44" s="33" t="s">
        <v>6</v>
      </c>
      <c r="H44" s="27" t="s">
        <v>28</v>
      </c>
    </row>
    <row r="45" spans="2:12" x14ac:dyDescent="0.25">
      <c r="B45" s="30"/>
      <c r="C45" s="31"/>
      <c r="D45" s="32"/>
      <c r="E45" s="33"/>
      <c r="F45" s="33"/>
      <c r="G45" s="33"/>
      <c r="H45" s="27"/>
    </row>
    <row r="46" spans="2:12" x14ac:dyDescent="0.25">
      <c r="B46" s="30"/>
      <c r="C46" s="31"/>
      <c r="D46" s="32"/>
      <c r="E46" s="33"/>
      <c r="F46" s="33"/>
      <c r="G46" s="33"/>
      <c r="H46" s="27"/>
    </row>
    <row r="47" spans="2:12" ht="6.95" customHeight="1" x14ac:dyDescent="0.25">
      <c r="B47" s="9"/>
      <c r="C47" s="10"/>
      <c r="D47" s="10"/>
      <c r="F47" s="11"/>
    </row>
    <row r="48" spans="2:12" x14ac:dyDescent="0.25">
      <c r="B48" s="30">
        <v>2</v>
      </c>
      <c r="C48" s="31" t="s">
        <v>11</v>
      </c>
      <c r="D48" s="32" t="s">
        <v>18</v>
      </c>
      <c r="E48" s="33">
        <v>6326543</v>
      </c>
      <c r="F48" s="35">
        <v>2134296</v>
      </c>
      <c r="G48" s="33">
        <f>F48-E44</f>
        <v>32239</v>
      </c>
      <c r="H48" s="27" t="s">
        <v>29</v>
      </c>
    </row>
    <row r="49" spans="2:12" x14ac:dyDescent="0.25">
      <c r="B49" s="30"/>
      <c r="C49" s="31"/>
      <c r="D49" s="32"/>
      <c r="E49" s="33"/>
      <c r="F49" s="33"/>
      <c r="G49" s="33"/>
      <c r="H49" s="27"/>
    </row>
    <row r="50" spans="2:12" x14ac:dyDescent="0.25">
      <c r="B50" s="30"/>
      <c r="C50" s="31"/>
      <c r="D50" s="32"/>
      <c r="E50" s="33"/>
      <c r="F50" s="33"/>
      <c r="G50" s="33"/>
      <c r="H50" s="27"/>
    </row>
    <row r="51" spans="2:12" ht="6.95" customHeight="1" x14ac:dyDescent="0.25">
      <c r="B51" s="9"/>
      <c r="C51" s="10"/>
      <c r="D51" s="10"/>
      <c r="E51" s="11"/>
      <c r="F51" s="11"/>
      <c r="G51" s="11"/>
    </row>
    <row r="52" spans="2:12" x14ac:dyDescent="0.25">
      <c r="B52" s="30">
        <v>3</v>
      </c>
      <c r="C52" s="31" t="s">
        <v>21</v>
      </c>
      <c r="D52" s="32"/>
      <c r="E52" s="33">
        <v>379700</v>
      </c>
      <c r="F52" s="33">
        <v>377804</v>
      </c>
      <c r="G52" s="33">
        <f>F52-F48</f>
        <v>-1756492</v>
      </c>
      <c r="H52" s="27" t="s">
        <v>35</v>
      </c>
    </row>
    <row r="53" spans="2:12" x14ac:dyDescent="0.25">
      <c r="B53" s="30"/>
      <c r="C53" s="31"/>
      <c r="D53" s="32"/>
      <c r="E53" s="33"/>
      <c r="F53" s="33"/>
      <c r="G53" s="33"/>
      <c r="H53" s="27"/>
    </row>
    <row r="54" spans="2:12" x14ac:dyDescent="0.25">
      <c r="B54" s="30"/>
      <c r="C54" s="31"/>
      <c r="D54" s="32"/>
      <c r="E54" s="33"/>
      <c r="F54" s="33"/>
      <c r="G54" s="33"/>
      <c r="H54" s="27"/>
    </row>
    <row r="55" spans="2:12" ht="6.95" customHeight="1" x14ac:dyDescent="0.25">
      <c r="B55" s="9"/>
      <c r="C55" s="10"/>
      <c r="D55" s="9"/>
      <c r="E55" s="11"/>
      <c r="F55" s="11"/>
      <c r="G55" s="11"/>
    </row>
    <row r="56" spans="2:12" x14ac:dyDescent="0.25">
      <c r="B56" s="30">
        <v>4</v>
      </c>
      <c r="C56" s="31" t="s">
        <v>22</v>
      </c>
      <c r="D56" s="32"/>
      <c r="E56" s="33">
        <v>384866</v>
      </c>
      <c r="F56" s="33">
        <v>383332</v>
      </c>
      <c r="G56" s="33">
        <f>F56-F52</f>
        <v>5528</v>
      </c>
      <c r="H56" s="27" t="s">
        <v>36</v>
      </c>
    </row>
    <row r="57" spans="2:12" x14ac:dyDescent="0.25">
      <c r="B57" s="30"/>
      <c r="C57" s="31"/>
      <c r="D57" s="32"/>
      <c r="E57" s="33"/>
      <c r="F57" s="33"/>
      <c r="G57" s="33"/>
      <c r="H57" s="27"/>
    </row>
    <row r="58" spans="2:12" x14ac:dyDescent="0.25">
      <c r="B58" s="30"/>
      <c r="C58" s="31"/>
      <c r="D58" s="32"/>
      <c r="E58" s="33"/>
      <c r="F58" s="33"/>
      <c r="G58" s="33"/>
      <c r="H58" s="27"/>
    </row>
    <row r="59" spans="2:12" ht="6.95" customHeight="1" x14ac:dyDescent="0.25"/>
    <row r="60" spans="2:12" x14ac:dyDescent="0.25">
      <c r="B60" s="30" t="s">
        <v>32</v>
      </c>
      <c r="C60" s="31" t="s">
        <v>33</v>
      </c>
      <c r="D60" s="32" t="s">
        <v>6</v>
      </c>
      <c r="E60" s="33">
        <v>273694</v>
      </c>
      <c r="F60" s="33" t="s">
        <v>6</v>
      </c>
      <c r="G60" s="33" t="s">
        <v>6</v>
      </c>
      <c r="H60" s="27" t="s">
        <v>37</v>
      </c>
    </row>
    <row r="61" spans="2:12" x14ac:dyDescent="0.25">
      <c r="B61" s="30">
        <v>4</v>
      </c>
      <c r="C61" s="31"/>
      <c r="D61" s="32" t="s">
        <v>20</v>
      </c>
      <c r="E61" s="33"/>
      <c r="F61" s="33"/>
      <c r="G61" s="33" t="e">
        <f>F61-F60</f>
        <v>#VALUE!</v>
      </c>
      <c r="H61" s="27"/>
    </row>
    <row r="62" spans="2:12" x14ac:dyDescent="0.25">
      <c r="B62" s="30"/>
      <c r="C62" s="31"/>
      <c r="D62" s="32"/>
      <c r="E62" s="33"/>
      <c r="F62" s="33"/>
      <c r="G62" s="33"/>
      <c r="H62" s="27"/>
    </row>
    <row r="64" spans="2:12" x14ac:dyDescent="0.25">
      <c r="B64" s="8" t="s">
        <v>38</v>
      </c>
      <c r="C64" s="8"/>
      <c r="D64" s="8"/>
      <c r="E64" s="8"/>
      <c r="F64" s="8"/>
      <c r="G64" s="8"/>
      <c r="H64" s="8"/>
      <c r="J64" s="6"/>
      <c r="K64" s="6"/>
      <c r="L64" s="6"/>
    </row>
    <row r="65" spans="2:8" ht="6.95" customHeight="1" x14ac:dyDescent="0.25"/>
    <row r="66" spans="2:8" x14ac:dyDescent="0.25">
      <c r="B66" s="5" t="s">
        <v>4</v>
      </c>
      <c r="C66" s="5" t="s">
        <v>0</v>
      </c>
      <c r="D66" s="5" t="s">
        <v>14</v>
      </c>
      <c r="E66" s="5" t="s">
        <v>3</v>
      </c>
      <c r="F66" s="5" t="s">
        <v>5</v>
      </c>
      <c r="G66" s="5" t="s">
        <v>7</v>
      </c>
      <c r="H66" s="5" t="s">
        <v>2</v>
      </c>
    </row>
    <row r="67" spans="2:8" ht="15" customHeight="1" x14ac:dyDescent="0.25">
      <c r="B67" s="30">
        <v>1</v>
      </c>
      <c r="C67" s="31" t="s">
        <v>10</v>
      </c>
      <c r="D67" s="32" t="s">
        <v>17</v>
      </c>
      <c r="E67" s="33">
        <v>2102057</v>
      </c>
      <c r="F67" s="33" t="s">
        <v>6</v>
      </c>
      <c r="G67" s="33" t="s">
        <v>6</v>
      </c>
      <c r="H67" s="27" t="s">
        <v>28</v>
      </c>
    </row>
    <row r="68" spans="2:8" x14ac:dyDescent="0.25">
      <c r="B68" s="30"/>
      <c r="C68" s="31"/>
      <c r="D68" s="32"/>
      <c r="E68" s="33"/>
      <c r="F68" s="33"/>
      <c r="G68" s="33"/>
      <c r="H68" s="27"/>
    </row>
    <row r="69" spans="2:8" x14ac:dyDescent="0.25">
      <c r="B69" s="30"/>
      <c r="C69" s="31"/>
      <c r="D69" s="32"/>
      <c r="E69" s="33"/>
      <c r="F69" s="33"/>
      <c r="G69" s="33"/>
      <c r="H69" s="27"/>
    </row>
    <row r="70" spans="2:8" ht="6.95" customHeight="1" x14ac:dyDescent="0.25">
      <c r="B70" s="9"/>
      <c r="C70" s="10"/>
      <c r="D70" s="10"/>
      <c r="F70" s="11"/>
    </row>
    <row r="71" spans="2:8" x14ac:dyDescent="0.25">
      <c r="B71" s="30">
        <v>2</v>
      </c>
      <c r="C71" s="31" t="s">
        <v>24</v>
      </c>
      <c r="D71" s="32" t="s">
        <v>6</v>
      </c>
      <c r="E71" s="33">
        <v>754406</v>
      </c>
      <c r="F71" s="33">
        <v>754406</v>
      </c>
      <c r="G71" s="33">
        <f>F71-E67</f>
        <v>-1347651</v>
      </c>
      <c r="H71" s="27" t="s">
        <v>39</v>
      </c>
    </row>
    <row r="72" spans="2:8" x14ac:dyDescent="0.25">
      <c r="B72" s="30"/>
      <c r="C72" s="31"/>
      <c r="D72" s="32"/>
      <c r="E72" s="33"/>
      <c r="F72" s="33"/>
      <c r="G72" s="33"/>
      <c r="H72" s="27"/>
    </row>
    <row r="73" spans="2:8" x14ac:dyDescent="0.25">
      <c r="B73" s="30"/>
      <c r="C73" s="31"/>
      <c r="D73" s="32"/>
      <c r="E73" s="33"/>
      <c r="F73" s="33"/>
      <c r="G73" s="33"/>
      <c r="H73" s="27"/>
    </row>
    <row r="74" spans="2:8" ht="6.95" customHeight="1" x14ac:dyDescent="0.25">
      <c r="B74" s="9"/>
      <c r="C74" s="12"/>
      <c r="D74" s="9"/>
      <c r="F74" s="11"/>
      <c r="G74" s="11"/>
      <c r="H74" s="11"/>
    </row>
    <row r="75" spans="2:8" x14ac:dyDescent="0.25">
      <c r="B75" s="30" t="s">
        <v>32</v>
      </c>
      <c r="C75" s="31" t="s">
        <v>33</v>
      </c>
      <c r="D75" s="32" t="s">
        <v>6</v>
      </c>
      <c r="E75" s="33">
        <v>443185</v>
      </c>
      <c r="F75" s="33" t="s">
        <v>6</v>
      </c>
      <c r="G75" s="33" t="s">
        <v>6</v>
      </c>
      <c r="H75" s="27" t="s">
        <v>40</v>
      </c>
    </row>
    <row r="76" spans="2:8" x14ac:dyDescent="0.25">
      <c r="B76" s="30">
        <v>4</v>
      </c>
      <c r="C76" s="31"/>
      <c r="D76" s="32"/>
      <c r="E76" s="33"/>
      <c r="F76" s="33"/>
      <c r="G76" s="33"/>
      <c r="H76" s="27"/>
    </row>
    <row r="77" spans="2:8" x14ac:dyDescent="0.25">
      <c r="B77" s="30"/>
      <c r="C77" s="31"/>
      <c r="D77" s="32"/>
      <c r="E77" s="33"/>
      <c r="F77" s="33"/>
      <c r="G77" s="33"/>
      <c r="H77" s="27"/>
    </row>
    <row r="78" spans="2:8" x14ac:dyDescent="0.25">
      <c r="B78" s="9"/>
      <c r="C78" s="9"/>
      <c r="D78" s="9"/>
      <c r="F78" s="11"/>
      <c r="G78" s="11"/>
      <c r="H78" s="11"/>
    </row>
    <row r="80" spans="2:8" x14ac:dyDescent="0.25">
      <c r="B80" s="17" t="s">
        <v>41</v>
      </c>
      <c r="C80" s="17"/>
      <c r="D80" s="17"/>
      <c r="E80" s="2"/>
      <c r="F80" s="2"/>
      <c r="G80" s="2"/>
      <c r="H80" s="2"/>
    </row>
    <row r="81" spans="2:8" ht="6.95" customHeight="1" x14ac:dyDescent="0.25"/>
    <row r="82" spans="2:8" x14ac:dyDescent="0.25">
      <c r="B82" s="5" t="s">
        <v>4</v>
      </c>
      <c r="C82" s="5" t="s">
        <v>0</v>
      </c>
      <c r="D82" s="5" t="s">
        <v>14</v>
      </c>
      <c r="E82" s="5" t="s">
        <v>3</v>
      </c>
      <c r="F82" s="5" t="s">
        <v>5</v>
      </c>
      <c r="G82" s="5" t="s">
        <v>7</v>
      </c>
      <c r="H82" s="5" t="s">
        <v>2</v>
      </c>
    </row>
    <row r="83" spans="2:8" x14ac:dyDescent="0.25">
      <c r="B83" s="30" t="s">
        <v>32</v>
      </c>
      <c r="C83" s="36" t="s">
        <v>44</v>
      </c>
      <c r="D83" s="32" t="s">
        <v>42</v>
      </c>
      <c r="E83" s="33">
        <v>469321</v>
      </c>
      <c r="F83" s="33" t="s">
        <v>6</v>
      </c>
      <c r="G83" s="33" t="s">
        <v>6</v>
      </c>
      <c r="H83" s="27" t="s">
        <v>43</v>
      </c>
    </row>
    <row r="84" spans="2:8" x14ac:dyDescent="0.25">
      <c r="B84" s="30"/>
      <c r="C84" s="36"/>
      <c r="D84" s="32"/>
      <c r="E84" s="33"/>
      <c r="F84" s="33"/>
      <c r="G84" s="33"/>
      <c r="H84" s="27"/>
    </row>
    <row r="85" spans="2:8" x14ac:dyDescent="0.25">
      <c r="B85" s="30"/>
      <c r="C85" s="36"/>
      <c r="D85" s="32"/>
      <c r="E85" s="33"/>
      <c r="F85" s="33"/>
      <c r="G85" s="33"/>
      <c r="H85" s="27"/>
    </row>
    <row r="87" spans="2:8" x14ac:dyDescent="0.25">
      <c r="B87" s="30" t="s">
        <v>9</v>
      </c>
      <c r="C87" s="32" t="s">
        <v>45</v>
      </c>
      <c r="D87" s="32" t="s">
        <v>6</v>
      </c>
      <c r="E87" s="33">
        <v>741531</v>
      </c>
      <c r="F87" s="33" t="s">
        <v>6</v>
      </c>
      <c r="G87" s="40">
        <f>E87-E75-E60-E37</f>
        <v>0</v>
      </c>
      <c r="H87" s="27" t="s">
        <v>46</v>
      </c>
    </row>
    <row r="88" spans="2:8" x14ac:dyDescent="0.25">
      <c r="B88" s="30"/>
      <c r="C88" s="32"/>
      <c r="D88" s="32"/>
      <c r="E88" s="33"/>
      <c r="F88" s="33"/>
      <c r="G88" s="40"/>
      <c r="H88" s="27"/>
    </row>
    <row r="89" spans="2:8" x14ac:dyDescent="0.25">
      <c r="B89" s="30"/>
      <c r="C89" s="32"/>
      <c r="D89" s="32"/>
      <c r="E89" s="33"/>
      <c r="F89" s="33"/>
      <c r="G89" s="40"/>
      <c r="H89" s="27"/>
    </row>
    <row r="92" spans="2:8" x14ac:dyDescent="0.25">
      <c r="B92" s="17" t="s">
        <v>47</v>
      </c>
      <c r="C92" s="17"/>
      <c r="D92" s="17"/>
      <c r="E92" s="2"/>
      <c r="F92" s="2"/>
      <c r="G92" s="2"/>
      <c r="H92" s="2"/>
    </row>
    <row r="93" spans="2:8" ht="6.95" customHeight="1" x14ac:dyDescent="0.25"/>
    <row r="94" spans="2:8" x14ac:dyDescent="0.25">
      <c r="B94" s="5" t="s">
        <v>4</v>
      </c>
      <c r="C94" s="5" t="s">
        <v>0</v>
      </c>
      <c r="D94" s="5" t="s">
        <v>14</v>
      </c>
      <c r="E94" s="5" t="s">
        <v>3</v>
      </c>
      <c r="F94" s="5" t="s">
        <v>5</v>
      </c>
      <c r="G94" s="5" t="s">
        <v>7</v>
      </c>
      <c r="H94" s="5" t="s">
        <v>2</v>
      </c>
    </row>
    <row r="95" spans="2:8" x14ac:dyDescent="0.25">
      <c r="B95" s="30" t="s">
        <v>32</v>
      </c>
      <c r="C95" s="36" t="s">
        <v>49</v>
      </c>
      <c r="D95" s="32" t="s">
        <v>42</v>
      </c>
      <c r="E95" s="33">
        <v>469321</v>
      </c>
      <c r="F95" s="33" t="s">
        <v>6</v>
      </c>
      <c r="G95" s="33" t="s">
        <v>6</v>
      </c>
      <c r="H95" s="37" t="s">
        <v>53</v>
      </c>
    </row>
    <row r="96" spans="2:8" x14ac:dyDescent="0.25">
      <c r="B96" s="30"/>
      <c r="C96" s="36"/>
      <c r="D96" s="32"/>
      <c r="E96" s="33"/>
      <c r="F96" s="33"/>
      <c r="G96" s="33"/>
      <c r="H96" s="38"/>
    </row>
    <row r="97" spans="2:8" x14ac:dyDescent="0.25">
      <c r="B97" s="30"/>
      <c r="C97" s="36"/>
      <c r="D97" s="32"/>
      <c r="E97" s="33"/>
      <c r="F97" s="33"/>
      <c r="G97" s="33"/>
      <c r="H97" s="39"/>
    </row>
  </sheetData>
  <mergeCells count="115">
    <mergeCell ref="H87:H89"/>
    <mergeCell ref="B95:B97"/>
    <mergeCell ref="C95:C97"/>
    <mergeCell ref="D95:D97"/>
    <mergeCell ref="E95:E97"/>
    <mergeCell ref="F95:F97"/>
    <mergeCell ref="G95:G97"/>
    <mergeCell ref="H95:H97"/>
    <mergeCell ref="B87:B89"/>
    <mergeCell ref="C87:C89"/>
    <mergeCell ref="D87:D89"/>
    <mergeCell ref="E87:E89"/>
    <mergeCell ref="F87:F89"/>
    <mergeCell ref="G87:G89"/>
    <mergeCell ref="H75:H77"/>
    <mergeCell ref="B83:B85"/>
    <mergeCell ref="C83:C85"/>
    <mergeCell ref="D83:D85"/>
    <mergeCell ref="E83:E85"/>
    <mergeCell ref="F83:F85"/>
    <mergeCell ref="G83:G85"/>
    <mergeCell ref="H83:H85"/>
    <mergeCell ref="B75:B77"/>
    <mergeCell ref="C75:C77"/>
    <mergeCell ref="D75:D77"/>
    <mergeCell ref="E75:E77"/>
    <mergeCell ref="F75:F77"/>
    <mergeCell ref="G75:G77"/>
    <mergeCell ref="H67:H69"/>
    <mergeCell ref="B71:B73"/>
    <mergeCell ref="C71:C73"/>
    <mergeCell ref="D71:D73"/>
    <mergeCell ref="E71:E73"/>
    <mergeCell ref="F71:F73"/>
    <mergeCell ref="G71:G73"/>
    <mergeCell ref="H71:H73"/>
    <mergeCell ref="B67:B69"/>
    <mergeCell ref="C67:C69"/>
    <mergeCell ref="D67:D69"/>
    <mergeCell ref="E67:E69"/>
    <mergeCell ref="F67:F69"/>
    <mergeCell ref="G67:G69"/>
    <mergeCell ref="H37:H39"/>
    <mergeCell ref="B60:B62"/>
    <mergeCell ref="C60:C62"/>
    <mergeCell ref="D60:D62"/>
    <mergeCell ref="E60:E62"/>
    <mergeCell ref="F60:F62"/>
    <mergeCell ref="G60:G62"/>
    <mergeCell ref="H60:H62"/>
    <mergeCell ref="B37:B39"/>
    <mergeCell ref="C37:C39"/>
    <mergeCell ref="D37:D39"/>
    <mergeCell ref="E37:E39"/>
    <mergeCell ref="F37:F39"/>
    <mergeCell ref="G37:G39"/>
    <mergeCell ref="H52:H54"/>
    <mergeCell ref="B56:B58"/>
    <mergeCell ref="C56:C58"/>
    <mergeCell ref="D56:D58"/>
    <mergeCell ref="E56:E58"/>
    <mergeCell ref="F56:F58"/>
    <mergeCell ref="G56:G58"/>
    <mergeCell ref="H56:H58"/>
    <mergeCell ref="B52:B54"/>
    <mergeCell ref="C52:C54"/>
    <mergeCell ref="H44:H46"/>
    <mergeCell ref="B48:B50"/>
    <mergeCell ref="C48:C50"/>
    <mergeCell ref="D48:D50"/>
    <mergeCell ref="E48:E50"/>
    <mergeCell ref="F48:F50"/>
    <mergeCell ref="G48:G50"/>
    <mergeCell ref="H48:H50"/>
    <mergeCell ref="B44:B46"/>
    <mergeCell ref="C44:C46"/>
    <mergeCell ref="D44:D46"/>
    <mergeCell ref="E44:E46"/>
    <mergeCell ref="F44:F46"/>
    <mergeCell ref="G44:G46"/>
    <mergeCell ref="G25:G27"/>
    <mergeCell ref="D21:D23"/>
    <mergeCell ref="D52:D54"/>
    <mergeCell ref="E52:E54"/>
    <mergeCell ref="F52:F54"/>
    <mergeCell ref="G52:G54"/>
    <mergeCell ref="B21:B23"/>
    <mergeCell ref="C21:C23"/>
    <mergeCell ref="E21:E23"/>
    <mergeCell ref="F21:F23"/>
    <mergeCell ref="G21:G23"/>
    <mergeCell ref="H21:H23"/>
    <mergeCell ref="B5:H9"/>
    <mergeCell ref="B4:H4"/>
    <mergeCell ref="B33:B35"/>
    <mergeCell ref="C33:C35"/>
    <mergeCell ref="D33:D35"/>
    <mergeCell ref="E33:E35"/>
    <mergeCell ref="F33:F35"/>
    <mergeCell ref="G33:G35"/>
    <mergeCell ref="H33:H35"/>
    <mergeCell ref="C13:D13"/>
    <mergeCell ref="H25:H27"/>
    <mergeCell ref="B29:B31"/>
    <mergeCell ref="C29:C31"/>
    <mergeCell ref="D29:D31"/>
    <mergeCell ref="E29:E31"/>
    <mergeCell ref="F29:F31"/>
    <mergeCell ref="G29:G31"/>
    <mergeCell ref="H29:H31"/>
    <mergeCell ref="B25:B27"/>
    <mergeCell ref="C25:C27"/>
    <mergeCell ref="D25:D27"/>
    <mergeCell ref="E25:E27"/>
    <mergeCell ref="F25:F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R98"/>
  <sheetViews>
    <sheetView showGridLines="0" tabSelected="1" workbookViewId="0">
      <selection activeCell="J35" sqref="J35"/>
    </sheetView>
  </sheetViews>
  <sheetFormatPr defaultRowHeight="15" x14ac:dyDescent="0.25"/>
  <cols>
    <col min="1" max="1" width="3.7109375" customWidth="1"/>
    <col min="2" max="2" width="14.42578125" customWidth="1"/>
    <col min="3" max="3" width="11.42578125" bestFit="1" customWidth="1"/>
    <col min="4" max="4" width="15.28515625" customWidth="1"/>
    <col min="8" max="8" width="12.7109375" customWidth="1"/>
    <col min="9" max="9" width="10" bestFit="1" customWidth="1"/>
    <col min="10" max="10" width="15.140625" customWidth="1"/>
    <col min="13" max="13" width="12.42578125" customWidth="1"/>
  </cols>
  <sheetData>
    <row r="2" spans="2:18" x14ac:dyDescent="0.25">
      <c r="B2" s="44" t="s">
        <v>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ht="6.95" customHeight="1" x14ac:dyDescent="0.25"/>
    <row r="4" spans="2:18" x14ac:dyDescent="0.25">
      <c r="B4" s="19" t="s">
        <v>94</v>
      </c>
    </row>
    <row r="6" spans="2:18" x14ac:dyDescent="0.25">
      <c r="B6" s="7" t="s">
        <v>54</v>
      </c>
      <c r="C6" s="7" t="s">
        <v>55</v>
      </c>
      <c r="D6" s="7" t="s">
        <v>2</v>
      </c>
      <c r="J6" s="42" t="s">
        <v>99</v>
      </c>
      <c r="K6" s="42"/>
      <c r="L6" s="42"/>
    </row>
    <row r="7" spans="2:18" x14ac:dyDescent="0.25">
      <c r="B7" s="20" t="s">
        <v>56</v>
      </c>
      <c r="C7" s="21">
        <v>469321</v>
      </c>
      <c r="D7" s="18" t="s">
        <v>93</v>
      </c>
      <c r="E7" s="1" t="s">
        <v>1</v>
      </c>
      <c r="J7" s="42"/>
      <c r="K7" s="42"/>
      <c r="L7" s="42"/>
    </row>
    <row r="10" spans="2:18" x14ac:dyDescent="0.25">
      <c r="B10" s="44" t="s">
        <v>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2:18" ht="6.95" customHeight="1" x14ac:dyDescent="0.25"/>
    <row r="12" spans="2:18" x14ac:dyDescent="0.25">
      <c r="B12" s="19" t="s">
        <v>87</v>
      </c>
    </row>
    <row r="14" spans="2:18" x14ac:dyDescent="0.25">
      <c r="B14" s="22" t="s">
        <v>73</v>
      </c>
      <c r="C14" s="23"/>
      <c r="D14" s="23"/>
      <c r="E14" s="23"/>
      <c r="H14" s="22" t="s">
        <v>59</v>
      </c>
      <c r="I14" s="23"/>
      <c r="J14" s="23"/>
      <c r="K14" s="23"/>
    </row>
    <row r="15" spans="2:18" ht="6.95" customHeight="1" x14ac:dyDescent="0.25"/>
    <row r="16" spans="2:18" x14ac:dyDescent="0.25">
      <c r="B16" s="7" t="s">
        <v>78</v>
      </c>
      <c r="C16" s="7" t="s">
        <v>79</v>
      </c>
      <c r="D16" s="7" t="s">
        <v>92</v>
      </c>
      <c r="E16" s="7" t="s">
        <v>2</v>
      </c>
      <c r="H16" s="7" t="s">
        <v>78</v>
      </c>
      <c r="I16" s="7" t="s">
        <v>79</v>
      </c>
      <c r="J16" s="7" t="s">
        <v>92</v>
      </c>
      <c r="K16" s="26" t="s">
        <v>2</v>
      </c>
    </row>
    <row r="17" spans="2:18" x14ac:dyDescent="0.25">
      <c r="B17" s="25" t="s">
        <v>82</v>
      </c>
      <c r="C17" s="25" t="s">
        <v>81</v>
      </c>
      <c r="D17" s="21">
        <v>469321</v>
      </c>
      <c r="E17" s="41" t="s">
        <v>98</v>
      </c>
      <c r="F17" s="1" t="s">
        <v>1</v>
      </c>
      <c r="H17" s="25" t="s">
        <v>82</v>
      </c>
      <c r="I17" s="25" t="s">
        <v>81</v>
      </c>
      <c r="J17" s="21">
        <v>469321</v>
      </c>
      <c r="K17" s="41" t="s">
        <v>98</v>
      </c>
      <c r="L17" s="1" t="s">
        <v>1</v>
      </c>
    </row>
    <row r="18" spans="2:18" x14ac:dyDescent="0.25">
      <c r="B18" s="25" t="s">
        <v>82</v>
      </c>
      <c r="C18" s="25" t="s">
        <v>80</v>
      </c>
      <c r="D18" s="21">
        <v>443185</v>
      </c>
      <c r="H18" s="25" t="s">
        <v>82</v>
      </c>
      <c r="I18" s="25" t="s">
        <v>80</v>
      </c>
      <c r="J18" s="21">
        <v>443185</v>
      </c>
    </row>
    <row r="21" spans="2:18" x14ac:dyDescent="0.25">
      <c r="B21" s="44" t="s">
        <v>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6.95" customHeight="1" x14ac:dyDescent="0.25"/>
    <row r="23" spans="2:18" x14ac:dyDescent="0.25">
      <c r="B23" s="19" t="s">
        <v>88</v>
      </c>
    </row>
    <row r="25" spans="2:18" x14ac:dyDescent="0.25">
      <c r="B25" s="22" t="s">
        <v>73</v>
      </c>
      <c r="C25" s="23"/>
      <c r="D25" s="23"/>
      <c r="H25" s="22" t="s">
        <v>59</v>
      </c>
      <c r="I25" s="23"/>
      <c r="J25" s="23"/>
    </row>
    <row r="26" spans="2:18" ht="6.95" customHeight="1" x14ac:dyDescent="0.25"/>
    <row r="27" spans="2:18" x14ac:dyDescent="0.25">
      <c r="B27" t="s">
        <v>84</v>
      </c>
    </row>
    <row r="30" spans="2:18" x14ac:dyDescent="0.25">
      <c r="B30" s="44" t="s">
        <v>85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ht="6.95" customHeight="1" x14ac:dyDescent="0.25"/>
    <row r="32" spans="2:18" x14ac:dyDescent="0.25">
      <c r="B32" s="19" t="s">
        <v>89</v>
      </c>
    </row>
    <row r="34" spans="2:18" x14ac:dyDescent="0.25">
      <c r="B34" s="22" t="s">
        <v>73</v>
      </c>
      <c r="C34" s="23"/>
      <c r="D34" s="23"/>
      <c r="H34" s="22" t="s">
        <v>59</v>
      </c>
      <c r="I34" s="23"/>
      <c r="J34" s="23"/>
    </row>
    <row r="35" spans="2:18" ht="6.95" customHeight="1" x14ac:dyDescent="0.25"/>
    <row r="36" spans="2:18" x14ac:dyDescent="0.25">
      <c r="B36" s="7" t="s">
        <v>86</v>
      </c>
      <c r="C36" s="7" t="s">
        <v>55</v>
      </c>
      <c r="D36" s="7" t="s">
        <v>2</v>
      </c>
      <c r="H36" s="7" t="s">
        <v>86</v>
      </c>
      <c r="I36" s="7" t="s">
        <v>55</v>
      </c>
      <c r="J36" s="7" t="s">
        <v>2</v>
      </c>
    </row>
    <row r="37" spans="2:18" x14ac:dyDescent="0.25">
      <c r="B37" s="25" t="s">
        <v>63</v>
      </c>
      <c r="C37" s="21">
        <v>443185</v>
      </c>
      <c r="D37" s="41" t="s">
        <v>100</v>
      </c>
      <c r="E37" s="1" t="s">
        <v>1</v>
      </c>
      <c r="H37" s="25" t="s">
        <v>63</v>
      </c>
      <c r="I37" s="21">
        <v>443185</v>
      </c>
      <c r="J37" s="41" t="s">
        <v>100</v>
      </c>
      <c r="K37" s="1" t="s">
        <v>1</v>
      </c>
    </row>
    <row r="38" spans="2:18" x14ac:dyDescent="0.25">
      <c r="B38" s="25" t="s">
        <v>95</v>
      </c>
      <c r="C38" s="21">
        <v>26136</v>
      </c>
      <c r="H38" s="25" t="s">
        <v>95</v>
      </c>
      <c r="I38" s="21">
        <v>26136</v>
      </c>
    </row>
    <row r="41" spans="2:18" x14ac:dyDescent="0.25">
      <c r="B41" s="44" t="s">
        <v>90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ht="6.95" customHeight="1" x14ac:dyDescent="0.25"/>
    <row r="43" spans="2:18" x14ac:dyDescent="0.25">
      <c r="B43" s="19" t="s">
        <v>91</v>
      </c>
    </row>
    <row r="45" spans="2:18" x14ac:dyDescent="0.25">
      <c r="B45" s="22" t="s">
        <v>73</v>
      </c>
      <c r="C45" s="23"/>
      <c r="D45" s="23"/>
      <c r="H45" s="22" t="s">
        <v>59</v>
      </c>
      <c r="I45" s="23"/>
      <c r="J45" s="23"/>
      <c r="M45" s="22" t="s">
        <v>58</v>
      </c>
      <c r="N45" s="23"/>
      <c r="O45" s="23"/>
      <c r="P45" s="43"/>
    </row>
    <row r="46" spans="2:18" ht="6.95" customHeight="1" x14ac:dyDescent="0.25">
      <c r="P46" s="43"/>
    </row>
    <row r="47" spans="2:18" x14ac:dyDescent="0.25">
      <c r="B47" s="7" t="s">
        <v>86</v>
      </c>
      <c r="C47" s="7" t="s">
        <v>55</v>
      </c>
      <c r="D47" s="7" t="s">
        <v>2</v>
      </c>
      <c r="H47" s="7" t="s">
        <v>86</v>
      </c>
      <c r="I47" s="7" t="s">
        <v>55</v>
      </c>
      <c r="J47" s="7" t="s">
        <v>2</v>
      </c>
      <c r="M47" s="7" t="s">
        <v>86</v>
      </c>
      <c r="N47" s="7" t="s">
        <v>55</v>
      </c>
      <c r="O47" s="7" t="s">
        <v>2</v>
      </c>
    </row>
    <row r="48" spans="2:18" x14ac:dyDescent="0.25">
      <c r="B48" s="25" t="s">
        <v>63</v>
      </c>
      <c r="C48" s="21">
        <v>443185</v>
      </c>
      <c r="D48" s="41" t="s">
        <v>101</v>
      </c>
      <c r="E48" s="1" t="s">
        <v>1</v>
      </c>
      <c r="H48" s="25" t="s">
        <v>63</v>
      </c>
      <c r="I48" s="21">
        <v>443185</v>
      </c>
      <c r="J48" s="41" t="s">
        <v>101</v>
      </c>
      <c r="K48" s="1" t="s">
        <v>1</v>
      </c>
      <c r="M48" s="25" t="s">
        <v>63</v>
      </c>
      <c r="N48" s="21">
        <v>443185</v>
      </c>
      <c r="O48" s="41" t="s">
        <v>101</v>
      </c>
      <c r="P48" s="1" t="s">
        <v>1</v>
      </c>
    </row>
    <row r="49" spans="2:18" x14ac:dyDescent="0.25">
      <c r="B49" s="25" t="s">
        <v>95</v>
      </c>
      <c r="C49" s="21">
        <v>26136</v>
      </c>
      <c r="H49" s="25" t="s">
        <v>95</v>
      </c>
      <c r="I49" s="21">
        <v>26136</v>
      </c>
      <c r="M49" s="25" t="s">
        <v>95</v>
      </c>
      <c r="N49" s="21">
        <v>26136</v>
      </c>
    </row>
    <row r="52" spans="2:18" x14ac:dyDescent="0.25">
      <c r="B52" s="44" t="s">
        <v>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ht="6.95" customHeight="1" x14ac:dyDescent="0.25"/>
    <row r="54" spans="2:18" x14ac:dyDescent="0.25">
      <c r="B54" s="19" t="s">
        <v>97</v>
      </c>
    </row>
    <row r="56" spans="2:18" x14ac:dyDescent="0.25">
      <c r="B56" s="22" t="s">
        <v>73</v>
      </c>
      <c r="C56" s="23"/>
      <c r="D56" s="23"/>
      <c r="H56" s="22" t="s">
        <v>59</v>
      </c>
      <c r="I56" s="23"/>
      <c r="J56" s="23"/>
    </row>
    <row r="57" spans="2:18" ht="6.95" customHeight="1" x14ac:dyDescent="0.25"/>
    <row r="58" spans="2:18" x14ac:dyDescent="0.25">
      <c r="B58" s="7" t="s">
        <v>86</v>
      </c>
      <c r="C58" s="7" t="s">
        <v>55</v>
      </c>
      <c r="D58" s="7" t="s">
        <v>2</v>
      </c>
      <c r="H58" s="7" t="s">
        <v>86</v>
      </c>
      <c r="I58" s="7" t="s">
        <v>55</v>
      </c>
      <c r="J58" s="7" t="s">
        <v>2</v>
      </c>
    </row>
    <row r="59" spans="2:18" x14ac:dyDescent="0.25">
      <c r="B59" s="25" t="s">
        <v>63</v>
      </c>
      <c r="C59" s="21">
        <v>443185</v>
      </c>
      <c r="D59" s="41" t="s">
        <v>102</v>
      </c>
      <c r="E59" s="1" t="s">
        <v>1</v>
      </c>
      <c r="H59" s="25" t="s">
        <v>63</v>
      </c>
      <c r="I59" s="21">
        <v>443185</v>
      </c>
      <c r="J59" s="41" t="s">
        <v>102</v>
      </c>
      <c r="K59" s="1" t="s">
        <v>1</v>
      </c>
    </row>
    <row r="60" spans="2:18" x14ac:dyDescent="0.25">
      <c r="B60" s="25" t="s">
        <v>95</v>
      </c>
      <c r="C60" s="21">
        <v>26136</v>
      </c>
      <c r="H60" s="25" t="s">
        <v>95</v>
      </c>
      <c r="I60" s="21">
        <v>26136</v>
      </c>
    </row>
    <row r="63" spans="2:18" x14ac:dyDescent="0.25">
      <c r="B63" s="44" t="s">
        <v>76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2:18" ht="6.95" customHeight="1" x14ac:dyDescent="0.25"/>
    <row r="65" spans="2:18" x14ac:dyDescent="0.25">
      <c r="B65" s="22" t="s">
        <v>73</v>
      </c>
      <c r="C65" s="23"/>
      <c r="D65" s="23"/>
      <c r="E65" s="23"/>
      <c r="H65" s="22" t="s">
        <v>59</v>
      </c>
      <c r="I65" s="23"/>
      <c r="J65" s="23"/>
      <c r="K65" s="23"/>
    </row>
    <row r="66" spans="2:18" ht="6.95" customHeight="1" x14ac:dyDescent="0.25"/>
    <row r="67" spans="2:18" x14ac:dyDescent="0.25">
      <c r="H67" s="7" t="s">
        <v>64</v>
      </c>
      <c r="I67" s="7" t="s">
        <v>66</v>
      </c>
      <c r="J67" s="7" t="s">
        <v>72</v>
      </c>
      <c r="K67" s="7" t="s">
        <v>2</v>
      </c>
    </row>
    <row r="68" spans="2:18" x14ac:dyDescent="0.25">
      <c r="H68" s="24" t="s">
        <v>62</v>
      </c>
      <c r="I68" s="20" t="s">
        <v>63</v>
      </c>
      <c r="J68" s="21">
        <v>469321</v>
      </c>
      <c r="K68" s="18" t="s">
        <v>67</v>
      </c>
      <c r="L68" s="1" t="s">
        <v>1</v>
      </c>
    </row>
    <row r="69" spans="2:18" x14ac:dyDescent="0.25">
      <c r="H69" s="24" t="s">
        <v>65</v>
      </c>
      <c r="I69" s="20" t="s">
        <v>63</v>
      </c>
      <c r="J69" s="21">
        <v>469321</v>
      </c>
      <c r="K69" s="18" t="s">
        <v>68</v>
      </c>
      <c r="L69" s="1" t="s">
        <v>1</v>
      </c>
    </row>
    <row r="72" spans="2:18" x14ac:dyDescent="0.25">
      <c r="B72" s="22" t="s">
        <v>58</v>
      </c>
      <c r="C72" s="23"/>
      <c r="D72" s="23"/>
      <c r="E72" s="23"/>
      <c r="H72" s="22" t="s">
        <v>60</v>
      </c>
      <c r="I72" s="23"/>
      <c r="J72" s="23"/>
      <c r="K72" s="23"/>
    </row>
    <row r="73" spans="2:18" ht="6.95" customHeight="1" x14ac:dyDescent="0.25"/>
    <row r="74" spans="2:18" x14ac:dyDescent="0.25">
      <c r="B74" s="7" t="s">
        <v>64</v>
      </c>
      <c r="C74" s="7" t="s">
        <v>66</v>
      </c>
      <c r="D74" s="7" t="s">
        <v>72</v>
      </c>
      <c r="E74" s="7" t="s">
        <v>2</v>
      </c>
      <c r="H74" s="7" t="s">
        <v>54</v>
      </c>
      <c r="I74" s="7" t="s">
        <v>55</v>
      </c>
      <c r="J74" s="7" t="s">
        <v>2</v>
      </c>
    </row>
    <row r="75" spans="2:18" x14ac:dyDescent="0.25">
      <c r="B75" s="24" t="s">
        <v>62</v>
      </c>
      <c r="C75" s="20" t="s">
        <v>63</v>
      </c>
      <c r="D75" s="21">
        <v>469321</v>
      </c>
      <c r="E75" s="18" t="s">
        <v>69</v>
      </c>
      <c r="F75" s="1" t="s">
        <v>1</v>
      </c>
      <c r="H75" s="20" t="s">
        <v>61</v>
      </c>
      <c r="I75" s="21">
        <v>469321</v>
      </c>
      <c r="J75" s="18" t="s">
        <v>71</v>
      </c>
      <c r="K75" s="1" t="s">
        <v>1</v>
      </c>
    </row>
    <row r="76" spans="2:18" x14ac:dyDescent="0.25">
      <c r="B76" s="24" t="s">
        <v>65</v>
      </c>
      <c r="C76" s="20" t="s">
        <v>63</v>
      </c>
      <c r="D76" s="21">
        <v>469321</v>
      </c>
      <c r="E76" s="18" t="s">
        <v>70</v>
      </c>
      <c r="F76" s="1" t="s">
        <v>1</v>
      </c>
    </row>
    <row r="79" spans="2:18" x14ac:dyDescent="0.25">
      <c r="B79" s="44" t="s">
        <v>103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2:18" ht="6.95" customHeight="1" x14ac:dyDescent="0.25"/>
    <row r="81" spans="2:18" x14ac:dyDescent="0.25">
      <c r="B81" t="s">
        <v>104</v>
      </c>
    </row>
    <row r="84" spans="2:18" x14ac:dyDescent="0.25">
      <c r="B84" s="4" t="s">
        <v>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2:18" ht="6.95" customHeight="1" x14ac:dyDescent="0.25"/>
    <row r="86" spans="2:18" x14ac:dyDescent="0.25">
      <c r="B86" s="7" t="s">
        <v>2</v>
      </c>
    </row>
    <row r="87" spans="2:18" x14ac:dyDescent="0.25">
      <c r="B87" s="18" t="s">
        <v>74</v>
      </c>
      <c r="C87" s="1" t="s">
        <v>1</v>
      </c>
      <c r="F87" s="1" t="s">
        <v>1</v>
      </c>
    </row>
    <row r="88" spans="2:18" x14ac:dyDescent="0.25">
      <c r="F88" s="1" t="s">
        <v>1</v>
      </c>
    </row>
    <row r="92" spans="2:18" ht="6.95" customHeight="1" x14ac:dyDescent="0.25"/>
    <row r="98" ht="6.95" customHeight="1" x14ac:dyDescent="0.25"/>
  </sheetData>
  <mergeCells count="1">
    <mergeCell ref="J6:L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1F8AF13-D763-4ACF-9A66-9F9769C32EAD}"/>
</file>

<file path=customXml/itemProps2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LT004</vt:lpstr>
      <vt:lpstr>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2025-05-27T11:08:32Z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