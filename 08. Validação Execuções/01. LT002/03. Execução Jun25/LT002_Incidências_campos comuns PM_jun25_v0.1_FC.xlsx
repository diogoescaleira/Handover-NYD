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256" documentId="8_{F5810010-06AD-4815-9FDC-005F75BE4E59}" xr6:coauthVersionLast="47" xr6:coauthVersionMax="47" xr10:uidLastSave="{2FC8EDC5-091B-499E-964C-0484653A3139}"/>
  <bookViews>
    <workbookView xWindow="-108" yWindow="-108" windowWidth="23256" windowHeight="12456" tabRatio="860" firstSheet="7" activeTab="12" xr2:uid="{00000000-000D-0000-FFFF-FFFF00000000}"/>
  </bookViews>
  <sheets>
    <sheet name="CCF" sheetId="1" r:id="rId1"/>
    <sheet name="EAD" sheetId="2" r:id="rId2"/>
    <sheet name="IMPRMNT_STTS" sheetId="4" r:id="rId3"/>
    <sheet name="PRFRMNG_STTS" sheetId="5" r:id="rId4"/>
    <sheet name="TYP_OFF_BLNC_PRDCT" sheetId="6" r:id="rId5"/>
    <sheet name="SUBPORTFOLIO_ID" sheetId="7" r:id="rId6"/>
    <sheet name="DFLT_INSTRMNT_STTS" sheetId="8" r:id="rId7"/>
    <sheet name="TYP_INSTRMNT" sheetId="9" r:id="rId8"/>
    <sheet name="GRSS_CRRYNG_AMNT_INSTRMNT" sheetId="10" r:id="rId9"/>
    <sheet name="ACCNTNG_CLSSFCTN" sheetId="11" r:id="rId10"/>
    <sheet name="ACCMLTD_IMPRMNT_INSTRMNT" sheetId="12" r:id="rId11"/>
    <sheet name="COD_SOC_INTRGRP" sheetId="13" r:id="rId12"/>
    <sheet name="IDCOMB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4" l="1"/>
  <c r="D9" i="13"/>
  <c r="D9" i="12"/>
  <c r="D9" i="11"/>
  <c r="D9" i="10"/>
  <c r="D9" i="9"/>
  <c r="D9" i="8"/>
  <c r="D9" i="7"/>
</calcChain>
</file>

<file path=xl/sharedStrings.xml><?xml version="1.0" encoding="utf-8"?>
<sst xmlns="http://schemas.openxmlformats.org/spreadsheetml/2006/main" count="1069" uniqueCount="170">
  <si>
    <t>val_univ</t>
  </si>
  <si>
    <t>univ_simul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</si>
  <si>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</si>
  <si>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</si>
  <si>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</si>
  <si>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</si>
  <si>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</si>
  <si>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</si>
  <si>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</si>
  <si>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ccf_sim</t>
  </si>
  <si>
    <t>ccf_it</t>
  </si>
  <si>
    <t>val_ccf</t>
  </si>
  <si>
    <t>COMUM</t>
  </si>
  <si>
    <t>COMUM PM</t>
  </si>
  <si>
    <t>31000353890927020000000000000000</t>
  </si>
  <si>
    <t>BA2</t>
  </si>
  <si>
    <t>OK</t>
  </si>
  <si>
    <t>N</t>
  </si>
  <si>
    <t>0.000000</t>
  </si>
  <si>
    <t>11111111111.000000</t>
  </si>
  <si>
    <t>NOK</t>
  </si>
  <si>
    <t>C</t>
  </si>
  <si>
    <t>31000344341840020000000000000000</t>
  </si>
  <si>
    <t>31000343682756020000000000000000</t>
  </si>
  <si>
    <t>31237703688823020000000000000000</t>
  </si>
  <si>
    <t>31000362735220020000000000000000</t>
  </si>
  <si>
    <t>O contrato está duplicado devido ao campo cnclld_instrmnt_id, apenas devia estar classificado com 'N'. O valor em PM para o ccf é 0.</t>
  </si>
  <si>
    <t>Observações</t>
  </si>
  <si>
    <t>31003191867290011999603500000001</t>
  </si>
  <si>
    <t>BA4</t>
  </si>
  <si>
    <t>0.510621</t>
  </si>
  <si>
    <t>O contrato está duplicado devido ao campo cnclld_instrmnt_id, apenas devia estar classificado com 'N'. O valor em PM para o ccf é 0.510621.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</si>
  <si>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ccf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</si>
  <si>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# Registos Nok</t>
  </si>
  <si>
    <t>O número de registos NOK corresponde ao número de registos duplicados.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</si>
  <si>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ead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</si>
  <si>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ead_sim</t>
  </si>
  <si>
    <t>ead_it</t>
  </si>
  <si>
    <t>val_ead</t>
  </si>
  <si>
    <t>31000362164926020000000000000000</t>
  </si>
  <si>
    <t>12.50</t>
  </si>
  <si>
    <t>11111111111.00</t>
  </si>
  <si>
    <t>31003190850840011000635100000001</t>
  </si>
  <si>
    <t>761.74</t>
  </si>
  <si>
    <t>31000358270364020000000000000000</t>
  </si>
  <si>
    <t>0.01</t>
  </si>
  <si>
    <t>31000020081698001000000000000000</t>
  </si>
  <si>
    <t>0.04</t>
  </si>
  <si>
    <t>31000357552408020000000000000000</t>
  </si>
  <si>
    <t>O contrato está duplicado devido ao campo cnclld_instrmnt_id, apenas devia estar classificado com 'N'. O valor em PM para a ead é 12,5.</t>
  </si>
  <si>
    <t>O contrato está duplicado devido ao campo cnclld_instrmnt_id, apenas devia estar classificado com 'N'. O valor em PM para a ead é 761,74.</t>
  </si>
  <si>
    <t>O contrato está duplicado devido ao campo cnclld_instrmnt_id, apenas devia estar classificado com 'N'. O valor em PM para a ead é 0,01.</t>
  </si>
  <si>
    <t>O contrato está duplicado devido ao campo cnclld_instrmnt_id, apenas devia estar classificado com 'N'. O valor em PM para a ead é 0,04.</t>
  </si>
  <si>
    <t>31003185816540011645421500000001</t>
  </si>
  <si>
    <t>23</t>
  </si>
  <si>
    <t>11111111111</t>
  </si>
  <si>
    <t>31000357632036020000000000000000</t>
  </si>
  <si>
    <t>31000364250707020000000000000000</t>
  </si>
  <si>
    <t>31237500996090020000000000000000</t>
  </si>
  <si>
    <t>24</t>
  </si>
  <si>
    <t>31000321076641020000000000000000</t>
  </si>
  <si>
    <t>O contrato está duplicado devido ao campo cnclld_instrmnt_id, apenas devia estar classificado com 'N'. O valor em PM para o imprmnt_stts é 23.</t>
  </si>
  <si>
    <t>O contrato está duplicado devido ao campo cnclld_instrmnt_id, apenas devia estar classificado com 'N'. O valor em PM para o imprmnt_stts é 24.</t>
  </si>
  <si>
    <t>imprmnt_stts_sim</t>
  </si>
  <si>
    <t>imprmnt_stts_it</t>
  </si>
  <si>
    <t>val_imprmnt_stts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</si>
  <si>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imprmnt_stts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</si>
  <si>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prfrmng_stts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</si>
  <si>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prfrmng_stts_sim</t>
  </si>
  <si>
    <t>prfrmng_stts_it</t>
  </si>
  <si>
    <t>val_prfrmng_stts</t>
  </si>
  <si>
    <t>31000342501304020000000000000000</t>
  </si>
  <si>
    <t>11</t>
  </si>
  <si>
    <t>31003199550990011603197600000001</t>
  </si>
  <si>
    <t>O contrato está duplicado devido ao campo cnclld_instrmnt_id, apenas devia estar classificado com 'N'. O valor em PM para o imprmnt_stts é 11.</t>
  </si>
  <si>
    <t>typ_off_blnc_prdct_sim</t>
  </si>
  <si>
    <t>typ_off_blnc_prdct_it</t>
  </si>
  <si>
    <t>val_typ_off_blnc_prdct</t>
  </si>
  <si>
    <t>MC42</t>
  </si>
  <si>
    <t>MISS</t>
  </si>
  <si>
    <t>N/A</t>
  </si>
  <si>
    <t>CANCELADOS</t>
  </si>
  <si>
    <t>NULL</t>
  </si>
  <si>
    <t>MC41</t>
  </si>
  <si>
    <t>MC4301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</si>
  <si>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typ_off_blnc_prdct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</si>
  <si>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# Registos</t>
  </si>
  <si>
    <t>last_ref_date</t>
  </si>
  <si>
    <t>Na nossa simulação não conseguimos associar valor pois a tabela de PM na bu_loan_tape a maio não existe.</t>
  </si>
  <si>
    <t>subportfolio_id_sim</t>
  </si>
  <si>
    <t>subportfolio_id_it</t>
  </si>
  <si>
    <t>val_subportfolio_id</t>
  </si>
  <si>
    <t>OSFGUAR</t>
  </si>
  <si>
    <t>APCAPRE</t>
  </si>
  <si>
    <t>HOGGUAR</t>
  </si>
  <si>
    <t>SNFCOM</t>
  </si>
  <si>
    <t>OSFCAPRE</t>
  </si>
  <si>
    <t>HOGCOM</t>
  </si>
  <si>
    <t>SNFCAVRD</t>
  </si>
  <si>
    <t>HOGCAPRE</t>
  </si>
  <si>
    <t>ECCAPRE</t>
  </si>
  <si>
    <t>ECCOM</t>
  </si>
  <si>
    <t>OSFOCOM</t>
  </si>
  <si>
    <t>ECOCOM</t>
  </si>
  <si>
    <t>SNFCAPRE</t>
  </si>
  <si>
    <t>SNFGUAR</t>
  </si>
  <si>
    <t>SNFOCOM</t>
  </si>
  <si>
    <t>OSFCAVRD</t>
  </si>
  <si>
    <t>CASHPRE</t>
  </si>
  <si>
    <t>HOGOCOM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</si>
  <si>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subportfolio_id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</si>
  <si>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dflt_stts_instrmnt_sim</t>
  </si>
  <si>
    <t>dflt_stts_instrmnt_it</t>
  </si>
  <si>
    <t>val_dflt_stts_instrmnt</t>
  </si>
  <si>
    <t>SNCN00004637</t>
  </si>
  <si>
    <t>SNCN00004682</t>
  </si>
  <si>
    <t>SNCN00004671</t>
  </si>
  <si>
    <t>SNCN00030253</t>
  </si>
  <si>
    <t>SNCN00030239</t>
  </si>
  <si>
    <t>SNCN00002028</t>
  </si>
  <si>
    <t>SNCN00005018</t>
  </si>
  <si>
    <t>99999999999</t>
  </si>
  <si>
    <t>14</t>
  </si>
  <si>
    <t>Dizem respeito a ajustes de contabilidade (SNCN).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</si>
  <si>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dflt_instrmnt_stts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</si>
  <si>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typ_instrmnt_sim</t>
  </si>
  <si>
    <t>typ_instrmnt_it</t>
  </si>
  <si>
    <t>val_typ_instrmnt</t>
  </si>
  <si>
    <t>grss_crryng_amnt_instrmnt_sim</t>
  </si>
  <si>
    <t>grss_crryng_amnt_instrmnt_it</t>
  </si>
  <si>
    <t>val_grss_crryng_amnt_instrmnt</t>
  </si>
  <si>
    <t>31641600005800040PTADNAOM0008000</t>
  </si>
  <si>
    <t>BA3</t>
  </si>
  <si>
    <t>SNCN00030205</t>
  </si>
  <si>
    <t>31641600005800040PTMVHAOM0000000</t>
  </si>
  <si>
    <t>BA10</t>
  </si>
  <si>
    <t>SNCN00030252</t>
  </si>
  <si>
    <t>SNCN00029982</t>
  </si>
  <si>
    <t>SNCN00030242</t>
  </si>
  <si>
    <t>31641600005800040PTCBOAOM0007000</t>
  </si>
  <si>
    <t>SNCN00030183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</si>
  <si>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typ_instrmnt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</si>
  <si>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O valor em PM para jun/25 é 10 155 326,91.</t>
  </si>
  <si>
    <t>O valor em PM para jun/25 é 0,39.</t>
  </si>
  <si>
    <t>O valor em PM para jun/25 é 64 473 442,45.</t>
  </si>
  <si>
    <t>O valor em PM para jun/25 é 7 322 506,99.</t>
  </si>
  <si>
    <t>O valor em PM para jun/25 é -0,10.</t>
  </si>
  <si>
    <t>O valor em PM para jun/25 é -0,39.</t>
  </si>
  <si>
    <t>O valor em PM para jun/25 é -1,05.</t>
  </si>
  <si>
    <t>O valor em PM para jun/25 é -0,22.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</si>
  <si>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grss_crryng_amnt_instrmnt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</si>
  <si>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accntng_clssfctn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</si>
  <si>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accntng_clssfctn_sim</t>
  </si>
  <si>
    <t>accntng_clssfctn_it</t>
  </si>
  <si>
    <t>val_accntng_clssfctn</t>
  </si>
  <si>
    <t>accmltd_imprmnt_instrmnt_sim</t>
  </si>
  <si>
    <t>accmltd_imprmnt_instrmnt_it</t>
  </si>
  <si>
    <t>val_accmltd_imprmnt_instrmnt</t>
  </si>
  <si>
    <t>SNCN00030094</t>
  </si>
  <si>
    <t>O valor em PM para jun/25 é 5 550 000.</t>
  </si>
  <si>
    <r>
      <t xml:space="preserve">Diferenças detetadas no campo accmltd_imprmnt_instrmnt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</si>
  <si>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detetadas no campo cod_soc_intrgrp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</si>
  <si>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cod_soc_intrgrp_sim</t>
  </si>
  <si>
    <t>cod_soc_intrgrp_it</t>
  </si>
  <si>
    <t>val_cod_soc_intrgrp</t>
  </si>
  <si>
    <t>00000</t>
  </si>
  <si>
    <t>00009</t>
  </si>
  <si>
    <t>01278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</si>
  <si>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idcomb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</si>
  <si>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val_idcomb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</si>
</sst>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1" applyFont="1" applyProtection="1">
      <protection hidden="1"/>
    </xf>
    <xf numFmtId="0" fontId="0" fillId="0" borderId="0" xfId="1" applyFont="1" applyAlignment="1" applyProtection="1">
      <alignment horizontal="center" vertical="center"/>
      <protection hidden="1"/>
    </xf>
    <xf numFmtId="0" fontId="0" fillId="0" borderId="0" xfId="1" applyFont="1" applyAlignment="1" applyProtection="1">
      <alignment horizontal="left" vertical="center"/>
      <protection hidden="1"/>
    </xf>
    <xf numFmtId="0" fontId="3" fillId="0" borderId="0" xfId="1" applyFont="1" applyAlignment="1" applyProtection="1">
      <alignment horizontal="left"/>
      <protection hidden="1"/>
    </xf>
    <xf numFmtId="0" fontId="0" fillId="0" borderId="0" xfId="1" applyFont="1" applyAlignment="1" applyProtection="1">
      <alignment horizontal="centerContinuous"/>
      <protection hidden="1"/>
    </xf>
    <xf numFmtId="14" fontId="3" fillId="0" borderId="0" xfId="0" applyNumberFormat="1" applyFont="1" applyAlignment="1" applyProtection="1">
      <alignment vertical="top"/>
      <protection hidden="1"/>
    </xf>
    <xf numFmtId="14" fontId="3" fillId="0" borderId="0" xfId="0" applyNumberFormat="1" applyFont="1" applyAlignment="1" applyProtection="1">
      <alignment horizontal="left" vertical="center"/>
      <protection hidden="1"/>
    </xf>
    <xf numFmtId="0" fontId="0" fillId="2" borderId="0" xfId="1" applyFont="1" applyFill="1" applyProtection="1">
      <protection hidden="1"/>
    </xf>
    <xf numFmtId="0" fontId="0" fillId="2" borderId="0" xfId="1" applyFont="1" applyFill="1" applyAlignment="1" applyProtection="1">
      <alignment horizontal="center" vertical="center"/>
      <protection hidden="1"/>
    </xf>
    <xf numFmtId="0" fontId="0" fillId="2" borderId="0" xfId="1" applyFont="1" applyFill="1" applyAlignment="1" applyProtection="1">
      <alignment horizontal="left" vertical="center"/>
      <protection hidden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1" xfId="0" applyNumberFormat="1" applyBorder="1"/>
    <xf numFmtId="14" fontId="0" fillId="0" borderId="1" xfId="0" applyNumberFormat="1" applyBorder="1"/>
    <xf numFmtId="0" fontId="0" fillId="0" borderId="1" xfId="0" applyFill="1" applyBorder="1"/>
    <xf numFmtId="4" fontId="0" fillId="0" borderId="1" xfId="0" applyNumberFormat="1" applyBorder="1"/>
    <xf numFmtId="0" fontId="0" fillId="5" borderId="1" xfId="0" applyFill="1" applyBorder="1"/>
    <xf numFmtId="3" fontId="0" fillId="5" borderId="1" xfId="0" applyNumberFormat="1" applyFill="1" applyBorder="1"/>
    <xf numFmtId="14" fontId="0" fillId="5" borderId="1" xfId="0" applyNumberFormat="1" applyFill="1" applyBorder="1"/>
    <xf numFmtId="0" fontId="0" fillId="0" borderId="1" xfId="0" quotePrefix="1" applyBorder="1"/>
  </cellXfs>
  <cellStyles count="2">
    <cellStyle name="Normal" xfId="0" builtinId="0"/>
    <cellStyle name="Normal 3" xfId="1" xr:uid="{43E9659C-96B5-4D18-9C29-63C1F8A6860D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3" name="Gráfico 10">
          <a:extLst>
            <a:ext uri="{FF2B5EF4-FFF2-40B4-BE49-F238E27FC236}">
              <a16:creationId xmlns:a16="http://schemas.microsoft.com/office/drawing/2014/main" id="{CCA67672-3878-428D-89AE-EABDF5BF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  <xdr:twoCellAnchor>
    <xdr:from>
      <xdr:col>4</xdr:col>
      <xdr:colOff>281940</xdr:colOff>
      <xdr:row>7</xdr:row>
      <xdr:rowOff>106680</xdr:rowOff>
    </xdr:from>
    <xdr:to>
      <xdr:col>6</xdr:col>
      <xdr:colOff>114300</xdr:colOff>
      <xdr:row>9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6D1AAC-22C9-37DF-89E3-9F946421F5B9}"/>
            </a:ext>
          </a:extLst>
        </xdr:cNvPr>
        <xdr:cNvSpPr/>
      </xdr:nvSpPr>
      <xdr:spPr>
        <a:xfrm>
          <a:off x="4175760" y="1242060"/>
          <a:ext cx="1653540" cy="35052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200" b="1"/>
            <a:t>Corrigido</a:t>
          </a:r>
          <a:r>
            <a:rPr lang="pt-PT" sz="1200" b="1" baseline="0"/>
            <a:t> a 31/jul.</a:t>
          </a:r>
          <a:endParaRPr lang="pt-PT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50F530FC-93CF-40DB-8833-20CD0B1B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  <xdr:twoCellAnchor>
    <xdr:from>
      <xdr:col>4</xdr:col>
      <xdr:colOff>213360</xdr:colOff>
      <xdr:row>7</xdr:row>
      <xdr:rowOff>106680</xdr:rowOff>
    </xdr:from>
    <xdr:to>
      <xdr:col>6</xdr:col>
      <xdr:colOff>45720</xdr:colOff>
      <xdr:row>9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60E0450-4273-4559-B84D-53AF53B6C244}"/>
            </a:ext>
          </a:extLst>
        </xdr:cNvPr>
        <xdr:cNvSpPr/>
      </xdr:nvSpPr>
      <xdr:spPr>
        <a:xfrm>
          <a:off x="4107180" y="1242060"/>
          <a:ext cx="1653540" cy="35052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200" b="1"/>
            <a:t>Corrigido</a:t>
          </a:r>
          <a:r>
            <a:rPr lang="pt-PT" sz="1200" b="1" baseline="0"/>
            <a:t> a 31/jul.</a:t>
          </a:r>
          <a:endParaRPr lang="pt-PT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FB58DE9F-C08C-42BD-BB08-CE0441221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  <xdr:twoCellAnchor>
    <xdr:from>
      <xdr:col>4</xdr:col>
      <xdr:colOff>289560</xdr:colOff>
      <xdr:row>7</xdr:row>
      <xdr:rowOff>121920</xdr:rowOff>
    </xdr:from>
    <xdr:to>
      <xdr:col>6</xdr:col>
      <xdr:colOff>121920</xdr:colOff>
      <xdr:row>9</xdr:row>
      <xdr:rowOff>106680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A3FBDD-7C0B-4B40-A3FA-0E44ADD202F1}"/>
            </a:ext>
          </a:extLst>
        </xdr:cNvPr>
        <xdr:cNvSpPr/>
      </xdr:nvSpPr>
      <xdr:spPr>
        <a:xfrm>
          <a:off x="4183380" y="1257300"/>
          <a:ext cx="1653540" cy="35052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200" b="1"/>
            <a:t>Corrigido</a:t>
          </a:r>
          <a:r>
            <a:rPr lang="pt-PT" sz="1200" b="1" baseline="0"/>
            <a:t> a 31/jul.</a:t>
          </a:r>
          <a:endParaRPr lang="pt-PT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B217A724-CFDD-4504-94B8-FA49A66A1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  <xdr:twoCellAnchor>
    <xdr:from>
      <xdr:col>4</xdr:col>
      <xdr:colOff>213360</xdr:colOff>
      <xdr:row>7</xdr:row>
      <xdr:rowOff>83820</xdr:rowOff>
    </xdr:from>
    <xdr:to>
      <xdr:col>6</xdr:col>
      <xdr:colOff>45720</xdr:colOff>
      <xdr:row>9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8FFE52-3058-42FF-AAB2-0E6D7F9C77C8}"/>
            </a:ext>
          </a:extLst>
        </xdr:cNvPr>
        <xdr:cNvSpPr/>
      </xdr:nvSpPr>
      <xdr:spPr>
        <a:xfrm>
          <a:off x="4107180" y="1219200"/>
          <a:ext cx="1653540" cy="35052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200" b="1"/>
            <a:t>Corrigido</a:t>
          </a:r>
          <a:r>
            <a:rPr lang="pt-PT" sz="1200" b="1" baseline="0"/>
            <a:t> a 31/jul.</a:t>
          </a:r>
          <a:endParaRPr lang="pt-PT" sz="1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54F06742-CC3C-4E4A-9021-BB01D8D58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DBB710E7-37F1-48C7-A344-AE23C3B12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CB3D8B49-7D41-4438-98F0-EA20E502A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406DEA5A-C75E-4922-BDE0-56DCF4646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5C04068D-4A46-47A3-A2DC-B727CDF09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92EAADA3-32A3-42A4-9934-791172012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6464B6DD-1C44-423F-8A04-318556B01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DCCC5451-C02F-434D-BE06-92B8CAB1C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4085386C-F1F8-465C-8523-693A395C6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25"/>
  <sheetViews>
    <sheetView showGridLines="0" workbookViewId="0">
      <selection activeCell="H27" sqref="H27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3.664062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8.5546875" bestFit="1" customWidth="1"/>
    <col min="12" max="12" width="18.77734375" bestFit="1" customWidth="1"/>
    <col min="13" max="13" width="6.88671875" bestFit="1" customWidth="1"/>
    <col min="14" max="14" width="118.88671875" bestFit="1" customWidth="1"/>
    <col min="15" max="15" width="3.77734375" customWidth="1"/>
    <col min="16" max="16" width="3.77734375" hidden="1" customWidth="1"/>
    <col min="17" max="16384" width="11.5546875" hidden="1"/>
  </cols>
  <sheetData>
    <row r="1" spans="1:15" x14ac:dyDescent="0.3">
      <c r="D1" s="1"/>
      <c r="K1" s="2"/>
    </row>
    <row r="2" spans="1:15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</row>
    <row r="3" spans="1:15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</row>
    <row r="4" spans="1:15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</row>
    <row r="5" spans="1:15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</row>
    <row r="7" spans="1:15" x14ac:dyDescent="0.3">
      <c r="B7" s="15" t="s">
        <v>32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9" spans="1:15" x14ac:dyDescent="0.3">
      <c r="B9" s="19" t="s">
        <v>33</v>
      </c>
      <c r="C9" s="19"/>
      <c r="D9" s="17">
        <v>478</v>
      </c>
    </row>
    <row r="11" spans="1:15" x14ac:dyDescent="0.3">
      <c r="B11" t="s">
        <v>34</v>
      </c>
    </row>
    <row r="13" spans="1:15" x14ac:dyDescent="0.3">
      <c r="B13" s="13" t="s">
        <v>0</v>
      </c>
      <c r="C13" s="13" t="s">
        <v>1</v>
      </c>
      <c r="D13" s="13" t="s">
        <v>2</v>
      </c>
      <c r="E13" s="13" t="s">
        <v>3</v>
      </c>
      <c r="F13" s="13" t="s">
        <v>4</v>
      </c>
      <c r="G13" s="13" t="s">
        <v>5</v>
      </c>
      <c r="H13" s="13" t="s">
        <v>6</v>
      </c>
      <c r="I13" s="13" t="s">
        <v>7</v>
      </c>
      <c r="J13" s="13" t="s">
        <v>8</v>
      </c>
      <c r="K13" s="13" t="s">
        <v>9</v>
      </c>
      <c r="L13" s="13" t="s">
        <v>10</v>
      </c>
      <c r="M13" s="13" t="s">
        <v>11</v>
      </c>
      <c r="N13" s="18" t="s">
        <v>27</v>
      </c>
    </row>
    <row r="14" spans="1:15" x14ac:dyDescent="0.3"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15</v>
      </c>
      <c r="G14" s="14" t="s">
        <v>16</v>
      </c>
      <c r="H14" s="14" t="s">
        <v>17</v>
      </c>
      <c r="I14" s="14" t="s">
        <v>17</v>
      </c>
      <c r="J14" s="14" t="s">
        <v>16</v>
      </c>
      <c r="K14" s="14" t="s">
        <v>18</v>
      </c>
      <c r="L14" s="14" t="s">
        <v>19</v>
      </c>
      <c r="M14" s="14" t="s">
        <v>20</v>
      </c>
      <c r="N14" s="14" t="s">
        <v>26</v>
      </c>
    </row>
    <row r="15" spans="1:15" x14ac:dyDescent="0.3">
      <c r="B15" s="14" t="s">
        <v>12</v>
      </c>
      <c r="C15" s="14" t="s">
        <v>13</v>
      </c>
      <c r="D15" s="14" t="s">
        <v>14</v>
      </c>
      <c r="E15" s="14" t="s">
        <v>15</v>
      </c>
      <c r="F15" s="14" t="s">
        <v>15</v>
      </c>
      <c r="G15" s="14" t="s">
        <v>16</v>
      </c>
      <c r="H15" s="14" t="s">
        <v>17</v>
      </c>
      <c r="I15" s="14" t="s">
        <v>21</v>
      </c>
      <c r="J15" s="14" t="s">
        <v>20</v>
      </c>
      <c r="K15" s="14" t="s">
        <v>18</v>
      </c>
      <c r="L15" s="14" t="s">
        <v>19</v>
      </c>
      <c r="M15" s="14" t="s">
        <v>20</v>
      </c>
      <c r="N15" s="14" t="s">
        <v>26</v>
      </c>
    </row>
    <row r="16" spans="1:15" x14ac:dyDescent="0.3">
      <c r="B16" s="14" t="s">
        <v>12</v>
      </c>
      <c r="C16" s="14" t="s">
        <v>13</v>
      </c>
      <c r="D16" s="14" t="s">
        <v>22</v>
      </c>
      <c r="E16" s="14" t="s">
        <v>15</v>
      </c>
      <c r="F16" s="14" t="s">
        <v>15</v>
      </c>
      <c r="G16" s="14" t="s">
        <v>16</v>
      </c>
      <c r="H16" s="14" t="s">
        <v>17</v>
      </c>
      <c r="I16" s="14" t="s">
        <v>21</v>
      </c>
      <c r="J16" s="14" t="s">
        <v>20</v>
      </c>
      <c r="K16" s="14" t="s">
        <v>18</v>
      </c>
      <c r="L16" s="14" t="s">
        <v>19</v>
      </c>
      <c r="M16" s="14" t="s">
        <v>20</v>
      </c>
      <c r="N16" s="14" t="s">
        <v>26</v>
      </c>
    </row>
    <row r="17" spans="2:14" x14ac:dyDescent="0.3">
      <c r="B17" s="14" t="s">
        <v>12</v>
      </c>
      <c r="C17" s="14" t="s">
        <v>13</v>
      </c>
      <c r="D17" s="14" t="s">
        <v>22</v>
      </c>
      <c r="E17" s="14" t="s">
        <v>15</v>
      </c>
      <c r="F17" s="14" t="s">
        <v>15</v>
      </c>
      <c r="G17" s="14" t="s">
        <v>16</v>
      </c>
      <c r="H17" s="14" t="s">
        <v>17</v>
      </c>
      <c r="I17" s="14" t="s">
        <v>17</v>
      </c>
      <c r="J17" s="14" t="s">
        <v>16</v>
      </c>
      <c r="K17" s="14" t="s">
        <v>18</v>
      </c>
      <c r="L17" s="14" t="s">
        <v>19</v>
      </c>
      <c r="M17" s="14" t="s">
        <v>20</v>
      </c>
      <c r="N17" s="14" t="s">
        <v>26</v>
      </c>
    </row>
    <row r="18" spans="2:14" x14ac:dyDescent="0.3">
      <c r="B18" s="14" t="s">
        <v>12</v>
      </c>
      <c r="C18" s="14" t="s">
        <v>13</v>
      </c>
      <c r="D18" s="14" t="s">
        <v>23</v>
      </c>
      <c r="E18" s="14" t="s">
        <v>15</v>
      </c>
      <c r="F18" s="14" t="s">
        <v>15</v>
      </c>
      <c r="G18" s="14" t="s">
        <v>16</v>
      </c>
      <c r="H18" s="14" t="s">
        <v>17</v>
      </c>
      <c r="I18" s="14" t="s">
        <v>21</v>
      </c>
      <c r="J18" s="14" t="s">
        <v>20</v>
      </c>
      <c r="K18" s="14" t="s">
        <v>18</v>
      </c>
      <c r="L18" s="14" t="s">
        <v>19</v>
      </c>
      <c r="M18" s="14" t="s">
        <v>20</v>
      </c>
      <c r="N18" s="14" t="s">
        <v>26</v>
      </c>
    </row>
    <row r="19" spans="2:14" x14ac:dyDescent="0.3">
      <c r="B19" s="14" t="s">
        <v>12</v>
      </c>
      <c r="C19" s="14" t="s">
        <v>13</v>
      </c>
      <c r="D19" s="14" t="s">
        <v>23</v>
      </c>
      <c r="E19" s="14" t="s">
        <v>15</v>
      </c>
      <c r="F19" s="14" t="s">
        <v>15</v>
      </c>
      <c r="G19" s="14" t="s">
        <v>16</v>
      </c>
      <c r="H19" s="14" t="s">
        <v>17</v>
      </c>
      <c r="I19" s="14" t="s">
        <v>17</v>
      </c>
      <c r="J19" s="14" t="s">
        <v>16</v>
      </c>
      <c r="K19" s="14" t="s">
        <v>18</v>
      </c>
      <c r="L19" s="14" t="s">
        <v>19</v>
      </c>
      <c r="M19" s="14" t="s">
        <v>20</v>
      </c>
      <c r="N19" s="14" t="s">
        <v>26</v>
      </c>
    </row>
    <row r="20" spans="2:14" x14ac:dyDescent="0.3">
      <c r="B20" s="14" t="s">
        <v>12</v>
      </c>
      <c r="C20" s="14" t="s">
        <v>13</v>
      </c>
      <c r="D20" s="14" t="s">
        <v>24</v>
      </c>
      <c r="E20" s="14" t="s">
        <v>15</v>
      </c>
      <c r="F20" s="14" t="s">
        <v>15</v>
      </c>
      <c r="G20" s="14" t="s">
        <v>16</v>
      </c>
      <c r="H20" s="14" t="s">
        <v>17</v>
      </c>
      <c r="I20" s="14" t="s">
        <v>21</v>
      </c>
      <c r="J20" s="14" t="s">
        <v>20</v>
      </c>
      <c r="K20" s="14" t="s">
        <v>18</v>
      </c>
      <c r="L20" s="14" t="s">
        <v>19</v>
      </c>
      <c r="M20" s="14" t="s">
        <v>20</v>
      </c>
      <c r="N20" s="14" t="s">
        <v>26</v>
      </c>
    </row>
    <row r="21" spans="2:14" x14ac:dyDescent="0.3">
      <c r="B21" s="14" t="s">
        <v>12</v>
      </c>
      <c r="C21" s="14" t="s">
        <v>13</v>
      </c>
      <c r="D21" s="14" t="s">
        <v>24</v>
      </c>
      <c r="E21" s="14" t="s">
        <v>15</v>
      </c>
      <c r="F21" s="14" t="s">
        <v>15</v>
      </c>
      <c r="G21" s="14" t="s">
        <v>16</v>
      </c>
      <c r="H21" s="14" t="s">
        <v>17</v>
      </c>
      <c r="I21" s="14" t="s">
        <v>17</v>
      </c>
      <c r="J21" s="14" t="s">
        <v>16</v>
      </c>
      <c r="K21" s="14" t="s">
        <v>18</v>
      </c>
      <c r="L21" s="14" t="s">
        <v>19</v>
      </c>
      <c r="M21" s="14" t="s">
        <v>20</v>
      </c>
      <c r="N21" s="14" t="s">
        <v>26</v>
      </c>
    </row>
    <row r="22" spans="2:14" x14ac:dyDescent="0.3">
      <c r="B22" s="14" t="s">
        <v>12</v>
      </c>
      <c r="C22" s="14" t="s">
        <v>13</v>
      </c>
      <c r="D22" s="14" t="s">
        <v>25</v>
      </c>
      <c r="E22" s="14" t="s">
        <v>15</v>
      </c>
      <c r="F22" s="14" t="s">
        <v>15</v>
      </c>
      <c r="G22" s="14" t="s">
        <v>16</v>
      </c>
      <c r="H22" s="14" t="s">
        <v>17</v>
      </c>
      <c r="I22" s="14" t="s">
        <v>17</v>
      </c>
      <c r="J22" s="14" t="s">
        <v>16</v>
      </c>
      <c r="K22" s="14" t="s">
        <v>18</v>
      </c>
      <c r="L22" s="14" t="s">
        <v>19</v>
      </c>
      <c r="M22" s="14" t="s">
        <v>20</v>
      </c>
      <c r="N22" s="14" t="s">
        <v>26</v>
      </c>
    </row>
    <row r="23" spans="2:14" x14ac:dyDescent="0.3">
      <c r="B23" s="14" t="s">
        <v>12</v>
      </c>
      <c r="C23" s="14" t="s">
        <v>13</v>
      </c>
      <c r="D23" s="14" t="s">
        <v>25</v>
      </c>
      <c r="E23" s="14" t="s">
        <v>15</v>
      </c>
      <c r="F23" s="14" t="s">
        <v>15</v>
      </c>
      <c r="G23" s="14" t="s">
        <v>16</v>
      </c>
      <c r="H23" s="14" t="s">
        <v>17</v>
      </c>
      <c r="I23" s="14" t="s">
        <v>21</v>
      </c>
      <c r="J23" s="14" t="s">
        <v>20</v>
      </c>
      <c r="K23" s="14" t="s">
        <v>18</v>
      </c>
      <c r="L23" s="14" t="s">
        <v>19</v>
      </c>
      <c r="M23" s="14" t="s">
        <v>20</v>
      </c>
      <c r="N23" s="14" t="s">
        <v>26</v>
      </c>
    </row>
    <row r="24" spans="2:14" x14ac:dyDescent="0.3">
      <c r="B24" s="14" t="s">
        <v>12</v>
      </c>
      <c r="C24" s="14" t="s">
        <v>13</v>
      </c>
      <c r="D24" s="14" t="s">
        <v>28</v>
      </c>
      <c r="E24" s="14" t="s">
        <v>29</v>
      </c>
      <c r="F24" s="14" t="s">
        <v>29</v>
      </c>
      <c r="G24" s="14" t="s">
        <v>16</v>
      </c>
      <c r="H24" s="14" t="s">
        <v>17</v>
      </c>
      <c r="I24" s="14" t="s">
        <v>17</v>
      </c>
      <c r="J24" s="14" t="s">
        <v>16</v>
      </c>
      <c r="K24" s="14" t="s">
        <v>30</v>
      </c>
      <c r="L24" s="14" t="s">
        <v>19</v>
      </c>
      <c r="M24" s="14" t="s">
        <v>20</v>
      </c>
      <c r="N24" s="14" t="s">
        <v>31</v>
      </c>
    </row>
    <row r="25" spans="2:14" x14ac:dyDescent="0.3">
      <c r="B25" s="14" t="s">
        <v>12</v>
      </c>
      <c r="C25" s="14" t="s">
        <v>13</v>
      </c>
      <c r="D25" s="14" t="s">
        <v>28</v>
      </c>
      <c r="E25" s="14" t="s">
        <v>29</v>
      </c>
      <c r="F25" s="14" t="s">
        <v>29</v>
      </c>
      <c r="G25" s="14" t="s">
        <v>16</v>
      </c>
      <c r="H25" s="14" t="s">
        <v>17</v>
      </c>
      <c r="I25" s="14" t="s">
        <v>21</v>
      </c>
      <c r="J25" s="14" t="s">
        <v>20</v>
      </c>
      <c r="K25" s="14" t="s">
        <v>30</v>
      </c>
      <c r="L25" s="14" t="s">
        <v>19</v>
      </c>
      <c r="M25" s="14" t="s">
        <v>20</v>
      </c>
      <c r="N25" s="14" t="s">
        <v>31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F03F-8135-43D0-A1AA-6B50F27636EC}">
  <sheetPr>
    <tabColor rgb="FF92D050"/>
  </sheetPr>
  <dimension ref="A1:P23"/>
  <sheetViews>
    <sheetView showGridLines="0" workbookViewId="0">
      <selection activeCell="H27" sqref="H27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3.664062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8.5546875" bestFit="1" customWidth="1"/>
    <col min="12" max="12" width="18.77734375" bestFit="1" customWidth="1"/>
    <col min="13" max="13" width="8.5546875" customWidth="1"/>
    <col min="14" max="14" width="118.88671875" bestFit="1" customWidth="1"/>
    <col min="15" max="15" width="3.77734375" customWidth="1"/>
    <col min="16" max="16" width="3.77734375" hidden="1" customWidth="1"/>
    <col min="17" max="16384" width="11.5546875" hidden="1"/>
  </cols>
  <sheetData>
    <row r="1" spans="1:15" x14ac:dyDescent="0.3">
      <c r="D1" s="1"/>
      <c r="K1" s="2"/>
    </row>
    <row r="2" spans="1:15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</row>
    <row r="3" spans="1:15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</row>
    <row r="4" spans="1:15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</row>
    <row r="5" spans="1:15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</row>
    <row r="7" spans="1:15" x14ac:dyDescent="0.3">
      <c r="B7" s="15" t="s">
        <v>35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9" spans="1:15" x14ac:dyDescent="0.3">
      <c r="B9" s="19" t="s">
        <v>33</v>
      </c>
      <c r="C9" s="19"/>
      <c r="D9" s="17">
        <v>478</v>
      </c>
    </row>
    <row r="11" spans="1:15" x14ac:dyDescent="0.3">
      <c r="B11" t="s">
        <v>34</v>
      </c>
    </row>
    <row r="13" spans="1:15" x14ac:dyDescent="0.3">
      <c r="B13" s="13" t="s">
        <v>0</v>
      </c>
      <c r="C13" s="13" t="s">
        <v>1</v>
      </c>
      <c r="D13" s="13" t="s">
        <v>2</v>
      </c>
      <c r="E13" s="13" t="s">
        <v>3</v>
      </c>
      <c r="F13" s="13" t="s">
        <v>4</v>
      </c>
      <c r="G13" s="13" t="s">
        <v>5</v>
      </c>
      <c r="H13" s="13" t="s">
        <v>6</v>
      </c>
      <c r="I13" s="13" t="s">
        <v>7</v>
      </c>
      <c r="J13" s="13" t="s">
        <v>8</v>
      </c>
      <c r="K13" s="13" t="s">
        <v>36</v>
      </c>
      <c r="L13" s="13" t="s">
        <v>37</v>
      </c>
      <c r="M13" s="13" t="s">
        <v>38</v>
      </c>
      <c r="N13" s="18" t="s">
        <v>27</v>
      </c>
    </row>
    <row r="14" spans="1:15" x14ac:dyDescent="0.3">
      <c r="B14" s="14" t="s">
        <v>12</v>
      </c>
      <c r="C14" s="14" t="s">
        <v>13</v>
      </c>
      <c r="D14" s="14" t="s">
        <v>39</v>
      </c>
      <c r="E14" s="14" t="s">
        <v>15</v>
      </c>
      <c r="F14" s="14" t="s">
        <v>15</v>
      </c>
      <c r="G14" s="14" t="s">
        <v>16</v>
      </c>
      <c r="H14" s="14" t="s">
        <v>17</v>
      </c>
      <c r="I14" s="14" t="s">
        <v>21</v>
      </c>
      <c r="J14" s="14" t="s">
        <v>20</v>
      </c>
      <c r="K14" s="14" t="s">
        <v>40</v>
      </c>
      <c r="L14" s="14" t="s">
        <v>41</v>
      </c>
      <c r="M14" s="14" t="s">
        <v>20</v>
      </c>
      <c r="N14" s="14" t="s">
        <v>49</v>
      </c>
    </row>
    <row r="15" spans="1:15" x14ac:dyDescent="0.3">
      <c r="B15" s="14" t="s">
        <v>12</v>
      </c>
      <c r="C15" s="14" t="s">
        <v>13</v>
      </c>
      <c r="D15" s="14" t="s">
        <v>39</v>
      </c>
      <c r="E15" s="14" t="s">
        <v>15</v>
      </c>
      <c r="F15" s="14" t="s">
        <v>15</v>
      </c>
      <c r="G15" s="14" t="s">
        <v>16</v>
      </c>
      <c r="H15" s="14" t="s">
        <v>17</v>
      </c>
      <c r="I15" s="14" t="s">
        <v>17</v>
      </c>
      <c r="J15" s="14" t="s">
        <v>16</v>
      </c>
      <c r="K15" s="14" t="s">
        <v>40</v>
      </c>
      <c r="L15" s="14" t="s">
        <v>41</v>
      </c>
      <c r="M15" s="14" t="s">
        <v>20</v>
      </c>
      <c r="N15" s="14" t="s">
        <v>49</v>
      </c>
    </row>
    <row r="16" spans="1:15" x14ac:dyDescent="0.3">
      <c r="B16" s="14" t="s">
        <v>12</v>
      </c>
      <c r="C16" s="14" t="s">
        <v>13</v>
      </c>
      <c r="D16" s="14" t="s">
        <v>42</v>
      </c>
      <c r="E16" s="14" t="s">
        <v>29</v>
      </c>
      <c r="F16" s="14" t="s">
        <v>29</v>
      </c>
      <c r="G16" s="14" t="s">
        <v>16</v>
      </c>
      <c r="H16" s="14" t="s">
        <v>17</v>
      </c>
      <c r="I16" s="14" t="s">
        <v>17</v>
      </c>
      <c r="J16" s="14" t="s">
        <v>16</v>
      </c>
      <c r="K16" s="14" t="s">
        <v>43</v>
      </c>
      <c r="L16" s="14" t="s">
        <v>41</v>
      </c>
      <c r="M16" s="14" t="s">
        <v>20</v>
      </c>
      <c r="N16" s="14" t="s">
        <v>50</v>
      </c>
    </row>
    <row r="17" spans="2:14" x14ac:dyDescent="0.3">
      <c r="B17" s="14" t="s">
        <v>12</v>
      </c>
      <c r="C17" s="14" t="s">
        <v>13</v>
      </c>
      <c r="D17" s="14" t="s">
        <v>42</v>
      </c>
      <c r="E17" s="14" t="s">
        <v>29</v>
      </c>
      <c r="F17" s="14" t="s">
        <v>29</v>
      </c>
      <c r="G17" s="14" t="s">
        <v>16</v>
      </c>
      <c r="H17" s="14" t="s">
        <v>17</v>
      </c>
      <c r="I17" s="14" t="s">
        <v>21</v>
      </c>
      <c r="J17" s="14" t="s">
        <v>20</v>
      </c>
      <c r="K17" s="14" t="s">
        <v>43</v>
      </c>
      <c r="L17" s="14" t="s">
        <v>41</v>
      </c>
      <c r="M17" s="14" t="s">
        <v>20</v>
      </c>
      <c r="N17" s="14" t="s">
        <v>50</v>
      </c>
    </row>
    <row r="18" spans="2:14" x14ac:dyDescent="0.3">
      <c r="B18" s="14" t="s">
        <v>12</v>
      </c>
      <c r="C18" s="14" t="s">
        <v>13</v>
      </c>
      <c r="D18" s="14" t="s">
        <v>44</v>
      </c>
      <c r="E18" s="14" t="s">
        <v>15</v>
      </c>
      <c r="F18" s="14" t="s">
        <v>15</v>
      </c>
      <c r="G18" s="14" t="s">
        <v>16</v>
      </c>
      <c r="H18" s="14" t="s">
        <v>17</v>
      </c>
      <c r="I18" s="14" t="s">
        <v>21</v>
      </c>
      <c r="J18" s="14" t="s">
        <v>20</v>
      </c>
      <c r="K18" s="14" t="s">
        <v>45</v>
      </c>
      <c r="L18" s="14" t="s">
        <v>41</v>
      </c>
      <c r="M18" s="14" t="s">
        <v>20</v>
      </c>
      <c r="N18" s="14" t="s">
        <v>51</v>
      </c>
    </row>
    <row r="19" spans="2:14" x14ac:dyDescent="0.3">
      <c r="B19" s="14" t="s">
        <v>12</v>
      </c>
      <c r="C19" s="14" t="s">
        <v>13</v>
      </c>
      <c r="D19" s="14" t="s">
        <v>44</v>
      </c>
      <c r="E19" s="14" t="s">
        <v>15</v>
      </c>
      <c r="F19" s="14" t="s">
        <v>15</v>
      </c>
      <c r="G19" s="14" t="s">
        <v>16</v>
      </c>
      <c r="H19" s="14" t="s">
        <v>17</v>
      </c>
      <c r="I19" s="14" t="s">
        <v>17</v>
      </c>
      <c r="J19" s="14" t="s">
        <v>16</v>
      </c>
      <c r="K19" s="14" t="s">
        <v>45</v>
      </c>
      <c r="L19" s="14" t="s">
        <v>41</v>
      </c>
      <c r="M19" s="14" t="s">
        <v>20</v>
      </c>
      <c r="N19" s="14" t="s">
        <v>51</v>
      </c>
    </row>
    <row r="20" spans="2:14" x14ac:dyDescent="0.3">
      <c r="B20" s="14" t="s">
        <v>12</v>
      </c>
      <c r="C20" s="14" t="s">
        <v>13</v>
      </c>
      <c r="D20" s="14" t="s">
        <v>46</v>
      </c>
      <c r="E20" s="14" t="s">
        <v>15</v>
      </c>
      <c r="F20" s="14" t="s">
        <v>15</v>
      </c>
      <c r="G20" s="14" t="s">
        <v>16</v>
      </c>
      <c r="H20" s="14" t="s">
        <v>17</v>
      </c>
      <c r="I20" s="14" t="s">
        <v>21</v>
      </c>
      <c r="J20" s="14" t="s">
        <v>20</v>
      </c>
      <c r="K20" s="14" t="s">
        <v>47</v>
      </c>
      <c r="L20" s="14" t="s">
        <v>41</v>
      </c>
      <c r="M20" s="14" t="s">
        <v>20</v>
      </c>
      <c r="N20" s="14" t="s">
        <v>52</v>
      </c>
    </row>
    <row r="21" spans="2:14" x14ac:dyDescent="0.3">
      <c r="B21" s="14" t="s">
        <v>12</v>
      </c>
      <c r="C21" s="14" t="s">
        <v>13</v>
      </c>
      <c r="D21" s="14" t="s">
        <v>46</v>
      </c>
      <c r="E21" s="14" t="s">
        <v>15</v>
      </c>
      <c r="F21" s="14" t="s">
        <v>15</v>
      </c>
      <c r="G21" s="14" t="s">
        <v>16</v>
      </c>
      <c r="H21" s="14" t="s">
        <v>17</v>
      </c>
      <c r="I21" s="14" t="s">
        <v>17</v>
      </c>
      <c r="J21" s="14" t="s">
        <v>16</v>
      </c>
      <c r="K21" s="14" t="s">
        <v>47</v>
      </c>
      <c r="L21" s="14" t="s">
        <v>41</v>
      </c>
      <c r="M21" s="14" t="s">
        <v>20</v>
      </c>
      <c r="N21" s="14" t="s">
        <v>52</v>
      </c>
    </row>
    <row r="22" spans="2:14" x14ac:dyDescent="0.3">
      <c r="B22" s="14" t="s">
        <v>12</v>
      </c>
      <c r="C22" s="14" t="s">
        <v>13</v>
      </c>
      <c r="D22" s="14" t="s">
        <v>48</v>
      </c>
      <c r="E22" s="14" t="s">
        <v>15</v>
      </c>
      <c r="F22" s="14" t="s">
        <v>15</v>
      </c>
      <c r="G22" s="14" t="s">
        <v>16</v>
      </c>
      <c r="H22" s="14" t="s">
        <v>17</v>
      </c>
      <c r="I22" s="14" t="s">
        <v>17</v>
      </c>
      <c r="J22" s="14" t="s">
        <v>16</v>
      </c>
      <c r="K22" s="14" t="s">
        <v>47</v>
      </c>
      <c r="L22" s="14" t="s">
        <v>41</v>
      </c>
      <c r="M22" s="14" t="s">
        <v>20</v>
      </c>
      <c r="N22" s="14" t="s">
        <v>52</v>
      </c>
    </row>
    <row r="23" spans="2:14" x14ac:dyDescent="0.3">
      <c r="B23" s="14" t="s">
        <v>12</v>
      </c>
      <c r="C23" s="14" t="s">
        <v>13</v>
      </c>
      <c r="D23" s="14" t="s">
        <v>48</v>
      </c>
      <c r="E23" s="14" t="s">
        <v>15</v>
      </c>
      <c r="F23" s="14" t="s">
        <v>15</v>
      </c>
      <c r="G23" s="14" t="s">
        <v>16</v>
      </c>
      <c r="H23" s="14" t="s">
        <v>17</v>
      </c>
      <c r="I23" s="14" t="s">
        <v>21</v>
      </c>
      <c r="J23" s="14" t="s">
        <v>20</v>
      </c>
      <c r="K23" s="14" t="s">
        <v>47</v>
      </c>
      <c r="L23" s="14" t="s">
        <v>41</v>
      </c>
      <c r="M23" s="14" t="s">
        <v>20</v>
      </c>
      <c r="N23" s="14" t="s">
        <v>52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09DD-FD25-4CF1-AD44-803BE415BC6D}">
  <sheetPr>
    <tabColor rgb="FF92D050"/>
  </sheetPr>
  <dimension ref="A1:P23"/>
  <sheetViews>
    <sheetView showGridLines="0" workbookViewId="0">
      <selection activeCell="H27" sqref="H27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3.664062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16.21875" bestFit="1" customWidth="1"/>
    <col min="12" max="12" width="14.44140625" bestFit="1" customWidth="1"/>
    <col min="13" max="13" width="15.77734375" bestFit="1" customWidth="1"/>
    <col min="14" max="14" width="118.88671875" bestFit="1" customWidth="1"/>
    <col min="15" max="15" width="3.77734375" customWidth="1"/>
    <col min="16" max="16" width="3.77734375" hidden="1" customWidth="1"/>
    <col min="17" max="16384" width="11.5546875" hidden="1"/>
  </cols>
  <sheetData>
    <row r="1" spans="1:15" x14ac:dyDescent="0.3">
      <c r="D1" s="1"/>
      <c r="K1" s="2"/>
    </row>
    <row r="2" spans="1:15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</row>
    <row r="3" spans="1:15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</row>
    <row r="4" spans="1:15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</row>
    <row r="5" spans="1:15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</row>
    <row r="7" spans="1:15" x14ac:dyDescent="0.3">
      <c r="B7" s="15" t="s">
        <v>66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9" spans="1:15" x14ac:dyDescent="0.3">
      <c r="B9" s="19" t="s">
        <v>33</v>
      </c>
      <c r="C9" s="19"/>
      <c r="D9" s="17">
        <v>478</v>
      </c>
    </row>
    <row r="11" spans="1:15" x14ac:dyDescent="0.3">
      <c r="B11" t="s">
        <v>34</v>
      </c>
    </row>
    <row r="13" spans="1:15" x14ac:dyDescent="0.3">
      <c r="B13" s="13" t="s">
        <v>0</v>
      </c>
      <c r="C13" s="13" t="s">
        <v>1</v>
      </c>
      <c r="D13" s="13" t="s">
        <v>2</v>
      </c>
      <c r="E13" s="13" t="s">
        <v>3</v>
      </c>
      <c r="F13" s="13" t="s">
        <v>4</v>
      </c>
      <c r="G13" s="13" t="s">
        <v>5</v>
      </c>
      <c r="H13" s="13" t="s">
        <v>6</v>
      </c>
      <c r="I13" s="13" t="s">
        <v>7</v>
      </c>
      <c r="J13" s="13" t="s">
        <v>8</v>
      </c>
      <c r="K13" s="13" t="s">
        <v>63</v>
      </c>
      <c r="L13" s="13" t="s">
        <v>64</v>
      </c>
      <c r="M13" s="13" t="s">
        <v>65</v>
      </c>
      <c r="N13" s="18" t="s">
        <v>27</v>
      </c>
    </row>
    <row r="14" spans="1:15" x14ac:dyDescent="0.3">
      <c r="B14" s="14" t="s">
        <v>12</v>
      </c>
      <c r="C14" s="14" t="s">
        <v>13</v>
      </c>
      <c r="D14" s="14" t="s">
        <v>53</v>
      </c>
      <c r="E14" s="14" t="s">
        <v>15</v>
      </c>
      <c r="F14" s="14" t="s">
        <v>15</v>
      </c>
      <c r="G14" s="14" t="s">
        <v>16</v>
      </c>
      <c r="H14" s="14" t="s">
        <v>17</v>
      </c>
      <c r="I14" s="14" t="s">
        <v>17</v>
      </c>
      <c r="J14" s="14" t="s">
        <v>16</v>
      </c>
      <c r="K14" s="14" t="s">
        <v>54</v>
      </c>
      <c r="L14" s="14" t="s">
        <v>55</v>
      </c>
      <c r="M14" s="14" t="s">
        <v>20</v>
      </c>
      <c r="N14" s="14" t="s">
        <v>61</v>
      </c>
    </row>
    <row r="15" spans="1:15" x14ac:dyDescent="0.3">
      <c r="B15" s="14" t="s">
        <v>12</v>
      </c>
      <c r="C15" s="14" t="s">
        <v>13</v>
      </c>
      <c r="D15" s="14" t="s">
        <v>53</v>
      </c>
      <c r="E15" s="14" t="s">
        <v>15</v>
      </c>
      <c r="F15" s="14" t="s">
        <v>15</v>
      </c>
      <c r="G15" s="14" t="s">
        <v>16</v>
      </c>
      <c r="H15" s="14" t="s">
        <v>17</v>
      </c>
      <c r="I15" s="14" t="s">
        <v>21</v>
      </c>
      <c r="J15" s="14" t="s">
        <v>20</v>
      </c>
      <c r="K15" s="14" t="s">
        <v>54</v>
      </c>
      <c r="L15" s="14" t="s">
        <v>55</v>
      </c>
      <c r="M15" s="14" t="s">
        <v>20</v>
      </c>
      <c r="N15" s="14" t="s">
        <v>61</v>
      </c>
    </row>
    <row r="16" spans="1:15" x14ac:dyDescent="0.3">
      <c r="B16" s="14" t="s">
        <v>12</v>
      </c>
      <c r="C16" s="14" t="s">
        <v>13</v>
      </c>
      <c r="D16" s="14" t="s">
        <v>56</v>
      </c>
      <c r="E16" s="14" t="s">
        <v>15</v>
      </c>
      <c r="F16" s="14" t="s">
        <v>15</v>
      </c>
      <c r="G16" s="14" t="s">
        <v>16</v>
      </c>
      <c r="H16" s="14" t="s">
        <v>17</v>
      </c>
      <c r="I16" s="14" t="s">
        <v>21</v>
      </c>
      <c r="J16" s="14" t="s">
        <v>20</v>
      </c>
      <c r="K16" s="14" t="s">
        <v>54</v>
      </c>
      <c r="L16" s="14" t="s">
        <v>55</v>
      </c>
      <c r="M16" s="14" t="s">
        <v>20</v>
      </c>
      <c r="N16" s="14" t="s">
        <v>61</v>
      </c>
    </row>
    <row r="17" spans="2:14" x14ac:dyDescent="0.3">
      <c r="B17" s="14" t="s">
        <v>12</v>
      </c>
      <c r="C17" s="14" t="s">
        <v>13</v>
      </c>
      <c r="D17" s="14" t="s">
        <v>56</v>
      </c>
      <c r="E17" s="14" t="s">
        <v>15</v>
      </c>
      <c r="F17" s="14" t="s">
        <v>15</v>
      </c>
      <c r="G17" s="14" t="s">
        <v>16</v>
      </c>
      <c r="H17" s="14" t="s">
        <v>17</v>
      </c>
      <c r="I17" s="14" t="s">
        <v>17</v>
      </c>
      <c r="J17" s="14" t="s">
        <v>16</v>
      </c>
      <c r="K17" s="14" t="s">
        <v>54</v>
      </c>
      <c r="L17" s="14" t="s">
        <v>55</v>
      </c>
      <c r="M17" s="14" t="s">
        <v>20</v>
      </c>
      <c r="N17" s="14" t="s">
        <v>61</v>
      </c>
    </row>
    <row r="18" spans="2:14" x14ac:dyDescent="0.3">
      <c r="B18" s="14" t="s">
        <v>12</v>
      </c>
      <c r="C18" s="14" t="s">
        <v>13</v>
      </c>
      <c r="D18" s="14" t="s">
        <v>57</v>
      </c>
      <c r="E18" s="14" t="s">
        <v>15</v>
      </c>
      <c r="F18" s="14" t="s">
        <v>15</v>
      </c>
      <c r="G18" s="14" t="s">
        <v>16</v>
      </c>
      <c r="H18" s="14" t="s">
        <v>17</v>
      </c>
      <c r="I18" s="14" t="s">
        <v>17</v>
      </c>
      <c r="J18" s="14" t="s">
        <v>16</v>
      </c>
      <c r="K18" s="14" t="s">
        <v>54</v>
      </c>
      <c r="L18" s="14" t="s">
        <v>55</v>
      </c>
      <c r="M18" s="14" t="s">
        <v>20</v>
      </c>
      <c r="N18" s="14" t="s">
        <v>61</v>
      </c>
    </row>
    <row r="19" spans="2:14" x14ac:dyDescent="0.3">
      <c r="B19" s="14" t="s">
        <v>12</v>
      </c>
      <c r="C19" s="14" t="s">
        <v>13</v>
      </c>
      <c r="D19" s="14" t="s">
        <v>57</v>
      </c>
      <c r="E19" s="14" t="s">
        <v>15</v>
      </c>
      <c r="F19" s="14" t="s">
        <v>15</v>
      </c>
      <c r="G19" s="14" t="s">
        <v>16</v>
      </c>
      <c r="H19" s="14" t="s">
        <v>17</v>
      </c>
      <c r="I19" s="14" t="s">
        <v>21</v>
      </c>
      <c r="J19" s="14" t="s">
        <v>20</v>
      </c>
      <c r="K19" s="14" t="s">
        <v>54</v>
      </c>
      <c r="L19" s="14" t="s">
        <v>55</v>
      </c>
      <c r="M19" s="14" t="s">
        <v>20</v>
      </c>
      <c r="N19" s="14" t="s">
        <v>61</v>
      </c>
    </row>
    <row r="20" spans="2:14" x14ac:dyDescent="0.3">
      <c r="B20" s="14" t="s">
        <v>12</v>
      </c>
      <c r="C20" s="14" t="s">
        <v>13</v>
      </c>
      <c r="D20" s="14" t="s">
        <v>58</v>
      </c>
      <c r="E20" s="14" t="s">
        <v>15</v>
      </c>
      <c r="F20" s="14" t="s">
        <v>15</v>
      </c>
      <c r="G20" s="14" t="s">
        <v>16</v>
      </c>
      <c r="H20" s="14" t="s">
        <v>17</v>
      </c>
      <c r="I20" s="14" t="s">
        <v>17</v>
      </c>
      <c r="J20" s="14" t="s">
        <v>16</v>
      </c>
      <c r="K20" s="14" t="s">
        <v>59</v>
      </c>
      <c r="L20" s="14" t="s">
        <v>55</v>
      </c>
      <c r="M20" s="14" t="s">
        <v>20</v>
      </c>
      <c r="N20" s="14" t="s">
        <v>62</v>
      </c>
    </row>
    <row r="21" spans="2:14" x14ac:dyDescent="0.3">
      <c r="B21" s="14" t="s">
        <v>12</v>
      </c>
      <c r="C21" s="14" t="s">
        <v>13</v>
      </c>
      <c r="D21" s="14" t="s">
        <v>58</v>
      </c>
      <c r="E21" s="14" t="s">
        <v>15</v>
      </c>
      <c r="F21" s="14" t="s">
        <v>15</v>
      </c>
      <c r="G21" s="14" t="s">
        <v>16</v>
      </c>
      <c r="H21" s="14" t="s">
        <v>17</v>
      </c>
      <c r="I21" s="14" t="s">
        <v>21</v>
      </c>
      <c r="J21" s="14" t="s">
        <v>20</v>
      </c>
      <c r="K21" s="14" t="s">
        <v>59</v>
      </c>
      <c r="L21" s="14" t="s">
        <v>55</v>
      </c>
      <c r="M21" s="14" t="s">
        <v>20</v>
      </c>
      <c r="N21" s="14" t="s">
        <v>62</v>
      </c>
    </row>
    <row r="22" spans="2:14" x14ac:dyDescent="0.3">
      <c r="B22" s="14" t="s">
        <v>12</v>
      </c>
      <c r="C22" s="14" t="s">
        <v>13</v>
      </c>
      <c r="D22" s="14" t="s">
        <v>60</v>
      </c>
      <c r="E22" s="14" t="s">
        <v>15</v>
      </c>
      <c r="F22" s="14" t="s">
        <v>15</v>
      </c>
      <c r="G22" s="14" t="s">
        <v>16</v>
      </c>
      <c r="H22" s="14" t="s">
        <v>17</v>
      </c>
      <c r="I22" s="14" t="s">
        <v>21</v>
      </c>
      <c r="J22" s="14" t="s">
        <v>20</v>
      </c>
      <c r="K22" s="14" t="s">
        <v>59</v>
      </c>
      <c r="L22" s="14" t="s">
        <v>55</v>
      </c>
      <c r="M22" s="14" t="s">
        <v>20</v>
      </c>
      <c r="N22" s="14" t="s">
        <v>62</v>
      </c>
    </row>
    <row r="23" spans="2:14" x14ac:dyDescent="0.3">
      <c r="B23" s="14" t="s">
        <v>12</v>
      </c>
      <c r="C23" s="14" t="s">
        <v>13</v>
      </c>
      <c r="D23" s="14" t="s">
        <v>60</v>
      </c>
      <c r="E23" s="14" t="s">
        <v>15</v>
      </c>
      <c r="F23" s="14" t="s">
        <v>15</v>
      </c>
      <c r="G23" s="14" t="s">
        <v>16</v>
      </c>
      <c r="H23" s="14" t="s">
        <v>17</v>
      </c>
      <c r="I23" s="14" t="s">
        <v>17</v>
      </c>
      <c r="J23" s="14" t="s">
        <v>16</v>
      </c>
      <c r="K23" s="14" t="s">
        <v>59</v>
      </c>
      <c r="L23" s="14" t="s">
        <v>55</v>
      </c>
      <c r="M23" s="14" t="s">
        <v>20</v>
      </c>
      <c r="N23" s="14" t="s">
        <v>62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7B53-CC83-44DE-B15B-1568132BB717}">
  <sheetPr>
    <tabColor rgb="FF92D050"/>
  </sheetPr>
  <dimension ref="A1:P23"/>
  <sheetViews>
    <sheetView showGridLines="0" workbookViewId="0">
      <selection activeCell="H27" sqref="H27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3.664062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16.21875" bestFit="1" customWidth="1"/>
    <col min="12" max="12" width="14.44140625" bestFit="1" customWidth="1"/>
    <col min="13" max="13" width="15.77734375" bestFit="1" customWidth="1"/>
    <col min="14" max="14" width="127.77734375" bestFit="1" customWidth="1"/>
    <col min="15" max="15" width="3.77734375" customWidth="1"/>
    <col min="16" max="16" width="3.77734375" hidden="1" customWidth="1"/>
    <col min="17" max="16384" width="11.5546875" hidden="1"/>
  </cols>
  <sheetData>
    <row r="1" spans="1:15" x14ac:dyDescent="0.3">
      <c r="D1" s="1"/>
      <c r="K1" s="2"/>
    </row>
    <row r="2" spans="1:15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</row>
    <row r="3" spans="1:15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</row>
    <row r="4" spans="1:15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</row>
    <row r="5" spans="1:15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</row>
    <row r="7" spans="1:15" x14ac:dyDescent="0.3">
      <c r="B7" s="15" t="s">
        <v>67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9" spans="1:15" x14ac:dyDescent="0.3">
      <c r="B9" s="19" t="s">
        <v>33</v>
      </c>
      <c r="C9" s="19"/>
      <c r="D9" s="17">
        <v>478</v>
      </c>
    </row>
    <row r="11" spans="1:15" x14ac:dyDescent="0.3">
      <c r="B11" t="s">
        <v>34</v>
      </c>
    </row>
    <row r="13" spans="1:15" x14ac:dyDescent="0.3">
      <c r="B13" s="13" t="s">
        <v>0</v>
      </c>
      <c r="C13" s="13" t="s">
        <v>1</v>
      </c>
      <c r="D13" s="13" t="s">
        <v>2</v>
      </c>
      <c r="E13" s="13" t="s">
        <v>3</v>
      </c>
      <c r="F13" s="13" t="s">
        <v>4</v>
      </c>
      <c r="G13" s="13" t="s">
        <v>5</v>
      </c>
      <c r="H13" s="13" t="s">
        <v>6</v>
      </c>
      <c r="I13" s="13" t="s">
        <v>7</v>
      </c>
      <c r="J13" s="13" t="s">
        <v>8</v>
      </c>
      <c r="K13" s="13" t="s">
        <v>68</v>
      </c>
      <c r="L13" s="13" t="s">
        <v>69</v>
      </c>
      <c r="M13" s="13" t="s">
        <v>70</v>
      </c>
      <c r="N13" s="18" t="s">
        <v>27</v>
      </c>
    </row>
    <row r="14" spans="1:15" x14ac:dyDescent="0.3">
      <c r="B14" s="14" t="s">
        <v>12</v>
      </c>
      <c r="C14" s="14" t="s">
        <v>13</v>
      </c>
      <c r="D14" s="14" t="s">
        <v>71</v>
      </c>
      <c r="E14" s="14" t="s">
        <v>15</v>
      </c>
      <c r="F14" s="14" t="s">
        <v>15</v>
      </c>
      <c r="G14" s="14" t="s">
        <v>16</v>
      </c>
      <c r="H14" s="14" t="s">
        <v>17</v>
      </c>
      <c r="I14" s="14" t="s">
        <v>21</v>
      </c>
      <c r="J14" s="14" t="s">
        <v>20</v>
      </c>
      <c r="K14" s="14" t="s">
        <v>72</v>
      </c>
      <c r="L14" s="14" t="s">
        <v>55</v>
      </c>
      <c r="M14" s="14" t="s">
        <v>20</v>
      </c>
      <c r="N14" s="14" t="s">
        <v>74</v>
      </c>
    </row>
    <row r="15" spans="1:15" x14ac:dyDescent="0.3">
      <c r="B15" s="14" t="s">
        <v>12</v>
      </c>
      <c r="C15" s="14" t="s">
        <v>13</v>
      </c>
      <c r="D15" s="14" t="s">
        <v>71</v>
      </c>
      <c r="E15" s="14" t="s">
        <v>15</v>
      </c>
      <c r="F15" s="14" t="s">
        <v>15</v>
      </c>
      <c r="G15" s="14" t="s">
        <v>16</v>
      </c>
      <c r="H15" s="14" t="s">
        <v>17</v>
      </c>
      <c r="I15" s="14" t="s">
        <v>17</v>
      </c>
      <c r="J15" s="14" t="s">
        <v>16</v>
      </c>
      <c r="K15" s="14" t="s">
        <v>72</v>
      </c>
      <c r="L15" s="14" t="s">
        <v>55</v>
      </c>
      <c r="M15" s="14" t="s">
        <v>20</v>
      </c>
      <c r="N15" s="14" t="s">
        <v>74</v>
      </c>
    </row>
    <row r="16" spans="1:15" x14ac:dyDescent="0.3">
      <c r="B16" s="14" t="s">
        <v>12</v>
      </c>
      <c r="C16" s="14" t="s">
        <v>13</v>
      </c>
      <c r="D16" s="14" t="s">
        <v>73</v>
      </c>
      <c r="E16" s="14" t="s">
        <v>15</v>
      </c>
      <c r="F16" s="14" t="s">
        <v>15</v>
      </c>
      <c r="G16" s="14" t="s">
        <v>16</v>
      </c>
      <c r="H16" s="14" t="s">
        <v>17</v>
      </c>
      <c r="I16" s="14" t="s">
        <v>17</v>
      </c>
      <c r="J16" s="14" t="s">
        <v>16</v>
      </c>
      <c r="K16" s="14" t="s">
        <v>72</v>
      </c>
      <c r="L16" s="14" t="s">
        <v>55</v>
      </c>
      <c r="M16" s="14" t="s">
        <v>20</v>
      </c>
      <c r="N16" s="14" t="s">
        <v>74</v>
      </c>
    </row>
    <row r="17" spans="2:14" x14ac:dyDescent="0.3">
      <c r="B17" s="14" t="s">
        <v>12</v>
      </c>
      <c r="C17" s="14" t="s">
        <v>13</v>
      </c>
      <c r="D17" s="14" t="s">
        <v>73</v>
      </c>
      <c r="E17" s="14" t="s">
        <v>15</v>
      </c>
      <c r="F17" s="14" t="s">
        <v>15</v>
      </c>
      <c r="G17" s="14" t="s">
        <v>16</v>
      </c>
      <c r="H17" s="14" t="s">
        <v>17</v>
      </c>
      <c r="I17" s="14" t="s">
        <v>21</v>
      </c>
      <c r="J17" s="14" t="s">
        <v>20</v>
      </c>
      <c r="K17" s="14" t="s">
        <v>72</v>
      </c>
      <c r="L17" s="14" t="s">
        <v>55</v>
      </c>
      <c r="M17" s="14" t="s">
        <v>20</v>
      </c>
      <c r="N17" s="14" t="s">
        <v>74</v>
      </c>
    </row>
    <row r="18" spans="2:14" x14ac:dyDescent="0.3">
      <c r="B18" s="14" t="s">
        <v>12</v>
      </c>
      <c r="C18" s="14" t="s">
        <v>13</v>
      </c>
      <c r="D18" s="14" t="s">
        <v>53</v>
      </c>
      <c r="E18" s="14" t="s">
        <v>15</v>
      </c>
      <c r="F18" s="14" t="s">
        <v>15</v>
      </c>
      <c r="G18" s="14" t="s">
        <v>16</v>
      </c>
      <c r="H18" s="14" t="s">
        <v>17</v>
      </c>
      <c r="I18" s="14" t="s">
        <v>17</v>
      </c>
      <c r="J18" s="14" t="s">
        <v>16</v>
      </c>
      <c r="K18" s="14" t="s">
        <v>72</v>
      </c>
      <c r="L18" s="14" t="s">
        <v>55</v>
      </c>
      <c r="M18" s="14" t="s">
        <v>20</v>
      </c>
      <c r="N18" s="14" t="s">
        <v>74</v>
      </c>
    </row>
    <row r="19" spans="2:14" x14ac:dyDescent="0.3">
      <c r="B19" s="14" t="s">
        <v>12</v>
      </c>
      <c r="C19" s="14" t="s">
        <v>13</v>
      </c>
      <c r="D19" s="14" t="s">
        <v>53</v>
      </c>
      <c r="E19" s="14" t="s">
        <v>15</v>
      </c>
      <c r="F19" s="14" t="s">
        <v>15</v>
      </c>
      <c r="G19" s="14" t="s">
        <v>16</v>
      </c>
      <c r="H19" s="14" t="s">
        <v>17</v>
      </c>
      <c r="I19" s="14" t="s">
        <v>21</v>
      </c>
      <c r="J19" s="14" t="s">
        <v>20</v>
      </c>
      <c r="K19" s="14" t="s">
        <v>72</v>
      </c>
      <c r="L19" s="14" t="s">
        <v>55</v>
      </c>
      <c r="M19" s="14" t="s">
        <v>20</v>
      </c>
      <c r="N19" s="14" t="s">
        <v>74</v>
      </c>
    </row>
    <row r="20" spans="2:14" x14ac:dyDescent="0.3">
      <c r="B20" s="14" t="s">
        <v>12</v>
      </c>
      <c r="C20" s="14" t="s">
        <v>13</v>
      </c>
      <c r="D20" s="14" t="s">
        <v>57</v>
      </c>
      <c r="E20" s="14" t="s">
        <v>15</v>
      </c>
      <c r="F20" s="14" t="s">
        <v>15</v>
      </c>
      <c r="G20" s="14" t="s">
        <v>16</v>
      </c>
      <c r="H20" s="14" t="s">
        <v>17</v>
      </c>
      <c r="I20" s="14" t="s">
        <v>21</v>
      </c>
      <c r="J20" s="14" t="s">
        <v>20</v>
      </c>
      <c r="K20" s="14" t="s">
        <v>72</v>
      </c>
      <c r="L20" s="14" t="s">
        <v>55</v>
      </c>
      <c r="M20" s="14" t="s">
        <v>20</v>
      </c>
      <c r="N20" s="14" t="s">
        <v>74</v>
      </c>
    </row>
    <row r="21" spans="2:14" x14ac:dyDescent="0.3">
      <c r="B21" s="14" t="s">
        <v>12</v>
      </c>
      <c r="C21" s="14" t="s">
        <v>13</v>
      </c>
      <c r="D21" s="14" t="s">
        <v>57</v>
      </c>
      <c r="E21" s="14" t="s">
        <v>15</v>
      </c>
      <c r="F21" s="14" t="s">
        <v>15</v>
      </c>
      <c r="G21" s="14" t="s">
        <v>16</v>
      </c>
      <c r="H21" s="14" t="s">
        <v>17</v>
      </c>
      <c r="I21" s="14" t="s">
        <v>17</v>
      </c>
      <c r="J21" s="14" t="s">
        <v>16</v>
      </c>
      <c r="K21" s="14" t="s">
        <v>72</v>
      </c>
      <c r="L21" s="14" t="s">
        <v>55</v>
      </c>
      <c r="M21" s="14" t="s">
        <v>20</v>
      </c>
      <c r="N21" s="14" t="s">
        <v>74</v>
      </c>
    </row>
    <row r="22" spans="2:14" x14ac:dyDescent="0.3">
      <c r="B22" s="14" t="s">
        <v>12</v>
      </c>
      <c r="C22" s="14" t="s">
        <v>13</v>
      </c>
      <c r="D22" s="14" t="s">
        <v>58</v>
      </c>
      <c r="E22" s="14" t="s">
        <v>15</v>
      </c>
      <c r="F22" s="14" t="s">
        <v>15</v>
      </c>
      <c r="G22" s="14" t="s">
        <v>16</v>
      </c>
      <c r="H22" s="14" t="s">
        <v>17</v>
      </c>
      <c r="I22" s="14" t="s">
        <v>17</v>
      </c>
      <c r="J22" s="14" t="s">
        <v>16</v>
      </c>
      <c r="K22" s="14" t="s">
        <v>72</v>
      </c>
      <c r="L22" s="14" t="s">
        <v>55</v>
      </c>
      <c r="M22" s="14" t="s">
        <v>20</v>
      </c>
      <c r="N22" s="14" t="s">
        <v>74</v>
      </c>
    </row>
    <row r="23" spans="2:14" x14ac:dyDescent="0.3">
      <c r="B23" s="14" t="s">
        <v>12</v>
      </c>
      <c r="C23" s="14" t="s">
        <v>13</v>
      </c>
      <c r="D23" s="14" t="s">
        <v>58</v>
      </c>
      <c r="E23" s="14" t="s">
        <v>15</v>
      </c>
      <c r="F23" s="14" t="s">
        <v>15</v>
      </c>
      <c r="G23" s="14" t="s">
        <v>16</v>
      </c>
      <c r="H23" s="14" t="s">
        <v>17</v>
      </c>
      <c r="I23" s="14" t="s">
        <v>21</v>
      </c>
      <c r="J23" s="14" t="s">
        <v>20</v>
      </c>
      <c r="K23" s="14" t="s">
        <v>72</v>
      </c>
      <c r="L23" s="14" t="s">
        <v>55</v>
      </c>
      <c r="M23" s="14" t="s">
        <v>20</v>
      </c>
      <c r="N23" s="14" t="s">
        <v>74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AF1E-22FE-4216-894E-CD3496DD9258}">
  <sheetPr>
    <tabColor theme="8" tint="0.59999389629810485"/>
  </sheetPr>
  <dimension ref="A1:O16"/>
  <sheetViews>
    <sheetView showGridLines="0" workbookViewId="0">
      <selection activeCell="I22" sqref="I22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4" width="20.5546875" bestFit="1" customWidth="1"/>
    <col min="5" max="5" width="18.88671875" bestFit="1" customWidth="1"/>
    <col min="6" max="6" width="20.109375" bestFit="1" customWidth="1"/>
    <col min="7" max="7" width="9.21875" bestFit="1" customWidth="1"/>
    <col min="8" max="8" width="11.88671875" bestFit="1" customWidth="1"/>
    <col min="9" max="9" width="95.5546875" bestFit="1" customWidth="1"/>
    <col min="10" max="10" width="3.77734375" customWidth="1"/>
    <col min="16" max="16384" width="8.88671875" hidden="1"/>
  </cols>
  <sheetData>
    <row r="1" spans="1:10" x14ac:dyDescent="0.3">
      <c r="D1" s="1"/>
    </row>
    <row r="2" spans="1:10" x14ac:dyDescent="0.3">
      <c r="A2" s="3"/>
      <c r="B2" s="3"/>
      <c r="C2" s="3"/>
      <c r="D2" s="4"/>
      <c r="E2" s="3"/>
      <c r="F2" s="3"/>
      <c r="G2" s="3"/>
      <c r="H2" s="3"/>
      <c r="I2" s="3"/>
      <c r="J2" s="3"/>
    </row>
    <row r="3" spans="1:10" x14ac:dyDescent="0.3">
      <c r="A3" s="6"/>
      <c r="B3" s="6"/>
      <c r="C3" s="6"/>
      <c r="D3" s="4"/>
      <c r="E3" s="7"/>
      <c r="F3" s="7"/>
      <c r="G3" s="8"/>
      <c r="H3" s="8"/>
      <c r="I3" s="8"/>
      <c r="J3" s="8"/>
    </row>
    <row r="4" spans="1:10" x14ac:dyDescent="0.3">
      <c r="A4" s="3"/>
      <c r="B4" s="3"/>
      <c r="C4" s="3"/>
      <c r="D4" s="4"/>
      <c r="E4" s="3"/>
      <c r="F4" s="3"/>
      <c r="G4" s="3"/>
      <c r="H4" s="3"/>
      <c r="I4" s="3"/>
      <c r="J4" s="3"/>
    </row>
    <row r="5" spans="1:1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</row>
    <row r="7" spans="1:10" x14ac:dyDescent="0.3">
      <c r="B7" s="15" t="s">
        <v>85</v>
      </c>
      <c r="C7" s="16"/>
      <c r="D7" s="16"/>
      <c r="E7" s="16"/>
      <c r="F7" s="16"/>
      <c r="G7" s="16"/>
      <c r="H7" s="16"/>
      <c r="I7" s="16"/>
    </row>
    <row r="9" spans="1:10" x14ac:dyDescent="0.3">
      <c r="B9" s="19" t="s">
        <v>33</v>
      </c>
      <c r="C9" s="19"/>
      <c r="D9" s="21">
        <v>38411</v>
      </c>
    </row>
    <row r="11" spans="1:10" x14ac:dyDescent="0.3">
      <c r="B11" s="13" t="s">
        <v>0</v>
      </c>
      <c r="C11" s="13" t="s">
        <v>1</v>
      </c>
      <c r="D11" s="13" t="s">
        <v>75</v>
      </c>
      <c r="E11" s="13" t="s">
        <v>76</v>
      </c>
      <c r="F11" s="13" t="s">
        <v>77</v>
      </c>
      <c r="G11" s="13" t="s">
        <v>86</v>
      </c>
      <c r="H11" s="13" t="s">
        <v>87</v>
      </c>
      <c r="I11" s="18" t="s">
        <v>27</v>
      </c>
    </row>
    <row r="12" spans="1:10" x14ac:dyDescent="0.3">
      <c r="B12" s="14" t="s">
        <v>12</v>
      </c>
      <c r="C12" s="14" t="s">
        <v>81</v>
      </c>
      <c r="D12" s="14" t="s">
        <v>82</v>
      </c>
      <c r="E12" s="14" t="s">
        <v>80</v>
      </c>
      <c r="F12" s="14" t="s">
        <v>20</v>
      </c>
      <c r="G12" s="22">
        <v>35644</v>
      </c>
      <c r="H12" s="23">
        <v>45808</v>
      </c>
      <c r="I12" s="24" t="s">
        <v>88</v>
      </c>
    </row>
    <row r="13" spans="1:10" x14ac:dyDescent="0.3">
      <c r="B13" s="14" t="s">
        <v>12</v>
      </c>
      <c r="C13" s="14" t="s">
        <v>81</v>
      </c>
      <c r="D13" s="14" t="s">
        <v>82</v>
      </c>
      <c r="E13" s="14" t="s">
        <v>83</v>
      </c>
      <c r="F13" s="14" t="s">
        <v>20</v>
      </c>
      <c r="G13" s="22">
        <v>42</v>
      </c>
      <c r="H13" s="23">
        <v>45808</v>
      </c>
      <c r="I13" s="24" t="s">
        <v>88</v>
      </c>
    </row>
    <row r="14" spans="1:10" x14ac:dyDescent="0.3">
      <c r="B14" s="14" t="s">
        <v>12</v>
      </c>
      <c r="C14" s="14" t="s">
        <v>81</v>
      </c>
      <c r="D14" s="14" t="s">
        <v>82</v>
      </c>
      <c r="E14" s="14" t="s">
        <v>79</v>
      </c>
      <c r="F14" s="14" t="s">
        <v>20</v>
      </c>
      <c r="G14" s="22">
        <v>2277</v>
      </c>
      <c r="H14" s="23">
        <v>45808</v>
      </c>
      <c r="I14" s="24" t="s">
        <v>88</v>
      </c>
    </row>
    <row r="15" spans="1:10" x14ac:dyDescent="0.3">
      <c r="B15" s="14" t="s">
        <v>12</v>
      </c>
      <c r="C15" s="14" t="s">
        <v>81</v>
      </c>
      <c r="D15" s="14" t="s">
        <v>82</v>
      </c>
      <c r="E15" s="14" t="s">
        <v>78</v>
      </c>
      <c r="F15" s="14" t="s">
        <v>20</v>
      </c>
      <c r="G15" s="22">
        <v>201</v>
      </c>
      <c r="H15" s="23">
        <v>45808</v>
      </c>
      <c r="I15" s="24" t="s">
        <v>88</v>
      </c>
    </row>
    <row r="16" spans="1:10" x14ac:dyDescent="0.3">
      <c r="B16" s="14" t="s">
        <v>12</v>
      </c>
      <c r="C16" s="14" t="s">
        <v>81</v>
      </c>
      <c r="D16" s="14" t="s">
        <v>82</v>
      </c>
      <c r="E16" s="14" t="s">
        <v>84</v>
      </c>
      <c r="F16" s="14" t="s">
        <v>20</v>
      </c>
      <c r="G16" s="22">
        <v>247</v>
      </c>
      <c r="H16" s="23">
        <v>45808</v>
      </c>
      <c r="I16" s="24" t="s">
        <v>88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1B5E-6544-433A-9FC1-4D8E335620E7}">
  <sheetPr>
    <tabColor theme="8" tint="0.59999389629810485"/>
  </sheetPr>
  <dimension ref="A1:P29"/>
  <sheetViews>
    <sheetView showGridLines="0" workbookViewId="0">
      <selection activeCell="D9" sqref="D9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4" width="18" bestFit="1" customWidth="1"/>
    <col min="5" max="5" width="16.109375" bestFit="1" customWidth="1"/>
    <col min="6" max="6" width="17.5546875" bestFit="1" customWidth="1"/>
    <col min="7" max="7" width="10.5546875" bestFit="1" customWidth="1"/>
    <col min="8" max="8" width="12" bestFit="1" customWidth="1"/>
    <col min="9" max="9" width="91.33203125" bestFit="1" customWidth="1"/>
    <col min="10" max="10" width="3.77734375" customWidth="1"/>
    <col min="17" max="16384" width="8.88671875" hidden="1"/>
  </cols>
  <sheetData>
    <row r="1" spans="1:10" x14ac:dyDescent="0.3">
      <c r="D1" s="1"/>
    </row>
    <row r="2" spans="1:10" x14ac:dyDescent="0.3">
      <c r="A2" s="3"/>
      <c r="B2" s="3"/>
      <c r="C2" s="3"/>
      <c r="D2" s="4"/>
      <c r="E2" s="3"/>
      <c r="F2" s="3"/>
      <c r="G2" s="3"/>
      <c r="H2" s="3"/>
      <c r="I2" s="3"/>
      <c r="J2" s="3"/>
    </row>
    <row r="3" spans="1:10" x14ac:dyDescent="0.3">
      <c r="A3" s="6"/>
      <c r="B3" s="6"/>
      <c r="C3" s="6"/>
      <c r="D3" s="4"/>
      <c r="E3" s="7"/>
      <c r="F3" s="7"/>
      <c r="G3" s="8"/>
      <c r="H3" s="8"/>
      <c r="I3" s="8"/>
      <c r="J3" s="8"/>
    </row>
    <row r="4" spans="1:10" x14ac:dyDescent="0.3">
      <c r="A4" s="3"/>
      <c r="B4" s="3"/>
      <c r="C4" s="3"/>
      <c r="D4" s="4"/>
      <c r="E4" s="3"/>
      <c r="F4" s="3"/>
      <c r="G4" s="3"/>
      <c r="H4" s="3"/>
      <c r="I4" s="3"/>
      <c r="J4" s="3"/>
    </row>
    <row r="5" spans="1:1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</row>
    <row r="7" spans="1:10" x14ac:dyDescent="0.3">
      <c r="B7" s="15" t="s">
        <v>110</v>
      </c>
      <c r="C7" s="16"/>
      <c r="D7" s="16"/>
      <c r="E7" s="16"/>
      <c r="F7" s="16"/>
      <c r="G7" s="16"/>
      <c r="H7" s="16"/>
      <c r="I7" s="16"/>
    </row>
    <row r="9" spans="1:10" x14ac:dyDescent="0.3">
      <c r="B9" s="19" t="s">
        <v>33</v>
      </c>
      <c r="C9" s="19"/>
      <c r="D9" s="21">
        <f>SUM(G12:G29)</f>
        <v>38411</v>
      </c>
    </row>
    <row r="11" spans="1:10" x14ac:dyDescent="0.3">
      <c r="B11" s="13" t="s">
        <v>0</v>
      </c>
      <c r="C11" s="13" t="s">
        <v>1</v>
      </c>
      <c r="D11" s="13" t="s">
        <v>89</v>
      </c>
      <c r="E11" s="13" t="s">
        <v>90</v>
      </c>
      <c r="F11" s="13" t="s">
        <v>91</v>
      </c>
      <c r="G11" s="13" t="s">
        <v>86</v>
      </c>
      <c r="H11" s="13" t="s">
        <v>87</v>
      </c>
      <c r="I11" s="18" t="s">
        <v>27</v>
      </c>
    </row>
    <row r="12" spans="1:10" x14ac:dyDescent="0.3">
      <c r="B12" s="14" t="s">
        <v>12</v>
      </c>
      <c r="C12" s="14" t="s">
        <v>81</v>
      </c>
      <c r="D12" s="14" t="s">
        <v>82</v>
      </c>
      <c r="E12" s="14" t="s">
        <v>92</v>
      </c>
      <c r="F12" s="14" t="s">
        <v>20</v>
      </c>
      <c r="G12" s="22">
        <v>1</v>
      </c>
      <c r="H12" s="23">
        <v>45808</v>
      </c>
      <c r="I12" s="24" t="s">
        <v>88</v>
      </c>
    </row>
    <row r="13" spans="1:10" x14ac:dyDescent="0.3">
      <c r="B13" s="14" t="s">
        <v>12</v>
      </c>
      <c r="C13" s="14" t="s">
        <v>81</v>
      </c>
      <c r="D13" s="14" t="s">
        <v>82</v>
      </c>
      <c r="E13" s="14" t="s">
        <v>93</v>
      </c>
      <c r="F13" s="14" t="s">
        <v>20</v>
      </c>
      <c r="G13" s="22">
        <v>258</v>
      </c>
      <c r="H13" s="23">
        <v>45808</v>
      </c>
      <c r="I13" s="24" t="s">
        <v>88</v>
      </c>
    </row>
    <row r="14" spans="1:10" x14ac:dyDescent="0.3">
      <c r="B14" s="14" t="s">
        <v>12</v>
      </c>
      <c r="C14" s="14" t="s">
        <v>81</v>
      </c>
      <c r="D14" s="14" t="s">
        <v>82</v>
      </c>
      <c r="E14" s="14" t="s">
        <v>94</v>
      </c>
      <c r="F14" s="14" t="s">
        <v>20</v>
      </c>
      <c r="G14" s="22">
        <v>5</v>
      </c>
      <c r="H14" s="23">
        <v>45808</v>
      </c>
      <c r="I14" s="24" t="s">
        <v>88</v>
      </c>
    </row>
    <row r="15" spans="1:10" x14ac:dyDescent="0.3">
      <c r="B15" s="14" t="s">
        <v>12</v>
      </c>
      <c r="C15" s="14" t="s">
        <v>81</v>
      </c>
      <c r="D15" s="14" t="s">
        <v>82</v>
      </c>
      <c r="E15" s="14" t="s">
        <v>95</v>
      </c>
      <c r="F15" s="14" t="s">
        <v>20</v>
      </c>
      <c r="G15" s="22">
        <v>11</v>
      </c>
      <c r="H15" s="23">
        <v>45808</v>
      </c>
      <c r="I15" s="24" t="s">
        <v>88</v>
      </c>
    </row>
    <row r="16" spans="1:10" x14ac:dyDescent="0.3">
      <c r="B16" s="14" t="s">
        <v>12</v>
      </c>
      <c r="C16" s="14" t="s">
        <v>81</v>
      </c>
      <c r="D16" s="14" t="s">
        <v>82</v>
      </c>
      <c r="E16" s="14" t="s">
        <v>96</v>
      </c>
      <c r="F16" s="14" t="s">
        <v>20</v>
      </c>
      <c r="G16" s="22">
        <v>24</v>
      </c>
      <c r="H16" s="23">
        <v>45808</v>
      </c>
      <c r="I16" s="24" t="s">
        <v>88</v>
      </c>
    </row>
    <row r="17" spans="2:9" x14ac:dyDescent="0.3">
      <c r="B17" s="14" t="s">
        <v>12</v>
      </c>
      <c r="C17" s="14" t="s">
        <v>81</v>
      </c>
      <c r="D17" s="14" t="s">
        <v>82</v>
      </c>
      <c r="E17" s="14" t="s">
        <v>97</v>
      </c>
      <c r="F17" s="14" t="s">
        <v>20</v>
      </c>
      <c r="G17" s="22">
        <v>187</v>
      </c>
      <c r="H17" s="23">
        <v>45808</v>
      </c>
      <c r="I17" s="24" t="s">
        <v>88</v>
      </c>
    </row>
    <row r="18" spans="2:9" x14ac:dyDescent="0.3">
      <c r="B18" s="14" t="s">
        <v>12</v>
      </c>
      <c r="C18" s="14" t="s">
        <v>81</v>
      </c>
      <c r="D18" s="14" t="s">
        <v>82</v>
      </c>
      <c r="E18" s="14" t="s">
        <v>98</v>
      </c>
      <c r="F18" s="14" t="s">
        <v>20</v>
      </c>
      <c r="G18" s="22">
        <v>144</v>
      </c>
      <c r="H18" s="23">
        <v>45808</v>
      </c>
      <c r="I18" s="24" t="s">
        <v>88</v>
      </c>
    </row>
    <row r="19" spans="2:9" x14ac:dyDescent="0.3">
      <c r="B19" s="14" t="s">
        <v>12</v>
      </c>
      <c r="C19" s="14" t="s">
        <v>81</v>
      </c>
      <c r="D19" s="14" t="s">
        <v>82</v>
      </c>
      <c r="E19" s="14" t="s">
        <v>99</v>
      </c>
      <c r="F19" s="14" t="s">
        <v>20</v>
      </c>
      <c r="G19" s="22">
        <v>14028</v>
      </c>
      <c r="H19" s="23">
        <v>45808</v>
      </c>
      <c r="I19" s="24" t="s">
        <v>88</v>
      </c>
    </row>
    <row r="20" spans="2:9" x14ac:dyDescent="0.3">
      <c r="B20" s="14" t="s">
        <v>12</v>
      </c>
      <c r="C20" s="14" t="s">
        <v>81</v>
      </c>
      <c r="D20" s="14" t="s">
        <v>82</v>
      </c>
      <c r="E20" s="14" t="s">
        <v>100</v>
      </c>
      <c r="F20" s="14" t="s">
        <v>20</v>
      </c>
      <c r="G20" s="22">
        <v>1</v>
      </c>
      <c r="H20" s="23">
        <v>45808</v>
      </c>
      <c r="I20" s="24" t="s">
        <v>88</v>
      </c>
    </row>
    <row r="21" spans="2:9" x14ac:dyDescent="0.3">
      <c r="B21" s="14" t="s">
        <v>12</v>
      </c>
      <c r="C21" s="14" t="s">
        <v>81</v>
      </c>
      <c r="D21" s="14" t="s">
        <v>82</v>
      </c>
      <c r="E21" s="14" t="s">
        <v>101</v>
      </c>
      <c r="F21" s="14" t="s">
        <v>20</v>
      </c>
      <c r="G21" s="22">
        <v>3</v>
      </c>
      <c r="H21" s="23">
        <v>45808</v>
      </c>
      <c r="I21" s="24" t="s">
        <v>88</v>
      </c>
    </row>
    <row r="22" spans="2:9" x14ac:dyDescent="0.3">
      <c r="B22" s="14" t="s">
        <v>12</v>
      </c>
      <c r="C22" s="14" t="s">
        <v>81</v>
      </c>
      <c r="D22" s="14" t="s">
        <v>82</v>
      </c>
      <c r="E22" s="14" t="s">
        <v>102</v>
      </c>
      <c r="F22" s="14" t="s">
        <v>20</v>
      </c>
      <c r="G22" s="22">
        <v>1</v>
      </c>
      <c r="H22" s="23">
        <v>45808</v>
      </c>
      <c r="I22" s="24" t="s">
        <v>88</v>
      </c>
    </row>
    <row r="23" spans="2:9" x14ac:dyDescent="0.3">
      <c r="B23" s="14" t="s">
        <v>12</v>
      </c>
      <c r="C23" s="14" t="s">
        <v>81</v>
      </c>
      <c r="D23" s="14" t="s">
        <v>82</v>
      </c>
      <c r="E23" s="14" t="s">
        <v>103</v>
      </c>
      <c r="F23" s="14" t="s">
        <v>20</v>
      </c>
      <c r="G23" s="22">
        <v>2</v>
      </c>
      <c r="H23" s="23">
        <v>45808</v>
      </c>
      <c r="I23" s="24" t="s">
        <v>88</v>
      </c>
    </row>
    <row r="24" spans="2:9" x14ac:dyDescent="0.3">
      <c r="B24" s="14" t="s">
        <v>12</v>
      </c>
      <c r="C24" s="14" t="s">
        <v>81</v>
      </c>
      <c r="D24" s="14" t="s">
        <v>82</v>
      </c>
      <c r="E24" s="14" t="s">
        <v>104</v>
      </c>
      <c r="F24" s="14" t="s">
        <v>20</v>
      </c>
      <c r="G24" s="22">
        <v>23455</v>
      </c>
      <c r="H24" s="23">
        <v>45808</v>
      </c>
      <c r="I24" s="24" t="s">
        <v>88</v>
      </c>
    </row>
    <row r="25" spans="2:9" x14ac:dyDescent="0.3">
      <c r="B25" s="14" t="s">
        <v>12</v>
      </c>
      <c r="C25" s="14" t="s">
        <v>81</v>
      </c>
      <c r="D25" s="14" t="s">
        <v>82</v>
      </c>
      <c r="E25" s="14" t="s">
        <v>105</v>
      </c>
      <c r="F25" s="14" t="s">
        <v>20</v>
      </c>
      <c r="G25" s="22">
        <v>36</v>
      </c>
      <c r="H25" s="23">
        <v>45808</v>
      </c>
      <c r="I25" s="24" t="s">
        <v>88</v>
      </c>
    </row>
    <row r="26" spans="2:9" x14ac:dyDescent="0.3">
      <c r="B26" s="14" t="s">
        <v>12</v>
      </c>
      <c r="C26" s="14" t="s">
        <v>81</v>
      </c>
      <c r="D26" s="14" t="s">
        <v>82</v>
      </c>
      <c r="E26" s="14" t="s">
        <v>106</v>
      </c>
      <c r="F26" s="14" t="s">
        <v>20</v>
      </c>
      <c r="G26" s="22">
        <v>241</v>
      </c>
      <c r="H26" s="23">
        <v>45808</v>
      </c>
      <c r="I26" s="24" t="s">
        <v>88</v>
      </c>
    </row>
    <row r="27" spans="2:9" x14ac:dyDescent="0.3">
      <c r="B27" s="14" t="s">
        <v>12</v>
      </c>
      <c r="C27" s="14" t="s">
        <v>81</v>
      </c>
      <c r="D27" s="14" t="s">
        <v>82</v>
      </c>
      <c r="E27" s="14" t="s">
        <v>107</v>
      </c>
      <c r="F27" s="14" t="s">
        <v>20</v>
      </c>
      <c r="G27" s="22">
        <v>10</v>
      </c>
      <c r="H27" s="23">
        <v>45808</v>
      </c>
      <c r="I27" s="24" t="s">
        <v>88</v>
      </c>
    </row>
    <row r="28" spans="2:9" x14ac:dyDescent="0.3">
      <c r="B28" s="14" t="s">
        <v>12</v>
      </c>
      <c r="C28" s="14" t="s">
        <v>81</v>
      </c>
      <c r="D28" s="14" t="s">
        <v>82</v>
      </c>
      <c r="E28" s="14" t="s">
        <v>108</v>
      </c>
      <c r="F28" s="14" t="s">
        <v>20</v>
      </c>
      <c r="G28" s="22">
        <v>1</v>
      </c>
      <c r="H28" s="23">
        <v>45808</v>
      </c>
      <c r="I28" s="24" t="s">
        <v>88</v>
      </c>
    </row>
    <row r="29" spans="2:9" x14ac:dyDescent="0.3">
      <c r="B29" s="14" t="s">
        <v>12</v>
      </c>
      <c r="C29" s="14" t="s">
        <v>81</v>
      </c>
      <c r="D29" s="14" t="s">
        <v>82</v>
      </c>
      <c r="E29" s="14" t="s">
        <v>109</v>
      </c>
      <c r="F29" s="14" t="s">
        <v>20</v>
      </c>
      <c r="G29" s="22">
        <v>3</v>
      </c>
      <c r="H29" s="23">
        <v>45808</v>
      </c>
      <c r="I29" s="24" t="s">
        <v>88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6E30-B9C6-4408-A875-1B83F92CE27C}">
  <sheetPr>
    <tabColor theme="8" tint="0.59999389629810485"/>
  </sheetPr>
  <dimension ref="A1:Q26"/>
  <sheetViews>
    <sheetView showGridLines="0" workbookViewId="0">
      <selection activeCell="I13" sqref="I13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5" width="20" bestFit="1" customWidth="1"/>
    <col min="6" max="7" width="19.5546875" bestFit="1" customWidth="1"/>
    <col min="8" max="8" width="12" bestFit="1" customWidth="1"/>
    <col min="9" max="9" width="91.33203125" bestFit="1" customWidth="1"/>
    <col min="10" max="10" width="3.77734375" customWidth="1"/>
    <col min="18" max="16384" width="8.88671875" hidden="1"/>
  </cols>
  <sheetData>
    <row r="1" spans="1:10" x14ac:dyDescent="0.3">
      <c r="D1" s="1"/>
    </row>
    <row r="2" spans="1:10" x14ac:dyDescent="0.3">
      <c r="A2" s="3"/>
      <c r="B2" s="3"/>
      <c r="C2" s="3"/>
      <c r="D2" s="4"/>
      <c r="E2" s="3"/>
      <c r="F2" s="3"/>
      <c r="G2" s="3"/>
      <c r="H2" s="3"/>
      <c r="I2" s="3"/>
      <c r="J2" s="3"/>
    </row>
    <row r="3" spans="1:10" x14ac:dyDescent="0.3">
      <c r="A3" s="6"/>
      <c r="B3" s="6"/>
      <c r="C3" s="6"/>
      <c r="D3" s="4"/>
      <c r="E3" s="7"/>
      <c r="F3" s="7"/>
      <c r="G3" s="8"/>
      <c r="H3" s="8"/>
      <c r="I3" s="8"/>
      <c r="J3" s="8"/>
    </row>
    <row r="4" spans="1:10" x14ac:dyDescent="0.3">
      <c r="A4" s="3"/>
      <c r="B4" s="3"/>
      <c r="C4" s="3"/>
      <c r="D4" s="4"/>
      <c r="E4" s="3"/>
      <c r="F4" s="3"/>
      <c r="G4" s="3"/>
      <c r="H4" s="3"/>
      <c r="I4" s="3"/>
      <c r="J4" s="3"/>
    </row>
    <row r="5" spans="1:1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</row>
    <row r="7" spans="1:10" x14ac:dyDescent="0.3">
      <c r="B7" s="15" t="s">
        <v>124</v>
      </c>
      <c r="C7" s="16"/>
      <c r="D7" s="16"/>
      <c r="E7" s="16"/>
      <c r="F7" s="16"/>
      <c r="G7" s="16"/>
      <c r="H7" s="16"/>
      <c r="I7" s="16"/>
    </row>
    <row r="9" spans="1:10" x14ac:dyDescent="0.3">
      <c r="B9" s="19" t="s">
        <v>33</v>
      </c>
      <c r="C9" s="19"/>
      <c r="D9" s="21">
        <f>SUM(G12:G16)</f>
        <v>38418</v>
      </c>
    </row>
    <row r="11" spans="1:10" x14ac:dyDescent="0.3">
      <c r="B11" s="13" t="s">
        <v>0</v>
      </c>
      <c r="C11" s="13" t="s">
        <v>1</v>
      </c>
      <c r="D11" s="13" t="s">
        <v>111</v>
      </c>
      <c r="E11" s="13" t="s">
        <v>112</v>
      </c>
      <c r="F11" s="13" t="s">
        <v>113</v>
      </c>
      <c r="G11" s="13" t="s">
        <v>86</v>
      </c>
      <c r="H11" s="13" t="s">
        <v>87</v>
      </c>
      <c r="I11" s="18" t="s">
        <v>27</v>
      </c>
    </row>
    <row r="12" spans="1:10" x14ac:dyDescent="0.3">
      <c r="B12" s="26" t="s">
        <v>12</v>
      </c>
      <c r="C12" s="26" t="s">
        <v>13</v>
      </c>
      <c r="D12" s="26">
        <v>99999999999</v>
      </c>
      <c r="E12" s="26">
        <v>14</v>
      </c>
      <c r="F12" s="26" t="s">
        <v>20</v>
      </c>
      <c r="G12" s="27">
        <v>7</v>
      </c>
      <c r="H12" s="28">
        <v>45838</v>
      </c>
      <c r="I12" s="24" t="s">
        <v>123</v>
      </c>
    </row>
    <row r="13" spans="1:10" x14ac:dyDescent="0.3">
      <c r="B13" s="14" t="s">
        <v>12</v>
      </c>
      <c r="C13" s="14" t="s">
        <v>81</v>
      </c>
      <c r="D13" s="14" t="s">
        <v>82</v>
      </c>
      <c r="E13" s="14">
        <v>18</v>
      </c>
      <c r="F13" s="14" t="s">
        <v>20</v>
      </c>
      <c r="G13" s="22">
        <v>88</v>
      </c>
      <c r="H13" s="23">
        <v>45808</v>
      </c>
      <c r="I13" s="24" t="s">
        <v>88</v>
      </c>
    </row>
    <row r="14" spans="1:10" x14ac:dyDescent="0.3">
      <c r="B14" s="14" t="s">
        <v>12</v>
      </c>
      <c r="C14" s="14" t="s">
        <v>81</v>
      </c>
      <c r="D14" s="14" t="s">
        <v>82</v>
      </c>
      <c r="E14" s="14">
        <v>14</v>
      </c>
      <c r="F14" s="14" t="s">
        <v>20</v>
      </c>
      <c r="G14" s="22">
        <v>37798</v>
      </c>
      <c r="H14" s="23">
        <v>45808</v>
      </c>
      <c r="I14" s="24" t="s">
        <v>88</v>
      </c>
    </row>
    <row r="15" spans="1:10" x14ac:dyDescent="0.3">
      <c r="B15" s="14" t="s">
        <v>12</v>
      </c>
      <c r="C15" s="14" t="s">
        <v>81</v>
      </c>
      <c r="D15" s="14" t="s">
        <v>82</v>
      </c>
      <c r="E15" s="14">
        <v>20</v>
      </c>
      <c r="F15" s="14" t="s">
        <v>20</v>
      </c>
      <c r="G15" s="22">
        <v>40</v>
      </c>
      <c r="H15" s="23">
        <v>45808</v>
      </c>
      <c r="I15" s="24" t="s">
        <v>88</v>
      </c>
    </row>
    <row r="16" spans="1:10" x14ac:dyDescent="0.3">
      <c r="B16" s="14" t="s">
        <v>12</v>
      </c>
      <c r="C16" s="14" t="s">
        <v>81</v>
      </c>
      <c r="D16" s="14" t="s">
        <v>82</v>
      </c>
      <c r="E16" s="14">
        <v>19</v>
      </c>
      <c r="F16" s="14" t="s">
        <v>20</v>
      </c>
      <c r="G16" s="22">
        <v>485</v>
      </c>
      <c r="H16" s="23">
        <v>45808</v>
      </c>
      <c r="I16" s="24" t="s">
        <v>88</v>
      </c>
    </row>
    <row r="19" spans="2:7" x14ac:dyDescent="0.3">
      <c r="B19" s="13" t="s">
        <v>0</v>
      </c>
      <c r="C19" s="13" t="s">
        <v>1</v>
      </c>
      <c r="D19" s="13" t="s">
        <v>2</v>
      </c>
      <c r="E19" s="13" t="s">
        <v>111</v>
      </c>
      <c r="F19" s="13" t="s">
        <v>112</v>
      </c>
      <c r="G19" s="13" t="s">
        <v>113</v>
      </c>
    </row>
    <row r="20" spans="2:7" x14ac:dyDescent="0.3">
      <c r="B20" s="14" t="s">
        <v>12</v>
      </c>
      <c r="C20" s="14" t="s">
        <v>13</v>
      </c>
      <c r="D20" s="14" t="s">
        <v>114</v>
      </c>
      <c r="E20" s="14" t="s">
        <v>121</v>
      </c>
      <c r="F20" s="14" t="s">
        <v>122</v>
      </c>
      <c r="G20" s="14" t="s">
        <v>20</v>
      </c>
    </row>
    <row r="21" spans="2:7" x14ac:dyDescent="0.3">
      <c r="B21" s="14" t="s">
        <v>12</v>
      </c>
      <c r="C21" s="14" t="s">
        <v>13</v>
      </c>
      <c r="D21" s="14" t="s">
        <v>115</v>
      </c>
      <c r="E21" s="14" t="s">
        <v>121</v>
      </c>
      <c r="F21" s="14" t="s">
        <v>122</v>
      </c>
      <c r="G21" s="14" t="s">
        <v>20</v>
      </c>
    </row>
    <row r="22" spans="2:7" x14ac:dyDescent="0.3">
      <c r="B22" s="14" t="s">
        <v>12</v>
      </c>
      <c r="C22" s="14" t="s">
        <v>13</v>
      </c>
      <c r="D22" s="14" t="s">
        <v>116</v>
      </c>
      <c r="E22" s="14" t="s">
        <v>121</v>
      </c>
      <c r="F22" s="14" t="s">
        <v>122</v>
      </c>
      <c r="G22" s="14" t="s">
        <v>20</v>
      </c>
    </row>
    <row r="23" spans="2:7" x14ac:dyDescent="0.3">
      <c r="B23" s="14" t="s">
        <v>12</v>
      </c>
      <c r="C23" s="14" t="s">
        <v>13</v>
      </c>
      <c r="D23" s="14" t="s">
        <v>117</v>
      </c>
      <c r="E23" s="14" t="s">
        <v>121</v>
      </c>
      <c r="F23" s="14" t="s">
        <v>122</v>
      </c>
      <c r="G23" s="14" t="s">
        <v>20</v>
      </c>
    </row>
    <row r="24" spans="2:7" x14ac:dyDescent="0.3">
      <c r="B24" s="14" t="s">
        <v>12</v>
      </c>
      <c r="C24" s="14" t="s">
        <v>13</v>
      </c>
      <c r="D24" s="14" t="s">
        <v>118</v>
      </c>
      <c r="E24" s="14" t="s">
        <v>121</v>
      </c>
      <c r="F24" s="14" t="s">
        <v>122</v>
      </c>
      <c r="G24" s="14" t="s">
        <v>20</v>
      </c>
    </row>
    <row r="25" spans="2:7" x14ac:dyDescent="0.3">
      <c r="B25" s="14" t="s">
        <v>12</v>
      </c>
      <c r="C25" s="14" t="s">
        <v>13</v>
      </c>
      <c r="D25" s="14" t="s">
        <v>119</v>
      </c>
      <c r="E25" s="14" t="s">
        <v>121</v>
      </c>
      <c r="F25" s="14" t="s">
        <v>122</v>
      </c>
      <c r="G25" s="14" t="s">
        <v>20</v>
      </c>
    </row>
    <row r="26" spans="2:7" x14ac:dyDescent="0.3">
      <c r="B26" s="14" t="s">
        <v>12</v>
      </c>
      <c r="C26" s="14" t="s">
        <v>13</v>
      </c>
      <c r="D26" s="14" t="s">
        <v>120</v>
      </c>
      <c r="E26" s="14" t="s">
        <v>121</v>
      </c>
      <c r="F26" s="14" t="s">
        <v>122</v>
      </c>
      <c r="G26" s="14" t="s">
        <v>20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2B0C-7163-4BD9-AF01-93DD706A9414}">
  <sheetPr>
    <tabColor theme="8" tint="0.59999389629810485"/>
  </sheetPr>
  <dimension ref="A1:Q14"/>
  <sheetViews>
    <sheetView showGridLines="0" workbookViewId="0">
      <selection activeCell="I12" sqref="I12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4" width="18" bestFit="1" customWidth="1"/>
    <col min="5" max="5" width="16.109375" bestFit="1" customWidth="1"/>
    <col min="6" max="6" width="17.5546875" bestFit="1" customWidth="1"/>
    <col min="7" max="8" width="12" bestFit="1" customWidth="1"/>
    <col min="9" max="9" width="91.33203125" bestFit="1" customWidth="1"/>
    <col min="10" max="10" width="3.77734375" customWidth="1"/>
    <col min="18" max="16384" width="8.88671875" hidden="1"/>
  </cols>
  <sheetData>
    <row r="1" spans="1:10" x14ac:dyDescent="0.3">
      <c r="D1" s="1"/>
    </row>
    <row r="2" spans="1:10" x14ac:dyDescent="0.3">
      <c r="A2" s="3"/>
      <c r="B2" s="3"/>
      <c r="C2" s="3"/>
      <c r="D2" s="4"/>
      <c r="E2" s="3"/>
      <c r="F2" s="3"/>
      <c r="G2" s="3"/>
      <c r="H2" s="3"/>
      <c r="I2" s="3"/>
      <c r="J2" s="3"/>
    </row>
    <row r="3" spans="1:10" x14ac:dyDescent="0.3">
      <c r="A3" s="6"/>
      <c r="B3" s="6"/>
      <c r="C3" s="6"/>
      <c r="D3" s="4"/>
      <c r="E3" s="7"/>
      <c r="F3" s="7"/>
      <c r="G3" s="8"/>
      <c r="H3" s="8"/>
      <c r="I3" s="8"/>
      <c r="J3" s="8"/>
    </row>
    <row r="4" spans="1:10" x14ac:dyDescent="0.3">
      <c r="A4" s="3"/>
      <c r="B4" s="3"/>
      <c r="C4" s="3"/>
      <c r="D4" s="4"/>
      <c r="E4" s="3"/>
      <c r="F4" s="3"/>
      <c r="G4" s="3"/>
      <c r="H4" s="3"/>
      <c r="I4" s="3"/>
      <c r="J4" s="3"/>
    </row>
    <row r="5" spans="1:1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</row>
    <row r="7" spans="1:10" x14ac:dyDescent="0.3">
      <c r="B7" s="15" t="s">
        <v>141</v>
      </c>
      <c r="C7" s="16"/>
      <c r="D7" s="16"/>
      <c r="E7" s="16"/>
      <c r="F7" s="16"/>
      <c r="G7" s="16"/>
      <c r="H7" s="16"/>
      <c r="I7" s="16"/>
    </row>
    <row r="9" spans="1:10" x14ac:dyDescent="0.3">
      <c r="B9" s="19" t="s">
        <v>33</v>
      </c>
      <c r="C9" s="19"/>
      <c r="D9" s="21">
        <f>SUM(G12:G14)</f>
        <v>38411</v>
      </c>
    </row>
    <row r="11" spans="1:10" x14ac:dyDescent="0.3">
      <c r="B11" s="13" t="s">
        <v>0</v>
      </c>
      <c r="C11" s="13" t="s">
        <v>1</v>
      </c>
      <c r="D11" s="13" t="s">
        <v>125</v>
      </c>
      <c r="E11" s="13" t="s">
        <v>126</v>
      </c>
      <c r="F11" s="13" t="s">
        <v>127</v>
      </c>
      <c r="G11" s="13" t="s">
        <v>86</v>
      </c>
      <c r="H11" s="13" t="s">
        <v>87</v>
      </c>
      <c r="I11" s="18" t="s">
        <v>27</v>
      </c>
    </row>
    <row r="12" spans="1:10" x14ac:dyDescent="0.3">
      <c r="B12" s="14" t="s">
        <v>12</v>
      </c>
      <c r="C12" s="14" t="s">
        <v>81</v>
      </c>
      <c r="D12" s="14" t="s">
        <v>82</v>
      </c>
      <c r="E12" s="14">
        <v>2020</v>
      </c>
      <c r="F12" s="14" t="s">
        <v>20</v>
      </c>
      <c r="G12" s="22">
        <v>37888</v>
      </c>
      <c r="H12" s="23">
        <v>45808</v>
      </c>
      <c r="I12" s="24" t="s">
        <v>88</v>
      </c>
    </row>
    <row r="13" spans="1:10" x14ac:dyDescent="0.3">
      <c r="B13" s="14" t="s">
        <v>12</v>
      </c>
      <c r="C13" s="14" t="s">
        <v>81</v>
      </c>
      <c r="D13" s="14" t="s">
        <v>82</v>
      </c>
      <c r="E13" s="14">
        <v>1005</v>
      </c>
      <c r="F13" s="14" t="s">
        <v>20</v>
      </c>
      <c r="G13" s="22">
        <v>154</v>
      </c>
      <c r="H13" s="23">
        <v>45808</v>
      </c>
      <c r="I13" s="24" t="s">
        <v>88</v>
      </c>
    </row>
    <row r="14" spans="1:10" x14ac:dyDescent="0.3">
      <c r="B14" s="14" t="s">
        <v>12</v>
      </c>
      <c r="C14" s="14" t="s">
        <v>81</v>
      </c>
      <c r="D14" s="14" t="s">
        <v>82</v>
      </c>
      <c r="E14" s="14">
        <v>20</v>
      </c>
      <c r="F14" s="14" t="s">
        <v>20</v>
      </c>
      <c r="G14" s="22">
        <v>369</v>
      </c>
      <c r="H14" s="23">
        <v>45808</v>
      </c>
      <c r="I14" s="24" t="s">
        <v>88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2183-ABBA-4314-A636-95A1E1917708}">
  <dimension ref="A1:P20"/>
  <sheetViews>
    <sheetView showGridLines="0" topLeftCell="K1" workbookViewId="0">
      <selection activeCell="N11" sqref="N11:N12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5.7773437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28.44140625" bestFit="1" customWidth="1"/>
    <col min="12" max="12" width="26.6640625" bestFit="1" customWidth="1"/>
    <col min="13" max="13" width="28" bestFit="1" customWidth="1"/>
    <col min="14" max="14" width="118.88671875" bestFit="1" customWidth="1"/>
    <col min="15" max="15" width="3.77734375" customWidth="1"/>
    <col min="16" max="16" width="3.77734375" hidden="1" customWidth="1"/>
    <col min="17" max="16384" width="11.5546875" hidden="1"/>
  </cols>
  <sheetData>
    <row r="1" spans="1:15" x14ac:dyDescent="0.3">
      <c r="D1" s="1"/>
      <c r="K1" s="2"/>
    </row>
    <row r="2" spans="1:15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</row>
    <row r="3" spans="1:15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</row>
    <row r="4" spans="1:15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</row>
    <row r="5" spans="1:15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</row>
    <row r="7" spans="1:15" x14ac:dyDescent="0.3">
      <c r="B7" s="15" t="s">
        <v>150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9" spans="1:15" x14ac:dyDescent="0.3">
      <c r="B9" s="19" t="s">
        <v>33</v>
      </c>
      <c r="C9" s="19"/>
      <c r="D9" s="17">
        <f>COUNTA(D12:D19)</f>
        <v>8</v>
      </c>
    </row>
    <row r="11" spans="1:15" x14ac:dyDescent="0.3">
      <c r="B11" s="13" t="s">
        <v>0</v>
      </c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 t="s">
        <v>7</v>
      </c>
      <c r="J11" s="13" t="s">
        <v>8</v>
      </c>
      <c r="K11" s="13" t="s">
        <v>128</v>
      </c>
      <c r="L11" s="13" t="s">
        <v>129</v>
      </c>
      <c r="M11" s="13" t="s">
        <v>130</v>
      </c>
      <c r="N11" s="18" t="s">
        <v>27</v>
      </c>
    </row>
    <row r="12" spans="1:15" x14ac:dyDescent="0.3">
      <c r="B12" s="14" t="s">
        <v>12</v>
      </c>
      <c r="C12" s="14" t="s">
        <v>13</v>
      </c>
      <c r="D12" s="14" t="s">
        <v>131</v>
      </c>
      <c r="E12" s="14" t="s">
        <v>132</v>
      </c>
      <c r="F12" s="14" t="s">
        <v>132</v>
      </c>
      <c r="G12" s="14" t="s">
        <v>16</v>
      </c>
      <c r="H12" s="14" t="s">
        <v>17</v>
      </c>
      <c r="I12" s="14" t="s">
        <v>17</v>
      </c>
      <c r="J12" s="14" t="s">
        <v>16</v>
      </c>
      <c r="K12" s="25">
        <v>10155326.91</v>
      </c>
      <c r="L12" s="25">
        <v>10152500</v>
      </c>
      <c r="M12" s="14" t="s">
        <v>20</v>
      </c>
      <c r="N12" s="14" t="s">
        <v>142</v>
      </c>
    </row>
    <row r="13" spans="1:15" x14ac:dyDescent="0.3">
      <c r="B13" s="14" t="s">
        <v>12</v>
      </c>
      <c r="C13" s="14" t="s">
        <v>13</v>
      </c>
      <c r="D13" s="14" t="s">
        <v>133</v>
      </c>
      <c r="E13" s="14" t="s">
        <v>79</v>
      </c>
      <c r="F13" s="14" t="s">
        <v>79</v>
      </c>
      <c r="G13" s="14" t="s">
        <v>16</v>
      </c>
      <c r="H13" s="14" t="s">
        <v>17</v>
      </c>
      <c r="I13" s="14" t="s">
        <v>17</v>
      </c>
      <c r="J13" s="14" t="s">
        <v>16</v>
      </c>
      <c r="K13" s="25">
        <v>-0.39</v>
      </c>
      <c r="L13" s="25">
        <v>-0.78</v>
      </c>
      <c r="M13" s="14" t="s">
        <v>20</v>
      </c>
      <c r="N13" s="14" t="s">
        <v>147</v>
      </c>
    </row>
    <row r="14" spans="1:15" x14ac:dyDescent="0.3">
      <c r="B14" s="14" t="s">
        <v>12</v>
      </c>
      <c r="C14" s="14" t="s">
        <v>13</v>
      </c>
      <c r="D14" s="14" t="s">
        <v>134</v>
      </c>
      <c r="E14" s="14" t="s">
        <v>135</v>
      </c>
      <c r="F14" s="14" t="s">
        <v>135</v>
      </c>
      <c r="G14" s="14" t="s">
        <v>16</v>
      </c>
      <c r="H14" s="14" t="s">
        <v>17</v>
      </c>
      <c r="I14" s="14" t="s">
        <v>17</v>
      </c>
      <c r="J14" s="14" t="s">
        <v>16</v>
      </c>
      <c r="K14" s="25">
        <v>64473442.450000003</v>
      </c>
      <c r="L14" s="25">
        <v>64473056.259999998</v>
      </c>
      <c r="M14" s="14" t="s">
        <v>20</v>
      </c>
      <c r="N14" s="14" t="s">
        <v>144</v>
      </c>
    </row>
    <row r="15" spans="1:15" x14ac:dyDescent="0.3">
      <c r="B15" s="14" t="s">
        <v>12</v>
      </c>
      <c r="C15" s="14" t="s">
        <v>13</v>
      </c>
      <c r="D15" s="14" t="s">
        <v>136</v>
      </c>
      <c r="E15" s="14" t="s">
        <v>79</v>
      </c>
      <c r="F15" s="14" t="s">
        <v>79</v>
      </c>
      <c r="G15" s="14" t="s">
        <v>16</v>
      </c>
      <c r="H15" s="14" t="s">
        <v>17</v>
      </c>
      <c r="I15" s="14" t="s">
        <v>17</v>
      </c>
      <c r="J15" s="14" t="s">
        <v>16</v>
      </c>
      <c r="K15" s="25">
        <v>-0.1</v>
      </c>
      <c r="L15" s="25">
        <v>-0.2</v>
      </c>
      <c r="M15" s="14" t="s">
        <v>20</v>
      </c>
      <c r="N15" s="14" t="s">
        <v>146</v>
      </c>
    </row>
    <row r="16" spans="1:15" x14ac:dyDescent="0.3">
      <c r="B16" s="14" t="s">
        <v>12</v>
      </c>
      <c r="C16" s="14" t="s">
        <v>13</v>
      </c>
      <c r="D16" s="14" t="s">
        <v>137</v>
      </c>
      <c r="E16" s="14" t="s">
        <v>79</v>
      </c>
      <c r="F16" s="14" t="s">
        <v>79</v>
      </c>
      <c r="G16" s="14" t="s">
        <v>16</v>
      </c>
      <c r="H16" s="14" t="s">
        <v>17</v>
      </c>
      <c r="I16" s="14" t="s">
        <v>17</v>
      </c>
      <c r="J16" s="14" t="s">
        <v>16</v>
      </c>
      <c r="K16" s="25">
        <v>-1.05</v>
      </c>
      <c r="L16" s="25">
        <v>-1.06</v>
      </c>
      <c r="M16" s="14" t="s">
        <v>20</v>
      </c>
      <c r="N16" s="14" t="s">
        <v>148</v>
      </c>
    </row>
    <row r="17" spans="2:14" x14ac:dyDescent="0.3">
      <c r="B17" s="14" t="s">
        <v>12</v>
      </c>
      <c r="C17" s="14" t="s">
        <v>13</v>
      </c>
      <c r="D17" s="14" t="s">
        <v>138</v>
      </c>
      <c r="E17" s="14" t="s">
        <v>79</v>
      </c>
      <c r="F17" s="14" t="s">
        <v>79</v>
      </c>
      <c r="G17" s="14" t="s">
        <v>16</v>
      </c>
      <c r="H17" s="14" t="s">
        <v>17</v>
      </c>
      <c r="I17" s="14" t="s">
        <v>17</v>
      </c>
      <c r="J17" s="14" t="s">
        <v>16</v>
      </c>
      <c r="K17" s="25">
        <v>0.39</v>
      </c>
      <c r="L17" s="25">
        <v>0.78</v>
      </c>
      <c r="M17" s="14" t="s">
        <v>20</v>
      </c>
      <c r="N17" s="14" t="s">
        <v>143</v>
      </c>
    </row>
    <row r="18" spans="2:14" x14ac:dyDescent="0.3">
      <c r="B18" s="14" t="s">
        <v>12</v>
      </c>
      <c r="C18" s="14" t="s">
        <v>13</v>
      </c>
      <c r="D18" s="14" t="s">
        <v>139</v>
      </c>
      <c r="E18" s="14" t="s">
        <v>135</v>
      </c>
      <c r="F18" s="14" t="s">
        <v>135</v>
      </c>
      <c r="G18" s="14" t="s">
        <v>16</v>
      </c>
      <c r="H18" s="14" t="s">
        <v>17</v>
      </c>
      <c r="I18" s="14" t="s">
        <v>17</v>
      </c>
      <c r="J18" s="14" t="s">
        <v>16</v>
      </c>
      <c r="K18" s="25">
        <v>7322506.9900000002</v>
      </c>
      <c r="L18" s="25">
        <v>7322344.1100000003</v>
      </c>
      <c r="M18" s="14" t="s">
        <v>20</v>
      </c>
      <c r="N18" s="14" t="s">
        <v>145</v>
      </c>
    </row>
    <row r="19" spans="2:14" x14ac:dyDescent="0.3">
      <c r="B19" s="14" t="s">
        <v>12</v>
      </c>
      <c r="C19" s="14" t="s">
        <v>13</v>
      </c>
      <c r="D19" s="14" t="s">
        <v>140</v>
      </c>
      <c r="E19" s="14" t="s">
        <v>79</v>
      </c>
      <c r="F19" s="14" t="s">
        <v>79</v>
      </c>
      <c r="G19" s="14" t="s">
        <v>16</v>
      </c>
      <c r="H19" s="14" t="s">
        <v>17</v>
      </c>
      <c r="I19" s="14" t="s">
        <v>17</v>
      </c>
      <c r="J19" s="14" t="s">
        <v>16</v>
      </c>
      <c r="K19" s="25">
        <v>-0.22</v>
      </c>
      <c r="L19" s="25">
        <v>-0.12</v>
      </c>
      <c r="M19" s="14" t="s">
        <v>20</v>
      </c>
      <c r="N19" s="14" t="s">
        <v>149</v>
      </c>
    </row>
    <row r="20" spans="2:14" x14ac:dyDescent="0.3">
      <c r="L20" s="20"/>
    </row>
  </sheetData>
  <mergeCells count="1">
    <mergeCell ref="B9:C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8D48-A737-4A00-B3B0-FEA68F6BF7E5}">
  <sheetPr>
    <tabColor theme="8" tint="0.59999389629810485"/>
  </sheetPr>
  <dimension ref="A1:R14"/>
  <sheetViews>
    <sheetView showGridLines="0" workbookViewId="0">
      <selection activeCell="I12" sqref="I12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4" width="18" bestFit="1" customWidth="1"/>
    <col min="5" max="5" width="16.109375" bestFit="1" customWidth="1"/>
    <col min="6" max="6" width="17.5546875" bestFit="1" customWidth="1"/>
    <col min="7" max="8" width="12" bestFit="1" customWidth="1"/>
    <col min="9" max="9" width="91.33203125" bestFit="1" customWidth="1"/>
    <col min="10" max="10" width="3.77734375" customWidth="1"/>
    <col min="19" max="16384" width="8.88671875" hidden="1"/>
  </cols>
  <sheetData>
    <row r="1" spans="1:10" x14ac:dyDescent="0.3">
      <c r="D1" s="1"/>
    </row>
    <row r="2" spans="1:10" x14ac:dyDescent="0.3">
      <c r="A2" s="3"/>
      <c r="B2" s="3"/>
      <c r="C2" s="3"/>
      <c r="D2" s="4"/>
      <c r="E2" s="3"/>
      <c r="F2" s="3"/>
      <c r="G2" s="3"/>
      <c r="H2" s="3"/>
      <c r="I2" s="3"/>
      <c r="J2" s="3"/>
    </row>
    <row r="3" spans="1:10" x14ac:dyDescent="0.3">
      <c r="A3" s="6"/>
      <c r="B3" s="6"/>
      <c r="C3" s="6"/>
      <c r="D3" s="4"/>
      <c r="E3" s="7"/>
      <c r="F3" s="7"/>
      <c r="G3" s="8"/>
      <c r="H3" s="8"/>
      <c r="I3" s="8"/>
      <c r="J3" s="8"/>
    </row>
    <row r="4" spans="1:10" x14ac:dyDescent="0.3">
      <c r="A4" s="3"/>
      <c r="B4" s="3"/>
      <c r="C4" s="3"/>
      <c r="D4" s="4"/>
      <c r="E4" s="3"/>
      <c r="F4" s="3"/>
      <c r="G4" s="3"/>
      <c r="H4" s="3"/>
      <c r="I4" s="3"/>
      <c r="J4" s="3"/>
    </row>
    <row r="5" spans="1:1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</row>
    <row r="7" spans="1:10" x14ac:dyDescent="0.3">
      <c r="B7" s="15" t="s">
        <v>151</v>
      </c>
      <c r="C7" s="16"/>
      <c r="D7" s="16"/>
      <c r="E7" s="16"/>
      <c r="F7" s="16"/>
      <c r="G7" s="16"/>
      <c r="H7" s="16"/>
      <c r="I7" s="16"/>
    </row>
    <row r="9" spans="1:10" x14ac:dyDescent="0.3">
      <c r="B9" s="19" t="s">
        <v>33</v>
      </c>
      <c r="C9" s="19"/>
      <c r="D9" s="21">
        <f>SUM(G12:G14)</f>
        <v>38411</v>
      </c>
    </row>
    <row r="11" spans="1:10" x14ac:dyDescent="0.3">
      <c r="B11" s="13" t="s">
        <v>0</v>
      </c>
      <c r="C11" s="13" t="s">
        <v>1</v>
      </c>
      <c r="D11" s="13" t="s">
        <v>152</v>
      </c>
      <c r="E11" s="13" t="s">
        <v>153</v>
      </c>
      <c r="F11" s="13" t="s">
        <v>154</v>
      </c>
      <c r="G11" s="13" t="s">
        <v>86</v>
      </c>
      <c r="H11" s="13" t="s">
        <v>87</v>
      </c>
      <c r="I11" s="18" t="s">
        <v>27</v>
      </c>
    </row>
    <row r="12" spans="1:10" x14ac:dyDescent="0.3">
      <c r="B12" s="14" t="s">
        <v>12</v>
      </c>
      <c r="C12" s="14" t="s">
        <v>81</v>
      </c>
      <c r="D12" s="14" t="s">
        <v>82</v>
      </c>
      <c r="E12" s="14">
        <v>11111111111</v>
      </c>
      <c r="F12" s="14" t="s">
        <v>20</v>
      </c>
      <c r="G12" s="22">
        <v>490</v>
      </c>
      <c r="H12" s="23">
        <v>45808</v>
      </c>
      <c r="I12" s="24" t="s">
        <v>88</v>
      </c>
    </row>
    <row r="13" spans="1:10" x14ac:dyDescent="0.3">
      <c r="B13" s="14" t="s">
        <v>12</v>
      </c>
      <c r="C13" s="14" t="s">
        <v>81</v>
      </c>
      <c r="D13" s="14" t="s">
        <v>82</v>
      </c>
      <c r="E13" s="14">
        <v>14</v>
      </c>
      <c r="F13" s="14" t="s">
        <v>20</v>
      </c>
      <c r="G13" s="22">
        <v>1</v>
      </c>
      <c r="H13" s="23">
        <v>45808</v>
      </c>
      <c r="I13" s="24" t="s">
        <v>88</v>
      </c>
    </row>
    <row r="14" spans="1:10" x14ac:dyDescent="0.3">
      <c r="B14" s="14" t="s">
        <v>12</v>
      </c>
      <c r="C14" s="14" t="s">
        <v>81</v>
      </c>
      <c r="D14" s="14" t="s">
        <v>82</v>
      </c>
      <c r="E14" s="14">
        <v>6</v>
      </c>
      <c r="F14" s="14" t="s">
        <v>20</v>
      </c>
      <c r="G14" s="22">
        <v>37920</v>
      </c>
      <c r="H14" s="23">
        <v>45808</v>
      </c>
      <c r="I14" s="24" t="s">
        <v>88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D95A-F59E-4251-806D-EE85E7E684FA}">
  <dimension ref="A1:P12"/>
  <sheetViews>
    <sheetView showGridLines="0" workbookViewId="0">
      <selection activeCell="J25" sqref="J25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5.7773437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28.44140625" bestFit="1" customWidth="1"/>
    <col min="12" max="12" width="26.6640625" bestFit="1" customWidth="1"/>
    <col min="13" max="13" width="28" bestFit="1" customWidth="1"/>
    <col min="14" max="14" width="118.88671875" bestFit="1" customWidth="1"/>
    <col min="15" max="15" width="3.77734375" customWidth="1"/>
    <col min="16" max="16" width="3.77734375" hidden="1" customWidth="1"/>
    <col min="17" max="16384" width="11.5546875" hidden="1"/>
  </cols>
  <sheetData>
    <row r="1" spans="1:15" x14ac:dyDescent="0.3">
      <c r="D1" s="1"/>
      <c r="K1" s="2"/>
    </row>
    <row r="2" spans="1:15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</row>
    <row r="3" spans="1:15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</row>
    <row r="4" spans="1:15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</row>
    <row r="5" spans="1:15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</row>
    <row r="7" spans="1:15" x14ac:dyDescent="0.3">
      <c r="B7" s="15" t="s">
        <v>160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9" spans="1:15" x14ac:dyDescent="0.3">
      <c r="B9" s="19" t="s">
        <v>33</v>
      </c>
      <c r="C9" s="19"/>
      <c r="D9" s="17">
        <f>COUNTA(D12:D12)</f>
        <v>1</v>
      </c>
    </row>
    <row r="11" spans="1:15" x14ac:dyDescent="0.3">
      <c r="B11" s="13" t="s">
        <v>0</v>
      </c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 t="s">
        <v>7</v>
      </c>
      <c r="J11" s="13" t="s">
        <v>8</v>
      </c>
      <c r="K11" s="13" t="s">
        <v>155</v>
      </c>
      <c r="L11" s="13" t="s">
        <v>156</v>
      </c>
      <c r="M11" s="13" t="s">
        <v>157</v>
      </c>
      <c r="N11" s="18" t="s">
        <v>27</v>
      </c>
    </row>
    <row r="12" spans="1:15" x14ac:dyDescent="0.3">
      <c r="B12" s="14" t="s">
        <v>12</v>
      </c>
      <c r="C12" s="14" t="s">
        <v>13</v>
      </c>
      <c r="D12" s="14" t="s">
        <v>158</v>
      </c>
      <c r="E12" s="14" t="s">
        <v>79</v>
      </c>
      <c r="F12" s="14" t="s">
        <v>79</v>
      </c>
      <c r="G12" s="14" t="s">
        <v>16</v>
      </c>
      <c r="H12" s="14" t="s">
        <v>17</v>
      </c>
      <c r="I12" s="14" t="s">
        <v>17</v>
      </c>
      <c r="J12" s="14" t="s">
        <v>16</v>
      </c>
      <c r="K12" s="25">
        <v>5550000</v>
      </c>
      <c r="L12" s="25">
        <v>2000000</v>
      </c>
      <c r="M12" s="14" t="s">
        <v>20</v>
      </c>
      <c r="N12" s="14" t="s">
        <v>159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39EB-330A-4CCD-9F7C-BC32C3630285}">
  <sheetPr>
    <tabColor theme="8" tint="0.59999389629810485"/>
  </sheetPr>
  <dimension ref="A1:S14"/>
  <sheetViews>
    <sheetView showGridLines="0" workbookViewId="0">
      <selection activeCell="H18" sqref="H18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4" width="18" bestFit="1" customWidth="1"/>
    <col min="5" max="5" width="16.109375" bestFit="1" customWidth="1"/>
    <col min="6" max="6" width="17.5546875" bestFit="1" customWidth="1"/>
    <col min="7" max="8" width="12" bestFit="1" customWidth="1"/>
    <col min="9" max="9" width="91.33203125" bestFit="1" customWidth="1"/>
    <col min="10" max="10" width="3.77734375" customWidth="1"/>
    <col min="20" max="16384" width="8.88671875" hidden="1"/>
  </cols>
  <sheetData>
    <row r="1" spans="1:10" x14ac:dyDescent="0.3">
      <c r="D1" s="1"/>
    </row>
    <row r="2" spans="1:10" x14ac:dyDescent="0.3">
      <c r="A2" s="3"/>
      <c r="B2" s="3"/>
      <c r="C2" s="3"/>
      <c r="D2" s="4"/>
      <c r="E2" s="3"/>
      <c r="F2" s="3"/>
      <c r="G2" s="3"/>
      <c r="H2" s="3"/>
      <c r="I2" s="3"/>
      <c r="J2" s="3"/>
    </row>
    <row r="3" spans="1:10" x14ac:dyDescent="0.3">
      <c r="A3" s="6"/>
      <c r="B3" s="6"/>
      <c r="C3" s="6"/>
      <c r="D3" s="4"/>
      <c r="E3" s="7"/>
      <c r="F3" s="7"/>
      <c r="G3" s="8"/>
      <c r="H3" s="8"/>
      <c r="I3" s="8"/>
      <c r="J3" s="8"/>
    </row>
    <row r="4" spans="1:10" x14ac:dyDescent="0.3">
      <c r="A4" s="3"/>
      <c r="B4" s="3"/>
      <c r="C4" s="3"/>
      <c r="D4" s="4"/>
      <c r="E4" s="3"/>
      <c r="F4" s="3"/>
      <c r="G4" s="3"/>
      <c r="H4" s="3"/>
      <c r="I4" s="3"/>
      <c r="J4" s="3"/>
    </row>
    <row r="5" spans="1:1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</row>
    <row r="7" spans="1:10" x14ac:dyDescent="0.3">
      <c r="B7" s="15" t="s">
        <v>161</v>
      </c>
      <c r="C7" s="16"/>
      <c r="D7" s="16"/>
      <c r="E7" s="16"/>
      <c r="F7" s="16"/>
      <c r="G7" s="16"/>
      <c r="H7" s="16"/>
      <c r="I7" s="16"/>
    </row>
    <row r="9" spans="1:10" x14ac:dyDescent="0.3">
      <c r="B9" s="19" t="s">
        <v>33</v>
      </c>
      <c r="C9" s="19"/>
      <c r="D9" s="21">
        <f>SUM(G12:G14)</f>
        <v>38411</v>
      </c>
    </row>
    <row r="11" spans="1:10" x14ac:dyDescent="0.3">
      <c r="B11" s="13" t="s">
        <v>0</v>
      </c>
      <c r="C11" s="13" t="s">
        <v>1</v>
      </c>
      <c r="D11" s="13" t="s">
        <v>162</v>
      </c>
      <c r="E11" s="13" t="s">
        <v>163</v>
      </c>
      <c r="F11" s="13" t="s">
        <v>164</v>
      </c>
      <c r="G11" s="13" t="s">
        <v>86</v>
      </c>
      <c r="H11" s="13" t="s">
        <v>87</v>
      </c>
      <c r="I11" s="18" t="s">
        <v>27</v>
      </c>
    </row>
    <row r="12" spans="1:10" x14ac:dyDescent="0.3">
      <c r="B12" s="14" t="s">
        <v>12</v>
      </c>
      <c r="C12" s="14" t="s">
        <v>81</v>
      </c>
      <c r="D12" s="14" t="s">
        <v>82</v>
      </c>
      <c r="E12" s="29" t="s">
        <v>165</v>
      </c>
      <c r="F12" s="14" t="s">
        <v>20</v>
      </c>
      <c r="G12" s="22">
        <v>38407</v>
      </c>
      <c r="H12" s="23">
        <v>45808</v>
      </c>
      <c r="I12" s="24" t="s">
        <v>88</v>
      </c>
    </row>
    <row r="13" spans="1:10" x14ac:dyDescent="0.3">
      <c r="B13" s="14" t="s">
        <v>12</v>
      </c>
      <c r="C13" s="14" t="s">
        <v>81</v>
      </c>
      <c r="D13" s="14" t="s">
        <v>82</v>
      </c>
      <c r="E13" s="29" t="s">
        <v>166</v>
      </c>
      <c r="F13" s="14" t="s">
        <v>20</v>
      </c>
      <c r="G13" s="22">
        <v>3</v>
      </c>
      <c r="H13" s="23">
        <v>45808</v>
      </c>
      <c r="I13" s="24" t="s">
        <v>88</v>
      </c>
    </row>
    <row r="14" spans="1:10" x14ac:dyDescent="0.3">
      <c r="B14" s="14" t="s">
        <v>12</v>
      </c>
      <c r="C14" s="14" t="s">
        <v>81</v>
      </c>
      <c r="D14" s="14" t="s">
        <v>82</v>
      </c>
      <c r="E14" s="29" t="s">
        <v>167</v>
      </c>
      <c r="F14" s="14" t="s">
        <v>20</v>
      </c>
      <c r="G14" s="22">
        <v>1</v>
      </c>
      <c r="H14" s="23">
        <v>45808</v>
      </c>
      <c r="I14" s="24" t="s">
        <v>88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6584-E400-4F5A-B436-582B991C36B1}">
  <sheetPr>
    <tabColor theme="8" tint="0.59999389629810485"/>
  </sheetPr>
  <dimension ref="A1:S12"/>
  <sheetViews>
    <sheetView showGridLines="0" tabSelected="1" workbookViewId="0">
      <selection activeCell="G19" sqref="G19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4" width="18" bestFit="1" customWidth="1"/>
    <col min="5" max="5" width="16.109375" bestFit="1" customWidth="1"/>
    <col min="6" max="6" width="17.5546875" bestFit="1" customWidth="1"/>
    <col min="7" max="7" width="91.33203125" bestFit="1" customWidth="1"/>
    <col min="8" max="8" width="3.77734375" customWidth="1"/>
    <col min="20" max="16384" width="8.88671875" hidden="1"/>
  </cols>
  <sheetData>
    <row r="1" spans="1:8" x14ac:dyDescent="0.3">
      <c r="D1" s="1"/>
    </row>
    <row r="2" spans="1:8" x14ac:dyDescent="0.3">
      <c r="A2" s="3"/>
      <c r="B2" s="3"/>
      <c r="C2" s="3"/>
      <c r="D2" s="4"/>
      <c r="E2" s="3"/>
      <c r="F2" s="3"/>
      <c r="G2" s="3"/>
      <c r="H2" s="3"/>
    </row>
    <row r="3" spans="1:8" x14ac:dyDescent="0.3">
      <c r="A3" s="6"/>
      <c r="B3" s="6"/>
      <c r="C3" s="6"/>
      <c r="D3" s="4"/>
      <c r="E3" s="7"/>
      <c r="F3" s="7"/>
      <c r="G3" s="8"/>
      <c r="H3" s="8"/>
    </row>
    <row r="4" spans="1:8" x14ac:dyDescent="0.3">
      <c r="A4" s="3"/>
      <c r="B4" s="3"/>
      <c r="C4" s="3"/>
      <c r="D4" s="4"/>
      <c r="E4" s="3"/>
      <c r="F4" s="3"/>
      <c r="G4" s="3"/>
      <c r="H4" s="3"/>
    </row>
    <row r="5" spans="1:8" ht="3" customHeight="1" x14ac:dyDescent="0.3">
      <c r="A5" s="10"/>
      <c r="B5" s="10"/>
      <c r="C5" s="10"/>
      <c r="D5" s="11"/>
      <c r="E5" s="10"/>
      <c r="F5" s="10"/>
      <c r="G5" s="10"/>
      <c r="H5" s="10"/>
    </row>
    <row r="7" spans="1:8" x14ac:dyDescent="0.3">
      <c r="B7" s="15" t="s">
        <v>168</v>
      </c>
      <c r="C7" s="16"/>
      <c r="D7" s="16"/>
      <c r="E7" s="16"/>
      <c r="F7" s="16"/>
      <c r="G7" s="16"/>
    </row>
    <row r="9" spans="1:8" x14ac:dyDescent="0.3">
      <c r="B9" s="19" t="s">
        <v>33</v>
      </c>
      <c r="C9" s="19"/>
      <c r="D9" s="21">
        <f>SUM(E12:E12)</f>
        <v>38411</v>
      </c>
    </row>
    <row r="11" spans="1:8" x14ac:dyDescent="0.3">
      <c r="B11" s="13" t="s">
        <v>0</v>
      </c>
      <c r="C11" s="13" t="s">
        <v>1</v>
      </c>
      <c r="D11" s="13" t="s">
        <v>169</v>
      </c>
      <c r="E11" s="13" t="s">
        <v>86</v>
      </c>
      <c r="F11" s="13" t="s">
        <v>87</v>
      </c>
      <c r="G11" s="18" t="s">
        <v>27</v>
      </c>
    </row>
    <row r="12" spans="1:8" x14ac:dyDescent="0.3">
      <c r="B12" s="14" t="s">
        <v>12</v>
      </c>
      <c r="C12" s="14" t="s">
        <v>81</v>
      </c>
      <c r="D12" s="14" t="s">
        <v>20</v>
      </c>
      <c r="E12" s="22">
        <v>38411</v>
      </c>
      <c r="F12" s="23">
        <v>45808</v>
      </c>
      <c r="G12" s="24" t="s">
        <v>88</v>
      </c>
    </row>
  </sheetData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FA7D38-D270-43ED-877C-F66869ED80E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A4693A8-BC3B-4311-8AFC-7B1E995878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9BEC08-CFD5-4254-91CB-0E04D2D81B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CCF</vt:lpstr>
      <vt:lpstr>EAD</vt:lpstr>
      <vt:lpstr>IMPRMNT_STTS</vt:lpstr>
      <vt:lpstr>PRFRMNG_STTS</vt:lpstr>
      <vt:lpstr>TYP_OFF_BLNC_PRDCT</vt:lpstr>
      <vt:lpstr>SUBPORTFOLIO_ID</vt:lpstr>
      <vt:lpstr>DFLT_INSTRMNT_STTS</vt:lpstr>
      <vt:lpstr>TYP_INSTRMNT</vt:lpstr>
      <vt:lpstr>GRSS_CRRYNG_AMNT_INSTRMNT</vt:lpstr>
      <vt:lpstr>ACCNTNG_CLSSFCTN</vt:lpstr>
      <vt:lpstr>ACCMLTD_IMPRMNT_INSTRMNT</vt:lpstr>
      <vt:lpstr>COD_SOC_INTRGRP</vt:lpstr>
      <vt:lpstr>IDCOMB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2025-07-27T03:15:27Z</dcterms:created>
  <dcterms:modified xsi:type="dcterms:W3CDTF">2025-07-31T10:13:19Z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2025-07-30T17:40:51Z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8b9cf062-47a6-4fcd-877f-aba76d1dc35b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