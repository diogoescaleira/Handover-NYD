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268" documentId="8_{F5810010-06AD-4815-9FDC-005F75BE4E59}" xr6:coauthVersionLast="47" xr6:coauthVersionMax="47" xr10:uidLastSave="{7C0C5A39-A055-492D-85F2-7F5ABF7D1A98}"/>
  <bookViews>
    <workbookView xWindow="-120" yWindow="-16320" windowWidth="29040" windowHeight="15720" tabRatio="860" xr2:uid="{00000000-000D-0000-FFFF-FFFF00000000}"/>
  </bookViews>
  <sheets>
    <sheet name="DFLT_INSTRMNT_STTS" sheetId="8" r:id="rId1"/>
    <sheet name="GRSS_CRRYNG_AMNT_INSTRMNT" sheetId="10" r:id="rId2"/>
    <sheet name="ACCMLTD_IMPRMNT_INSTRMNT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2" l="1"/>
  <c r="D9" i="10"/>
</calcChain>
</file>

<file path=xl/sharedStrings.xml><?xml version="1.0" encoding="utf-8"?>
<sst xmlns="http://schemas.openxmlformats.org/spreadsheetml/2006/main" count="179" uniqueCount="58">
  <si>
    <t>val_univ</t>
  </si>
  <si>
    <t>univ_simul</t>
  </si>
  <si>
    <t>instrmnt_id</t>
  </si>
  <si>
    <t>bsnss_area_sim</t>
  </si>
  <si>
    <t>bsnss_area_it</t>
  </si>
  <si>
    <t>val_bsnss_area</t>
  </si>
  <si>
    <t>cnclld_instrmnt_stts_sim</t>
  </si>
  <si>
    <t>cnclld_instrmnt_stts_it</t>
  </si>
  <si>
    <t>val_cnclld_instrmnt_stts</t>
  </si>
  <si>
    <t>COMUM</t>
  </si>
  <si>
    <t>COMUM PM</t>
  </si>
  <si>
    <t>OK</t>
  </si>
  <si>
    <t>N</t>
  </si>
  <si>
    <t>NOK</t>
  </si>
  <si>
    <t>Observações</t>
  </si>
  <si>
    <t># Registos Nok</t>
  </si>
  <si>
    <t>MISS</t>
  </si>
  <si>
    <t>dflt_stts_instrmnt_sim</t>
  </si>
  <si>
    <t>dflt_stts_instrmnt_it</t>
  </si>
  <si>
    <t>val_dflt_stts_instrmnt</t>
  </si>
  <si>
    <t>SNCN00004637</t>
  </si>
  <si>
    <t>SNCN00004682</t>
  </si>
  <si>
    <t>SNCN00004671</t>
  </si>
  <si>
    <t>SNCN00030253</t>
  </si>
  <si>
    <t>SNCN00030239</t>
  </si>
  <si>
    <t>SNCN00002028</t>
  </si>
  <si>
    <t>SNCN00005018</t>
  </si>
  <si>
    <t>99999999999</t>
  </si>
  <si>
    <t>14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</si>
  <si>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dflt_instrmnt_stts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</si>
  <si>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grss_crryng_amnt_instrmnt_sim</t>
  </si>
  <si>
    <t>grss_crryng_amnt_instrmnt_it</t>
  </si>
  <si>
    <t>val_grss_crryng_amnt_instrmnt</t>
  </si>
  <si>
    <t>31641600005800040PTADNAOM0008000</t>
  </si>
  <si>
    <t>BA3</t>
  </si>
  <si>
    <t>SNCN00030205</t>
  </si>
  <si>
    <t>31641600005800040PTMVHAOM0000000</t>
  </si>
  <si>
    <t>BA10</t>
  </si>
  <si>
    <t>SNCN00030252</t>
  </si>
  <si>
    <t>SNCN00029982</t>
  </si>
  <si>
    <t>SNCN00030242</t>
  </si>
  <si>
    <t>31641600005800040PTCBOAOM0007000</t>
  </si>
  <si>
    <t>SNCN00030183</t>
  </si>
  <si>
    <t>O valor em PM para jun/25 é 10 155 326,91.</t>
  </si>
  <si>
    <t>O valor em PM para jun/25 é 0,39.</t>
  </si>
  <si>
    <t>O valor em PM para jun/25 é 64 473 442,45.</t>
  </si>
  <si>
    <t>O valor em PM para jun/25 é 7 322 506,99.</t>
  </si>
  <si>
    <t>O valor em PM para jun/25 é -0,10.</t>
  </si>
  <si>
    <t>O valor em PM para jun/25 é -0,39.</t>
  </si>
  <si>
    <t>O valor em PM para jun/25 é -1,05.</t>
  </si>
  <si>
    <t>O valor em PM para jun/25 é -0,22.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</si>
  <si>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grss_crryng_amnt_instrmnt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</si>
  <si>
    <t>accmltd_imprmnt_instrmnt_sim</t>
  </si>
  <si>
    <t>accmltd_imprmnt_instrmnt_it</t>
  </si>
  <si>
    <t>val_accmltd_imprmnt_instrmnt</t>
  </si>
  <si>
    <t>SNCN00030094</t>
  </si>
  <si>
    <t>O valor em PM para jun/25 é 5 550 000.</t>
  </si>
  <si>
    <r>
      <t xml:space="preserve">Diferenças detetadas no campo </t>
    </r>
    <r>
      <rPr>
        <b/>
        <i/>
        <sz val="11"/>
        <color theme="1"/>
        <rFont val="Calibri"/>
        <family val="2"/>
        <scheme val="minor"/>
      </rPr>
      <t>accmltd_imprmnt_instrmnt</t>
    </r>
    <r>
      <rPr>
        <b/>
        <sz val="11"/>
        <color theme="1"/>
        <rFont val="Calibri"/>
        <family val="2"/>
        <scheme val="minor"/>
      </rPr>
      <t xml:space="preserve"> da tabela </t>
    </r>
    <r>
      <rPr>
        <b/>
        <i/>
        <sz val="11"/>
        <color theme="1"/>
        <rFont val="Calibri"/>
        <family val="2"/>
        <scheme val="minor"/>
      </rPr>
      <t>lt002_instrument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</si>
</sst>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1" applyFont="1" applyProtection="1">
      <protection hidden="1"/>
    </xf>
    <xf numFmtId="0" fontId="0" fillId="0" borderId="0" xfId="1" applyFont="1" applyAlignment="1" applyProtection="1">
      <alignment horizontal="center" vertical="center"/>
      <protection hidden="1"/>
    </xf>
    <xf numFmtId="0" fontId="0" fillId="0" borderId="0" xfId="1" applyFont="1" applyAlignment="1" applyProtection="1">
      <alignment horizontal="left" vertical="center"/>
      <protection hidden="1"/>
    </xf>
    <xf numFmtId="0" fontId="3" fillId="0" borderId="0" xfId="1" applyFont="1" applyAlignment="1" applyProtection="1">
      <alignment horizontal="left"/>
      <protection hidden="1"/>
    </xf>
    <xf numFmtId="0" fontId="0" fillId="0" borderId="0" xfId="1" applyFont="1" applyAlignment="1" applyProtection="1">
      <alignment horizontal="centerContinuous"/>
      <protection hidden="1"/>
    </xf>
    <xf numFmtId="14" fontId="3" fillId="0" borderId="0" xfId="0" applyNumberFormat="1" applyFont="1" applyAlignment="1" applyProtection="1">
      <alignment vertical="top"/>
      <protection hidden="1"/>
    </xf>
    <xf numFmtId="14" fontId="3" fillId="0" borderId="0" xfId="0" applyNumberFormat="1" applyFont="1" applyAlignment="1" applyProtection="1">
      <alignment horizontal="left" vertical="center"/>
      <protection hidden="1"/>
    </xf>
    <xf numFmtId="0" fontId="0" fillId="2" borderId="0" xfId="1" applyFont="1" applyFill="1" applyProtection="1">
      <protection hidden="1"/>
    </xf>
    <xf numFmtId="0" fontId="0" fillId="2" borderId="0" xfId="1" applyFont="1" applyFill="1" applyAlignment="1" applyProtection="1">
      <alignment horizontal="center" vertical="center"/>
      <protection hidden="1"/>
    </xf>
    <xf numFmtId="0" fontId="0" fillId="2" borderId="0" xfId="1" applyFont="1" applyFill="1" applyAlignment="1" applyProtection="1">
      <alignment horizontal="left" vertical="center"/>
      <protection hidden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4" fontId="0" fillId="0" borderId="1" xfId="0" applyNumberFormat="1" applyBorder="1"/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Normal 3" xfId="1" xr:uid="{43E9659C-96B5-4D18-9C29-63C1F8A6860D}"/>
  </cellStyles>
  <dxfs count="0"/>
  <tableStyles count="0" defaultTableStyle="TableStyleMedium9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0500" y="21336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CB3D8B49-7D41-4438-98F0-EA20E502A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213360"/>
          <a:ext cx="1776001" cy="31242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5C04068D-4A46-47A3-A2DC-B727CDF09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2399" y="190500"/>
    <xdr:ext cx="1776001" cy="312420"/>
    <xdr:pic>
      <xdr:nvPicPr>
        <xdr:cNvPr id="2" name="Gráfico 10">
          <a:extLst>
            <a:ext uri="{FF2B5EF4-FFF2-40B4-BE49-F238E27FC236}">
              <a16:creationId xmlns:a16="http://schemas.microsoft.com/office/drawing/2014/main" id="{6464B6DD-1C44-423F-8A04-318556B01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399" y="190500"/>
          <a:ext cx="1776001" cy="31242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6E30-B9C6-4408-A875-1B83F92CE27C}">
  <dimension ref="A1:Q18"/>
  <sheetViews>
    <sheetView showGridLines="0" tabSelected="1" workbookViewId="0">
      <selection activeCell="E27" sqref="E27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2.109375" bestFit="1" customWidth="1"/>
    <col min="4" max="5" width="20" bestFit="1" customWidth="1"/>
    <col min="6" max="7" width="19.5546875" bestFit="1" customWidth="1"/>
    <col min="8" max="8" width="3.77734375" customWidth="1"/>
    <col min="9" max="15" width="0" hidden="1" customWidth="1"/>
    <col min="18" max="16384" width="8.88671875" hidden="1"/>
  </cols>
  <sheetData>
    <row r="1" spans="1:8" x14ac:dyDescent="0.3">
      <c r="D1" s="1"/>
    </row>
    <row r="2" spans="1:8" x14ac:dyDescent="0.3">
      <c r="A2" s="3"/>
      <c r="B2" s="3"/>
      <c r="C2" s="3"/>
      <c r="D2" s="4"/>
      <c r="E2" s="3"/>
      <c r="F2" s="3"/>
      <c r="G2" s="3"/>
      <c r="H2" s="3"/>
    </row>
    <row r="3" spans="1:8" x14ac:dyDescent="0.3">
      <c r="A3" s="6"/>
      <c r="B3" s="6"/>
      <c r="C3" s="6"/>
      <c r="D3" s="4"/>
      <c r="E3" s="7"/>
      <c r="F3" s="7"/>
      <c r="G3" s="8"/>
      <c r="H3" s="8"/>
    </row>
    <row r="4" spans="1:8" x14ac:dyDescent="0.3">
      <c r="A4" s="3"/>
      <c r="B4" s="3"/>
      <c r="C4" s="3"/>
      <c r="D4" s="4"/>
      <c r="E4" s="3"/>
      <c r="F4" s="3"/>
      <c r="G4" s="3"/>
      <c r="H4" s="3"/>
    </row>
    <row r="5" spans="1:8" ht="3" customHeight="1" x14ac:dyDescent="0.3">
      <c r="A5" s="10"/>
      <c r="B5" s="10"/>
      <c r="C5" s="10"/>
      <c r="D5" s="11"/>
      <c r="E5" s="10"/>
      <c r="F5" s="10"/>
      <c r="G5" s="10"/>
      <c r="H5" s="10"/>
    </row>
    <row r="7" spans="1:8" x14ac:dyDescent="0.3">
      <c r="B7" s="15" t="s">
        <v>29</v>
      </c>
      <c r="C7" s="16"/>
      <c r="D7" s="16"/>
      <c r="E7" s="16"/>
      <c r="F7" s="16"/>
      <c r="G7" s="16"/>
    </row>
    <row r="9" spans="1:8" x14ac:dyDescent="0.3">
      <c r="B9" s="22" t="s">
        <v>15</v>
      </c>
      <c r="C9" s="22"/>
      <c r="D9" s="20">
        <v>7</v>
      </c>
    </row>
    <row r="11" spans="1:8" x14ac:dyDescent="0.3">
      <c r="B11" s="13" t="s">
        <v>0</v>
      </c>
      <c r="C11" s="13" t="s">
        <v>1</v>
      </c>
      <c r="D11" s="13" t="s">
        <v>2</v>
      </c>
      <c r="E11" s="13" t="s">
        <v>17</v>
      </c>
      <c r="F11" s="13" t="s">
        <v>18</v>
      </c>
      <c r="G11" s="13" t="s">
        <v>19</v>
      </c>
    </row>
    <row r="12" spans="1:8" x14ac:dyDescent="0.3">
      <c r="B12" s="14" t="s">
        <v>9</v>
      </c>
      <c r="C12" s="14" t="s">
        <v>10</v>
      </c>
      <c r="D12" s="14" t="s">
        <v>20</v>
      </c>
      <c r="E12" s="14" t="s">
        <v>27</v>
      </c>
      <c r="F12" s="14" t="s">
        <v>28</v>
      </c>
      <c r="G12" s="14" t="s">
        <v>13</v>
      </c>
    </row>
    <row r="13" spans="1:8" x14ac:dyDescent="0.3">
      <c r="B13" s="14" t="s">
        <v>9</v>
      </c>
      <c r="C13" s="14" t="s">
        <v>10</v>
      </c>
      <c r="D13" s="14" t="s">
        <v>21</v>
      </c>
      <c r="E13" s="14" t="s">
        <v>27</v>
      </c>
      <c r="F13" s="14" t="s">
        <v>28</v>
      </c>
      <c r="G13" s="14" t="s">
        <v>13</v>
      </c>
    </row>
    <row r="14" spans="1:8" x14ac:dyDescent="0.3">
      <c r="B14" s="14" t="s">
        <v>9</v>
      </c>
      <c r="C14" s="14" t="s">
        <v>10</v>
      </c>
      <c r="D14" s="14" t="s">
        <v>22</v>
      </c>
      <c r="E14" s="14" t="s">
        <v>27</v>
      </c>
      <c r="F14" s="14" t="s">
        <v>28</v>
      </c>
      <c r="G14" s="14" t="s">
        <v>13</v>
      </c>
    </row>
    <row r="15" spans="1:8" x14ac:dyDescent="0.3">
      <c r="B15" s="14" t="s">
        <v>9</v>
      </c>
      <c r="C15" s="14" t="s">
        <v>10</v>
      </c>
      <c r="D15" s="14" t="s">
        <v>23</v>
      </c>
      <c r="E15" s="14" t="s">
        <v>27</v>
      </c>
      <c r="F15" s="14" t="s">
        <v>28</v>
      </c>
      <c r="G15" s="14" t="s">
        <v>13</v>
      </c>
    </row>
    <row r="16" spans="1:8" x14ac:dyDescent="0.3">
      <c r="B16" s="14" t="s">
        <v>9</v>
      </c>
      <c r="C16" s="14" t="s">
        <v>10</v>
      </c>
      <c r="D16" s="14" t="s">
        <v>24</v>
      </c>
      <c r="E16" s="14" t="s">
        <v>27</v>
      </c>
      <c r="F16" s="14" t="s">
        <v>28</v>
      </c>
      <c r="G16" s="14" t="s">
        <v>13</v>
      </c>
    </row>
    <row r="17" spans="2:7" x14ac:dyDescent="0.3">
      <c r="B17" s="14" t="s">
        <v>9</v>
      </c>
      <c r="C17" s="14" t="s">
        <v>10</v>
      </c>
      <c r="D17" s="14" t="s">
        <v>25</v>
      </c>
      <c r="E17" s="14" t="s">
        <v>27</v>
      </c>
      <c r="F17" s="14" t="s">
        <v>28</v>
      </c>
      <c r="G17" s="14" t="s">
        <v>13</v>
      </c>
    </row>
    <row r="18" spans="2:7" x14ac:dyDescent="0.3">
      <c r="B18" s="14" t="s">
        <v>9</v>
      </c>
      <c r="C18" s="14" t="s">
        <v>10</v>
      </c>
      <c r="D18" s="14" t="s">
        <v>26</v>
      </c>
      <c r="E18" s="14" t="s">
        <v>27</v>
      </c>
      <c r="F18" s="14" t="s">
        <v>28</v>
      </c>
      <c r="G18" s="14" t="s">
        <v>13</v>
      </c>
    </row>
  </sheetData>
  <mergeCells count="1">
    <mergeCell ref="B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72183-ABBA-4314-A636-95A1E1917708}">
  <dimension ref="A1:P20"/>
  <sheetViews>
    <sheetView showGridLines="0" topLeftCell="I1" workbookViewId="0">
      <selection activeCell="O14" sqref="O14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5.7773437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28.44140625" bestFit="1" customWidth="1"/>
    <col min="12" max="12" width="26.6640625" bestFit="1" customWidth="1"/>
    <col min="13" max="13" width="28" bestFit="1" customWidth="1"/>
    <col min="14" max="14" width="118.886718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51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22" t="s">
        <v>15</v>
      </c>
      <c r="C9" s="22"/>
      <c r="D9" s="17">
        <f>COUNTA(D12:D19)</f>
        <v>8</v>
      </c>
    </row>
    <row r="11" spans="1:15" x14ac:dyDescent="0.3">
      <c r="B11" s="13" t="s">
        <v>0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3" t="s">
        <v>8</v>
      </c>
      <c r="K11" s="13" t="s">
        <v>30</v>
      </c>
      <c r="L11" s="13" t="s">
        <v>31</v>
      </c>
      <c r="M11" s="13" t="s">
        <v>32</v>
      </c>
      <c r="N11" s="18" t="s">
        <v>14</v>
      </c>
    </row>
    <row r="12" spans="1:15" x14ac:dyDescent="0.3">
      <c r="B12" s="14" t="s">
        <v>9</v>
      </c>
      <c r="C12" s="14" t="s">
        <v>10</v>
      </c>
      <c r="D12" s="14" t="s">
        <v>33</v>
      </c>
      <c r="E12" s="14" t="s">
        <v>34</v>
      </c>
      <c r="F12" s="14" t="s">
        <v>34</v>
      </c>
      <c r="G12" s="14" t="s">
        <v>11</v>
      </c>
      <c r="H12" s="14" t="s">
        <v>12</v>
      </c>
      <c r="I12" s="14" t="s">
        <v>12</v>
      </c>
      <c r="J12" s="14" t="s">
        <v>11</v>
      </c>
      <c r="K12" s="21">
        <v>10155326.91</v>
      </c>
      <c r="L12" s="21">
        <v>10152500</v>
      </c>
      <c r="M12" s="14" t="s">
        <v>13</v>
      </c>
      <c r="N12" s="14" t="s">
        <v>43</v>
      </c>
    </row>
    <row r="13" spans="1:15" x14ac:dyDescent="0.3">
      <c r="B13" s="14" t="s">
        <v>9</v>
      </c>
      <c r="C13" s="14" t="s">
        <v>10</v>
      </c>
      <c r="D13" s="14" t="s">
        <v>35</v>
      </c>
      <c r="E13" s="14" t="s">
        <v>16</v>
      </c>
      <c r="F13" s="14" t="s">
        <v>16</v>
      </c>
      <c r="G13" s="14" t="s">
        <v>11</v>
      </c>
      <c r="H13" s="14" t="s">
        <v>12</v>
      </c>
      <c r="I13" s="14" t="s">
        <v>12</v>
      </c>
      <c r="J13" s="14" t="s">
        <v>11</v>
      </c>
      <c r="K13" s="21">
        <v>-0.39</v>
      </c>
      <c r="L13" s="21">
        <v>-0.78</v>
      </c>
      <c r="M13" s="14" t="s">
        <v>13</v>
      </c>
      <c r="N13" s="14" t="s">
        <v>48</v>
      </c>
    </row>
    <row r="14" spans="1:15" x14ac:dyDescent="0.3">
      <c r="B14" s="14" t="s">
        <v>9</v>
      </c>
      <c r="C14" s="14" t="s">
        <v>10</v>
      </c>
      <c r="D14" s="14" t="s">
        <v>36</v>
      </c>
      <c r="E14" s="14" t="s">
        <v>37</v>
      </c>
      <c r="F14" s="14" t="s">
        <v>37</v>
      </c>
      <c r="G14" s="14" t="s">
        <v>11</v>
      </c>
      <c r="H14" s="14" t="s">
        <v>12</v>
      </c>
      <c r="I14" s="14" t="s">
        <v>12</v>
      </c>
      <c r="J14" s="14" t="s">
        <v>11</v>
      </c>
      <c r="K14" s="21">
        <v>64473442.450000003</v>
      </c>
      <c r="L14" s="21">
        <v>64473056.259999998</v>
      </c>
      <c r="M14" s="14" t="s">
        <v>13</v>
      </c>
      <c r="N14" s="14" t="s">
        <v>45</v>
      </c>
    </row>
    <row r="15" spans="1:15" x14ac:dyDescent="0.3">
      <c r="B15" s="14" t="s">
        <v>9</v>
      </c>
      <c r="C15" s="14" t="s">
        <v>10</v>
      </c>
      <c r="D15" s="14" t="s">
        <v>38</v>
      </c>
      <c r="E15" s="14" t="s">
        <v>16</v>
      </c>
      <c r="F15" s="14" t="s">
        <v>16</v>
      </c>
      <c r="G15" s="14" t="s">
        <v>11</v>
      </c>
      <c r="H15" s="14" t="s">
        <v>12</v>
      </c>
      <c r="I15" s="14" t="s">
        <v>12</v>
      </c>
      <c r="J15" s="14" t="s">
        <v>11</v>
      </c>
      <c r="K15" s="21">
        <v>-0.1</v>
      </c>
      <c r="L15" s="21">
        <v>-0.2</v>
      </c>
      <c r="M15" s="14" t="s">
        <v>13</v>
      </c>
      <c r="N15" s="14" t="s">
        <v>47</v>
      </c>
    </row>
    <row r="16" spans="1:15" x14ac:dyDescent="0.3">
      <c r="B16" s="14" t="s">
        <v>9</v>
      </c>
      <c r="C16" s="14" t="s">
        <v>10</v>
      </c>
      <c r="D16" s="14" t="s">
        <v>39</v>
      </c>
      <c r="E16" s="14" t="s">
        <v>16</v>
      </c>
      <c r="F16" s="14" t="s">
        <v>16</v>
      </c>
      <c r="G16" s="14" t="s">
        <v>11</v>
      </c>
      <c r="H16" s="14" t="s">
        <v>12</v>
      </c>
      <c r="I16" s="14" t="s">
        <v>12</v>
      </c>
      <c r="J16" s="14" t="s">
        <v>11</v>
      </c>
      <c r="K16" s="21">
        <v>-1.05</v>
      </c>
      <c r="L16" s="21">
        <v>-1.06</v>
      </c>
      <c r="M16" s="14" t="s">
        <v>13</v>
      </c>
      <c r="N16" s="14" t="s">
        <v>49</v>
      </c>
    </row>
    <row r="17" spans="2:14" x14ac:dyDescent="0.3">
      <c r="B17" s="14" t="s">
        <v>9</v>
      </c>
      <c r="C17" s="14" t="s">
        <v>10</v>
      </c>
      <c r="D17" s="14" t="s">
        <v>40</v>
      </c>
      <c r="E17" s="14" t="s">
        <v>16</v>
      </c>
      <c r="F17" s="14" t="s">
        <v>16</v>
      </c>
      <c r="G17" s="14" t="s">
        <v>11</v>
      </c>
      <c r="H17" s="14" t="s">
        <v>12</v>
      </c>
      <c r="I17" s="14" t="s">
        <v>12</v>
      </c>
      <c r="J17" s="14" t="s">
        <v>11</v>
      </c>
      <c r="K17" s="21">
        <v>0.39</v>
      </c>
      <c r="L17" s="21">
        <v>0.78</v>
      </c>
      <c r="M17" s="14" t="s">
        <v>13</v>
      </c>
      <c r="N17" s="14" t="s">
        <v>44</v>
      </c>
    </row>
    <row r="18" spans="2:14" x14ac:dyDescent="0.3">
      <c r="B18" s="14" t="s">
        <v>9</v>
      </c>
      <c r="C18" s="14" t="s">
        <v>10</v>
      </c>
      <c r="D18" s="14" t="s">
        <v>41</v>
      </c>
      <c r="E18" s="14" t="s">
        <v>37</v>
      </c>
      <c r="F18" s="14" t="s">
        <v>37</v>
      </c>
      <c r="G18" s="14" t="s">
        <v>11</v>
      </c>
      <c r="H18" s="14" t="s">
        <v>12</v>
      </c>
      <c r="I18" s="14" t="s">
        <v>12</v>
      </c>
      <c r="J18" s="14" t="s">
        <v>11</v>
      </c>
      <c r="K18" s="21">
        <v>7322506.9900000002</v>
      </c>
      <c r="L18" s="21">
        <v>7322344.1100000003</v>
      </c>
      <c r="M18" s="14" t="s">
        <v>13</v>
      </c>
      <c r="N18" s="14" t="s">
        <v>46</v>
      </c>
    </row>
    <row r="19" spans="2:14" x14ac:dyDescent="0.3">
      <c r="B19" s="14" t="s">
        <v>9</v>
      </c>
      <c r="C19" s="14" t="s">
        <v>10</v>
      </c>
      <c r="D19" s="14" t="s">
        <v>42</v>
      </c>
      <c r="E19" s="14" t="s">
        <v>16</v>
      </c>
      <c r="F19" s="14" t="s">
        <v>16</v>
      </c>
      <c r="G19" s="14" t="s">
        <v>11</v>
      </c>
      <c r="H19" s="14" t="s">
        <v>12</v>
      </c>
      <c r="I19" s="14" t="s">
        <v>12</v>
      </c>
      <c r="J19" s="14" t="s">
        <v>11</v>
      </c>
      <c r="K19" s="21">
        <v>-0.22</v>
      </c>
      <c r="L19" s="21">
        <v>-0.12</v>
      </c>
      <c r="M19" s="14" t="s">
        <v>13</v>
      </c>
      <c r="N19" s="14" t="s">
        <v>50</v>
      </c>
    </row>
    <row r="20" spans="2:14" x14ac:dyDescent="0.3">
      <c r="L20" s="19"/>
    </row>
  </sheetData>
  <mergeCells count="1">
    <mergeCell ref="B9:C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D95A-F59E-4251-806D-EE85E7E684FA}">
  <dimension ref="A1:P12"/>
  <sheetViews>
    <sheetView showGridLines="0" workbookViewId="0">
      <selection activeCell="B8" sqref="B8"/>
    </sheetView>
  </sheetViews>
  <sheetFormatPr defaultColWidth="0" defaultRowHeight="14.4" x14ac:dyDescent="0.3"/>
  <cols>
    <col min="1" max="1" width="3.77734375" customWidth="1"/>
    <col min="2" max="2" width="8.109375" bestFit="1" customWidth="1"/>
    <col min="3" max="3" width="11.21875" bestFit="1" customWidth="1"/>
    <col min="4" max="4" width="35.77734375" bestFit="1" customWidth="1"/>
    <col min="5" max="5" width="14.21875" bestFit="1" customWidth="1"/>
    <col min="6" max="6" width="12.33203125" bestFit="1" customWidth="1"/>
    <col min="7" max="7" width="13.77734375" bestFit="1" customWidth="1"/>
    <col min="8" max="8" width="22.109375" bestFit="1" customWidth="1"/>
    <col min="9" max="9" width="20.21875" bestFit="1" customWidth="1"/>
    <col min="10" max="10" width="21.6640625" bestFit="1" customWidth="1"/>
    <col min="11" max="11" width="28.44140625" bestFit="1" customWidth="1"/>
    <col min="12" max="12" width="26.6640625" bestFit="1" customWidth="1"/>
    <col min="13" max="13" width="28" bestFit="1" customWidth="1"/>
    <col min="14" max="14" width="118.88671875" bestFit="1" customWidth="1"/>
    <col min="15" max="15" width="3.77734375" customWidth="1"/>
    <col min="16" max="16" width="3.77734375" hidden="1" customWidth="1"/>
    <col min="17" max="16384" width="11.5546875" hidden="1"/>
  </cols>
  <sheetData>
    <row r="1" spans="1:15" x14ac:dyDescent="0.3">
      <c r="D1" s="1"/>
      <c r="K1" s="2"/>
    </row>
    <row r="2" spans="1:15" x14ac:dyDescent="0.3">
      <c r="A2" s="3"/>
      <c r="B2" s="3"/>
      <c r="C2" s="3"/>
      <c r="D2" s="4"/>
      <c r="E2" s="3"/>
      <c r="F2" s="3"/>
      <c r="G2" s="3"/>
      <c r="H2" s="3"/>
      <c r="I2" s="3"/>
      <c r="J2" s="3"/>
      <c r="K2" s="5"/>
      <c r="L2" s="3"/>
      <c r="M2" s="3"/>
      <c r="N2" s="3"/>
      <c r="O2" s="3"/>
    </row>
    <row r="3" spans="1:15" x14ac:dyDescent="0.3">
      <c r="A3" s="6"/>
      <c r="B3" s="6"/>
      <c r="C3" s="6"/>
      <c r="D3" s="4"/>
      <c r="E3" s="7"/>
      <c r="F3" s="7"/>
      <c r="G3" s="8"/>
      <c r="H3" s="8"/>
      <c r="I3" s="8"/>
      <c r="J3" s="8"/>
      <c r="K3" s="9"/>
      <c r="L3" s="8"/>
      <c r="M3" s="8"/>
      <c r="N3" s="8"/>
      <c r="O3" s="8"/>
    </row>
    <row r="4" spans="1:15" x14ac:dyDescent="0.3">
      <c r="A4" s="3"/>
      <c r="B4" s="3"/>
      <c r="C4" s="3"/>
      <c r="D4" s="4"/>
      <c r="E4" s="3"/>
      <c r="F4" s="3"/>
      <c r="G4" s="3"/>
      <c r="H4" s="3"/>
      <c r="I4" s="3"/>
      <c r="J4" s="3"/>
      <c r="K4" s="5"/>
      <c r="L4" s="3"/>
      <c r="M4" s="3"/>
      <c r="N4" s="3"/>
      <c r="O4" s="3"/>
    </row>
    <row r="5" spans="1:15" ht="3" customHeight="1" x14ac:dyDescent="0.3">
      <c r="A5" s="10"/>
      <c r="B5" s="10"/>
      <c r="C5" s="10"/>
      <c r="D5" s="11"/>
      <c r="E5" s="10"/>
      <c r="F5" s="10"/>
      <c r="G5" s="10"/>
      <c r="H5" s="10"/>
      <c r="I5" s="10"/>
      <c r="J5" s="10"/>
      <c r="K5" s="12"/>
      <c r="L5" s="10"/>
      <c r="M5" s="10"/>
      <c r="N5" s="10"/>
      <c r="O5" s="10"/>
    </row>
    <row r="7" spans="1:15" x14ac:dyDescent="0.3">
      <c r="B7" s="15" t="s">
        <v>57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9" spans="1:15" x14ac:dyDescent="0.3">
      <c r="B9" s="22" t="s">
        <v>15</v>
      </c>
      <c r="C9" s="22"/>
      <c r="D9" s="17">
        <f>COUNTA(D12:D12)</f>
        <v>1</v>
      </c>
    </row>
    <row r="11" spans="1:15" x14ac:dyDescent="0.3">
      <c r="B11" s="13" t="s">
        <v>0</v>
      </c>
      <c r="C11" s="13" t="s">
        <v>1</v>
      </c>
      <c r="D11" s="13" t="s">
        <v>2</v>
      </c>
      <c r="E11" s="13" t="s">
        <v>3</v>
      </c>
      <c r="F11" s="13" t="s">
        <v>4</v>
      </c>
      <c r="G11" s="13" t="s">
        <v>5</v>
      </c>
      <c r="H11" s="13" t="s">
        <v>6</v>
      </c>
      <c r="I11" s="13" t="s">
        <v>7</v>
      </c>
      <c r="J11" s="13" t="s">
        <v>8</v>
      </c>
      <c r="K11" s="13" t="s">
        <v>52</v>
      </c>
      <c r="L11" s="13" t="s">
        <v>53</v>
      </c>
      <c r="M11" s="13" t="s">
        <v>54</v>
      </c>
      <c r="N11" s="18" t="s">
        <v>14</v>
      </c>
    </row>
    <row r="12" spans="1:15" x14ac:dyDescent="0.3">
      <c r="B12" s="14" t="s">
        <v>9</v>
      </c>
      <c r="C12" s="14" t="s">
        <v>10</v>
      </c>
      <c r="D12" s="14" t="s">
        <v>55</v>
      </c>
      <c r="E12" s="14" t="s">
        <v>16</v>
      </c>
      <c r="F12" s="14" t="s">
        <v>16</v>
      </c>
      <c r="G12" s="14" t="s">
        <v>11</v>
      </c>
      <c r="H12" s="14" t="s">
        <v>12</v>
      </c>
      <c r="I12" s="14" t="s">
        <v>12</v>
      </c>
      <c r="J12" s="14" t="s">
        <v>11</v>
      </c>
      <c r="K12" s="21">
        <v>5550000</v>
      </c>
      <c r="L12" s="21">
        <v>2000000</v>
      </c>
      <c r="M12" s="14" t="s">
        <v>13</v>
      </c>
      <c r="N12" s="14" t="s">
        <v>56</v>
      </c>
    </row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4693A8-BC3B-4311-8AFC-7B1E995878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FA7D38-D270-43ED-877C-F66869ED80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C2A44C5-7519-4047-82EE-27EEFE9DC7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DFLT_INSTRMNT_STTS</vt:lpstr>
      <vt:lpstr>GRSS_CRRYNG_AMNT_INSTRMNT</vt:lpstr>
      <vt:lpstr>ACCMLTD_IMPRMNT_INSTRMNT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2025-07-27T03:15:27Z</dcterms:created>
  <dcterms:modified xsi:type="dcterms:W3CDTF">2025-07-31T10:30:57Z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2025-07-30T17:40:51Z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8b9cf062-47a6-4fcd-877f-aba76d1dc35b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