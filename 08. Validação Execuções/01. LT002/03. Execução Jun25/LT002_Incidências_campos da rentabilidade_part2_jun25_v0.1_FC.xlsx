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889" documentId="8_{F5810010-06AD-4815-9FDC-005F75BE4E59}" xr6:coauthVersionLast="47" xr6:coauthVersionMax="47" xr10:uidLastSave="{360889AB-3CB0-48EB-9209-54A0F3CB0D3D}"/>
  <bookViews>
    <workbookView xWindow="-108" yWindow="-108" windowWidth="23256" windowHeight="12456" tabRatio="860" activeTab="2" xr2:uid="{00000000-000D-0000-FFFF-FFFF00000000}"/>
  </bookViews>
  <sheets>
    <sheet name="NW_BSNSS" sheetId="8" r:id="rId1"/>
    <sheet name="FLG_INTRBSNSS" sheetId="10" r:id="rId2"/>
    <sheet name="INTRNL_TRNSFR_RT" sheetId="12" r:id="rId3"/>
    <sheet name="GRSS_CMMSSN_INCM_OFF_BLNC" sheetId="14" r:id="rId4"/>
    <sheet name="GRSS_INTRST_INCM" sheetId="15" r:id="rId5"/>
    <sheet name="GRSS_CMMSSN_INCM" sheetId="17" r:id="rId6"/>
    <sheet name="GRSS_CMMSSN_EXPNS" sheetId="18" r:id="rId7"/>
  </sheets>
  <definedNames>
    <definedName name="_xlnm._FilterDatabase" localSheetId="6" hidden="1">GRSS_CMMSSN_EXPNS!$B$16:$S$26</definedName>
    <definedName name="_xlnm._FilterDatabase" localSheetId="5" hidden="1">GRSS_CMMSSN_INCM!$B$16:$S$26</definedName>
    <definedName name="_xlnm._FilterDatabase" localSheetId="4" hidden="1">GRSS_INTRST_INCM!$B$16:$R$39</definedName>
    <definedName name="_xlnm._FilterDatabase" localSheetId="2" hidden="1">INTRNL_TRNSFR_RT!$A$22:$X$32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8" l="1"/>
  <c r="S20" i="18"/>
  <c r="S17" i="18"/>
  <c r="D9" i="18"/>
  <c r="S27" i="17"/>
  <c r="S19" i="17"/>
  <c r="S18" i="17"/>
  <c r="S17" i="17"/>
  <c r="D9" i="17"/>
  <c r="R49" i="15"/>
  <c r="R43" i="15"/>
  <c r="R28" i="15"/>
  <c r="R17" i="15"/>
  <c r="D9" i="15"/>
  <c r="D9" i="10"/>
  <c r="J61" i="14"/>
  <c r="J59" i="14"/>
  <c r="D9" i="14"/>
  <c r="S29" i="12"/>
  <c r="S32" i="12"/>
  <c r="S31" i="12"/>
  <c r="S28" i="12"/>
  <c r="S27" i="12"/>
  <c r="S26" i="12"/>
  <c r="D9" i="12"/>
</calcChain>
</file>

<file path=xl/sharedStrings.xml><?xml version="1.0" encoding="utf-8"?>
<sst xmlns="http://schemas.openxmlformats.org/spreadsheetml/2006/main" count="1313" uniqueCount="188">
  <si>
    <t>val_univ</t>
  </si>
  <si>
    <t>univ_simul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</si>
  <si>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</si>
  <si>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</si>
  <si>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</si>
  <si>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</si>
  <si>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</si>
  <si>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</si>
  <si>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</si>
  <si>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COMUM</t>
  </si>
  <si>
    <t>COMUM PM</t>
  </si>
  <si>
    <t>OK</t>
  </si>
  <si>
    <t>N</t>
  </si>
  <si>
    <t>NOK</t>
  </si>
  <si>
    <t>Observações</t>
  </si>
  <si>
    <t># Registos Nok</t>
  </si>
  <si>
    <t>MISS</t>
  </si>
  <si>
    <t>flg_intrbsnss_sim</t>
  </si>
  <si>
    <t>flg_intrbsnss_it</t>
  </si>
  <si>
    <t>val_flg_intrbsnss</t>
  </si>
  <si>
    <t>last_ref_date</t>
  </si>
  <si>
    <t>N/A</t>
  </si>
  <si>
    <t>Deve ser preenchido com N para todos os registos.</t>
  </si>
  <si>
    <t># Registos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</si>
  <si>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flg_intrbsnss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</si>
  <si>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intrnl_trnsfr_rt_sim</t>
  </si>
  <si>
    <t>intrnl_trnsfr_rt_it</t>
  </si>
  <si>
    <t>val_intrnl_trnsfr_rt</t>
  </si>
  <si>
    <t>BA3</t>
  </si>
  <si>
    <t>BA22</t>
  </si>
  <si>
    <t>BA17</t>
  </si>
  <si>
    <t>89000020170003142001520250199581</t>
  </si>
  <si>
    <t>BA5</t>
  </si>
  <si>
    <t>BA4</t>
  </si>
  <si>
    <t>89000020090003739001520250150721</t>
  </si>
  <si>
    <t>89000020200000108001520250274236</t>
  </si>
  <si>
    <t>c300_jun</t>
  </si>
  <si>
    <t>c300_mai</t>
  </si>
  <si>
    <t>NOK pois na execução de IT este contrato está com a BA5 como bsnss_area principal e a BA4 como secundária. O valor do intrnl_trsnsfr_rt está correto.</t>
  </si>
  <si>
    <t>NOK pois na execução de IT este contrato está com a BA22 como bsnss_area principal e a BA17 como secundária. O valor do intrnl_trsnsfr_rt está correto.</t>
  </si>
  <si>
    <t>NOK pois na execução de IT este contrato está com a BA17 como bsnss_area principal e a BA5 como secundária. O valor do intrnl_trsnsfr_rt está correto.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</si>
  <si>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intrnl_trnsfr_rt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</si>
  <si>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CANCELADOS</t>
  </si>
  <si>
    <t>cempresa</t>
  </si>
  <si>
    <t>89000020210000166001520250311107</t>
  </si>
  <si>
    <t>31000311062410096000000000000000</t>
  </si>
  <si>
    <t>BA2</t>
  </si>
  <si>
    <t>31023600200027274000000000000000</t>
  </si>
  <si>
    <t>890000202100000350004900C19526I1</t>
  </si>
  <si>
    <t>31000302551058096000000000000000</t>
  </si>
  <si>
    <t>31382000000706096000000000000000</t>
  </si>
  <si>
    <t>chave MIS</t>
  </si>
  <si>
    <t>3100002021000016600049000C1093I1</t>
  </si>
  <si>
    <t>ponderador</t>
  </si>
  <si>
    <t>msaldo_final chave FINREP</t>
  </si>
  <si>
    <t>cálculo intrnl_trnsfr_rt</t>
  </si>
  <si>
    <t>310000202100000350005000C19526I1</t>
  </si>
  <si>
    <t>310000202100000350004900C19526I1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</si>
  <si>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grss_cmmssn_incm_off_blnc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</si>
  <si>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grss_cmmssn_incm_off_blnc_sim</t>
  </si>
  <si>
    <t>grss_cmmssn_incm_off_blnc_it</t>
  </si>
  <si>
    <t>val_grss_cmmssn_incm_off_blnc</t>
  </si>
  <si>
    <t>Associados a contratos de ajustes, IT tem correto.</t>
  </si>
  <si>
    <t>89000020220000121000090C117987I1</t>
  </si>
  <si>
    <t>31000100200004024000000000000000</t>
  </si>
  <si>
    <t>BA11</t>
  </si>
  <si>
    <t>31000337356664020000000000000000</t>
  </si>
  <si>
    <t>BA15</t>
  </si>
  <si>
    <t>BA16</t>
  </si>
  <si>
    <t>31000000000000000962304880469060</t>
  </si>
  <si>
    <t>31663600380029078363603800290780</t>
  </si>
  <si>
    <t>SNCO0000000031000024683802001000000000000000BA16</t>
  </si>
  <si>
    <t>89000020210000035001520250298502</t>
  </si>
  <si>
    <t>31663600380019071363603800190710</t>
  </si>
  <si>
    <t>SNCO0000000031000051701452020000000000000000BA16</t>
  </si>
  <si>
    <t>31663600380010102390103800101021</t>
  </si>
  <si>
    <t>89000020240000129001520250311928</t>
  </si>
  <si>
    <t>89000020240000129000090C119982I1</t>
  </si>
  <si>
    <t>31000000000000000962304880464870</t>
  </si>
  <si>
    <t>31000343477900020000000000000000</t>
  </si>
  <si>
    <t>89000020210000331001520250030472</t>
  </si>
  <si>
    <t>89000020170002262001520250175445</t>
  </si>
  <si>
    <t>89000020220000121001520250311078</t>
  </si>
  <si>
    <t>SNCO0000000031000000000000000962304880464870BA22</t>
  </si>
  <si>
    <t>c457</t>
  </si>
  <si>
    <t>c458</t>
  </si>
  <si>
    <t>cálculo</t>
  </si>
  <si>
    <t>31663600380010102039010380010102</t>
  </si>
  <si>
    <t>-</t>
  </si>
  <si>
    <t>31000020240000129000090C119982I1</t>
  </si>
  <si>
    <t>Detalhe de alguns contratos</t>
  </si>
  <si>
    <t>Detalhe de alguns contratos: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</si>
  <si>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grss_intrst_incm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</si>
  <si>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val_grss_intrst_incm</t>
  </si>
  <si>
    <t>grss_intrst_incm_sim</t>
  </si>
  <si>
    <t>grss_intrst_incm_it</t>
  </si>
  <si>
    <t>310031610653300116562130P0050001</t>
  </si>
  <si>
    <t>C</t>
  </si>
  <si>
    <t>31003171535630011734873500000001</t>
  </si>
  <si>
    <t>31003185265130011632915400000001</t>
  </si>
  <si>
    <t>31003171559040011655203400000001</t>
  </si>
  <si>
    <t>31003194305420011707897200000001</t>
  </si>
  <si>
    <t>310031715356300117348735P0010001</t>
  </si>
  <si>
    <t>310031715590400116552034P0010001</t>
  </si>
  <si>
    <t>31003185028330011615831200000001</t>
  </si>
  <si>
    <t>310031610653300116562130P0070001</t>
  </si>
  <si>
    <t>310031610653300116562130P0040001</t>
  </si>
  <si>
    <t>310031674437500115181558P0010001</t>
  </si>
  <si>
    <t>89000020050002201001520250080118</t>
  </si>
  <si>
    <t>310031610653300116562130P0030001</t>
  </si>
  <si>
    <t>31003167443750011518155800000001</t>
  </si>
  <si>
    <t>31641600000000829PC0647884000000</t>
  </si>
  <si>
    <t>31003161065330011656213000000001</t>
  </si>
  <si>
    <t>31005133480260011685817900000001</t>
  </si>
  <si>
    <t>M</t>
  </si>
  <si>
    <t>310031610653300116562130P0060001</t>
  </si>
  <si>
    <t>89000020050002201001520250080963</t>
  </si>
  <si>
    <t>310051334802600116858179P0010001</t>
  </si>
  <si>
    <t>310031942286900117833441P0020001</t>
  </si>
  <si>
    <t>310031942286900117833441P0040001</t>
  </si>
  <si>
    <t>310031852651300116329154P0010001</t>
  </si>
  <si>
    <t>C298</t>
  </si>
  <si>
    <t>31003161065330011000000000000000</t>
  </si>
  <si>
    <t>310000200500022010005000C17456I1</t>
  </si>
  <si>
    <t>Tema do nosso lado, assim que atualizarmos a simulação fica corrigido.</t>
  </si>
  <si>
    <t>Dos quais 10 são ajustes</t>
  </si>
  <si>
    <t>89000020240000772001520250187917</t>
  </si>
  <si>
    <t>89000020110004266001520250312129</t>
  </si>
  <si>
    <t>89000020210000346001520250320223</t>
  </si>
  <si>
    <t>89000020230000339001520250298972</t>
  </si>
  <si>
    <t>89000020190000441001520250289020</t>
  </si>
  <si>
    <t>89000020240000606001520250311258</t>
  </si>
  <si>
    <t>89000020210000166001520250311104</t>
  </si>
  <si>
    <t>89000020230000339001520250318007</t>
  </si>
  <si>
    <t>89000020200000108001520250312387</t>
  </si>
  <si>
    <t>NOK pois na execução de IT este contrato está com a BA5 como bsnss_area principal e a BA4 como secundária.</t>
  </si>
  <si>
    <t>NOK pois na execução de IT este contrato está com a BA4 como bsnss_area principal e a BA3 como secundária.</t>
  </si>
  <si>
    <t>NOK pois na execução de IT este contrato está com a BA22 como bsnss_area principal e a BA3 como secundária.</t>
  </si>
  <si>
    <t>NOK pois na execução de IT este contrato está com a BA17 como bsnss_area principal e a BA5 como secundária.</t>
  </si>
  <si>
    <t>NOK pois na execução de IT este contrato está com a BA22 como bsnss_area principal e a BA17 como secundária.</t>
  </si>
  <si>
    <t>310000202400007720000900C53332I1</t>
  </si>
  <si>
    <t>val_grss_cmmssn_incm</t>
  </si>
  <si>
    <t>Tema do nosso lado, assim que atualizarmos a simulação fica corrigido, ou seja, temos o msaldo_final = 0.</t>
  </si>
  <si>
    <t>grss_cmmssn_incm_sim</t>
  </si>
  <si>
    <t>grss_cmmssn_incm_it</t>
  </si>
  <si>
    <t>31641600000001028000002100018720</t>
  </si>
  <si>
    <t>31641600000000328000009000641976</t>
  </si>
  <si>
    <t>31000338772059020000000000000000</t>
  </si>
  <si>
    <t>31000311509631024000000000000000</t>
  </si>
  <si>
    <t>31000334542811020000000000000000</t>
  </si>
  <si>
    <t>31000327640010020000000000000000</t>
  </si>
  <si>
    <t>31641600000001023000008001112388</t>
  </si>
  <si>
    <t>31641600000001048000008002936095</t>
  </si>
  <si>
    <t>31641600000000932000007400309473</t>
  </si>
  <si>
    <t>Adicionalmente, a BA principal está trocada com a secundária.</t>
  </si>
  <si>
    <t>31000000021171001000000000000000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</si>
  <si>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grss_cmmssn_expns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</si>
  <si>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grss_cmmssn_incm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</si>
  <si>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val_grss_cmmssn_expns</t>
  </si>
  <si>
    <t>grss_cmmssn_expns_sim</t>
  </si>
  <si>
    <t>grss_cmmssn_expns_it</t>
  </si>
  <si>
    <t>31000319106979096000000000000000</t>
  </si>
  <si>
    <t>31000306623028096000000000000000</t>
  </si>
  <si>
    <t>31000320651872096000000000000000</t>
  </si>
  <si>
    <t>31000320866009096000000000000000</t>
  </si>
  <si>
    <t>31000318260629096000000000000000</t>
  </si>
  <si>
    <t>31000312364450096000000000000000</t>
  </si>
  <si>
    <t>31000318032721096000000000000000</t>
  </si>
  <si>
    <t>31000317671347096000000000000000</t>
  </si>
  <si>
    <t>31000302280823096000000000000000</t>
  </si>
  <si>
    <t>31000318267285096000000000000000</t>
  </si>
  <si>
    <t>c459</t>
  </si>
  <si>
    <t>c460</t>
  </si>
  <si>
    <t>nw_bsnss_sim</t>
  </si>
  <si>
    <t>nw_bsnss_it</t>
  </si>
  <si>
    <t>val_nw_bsnss</t>
  </si>
  <si>
    <t>Y</t>
  </si>
  <si>
    <t>89000020180927520001520250118825</t>
  </si>
  <si>
    <t>89000020220000078V0051C118498I22</t>
  </si>
  <si>
    <t>31000312574447096000000000000000</t>
  </si>
  <si>
    <t>89000020180908495001520250308572</t>
  </si>
  <si>
    <t>31000311419917096000000000000000</t>
  </si>
  <si>
    <t>31000356697287020000000000000000</t>
  </si>
  <si>
    <t>31000300025210007000000000000000</t>
  </si>
  <si>
    <t>31000300037900007000000000000000</t>
  </si>
  <si>
    <t>31000357384539020000000000000000</t>
  </si>
  <si>
    <t>31000800689041020000000000000000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</si>
  <si>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nw_bsnss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</si>
</sst>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70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42424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1" applyFont="1" applyProtection="1">
      <protection hidden="1"/>
    </xf>
    <xf numFmtId="0" fontId="0" fillId="0" borderId="0" xfId="1" applyFont="1" applyAlignment="1" applyProtection="1">
      <alignment horizontal="center" vertical="center"/>
      <protection hidden="1"/>
    </xf>
    <xf numFmtId="0" fontId="0" fillId="0" borderId="0" xfId="1" applyFont="1" applyAlignment="1" applyProtection="1">
      <alignment horizontal="left" vertical="center"/>
      <protection hidden="1"/>
    </xf>
    <xf numFmtId="0" fontId="3" fillId="0" borderId="0" xfId="1" applyFont="1" applyAlignment="1" applyProtection="1">
      <alignment horizontal="left"/>
      <protection hidden="1"/>
    </xf>
    <xf numFmtId="0" fontId="0" fillId="0" borderId="0" xfId="1" applyFont="1" applyAlignment="1" applyProtection="1">
      <alignment horizontal="centerContinuous"/>
      <protection hidden="1"/>
    </xf>
    <xf numFmtId="14" fontId="3" fillId="0" borderId="0" xfId="0" applyNumberFormat="1" applyFont="1" applyAlignment="1" applyProtection="1">
      <alignment vertical="top"/>
      <protection hidden="1"/>
    </xf>
    <xf numFmtId="14" fontId="3" fillId="0" borderId="0" xfId="0" applyNumberFormat="1" applyFont="1" applyAlignment="1" applyProtection="1">
      <alignment horizontal="left" vertical="center"/>
      <protection hidden="1"/>
    </xf>
    <xf numFmtId="0" fontId="0" fillId="2" borderId="0" xfId="1" applyFont="1" applyFill="1" applyProtection="1">
      <protection hidden="1"/>
    </xf>
    <xf numFmtId="0" fontId="0" fillId="2" borderId="0" xfId="1" applyFont="1" applyFill="1" applyAlignment="1" applyProtection="1">
      <alignment horizontal="center" vertical="center"/>
      <protection hidden="1"/>
    </xf>
    <xf numFmtId="0" fontId="0" fillId="2" borderId="0" xfId="1" applyFont="1" applyFill="1" applyAlignment="1" applyProtection="1">
      <alignment horizontal="left" vertical="center"/>
      <protection hidden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" fontId="0" fillId="0" borderId="1" xfId="0" applyNumberFormat="1" applyBorder="1"/>
    <xf numFmtId="14" fontId="0" fillId="0" borderId="1" xfId="0" applyNumberFormat="1" applyBorder="1"/>
    <xf numFmtId="3" fontId="0" fillId="0" borderId="1" xfId="0" applyNumberFormat="1" applyBorder="1"/>
    <xf numFmtId="0" fontId="3" fillId="5" borderId="1" xfId="0" applyFont="1" applyFill="1" applyBorder="1" applyAlignment="1">
      <alignment horizontal="center" vertical="center"/>
    </xf>
    <xf numFmtId="0" fontId="0" fillId="0" borderId="1" xfId="0" quotePrefix="1" applyBorder="1"/>
    <xf numFmtId="4" fontId="5" fillId="0" borderId="0" xfId="0" applyNumberFormat="1" applyFont="1"/>
    <xf numFmtId="164" fontId="0" fillId="0" borderId="1" xfId="0" applyNumberFormat="1" applyBorder="1"/>
    <xf numFmtId="0" fontId="2" fillId="4" borderId="0" xfId="0" applyFont="1" applyFill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/>
    </xf>
    <xf numFmtId="2" fontId="0" fillId="0" borderId="1" xfId="0" applyNumberFormat="1" applyBorder="1"/>
    <xf numFmtId="0" fontId="3" fillId="0" borderId="0" xfId="0" applyFont="1"/>
    <xf numFmtId="0" fontId="0" fillId="3" borderId="1" xfId="0" applyFill="1" applyBorder="1" applyAlignment="1">
      <alignment horizontal="center" vertical="center"/>
    </xf>
    <xf numFmtId="4" fontId="0" fillId="0" borderId="3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4" fontId="0" fillId="0" borderId="0" xfId="0" applyNumberFormat="1"/>
    <xf numFmtId="0" fontId="5" fillId="0" borderId="0" xfId="0" applyFont="1"/>
    <xf numFmtId="4" fontId="0" fillId="0" borderId="0" xfId="0" applyNumberFormat="1"/>
    <xf numFmtId="170" fontId="0" fillId="0" borderId="0" xfId="0" applyNumberFormat="1"/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1" xfId="0" quotePrefix="1" applyFill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/>
    <xf numFmtId="170" fontId="0" fillId="0" borderId="1" xfId="0" applyNumberFormat="1" applyBorder="1"/>
    <xf numFmtId="0" fontId="0" fillId="0" borderId="3" xfId="0" applyBorder="1"/>
  </cellXfs>
  <cellStyles count="2">
    <cellStyle name="Normal" xfId="0" builtinId="0"/>
    <cellStyle name="Normal 3" xfId="1" xr:uid="{43E9659C-96B5-4D18-9C29-63C1F8A6860D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CB3D8B49-7D41-4438-98F0-EA20E502A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5C04068D-4A46-47A3-A2DC-B727CDF09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6464B6DD-1C44-423F-8A04-318556B01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20DCC8AC-0B29-48AC-ADBB-04A79F74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00387DF6-0E0A-4DC6-826A-343553BB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B3BABF88-8F01-44F0-9CC6-F461B3DDE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F9BBB291-E905-46B4-8237-C7059504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6E30-B9C6-4408-A875-1B83F92CE27C}">
  <dimension ref="A1:N27"/>
  <sheetViews>
    <sheetView showGridLines="0" workbookViewId="0">
      <selection activeCell="B8" sqref="B8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3.664062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13.109375" bestFit="1" customWidth="1"/>
    <col min="12" max="12" width="11.21875" bestFit="1" customWidth="1"/>
    <col min="13" max="13" width="12.5546875" bestFit="1" customWidth="1"/>
    <col min="14" max="14" width="3.77734375" customWidth="1"/>
    <col min="15" max="16384" width="8.88671875" hidden="1"/>
  </cols>
  <sheetData>
    <row r="1" spans="1:14" x14ac:dyDescent="0.3">
      <c r="D1" s="1"/>
    </row>
    <row r="2" spans="1:14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</row>
    <row r="4" spans="1:14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</row>
    <row r="7" spans="1:14" x14ac:dyDescent="0.3">
      <c r="B7" s="15" t="s">
        <v>187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9" spans="1:14" x14ac:dyDescent="0.3">
      <c r="B9" s="32" t="s">
        <v>15</v>
      </c>
      <c r="C9" s="32"/>
      <c r="D9" s="19">
        <f>SUM(G12:G14)</f>
        <v>55627</v>
      </c>
    </row>
    <row r="11" spans="1:14" x14ac:dyDescent="0.3">
      <c r="B11" s="13" t="s">
        <v>0</v>
      </c>
      <c r="C11" s="13" t="s">
        <v>1</v>
      </c>
      <c r="D11" s="13" t="s">
        <v>173</v>
      </c>
      <c r="E11" s="13" t="s">
        <v>174</v>
      </c>
      <c r="F11" s="13" t="s">
        <v>175</v>
      </c>
      <c r="G11" s="13" t="s">
        <v>23</v>
      </c>
      <c r="H11" s="13" t="s">
        <v>20</v>
      </c>
    </row>
    <row r="12" spans="1:14" x14ac:dyDescent="0.3">
      <c r="B12" s="14" t="s">
        <v>9</v>
      </c>
      <c r="C12" s="14" t="s">
        <v>42</v>
      </c>
      <c r="D12" s="14" t="s">
        <v>12</v>
      </c>
      <c r="E12" s="14" t="s">
        <v>176</v>
      </c>
      <c r="F12" s="14" t="s">
        <v>13</v>
      </c>
      <c r="G12" s="22">
        <v>257</v>
      </c>
      <c r="H12" s="21">
        <v>45808</v>
      </c>
    </row>
    <row r="13" spans="1:14" x14ac:dyDescent="0.3">
      <c r="B13" s="14" t="s">
        <v>9</v>
      </c>
      <c r="C13" s="14" t="s">
        <v>10</v>
      </c>
      <c r="D13" s="14" t="s">
        <v>176</v>
      </c>
      <c r="E13" s="14" t="s">
        <v>12</v>
      </c>
      <c r="F13" s="14" t="s">
        <v>13</v>
      </c>
      <c r="G13" s="22">
        <v>158</v>
      </c>
      <c r="H13" s="21">
        <v>45838</v>
      </c>
    </row>
    <row r="14" spans="1:14" x14ac:dyDescent="0.3">
      <c r="B14" s="14" t="s">
        <v>9</v>
      </c>
      <c r="C14" s="14" t="s">
        <v>10</v>
      </c>
      <c r="D14" s="14" t="s">
        <v>12</v>
      </c>
      <c r="E14" s="14" t="s">
        <v>176</v>
      </c>
      <c r="F14" s="14" t="s">
        <v>13</v>
      </c>
      <c r="G14" s="22">
        <v>55212</v>
      </c>
      <c r="H14" s="21">
        <v>45838</v>
      </c>
    </row>
    <row r="17" spans="2:13" x14ac:dyDescent="0.3">
      <c r="B17" s="13" t="s">
        <v>0</v>
      </c>
      <c r="C17" s="13" t="s">
        <v>1</v>
      </c>
      <c r="D17" s="13" t="s">
        <v>2</v>
      </c>
      <c r="E17" s="13" t="s">
        <v>3</v>
      </c>
      <c r="F17" s="13" t="s">
        <v>4</v>
      </c>
      <c r="G17" s="13" t="s">
        <v>5</v>
      </c>
      <c r="H17" s="13" t="s">
        <v>6</v>
      </c>
      <c r="I17" s="13" t="s">
        <v>7</v>
      </c>
      <c r="J17" s="13" t="s">
        <v>8</v>
      </c>
      <c r="K17" s="13" t="s">
        <v>173</v>
      </c>
      <c r="L17" s="13" t="s">
        <v>174</v>
      </c>
      <c r="M17" s="13" t="s">
        <v>175</v>
      </c>
    </row>
    <row r="18" spans="2:13" x14ac:dyDescent="0.3">
      <c r="B18" s="14" t="s">
        <v>9</v>
      </c>
      <c r="C18" s="14" t="s">
        <v>10</v>
      </c>
      <c r="D18" s="14" t="s">
        <v>177</v>
      </c>
      <c r="E18" s="14" t="s">
        <v>32</v>
      </c>
      <c r="F18" s="14" t="s">
        <v>32</v>
      </c>
      <c r="G18" s="14" t="s">
        <v>11</v>
      </c>
      <c r="H18" s="14" t="s">
        <v>12</v>
      </c>
      <c r="I18" s="14" t="s">
        <v>12</v>
      </c>
      <c r="J18" s="14" t="s">
        <v>11</v>
      </c>
      <c r="K18" s="14" t="s">
        <v>12</v>
      </c>
      <c r="L18" s="14" t="s">
        <v>176</v>
      </c>
      <c r="M18" s="14" t="s">
        <v>13</v>
      </c>
    </row>
    <row r="19" spans="2:13" x14ac:dyDescent="0.3">
      <c r="B19" s="14" t="s">
        <v>9</v>
      </c>
      <c r="C19" s="14" t="s">
        <v>10</v>
      </c>
      <c r="D19" s="14" t="s">
        <v>178</v>
      </c>
      <c r="E19" s="14" t="s">
        <v>29</v>
      </c>
      <c r="F19" s="14" t="s">
        <v>29</v>
      </c>
      <c r="G19" s="14" t="s">
        <v>11</v>
      </c>
      <c r="H19" s="14" t="s">
        <v>12</v>
      </c>
      <c r="I19" s="14" t="s">
        <v>12</v>
      </c>
      <c r="J19" s="14" t="s">
        <v>11</v>
      </c>
      <c r="K19" s="14" t="s">
        <v>12</v>
      </c>
      <c r="L19" s="14" t="s">
        <v>176</v>
      </c>
      <c r="M19" s="14" t="s">
        <v>13</v>
      </c>
    </row>
    <row r="20" spans="2:13" x14ac:dyDescent="0.3">
      <c r="B20" s="14" t="s">
        <v>9</v>
      </c>
      <c r="C20" s="14" t="s">
        <v>10</v>
      </c>
      <c r="D20" s="14" t="s">
        <v>179</v>
      </c>
      <c r="E20" s="14" t="s">
        <v>46</v>
      </c>
      <c r="F20" s="14" t="s">
        <v>46</v>
      </c>
      <c r="G20" s="14" t="s">
        <v>11</v>
      </c>
      <c r="H20" s="14" t="s">
        <v>12</v>
      </c>
      <c r="I20" s="14" t="s">
        <v>12</v>
      </c>
      <c r="J20" s="14" t="s">
        <v>11</v>
      </c>
      <c r="K20" s="14" t="s">
        <v>12</v>
      </c>
      <c r="L20" s="14" t="s">
        <v>176</v>
      </c>
      <c r="M20" s="14" t="s">
        <v>13</v>
      </c>
    </row>
    <row r="21" spans="2:13" x14ac:dyDescent="0.3">
      <c r="B21" s="14" t="s">
        <v>9</v>
      </c>
      <c r="C21" s="14" t="s">
        <v>10</v>
      </c>
      <c r="D21" s="14" t="s">
        <v>180</v>
      </c>
      <c r="E21" s="14" t="s">
        <v>33</v>
      </c>
      <c r="F21" s="14" t="s">
        <v>30</v>
      </c>
      <c r="G21" s="14" t="s">
        <v>13</v>
      </c>
      <c r="H21" s="14" t="s">
        <v>12</v>
      </c>
      <c r="I21" s="14" t="s">
        <v>12</v>
      </c>
      <c r="J21" s="14" t="s">
        <v>11</v>
      </c>
      <c r="K21" s="14" t="s">
        <v>12</v>
      </c>
      <c r="L21" s="14" t="s">
        <v>176</v>
      </c>
      <c r="M21" s="14" t="s">
        <v>13</v>
      </c>
    </row>
    <row r="22" spans="2:13" x14ac:dyDescent="0.3">
      <c r="B22" s="14" t="s">
        <v>9</v>
      </c>
      <c r="C22" s="14" t="s">
        <v>10</v>
      </c>
      <c r="D22" s="14" t="s">
        <v>181</v>
      </c>
      <c r="E22" s="14" t="s">
        <v>46</v>
      </c>
      <c r="F22" s="14" t="s">
        <v>46</v>
      </c>
      <c r="G22" s="14" t="s">
        <v>11</v>
      </c>
      <c r="H22" s="14" t="s">
        <v>12</v>
      </c>
      <c r="I22" s="14" t="s">
        <v>12</v>
      </c>
      <c r="J22" s="14" t="s">
        <v>11</v>
      </c>
      <c r="K22" s="14" t="s">
        <v>12</v>
      </c>
      <c r="L22" s="14" t="s">
        <v>176</v>
      </c>
      <c r="M22" s="14" t="s">
        <v>13</v>
      </c>
    </row>
    <row r="23" spans="2:13" x14ac:dyDescent="0.3">
      <c r="B23" s="14" t="s">
        <v>9</v>
      </c>
      <c r="C23" s="14" t="s">
        <v>10</v>
      </c>
      <c r="D23" s="14" t="s">
        <v>182</v>
      </c>
      <c r="E23" s="14" t="s">
        <v>46</v>
      </c>
      <c r="F23" s="14" t="s">
        <v>46</v>
      </c>
      <c r="G23" s="14" t="s">
        <v>11</v>
      </c>
      <c r="H23" s="14" t="s">
        <v>12</v>
      </c>
      <c r="I23" s="14" t="s">
        <v>12</v>
      </c>
      <c r="J23" s="14" t="s">
        <v>11</v>
      </c>
      <c r="K23" s="14" t="s">
        <v>176</v>
      </c>
      <c r="L23" s="14" t="s">
        <v>12</v>
      </c>
      <c r="M23" s="14" t="s">
        <v>13</v>
      </c>
    </row>
    <row r="24" spans="2:13" x14ac:dyDescent="0.3">
      <c r="B24" s="14" t="s">
        <v>9</v>
      </c>
      <c r="C24" s="14" t="s">
        <v>10</v>
      </c>
      <c r="D24" s="14" t="s">
        <v>183</v>
      </c>
      <c r="E24" s="14" t="s">
        <v>33</v>
      </c>
      <c r="F24" s="14" t="s">
        <v>33</v>
      </c>
      <c r="G24" s="14" t="s">
        <v>11</v>
      </c>
      <c r="H24" s="14" t="s">
        <v>12</v>
      </c>
      <c r="I24" s="14" t="s">
        <v>12</v>
      </c>
      <c r="J24" s="14" t="s">
        <v>11</v>
      </c>
      <c r="K24" s="14" t="s">
        <v>176</v>
      </c>
      <c r="L24" s="14" t="s">
        <v>12</v>
      </c>
      <c r="M24" s="14" t="s">
        <v>13</v>
      </c>
    </row>
    <row r="25" spans="2:13" x14ac:dyDescent="0.3">
      <c r="B25" s="14" t="s">
        <v>9</v>
      </c>
      <c r="C25" s="14" t="s">
        <v>10</v>
      </c>
      <c r="D25" s="14" t="s">
        <v>184</v>
      </c>
      <c r="E25" s="14" t="s">
        <v>33</v>
      </c>
      <c r="F25" s="14" t="s">
        <v>33</v>
      </c>
      <c r="G25" s="14" t="s">
        <v>11</v>
      </c>
      <c r="H25" s="14" t="s">
        <v>12</v>
      </c>
      <c r="I25" s="14" t="s">
        <v>12</v>
      </c>
      <c r="J25" s="14" t="s">
        <v>11</v>
      </c>
      <c r="K25" s="14" t="s">
        <v>176</v>
      </c>
      <c r="L25" s="14" t="s">
        <v>12</v>
      </c>
      <c r="M25" s="14" t="s">
        <v>13</v>
      </c>
    </row>
    <row r="26" spans="2:13" x14ac:dyDescent="0.3">
      <c r="B26" s="14" t="s">
        <v>9</v>
      </c>
      <c r="C26" s="14" t="s">
        <v>10</v>
      </c>
      <c r="D26" s="14" t="s">
        <v>185</v>
      </c>
      <c r="E26" s="14" t="s">
        <v>46</v>
      </c>
      <c r="F26" s="14" t="s">
        <v>46</v>
      </c>
      <c r="G26" s="14" t="s">
        <v>11</v>
      </c>
      <c r="H26" s="14" t="s">
        <v>12</v>
      </c>
      <c r="I26" s="14" t="s">
        <v>12</v>
      </c>
      <c r="J26" s="14" t="s">
        <v>11</v>
      </c>
      <c r="K26" s="14" t="s">
        <v>176</v>
      </c>
      <c r="L26" s="14" t="s">
        <v>12</v>
      </c>
      <c r="M26" s="14" t="s">
        <v>13</v>
      </c>
    </row>
    <row r="27" spans="2:13" x14ac:dyDescent="0.3">
      <c r="B27" s="14" t="s">
        <v>9</v>
      </c>
      <c r="C27" s="14" t="s">
        <v>10</v>
      </c>
      <c r="D27" s="14" t="s">
        <v>186</v>
      </c>
      <c r="E27" s="14" t="s">
        <v>46</v>
      </c>
      <c r="F27" s="14" t="s">
        <v>46</v>
      </c>
      <c r="G27" s="14" t="s">
        <v>11</v>
      </c>
      <c r="H27" s="14" t="s">
        <v>12</v>
      </c>
      <c r="I27" s="14" t="s">
        <v>12</v>
      </c>
      <c r="J27" s="14" t="s">
        <v>11</v>
      </c>
      <c r="K27" s="14" t="s">
        <v>176</v>
      </c>
      <c r="L27" s="14" t="s">
        <v>12</v>
      </c>
      <c r="M27" s="14" t="s">
        <v>13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2183-ABBA-4314-A636-95A1E1917708}">
  <dimension ref="A1:Q12"/>
  <sheetViews>
    <sheetView showGridLines="0" workbookViewId="0">
      <selection activeCell="G14" sqref="G14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15.5546875" bestFit="1" customWidth="1"/>
    <col min="5" max="5" width="13.77734375" bestFit="1" customWidth="1"/>
    <col min="6" max="6" width="15.109375" bestFit="1" customWidth="1"/>
    <col min="7" max="7" width="9.33203125" bestFit="1" customWidth="1"/>
    <col min="8" max="8" width="12" bestFit="1" customWidth="1"/>
    <col min="9" max="9" width="43.109375" bestFit="1" customWidth="1"/>
    <col min="10" max="10" width="3.77734375" customWidth="1"/>
    <col min="11" max="11" width="3.77734375" hidden="1" customWidth="1"/>
    <col min="12" max="15" width="0" hidden="1" customWidth="1"/>
    <col min="16" max="17" width="3.77734375" hidden="1" customWidth="1"/>
    <col min="18" max="16384" width="11.5546875" hidden="1"/>
  </cols>
  <sheetData>
    <row r="1" spans="1:10" x14ac:dyDescent="0.3">
      <c r="D1" s="1"/>
    </row>
    <row r="2" spans="1:10" x14ac:dyDescent="0.3">
      <c r="A2" s="3"/>
      <c r="B2" s="3"/>
      <c r="C2" s="3"/>
      <c r="D2" s="4"/>
      <c r="E2" s="3"/>
      <c r="F2" s="3"/>
      <c r="G2" s="3"/>
      <c r="H2" s="3"/>
      <c r="I2" s="3"/>
      <c r="J2" s="3"/>
    </row>
    <row r="3" spans="1:10" x14ac:dyDescent="0.3">
      <c r="A3" s="6"/>
      <c r="B3" s="6"/>
      <c r="C3" s="6"/>
      <c r="D3" s="4"/>
      <c r="E3" s="7"/>
      <c r="F3" s="7"/>
      <c r="G3" s="8"/>
      <c r="H3" s="8"/>
      <c r="I3" s="8"/>
      <c r="J3" s="8"/>
    </row>
    <row r="4" spans="1:10" x14ac:dyDescent="0.3">
      <c r="A4" s="3"/>
      <c r="B4" s="3"/>
      <c r="C4" s="3"/>
      <c r="D4" s="4"/>
      <c r="E4" s="3"/>
      <c r="F4" s="3"/>
      <c r="G4" s="3"/>
      <c r="H4" s="3"/>
      <c r="I4" s="3"/>
      <c r="J4" s="3"/>
    </row>
    <row r="5" spans="1:1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</row>
    <row r="7" spans="1:10" x14ac:dyDescent="0.3">
      <c r="B7" s="15" t="s">
        <v>24</v>
      </c>
      <c r="C7" s="16"/>
      <c r="D7" s="16"/>
      <c r="E7" s="16"/>
      <c r="F7" s="16"/>
      <c r="G7" s="16"/>
      <c r="H7" s="16"/>
      <c r="I7" s="16"/>
    </row>
    <row r="9" spans="1:10" x14ac:dyDescent="0.3">
      <c r="B9" s="32" t="s">
        <v>15</v>
      </c>
      <c r="C9" s="32"/>
      <c r="D9" s="19">
        <f>G12</f>
        <v>43221</v>
      </c>
    </row>
    <row r="11" spans="1:10" x14ac:dyDescent="0.3">
      <c r="B11" s="13" t="s">
        <v>0</v>
      </c>
      <c r="C11" s="13" t="s">
        <v>1</v>
      </c>
      <c r="D11" s="13" t="s">
        <v>17</v>
      </c>
      <c r="E11" s="13" t="s">
        <v>18</v>
      </c>
      <c r="F11" s="13" t="s">
        <v>19</v>
      </c>
      <c r="G11" s="13" t="s">
        <v>23</v>
      </c>
      <c r="H11" s="13" t="s">
        <v>20</v>
      </c>
      <c r="I11" s="18" t="s">
        <v>14</v>
      </c>
    </row>
    <row r="12" spans="1:10" x14ac:dyDescent="0.3">
      <c r="B12" s="14" t="s">
        <v>9</v>
      </c>
      <c r="C12" s="14" t="s">
        <v>10</v>
      </c>
      <c r="D12" s="14" t="s">
        <v>12</v>
      </c>
      <c r="E12" s="14" t="s">
        <v>21</v>
      </c>
      <c r="F12" s="14" t="s">
        <v>13</v>
      </c>
      <c r="G12" s="22">
        <v>43221</v>
      </c>
      <c r="H12" s="21">
        <v>45838</v>
      </c>
      <c r="I12" s="14" t="s">
        <v>22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D95A-F59E-4251-806D-EE85E7E684FA}">
  <dimension ref="A1:X32"/>
  <sheetViews>
    <sheetView showGridLines="0" tabSelected="1" workbookViewId="0">
      <selection activeCell="A14" sqref="A14"/>
    </sheetView>
  </sheetViews>
  <sheetFormatPr defaultColWidth="0" defaultRowHeight="14.4" x14ac:dyDescent="0.3"/>
  <cols>
    <col min="1" max="1" width="3.77734375" customWidth="1"/>
    <col min="2" max="2" width="8.88671875" bestFit="1" customWidth="1"/>
    <col min="3" max="3" width="11.21875" bestFit="1" customWidth="1"/>
    <col min="4" max="4" width="33.664062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17.44140625" bestFit="1" customWidth="1"/>
    <col min="12" max="12" width="15.5546875" bestFit="1" customWidth="1"/>
    <col min="13" max="13" width="16.88671875" bestFit="1" customWidth="1"/>
    <col min="14" max="14" width="33.21875" bestFit="1" customWidth="1"/>
    <col min="15" max="15" width="13.109375" bestFit="1" customWidth="1"/>
    <col min="16" max="16" width="13.44140625" bestFit="1" customWidth="1"/>
    <col min="17" max="17" width="15.44140625" bestFit="1" customWidth="1"/>
    <col min="18" max="18" width="28.44140625" bestFit="1" customWidth="1"/>
    <col min="19" max="19" width="24.33203125" bestFit="1" customWidth="1"/>
    <col min="20" max="20" width="129.6640625" bestFit="1" customWidth="1"/>
    <col min="21" max="21" width="3.77734375" customWidth="1"/>
    <col min="22" max="22" width="3.77734375" hidden="1" customWidth="1"/>
    <col min="23" max="23" width="0" hidden="1" customWidth="1"/>
    <col min="24" max="24" width="3.77734375" hidden="1" customWidth="1"/>
    <col min="25" max="16384" width="11.5546875" hidden="1"/>
  </cols>
  <sheetData>
    <row r="1" spans="1:21" x14ac:dyDescent="0.3">
      <c r="D1" s="1"/>
      <c r="K1" s="2"/>
    </row>
    <row r="2" spans="1:21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1:21" x14ac:dyDescent="0.3">
      <c r="B7" s="15" t="s">
        <v>41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9" spans="1:21" x14ac:dyDescent="0.3">
      <c r="B9" s="32" t="s">
        <v>15</v>
      </c>
      <c r="C9" s="32"/>
      <c r="D9" s="19">
        <f>SUM(G12:G18)</f>
        <v>30257</v>
      </c>
    </row>
    <row r="11" spans="1:21" x14ac:dyDescent="0.3">
      <c r="B11" s="23" t="s">
        <v>43</v>
      </c>
      <c r="C11" s="23" t="s">
        <v>0</v>
      </c>
      <c r="D11" s="23" t="s">
        <v>1</v>
      </c>
      <c r="E11" s="23" t="s">
        <v>5</v>
      </c>
      <c r="F11" s="23" t="s">
        <v>27</v>
      </c>
      <c r="G11" s="23" t="s">
        <v>23</v>
      </c>
    </row>
    <row r="12" spans="1:21" x14ac:dyDescent="0.3">
      <c r="B12" s="14">
        <v>31</v>
      </c>
      <c r="C12" s="14" t="s">
        <v>9</v>
      </c>
      <c r="D12" s="14" t="s">
        <v>10</v>
      </c>
      <c r="E12" s="14" t="s">
        <v>13</v>
      </c>
      <c r="F12" s="14" t="s">
        <v>13</v>
      </c>
      <c r="G12" s="22">
        <v>2</v>
      </c>
    </row>
    <row r="13" spans="1:21" x14ac:dyDescent="0.3">
      <c r="B13" s="14">
        <v>31</v>
      </c>
      <c r="C13" s="14" t="s">
        <v>9</v>
      </c>
      <c r="D13" s="14" t="s">
        <v>42</v>
      </c>
      <c r="E13" s="14" t="s">
        <v>13</v>
      </c>
      <c r="F13" s="14" t="s">
        <v>13</v>
      </c>
      <c r="G13" s="22">
        <v>1</v>
      </c>
    </row>
    <row r="14" spans="1:21" x14ac:dyDescent="0.3">
      <c r="B14" s="14">
        <v>89</v>
      </c>
      <c r="C14" s="14" t="s">
        <v>9</v>
      </c>
      <c r="D14" s="14" t="s">
        <v>10</v>
      </c>
      <c r="E14" s="14" t="s">
        <v>13</v>
      </c>
      <c r="F14" s="14" t="s">
        <v>13</v>
      </c>
      <c r="G14" s="22">
        <v>29572</v>
      </c>
    </row>
    <row r="15" spans="1:21" x14ac:dyDescent="0.3">
      <c r="B15" s="14">
        <v>31</v>
      </c>
      <c r="C15" s="14" t="s">
        <v>9</v>
      </c>
      <c r="D15" s="14" t="s">
        <v>42</v>
      </c>
      <c r="E15" s="14" t="s">
        <v>11</v>
      </c>
      <c r="F15" s="14" t="s">
        <v>13</v>
      </c>
      <c r="G15" s="22">
        <v>36</v>
      </c>
    </row>
    <row r="16" spans="1:21" x14ac:dyDescent="0.3">
      <c r="B16" s="14">
        <v>31</v>
      </c>
      <c r="C16" s="14" t="s">
        <v>9</v>
      </c>
      <c r="D16" s="14" t="s">
        <v>10</v>
      </c>
      <c r="E16" s="14" t="s">
        <v>11</v>
      </c>
      <c r="F16" s="14" t="s">
        <v>13</v>
      </c>
      <c r="G16" s="22">
        <v>393</v>
      </c>
    </row>
    <row r="17" spans="2:20" x14ac:dyDescent="0.3">
      <c r="B17" s="14">
        <v>89</v>
      </c>
      <c r="C17" s="14" t="s">
        <v>9</v>
      </c>
      <c r="D17" s="14" t="s">
        <v>10</v>
      </c>
      <c r="E17" s="14" t="s">
        <v>11</v>
      </c>
      <c r="F17" s="14" t="s">
        <v>13</v>
      </c>
      <c r="G17" s="22">
        <v>243</v>
      </c>
    </row>
    <row r="18" spans="2:20" x14ac:dyDescent="0.3">
      <c r="B18" s="14">
        <v>89</v>
      </c>
      <c r="C18" s="14" t="s">
        <v>9</v>
      </c>
      <c r="D18" s="14" t="s">
        <v>42</v>
      </c>
      <c r="E18" s="14" t="s">
        <v>11</v>
      </c>
      <c r="F18" s="14" t="s">
        <v>13</v>
      </c>
      <c r="G18" s="22">
        <v>10</v>
      </c>
    </row>
    <row r="20" spans="2:20" x14ac:dyDescent="0.3">
      <c r="B20" s="31" t="s">
        <v>91</v>
      </c>
    </row>
    <row r="21" spans="2:20" ht="7.05" customHeight="1" x14ac:dyDescent="0.3">
      <c r="B21" s="31"/>
    </row>
    <row r="22" spans="2:20" x14ac:dyDescent="0.3">
      <c r="B22" s="13" t="s">
        <v>0</v>
      </c>
      <c r="C22" s="13" t="s">
        <v>1</v>
      </c>
      <c r="D22" s="13" t="s">
        <v>2</v>
      </c>
      <c r="E22" s="13" t="s">
        <v>3</v>
      </c>
      <c r="F22" s="13" t="s">
        <v>4</v>
      </c>
      <c r="G22" s="13" t="s">
        <v>5</v>
      </c>
      <c r="H22" s="13" t="s">
        <v>6</v>
      </c>
      <c r="I22" s="13" t="s">
        <v>7</v>
      </c>
      <c r="J22" s="13" t="s">
        <v>8</v>
      </c>
      <c r="K22" s="13" t="s">
        <v>25</v>
      </c>
      <c r="L22" s="13" t="s">
        <v>26</v>
      </c>
      <c r="M22" s="13" t="s">
        <v>27</v>
      </c>
      <c r="N22" s="18" t="s">
        <v>51</v>
      </c>
      <c r="O22" s="18" t="s">
        <v>36</v>
      </c>
      <c r="P22" s="18" t="s">
        <v>37</v>
      </c>
      <c r="Q22" s="18" t="s">
        <v>53</v>
      </c>
      <c r="R22" s="18" t="s">
        <v>54</v>
      </c>
      <c r="S22" s="18" t="s">
        <v>55</v>
      </c>
      <c r="T22" s="27" t="s">
        <v>14</v>
      </c>
    </row>
    <row r="23" spans="2:20" x14ac:dyDescent="0.3">
      <c r="B23" s="14" t="s">
        <v>9</v>
      </c>
      <c r="C23" s="14" t="s">
        <v>10</v>
      </c>
      <c r="D23" s="14" t="s">
        <v>31</v>
      </c>
      <c r="E23" s="14" t="s">
        <v>32</v>
      </c>
      <c r="F23" s="14" t="s">
        <v>30</v>
      </c>
      <c r="G23" s="14" t="s">
        <v>13</v>
      </c>
      <c r="H23" s="14" t="s">
        <v>12</v>
      </c>
      <c r="I23" s="14" t="s">
        <v>12</v>
      </c>
      <c r="J23" s="14" t="s">
        <v>11</v>
      </c>
      <c r="K23" s="20">
        <v>0</v>
      </c>
      <c r="L23" s="20">
        <v>14.08</v>
      </c>
      <c r="M23" s="14" t="s">
        <v>13</v>
      </c>
      <c r="N23" s="14"/>
      <c r="O23" s="14"/>
      <c r="P23" s="14"/>
      <c r="Q23" s="14"/>
      <c r="R23" s="14"/>
      <c r="S23" s="14"/>
      <c r="T23" s="14" t="s">
        <v>40</v>
      </c>
    </row>
    <row r="24" spans="2:20" x14ac:dyDescent="0.3">
      <c r="B24" s="14" t="s">
        <v>9</v>
      </c>
      <c r="C24" s="14" t="s">
        <v>10</v>
      </c>
      <c r="D24" s="14" t="s">
        <v>34</v>
      </c>
      <c r="E24" s="14" t="s">
        <v>33</v>
      </c>
      <c r="F24" s="14" t="s">
        <v>32</v>
      </c>
      <c r="G24" s="14" t="s">
        <v>13</v>
      </c>
      <c r="H24" s="14" t="s">
        <v>12</v>
      </c>
      <c r="I24" s="14" t="s">
        <v>12</v>
      </c>
      <c r="J24" s="14" t="s">
        <v>11</v>
      </c>
      <c r="K24" s="20">
        <v>1.3860410000000001</v>
      </c>
      <c r="L24" s="20">
        <v>0</v>
      </c>
      <c r="M24" s="14" t="s">
        <v>13</v>
      </c>
      <c r="N24" s="14"/>
      <c r="O24" s="14"/>
      <c r="P24" s="14"/>
      <c r="Q24" s="14"/>
      <c r="R24" s="14"/>
      <c r="S24" s="14"/>
      <c r="T24" s="14" t="s">
        <v>38</v>
      </c>
    </row>
    <row r="25" spans="2:20" x14ac:dyDescent="0.3">
      <c r="B25" s="14" t="s">
        <v>9</v>
      </c>
      <c r="C25" s="14" t="s">
        <v>10</v>
      </c>
      <c r="D25" s="14" t="s">
        <v>35</v>
      </c>
      <c r="E25" s="14" t="s">
        <v>30</v>
      </c>
      <c r="F25" s="14" t="s">
        <v>29</v>
      </c>
      <c r="G25" s="14" t="s">
        <v>13</v>
      </c>
      <c r="H25" s="14" t="s">
        <v>12</v>
      </c>
      <c r="I25" s="14" t="s">
        <v>12</v>
      </c>
      <c r="J25" s="14" t="s">
        <v>11</v>
      </c>
      <c r="K25" s="20">
        <v>62.680981920000001</v>
      </c>
      <c r="L25" s="20">
        <v>0</v>
      </c>
      <c r="M25" s="14" t="s">
        <v>13</v>
      </c>
      <c r="N25" s="14"/>
      <c r="O25" s="14"/>
      <c r="P25" s="14"/>
      <c r="Q25" s="14"/>
      <c r="R25" s="14"/>
      <c r="S25" s="14"/>
      <c r="T25" s="14" t="s">
        <v>39</v>
      </c>
    </row>
    <row r="26" spans="2:20" x14ac:dyDescent="0.3">
      <c r="B26" s="14" t="s">
        <v>9</v>
      </c>
      <c r="C26" s="14" t="s">
        <v>10</v>
      </c>
      <c r="D26" s="14" t="s">
        <v>44</v>
      </c>
      <c r="E26" s="14" t="s">
        <v>30</v>
      </c>
      <c r="F26" s="14" t="s">
        <v>30</v>
      </c>
      <c r="G26" s="14" t="s">
        <v>11</v>
      </c>
      <c r="H26" s="14" t="s">
        <v>12</v>
      </c>
      <c r="I26" s="14" t="s">
        <v>12</v>
      </c>
      <c r="J26" s="14" t="s">
        <v>11</v>
      </c>
      <c r="K26" s="20">
        <v>324.95534456000001</v>
      </c>
      <c r="L26" s="20">
        <v>162.47999999999999</v>
      </c>
      <c r="M26" s="14" t="s">
        <v>13</v>
      </c>
      <c r="N26" s="14" t="s">
        <v>52</v>
      </c>
      <c r="O26" s="20">
        <v>1296.1300000000001</v>
      </c>
      <c r="P26" s="20">
        <v>0</v>
      </c>
      <c r="Q26" s="26">
        <v>0.25071199999999999</v>
      </c>
      <c r="R26" s="20">
        <v>453396.28</v>
      </c>
      <c r="S26" s="20">
        <f>Q26*(O26-P26)</f>
        <v>324.95534456000001</v>
      </c>
      <c r="T26" s="20"/>
    </row>
    <row r="27" spans="2:20" x14ac:dyDescent="0.3">
      <c r="B27" s="14" t="s">
        <v>9</v>
      </c>
      <c r="C27" s="14" t="s">
        <v>10</v>
      </c>
      <c r="D27" s="14" t="s">
        <v>45</v>
      </c>
      <c r="E27" s="14" t="s">
        <v>46</v>
      </c>
      <c r="F27" s="14" t="s">
        <v>46</v>
      </c>
      <c r="G27" s="14" t="s">
        <v>11</v>
      </c>
      <c r="H27" s="14" t="s">
        <v>12</v>
      </c>
      <c r="I27" s="14" t="s">
        <v>12</v>
      </c>
      <c r="J27" s="14" t="s">
        <v>11</v>
      </c>
      <c r="K27" s="20">
        <v>3.8</v>
      </c>
      <c r="L27" s="20">
        <v>36.5</v>
      </c>
      <c r="M27" s="14" t="s">
        <v>13</v>
      </c>
      <c r="N27" s="24" t="s">
        <v>45</v>
      </c>
      <c r="O27" s="20">
        <v>36.5</v>
      </c>
      <c r="P27" s="20">
        <v>32.700000000000003</v>
      </c>
      <c r="Q27" s="26">
        <v>1</v>
      </c>
      <c r="R27" s="20">
        <v>10211.16</v>
      </c>
      <c r="S27" s="20">
        <f t="shared" ref="S27:S32" si="0">Q27*(O27-P27)</f>
        <v>3.7999999999999972</v>
      </c>
      <c r="T27" s="20"/>
    </row>
    <row r="28" spans="2:20" x14ac:dyDescent="0.3">
      <c r="B28" s="14" t="s">
        <v>9</v>
      </c>
      <c r="C28" s="14" t="s">
        <v>10</v>
      </c>
      <c r="D28" s="14" t="s">
        <v>47</v>
      </c>
      <c r="E28" s="14" t="s">
        <v>46</v>
      </c>
      <c r="F28" s="14" t="s">
        <v>46</v>
      </c>
      <c r="G28" s="14" t="s">
        <v>11</v>
      </c>
      <c r="H28" s="14" t="s">
        <v>12</v>
      </c>
      <c r="I28" s="14" t="s">
        <v>12</v>
      </c>
      <c r="J28" s="14" t="s">
        <v>11</v>
      </c>
      <c r="K28" s="20">
        <v>0</v>
      </c>
      <c r="L28" s="20">
        <v>1.23</v>
      </c>
      <c r="M28" s="14" t="s">
        <v>13</v>
      </c>
      <c r="N28" s="24" t="s">
        <v>47</v>
      </c>
      <c r="O28" s="20">
        <v>1.23</v>
      </c>
      <c r="P28" s="20">
        <v>1.23</v>
      </c>
      <c r="Q28" s="26">
        <v>1</v>
      </c>
      <c r="R28" s="20">
        <v>0</v>
      </c>
      <c r="S28" s="20">
        <f t="shared" si="0"/>
        <v>0</v>
      </c>
      <c r="T28" s="20"/>
    </row>
    <row r="29" spans="2:20" x14ac:dyDescent="0.3">
      <c r="B29" s="35" t="s">
        <v>9</v>
      </c>
      <c r="C29" s="35" t="s">
        <v>10</v>
      </c>
      <c r="D29" s="35" t="s">
        <v>48</v>
      </c>
      <c r="E29" s="35" t="s">
        <v>28</v>
      </c>
      <c r="F29" s="35" t="s">
        <v>28</v>
      </c>
      <c r="G29" s="35" t="s">
        <v>11</v>
      </c>
      <c r="H29" s="35" t="s">
        <v>12</v>
      </c>
      <c r="I29" s="35" t="s">
        <v>12</v>
      </c>
      <c r="J29" s="35" t="s">
        <v>11</v>
      </c>
      <c r="K29" s="33">
        <v>5.8962293800000003</v>
      </c>
      <c r="L29" s="33">
        <v>5.33</v>
      </c>
      <c r="M29" s="35" t="s">
        <v>13</v>
      </c>
      <c r="N29" s="24" t="s">
        <v>56</v>
      </c>
      <c r="O29" s="20">
        <v>12159.97</v>
      </c>
      <c r="P29" s="20">
        <v>10113.65</v>
      </c>
      <c r="Q29" s="26">
        <v>2.3240000000000001E-3</v>
      </c>
      <c r="R29" s="20">
        <v>3332.66</v>
      </c>
      <c r="S29" s="37">
        <f>Q29*(O29-P29)+Q30*(O30-P30)</f>
        <v>5.8962293799999994</v>
      </c>
      <c r="T29" s="28"/>
    </row>
    <row r="30" spans="2:20" x14ac:dyDescent="0.3">
      <c r="B30" s="36"/>
      <c r="C30" s="36"/>
      <c r="D30" s="36"/>
      <c r="E30" s="36"/>
      <c r="F30" s="36"/>
      <c r="G30" s="36"/>
      <c r="H30" s="36"/>
      <c r="I30" s="36"/>
      <c r="J30" s="36"/>
      <c r="K30" s="34"/>
      <c r="L30" s="34"/>
      <c r="M30" s="36"/>
      <c r="N30" s="24" t="s">
        <v>57</v>
      </c>
      <c r="O30" s="20">
        <v>358.14</v>
      </c>
      <c r="P30" s="20">
        <v>273.69</v>
      </c>
      <c r="Q30" s="26">
        <v>1.3506000000000001E-2</v>
      </c>
      <c r="R30" s="20">
        <v>3332.66</v>
      </c>
      <c r="S30" s="37"/>
      <c r="T30" s="28"/>
    </row>
    <row r="31" spans="2:20" x14ac:dyDescent="0.3">
      <c r="B31" s="14" t="s">
        <v>9</v>
      </c>
      <c r="C31" s="14" t="s">
        <v>10</v>
      </c>
      <c r="D31" s="14" t="s">
        <v>49</v>
      </c>
      <c r="E31" s="14" t="s">
        <v>46</v>
      </c>
      <c r="F31" s="14" t="s">
        <v>46</v>
      </c>
      <c r="G31" s="14" t="s">
        <v>11</v>
      </c>
      <c r="H31" s="14" t="s">
        <v>12</v>
      </c>
      <c r="I31" s="14" t="s">
        <v>12</v>
      </c>
      <c r="J31" s="14" t="s">
        <v>11</v>
      </c>
      <c r="K31" s="20">
        <v>51.44</v>
      </c>
      <c r="L31" s="20">
        <v>620.57000000000005</v>
      </c>
      <c r="M31" s="14" t="s">
        <v>13</v>
      </c>
      <c r="N31" s="24" t="s">
        <v>49</v>
      </c>
      <c r="O31" s="20">
        <v>620.57000000000005</v>
      </c>
      <c r="P31" s="20">
        <v>569.13</v>
      </c>
      <c r="Q31" s="26">
        <v>1</v>
      </c>
      <c r="R31" s="20">
        <v>52263.41</v>
      </c>
      <c r="S31" s="20">
        <f t="shared" si="0"/>
        <v>51.440000000000055</v>
      </c>
      <c r="T31" s="20"/>
    </row>
    <row r="32" spans="2:20" x14ac:dyDescent="0.3">
      <c r="B32" s="14" t="s">
        <v>9</v>
      </c>
      <c r="C32" s="14" t="s">
        <v>10</v>
      </c>
      <c r="D32" s="14" t="s">
        <v>50</v>
      </c>
      <c r="E32" s="14" t="s">
        <v>46</v>
      </c>
      <c r="F32" s="14" t="s">
        <v>46</v>
      </c>
      <c r="G32" s="14" t="s">
        <v>11</v>
      </c>
      <c r="H32" s="14" t="s">
        <v>12</v>
      </c>
      <c r="I32" s="14" t="s">
        <v>12</v>
      </c>
      <c r="J32" s="14" t="s">
        <v>11</v>
      </c>
      <c r="K32" s="20">
        <v>40.35</v>
      </c>
      <c r="L32" s="20">
        <v>311.14</v>
      </c>
      <c r="M32" s="14" t="s">
        <v>13</v>
      </c>
      <c r="N32" s="24" t="s">
        <v>50</v>
      </c>
      <c r="O32" s="20">
        <v>311.14</v>
      </c>
      <c r="P32" s="20">
        <v>270.79000000000002</v>
      </c>
      <c r="Q32" s="26">
        <v>1</v>
      </c>
      <c r="R32" s="20">
        <v>20269.53</v>
      </c>
      <c r="S32" s="20">
        <f t="shared" si="0"/>
        <v>40.349999999999966</v>
      </c>
      <c r="T32" s="20"/>
    </row>
  </sheetData>
  <sortState xmlns:xlrd2="http://schemas.microsoft.com/office/spreadsheetml/2017/richdata2" ref="B12:G18">
    <sortCondition ref="E12:E18"/>
    <sortCondition ref="B12:B18"/>
  </sortState>
  <mergeCells count="14">
    <mergeCell ref="B9:C9"/>
    <mergeCell ref="B29:B30"/>
    <mergeCell ref="C29:C30"/>
    <mergeCell ref="D29:D30"/>
    <mergeCell ref="E29:E30"/>
    <mergeCell ref="K29:K30"/>
    <mergeCell ref="L29:L30"/>
    <mergeCell ref="M29:M30"/>
    <mergeCell ref="S29:S30"/>
    <mergeCell ref="F29:F30"/>
    <mergeCell ref="G29:G30"/>
    <mergeCell ref="H29:H30"/>
    <mergeCell ref="I29:I30"/>
    <mergeCell ref="J29:J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3132-499A-493A-8F12-59F142FDB5A5}">
  <dimension ref="A1:N66"/>
  <sheetViews>
    <sheetView showGridLines="0" topLeftCell="A8" workbookViewId="0">
      <selection activeCell="F64" sqref="F64"/>
    </sheetView>
  </sheetViews>
  <sheetFormatPr defaultColWidth="11.5546875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51" bestFit="1" customWidth="1"/>
    <col min="5" max="5" width="13.88671875" bestFit="1" customWidth="1"/>
    <col min="6" max="6" width="12.109375" bestFit="1" customWidth="1"/>
    <col min="7" max="7" width="13.44140625" bestFit="1" customWidth="1"/>
    <col min="8" max="8" width="21.44140625" bestFit="1" customWidth="1"/>
    <col min="9" max="9" width="24" bestFit="1" customWidth="1"/>
    <col min="10" max="10" width="20.88671875" bestFit="1" customWidth="1"/>
    <col min="11" max="11" width="28.5546875" bestFit="1" customWidth="1"/>
    <col min="12" max="12" width="26.88671875" bestFit="1" customWidth="1"/>
    <col min="13" max="13" width="28.109375" bestFit="1" customWidth="1"/>
    <col min="14" max="16" width="3.77734375" customWidth="1"/>
  </cols>
  <sheetData>
    <row r="1" spans="1:14" x14ac:dyDescent="0.3">
      <c r="D1" s="1"/>
    </row>
    <row r="2" spans="1:14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</row>
    <row r="4" spans="1:14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</row>
    <row r="7" spans="1:14" x14ac:dyDescent="0.3">
      <c r="B7" s="15" t="s">
        <v>58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9" spans="1:14" x14ac:dyDescent="0.3">
      <c r="B9" s="32" t="s">
        <v>15</v>
      </c>
      <c r="C9" s="32"/>
      <c r="D9" s="17">
        <f>SUM(G12:G30)</f>
        <v>19</v>
      </c>
    </row>
    <row r="11" spans="1:14" x14ac:dyDescent="0.3">
      <c r="B11" s="13" t="s">
        <v>0</v>
      </c>
      <c r="C11" s="13" t="s">
        <v>1</v>
      </c>
      <c r="D11" s="13" t="s">
        <v>59</v>
      </c>
      <c r="E11" s="13" t="s">
        <v>60</v>
      </c>
      <c r="F11" s="13" t="s">
        <v>61</v>
      </c>
      <c r="G11" s="13" t="s">
        <v>23</v>
      </c>
      <c r="H11" s="18" t="s">
        <v>14</v>
      </c>
    </row>
    <row r="12" spans="1:14" x14ac:dyDescent="0.3">
      <c r="B12" s="14" t="s">
        <v>9</v>
      </c>
      <c r="C12" s="20" t="s">
        <v>10</v>
      </c>
      <c r="D12" s="20">
        <v>20.493194039999999</v>
      </c>
      <c r="E12" s="20">
        <v>10.25</v>
      </c>
      <c r="F12" s="14" t="s">
        <v>13</v>
      </c>
      <c r="G12" s="14">
        <v>1</v>
      </c>
      <c r="H12" s="14"/>
    </row>
    <row r="13" spans="1:14" x14ac:dyDescent="0.3">
      <c r="B13" s="14" t="s">
        <v>9</v>
      </c>
      <c r="C13" s="20" t="s">
        <v>10</v>
      </c>
      <c r="D13" s="20">
        <v>226.17776015999999</v>
      </c>
      <c r="E13" s="20">
        <v>0</v>
      </c>
      <c r="F13" s="14" t="s">
        <v>13</v>
      </c>
      <c r="G13" s="14">
        <v>1</v>
      </c>
      <c r="H13" s="14"/>
    </row>
    <row r="14" spans="1:14" x14ac:dyDescent="0.3">
      <c r="B14" s="14" t="s">
        <v>9</v>
      </c>
      <c r="C14" s="20" t="s">
        <v>10</v>
      </c>
      <c r="D14" s="20">
        <v>10055.549999999999</v>
      </c>
      <c r="E14" s="20">
        <v>0</v>
      </c>
      <c r="F14" s="14" t="s">
        <v>13</v>
      </c>
      <c r="G14" s="14">
        <v>1</v>
      </c>
      <c r="H14" s="14"/>
    </row>
    <row r="15" spans="1:14" x14ac:dyDescent="0.3">
      <c r="B15" s="14" t="s">
        <v>9</v>
      </c>
      <c r="C15" s="20" t="s">
        <v>10</v>
      </c>
      <c r="D15" s="20">
        <v>317.3</v>
      </c>
      <c r="E15" s="20">
        <v>0</v>
      </c>
      <c r="F15" s="14" t="s">
        <v>13</v>
      </c>
      <c r="G15" s="14">
        <v>1</v>
      </c>
      <c r="H15" s="14"/>
    </row>
    <row r="16" spans="1:14" x14ac:dyDescent="0.3">
      <c r="B16" s="14" t="s">
        <v>9</v>
      </c>
      <c r="C16" s="20" t="s">
        <v>10</v>
      </c>
      <c r="D16" s="20">
        <v>24.881450000000001</v>
      </c>
      <c r="E16" s="20">
        <v>12.44</v>
      </c>
      <c r="F16" s="14" t="s">
        <v>13</v>
      </c>
      <c r="G16" s="14">
        <v>1</v>
      </c>
      <c r="H16" s="14"/>
    </row>
    <row r="17" spans="2:8" x14ac:dyDescent="0.3">
      <c r="B17" s="14" t="s">
        <v>9</v>
      </c>
      <c r="C17" s="20" t="s">
        <v>10</v>
      </c>
      <c r="D17" s="20">
        <v>88.315285000000003</v>
      </c>
      <c r="E17" s="20">
        <v>44.16</v>
      </c>
      <c r="F17" s="14" t="s">
        <v>13</v>
      </c>
      <c r="G17" s="14">
        <v>1</v>
      </c>
      <c r="H17" s="14"/>
    </row>
    <row r="18" spans="2:8" x14ac:dyDescent="0.3">
      <c r="B18" s="14" t="s">
        <v>9</v>
      </c>
      <c r="C18" s="20" t="s">
        <v>10</v>
      </c>
      <c r="D18" s="20">
        <v>34.617869370000001</v>
      </c>
      <c r="E18" s="20">
        <v>17.309999999999999</v>
      </c>
      <c r="F18" s="14" t="s">
        <v>13</v>
      </c>
      <c r="G18" s="14">
        <v>1</v>
      </c>
      <c r="H18" s="14"/>
    </row>
    <row r="19" spans="2:8" x14ac:dyDescent="0.3">
      <c r="B19" s="14" t="s">
        <v>9</v>
      </c>
      <c r="C19" s="20" t="s">
        <v>10</v>
      </c>
      <c r="D19" s="20">
        <v>170.42</v>
      </c>
      <c r="E19" s="20">
        <v>85</v>
      </c>
      <c r="F19" s="14" t="s">
        <v>13</v>
      </c>
      <c r="G19" s="14">
        <v>1</v>
      </c>
      <c r="H19" s="14"/>
    </row>
    <row r="20" spans="2:8" x14ac:dyDescent="0.3">
      <c r="B20" s="14" t="s">
        <v>9</v>
      </c>
      <c r="C20" s="20" t="s">
        <v>10</v>
      </c>
      <c r="D20" s="20">
        <v>10055.57</v>
      </c>
      <c r="E20" s="20">
        <v>0</v>
      </c>
      <c r="F20" s="14" t="s">
        <v>13</v>
      </c>
      <c r="G20" s="14">
        <v>1</v>
      </c>
      <c r="H20" s="14"/>
    </row>
    <row r="21" spans="2:8" x14ac:dyDescent="0.3">
      <c r="B21" s="14" t="s">
        <v>9</v>
      </c>
      <c r="C21" s="20" t="s">
        <v>10</v>
      </c>
      <c r="D21" s="20">
        <v>1234.4108616000001</v>
      </c>
      <c r="E21" s="20">
        <v>617.21</v>
      </c>
      <c r="F21" s="14" t="s">
        <v>13</v>
      </c>
      <c r="G21" s="14">
        <v>1</v>
      </c>
      <c r="H21" s="14"/>
    </row>
    <row r="22" spans="2:8" x14ac:dyDescent="0.3">
      <c r="B22" s="14" t="s">
        <v>9</v>
      </c>
      <c r="C22" s="20" t="s">
        <v>10</v>
      </c>
      <c r="D22" s="20">
        <v>1496.84528862</v>
      </c>
      <c r="E22" s="20">
        <v>748.42</v>
      </c>
      <c r="F22" s="14" t="s">
        <v>13</v>
      </c>
      <c r="G22" s="14">
        <v>1</v>
      </c>
      <c r="H22" s="14"/>
    </row>
    <row r="23" spans="2:8" x14ac:dyDescent="0.3">
      <c r="B23" s="14" t="s">
        <v>9</v>
      </c>
      <c r="C23" s="20" t="s">
        <v>10</v>
      </c>
      <c r="D23" s="20">
        <v>0</v>
      </c>
      <c r="E23" s="20">
        <v>1106.02</v>
      </c>
      <c r="F23" s="14" t="s">
        <v>13</v>
      </c>
      <c r="G23" s="14">
        <v>1</v>
      </c>
      <c r="H23" s="14"/>
    </row>
    <row r="24" spans="2:8" x14ac:dyDescent="0.3">
      <c r="B24" s="14" t="s">
        <v>9</v>
      </c>
      <c r="C24" s="20" t="s">
        <v>10</v>
      </c>
      <c r="D24" s="20">
        <v>170.42</v>
      </c>
      <c r="E24" s="20">
        <v>85.42</v>
      </c>
      <c r="F24" s="14" t="s">
        <v>13</v>
      </c>
      <c r="G24" s="14">
        <v>1</v>
      </c>
      <c r="H24" s="14"/>
    </row>
    <row r="25" spans="2:8" x14ac:dyDescent="0.3">
      <c r="B25" s="14" t="s">
        <v>9</v>
      </c>
      <c r="C25" s="20" t="s">
        <v>10</v>
      </c>
      <c r="D25" s="20">
        <v>13873.65</v>
      </c>
      <c r="E25" s="20">
        <v>0</v>
      </c>
      <c r="F25" s="14" t="s">
        <v>13</v>
      </c>
      <c r="G25" s="14">
        <v>1</v>
      </c>
      <c r="H25" s="14"/>
    </row>
    <row r="26" spans="2:8" x14ac:dyDescent="0.3">
      <c r="B26" s="14" t="s">
        <v>9</v>
      </c>
      <c r="C26" s="20" t="s">
        <v>10</v>
      </c>
      <c r="D26" s="20">
        <v>1011.11</v>
      </c>
      <c r="E26" s="20">
        <v>0</v>
      </c>
      <c r="F26" s="14" t="s">
        <v>13</v>
      </c>
      <c r="G26" s="14">
        <v>1</v>
      </c>
      <c r="H26" s="14"/>
    </row>
    <row r="27" spans="2:8" x14ac:dyDescent="0.3">
      <c r="B27" s="14" t="s">
        <v>9</v>
      </c>
      <c r="C27" s="20" t="s">
        <v>10</v>
      </c>
      <c r="D27" s="20">
        <v>100</v>
      </c>
      <c r="E27" s="20">
        <v>0</v>
      </c>
      <c r="F27" s="14" t="s">
        <v>13</v>
      </c>
      <c r="G27" s="14">
        <v>1</v>
      </c>
      <c r="H27" s="14"/>
    </row>
    <row r="28" spans="2:8" x14ac:dyDescent="0.3">
      <c r="B28" s="14" t="s">
        <v>9</v>
      </c>
      <c r="C28" s="20" t="s">
        <v>10</v>
      </c>
      <c r="D28" s="20">
        <v>820.18380649999995</v>
      </c>
      <c r="E28" s="20">
        <v>410.09</v>
      </c>
      <c r="F28" s="14" t="s">
        <v>13</v>
      </c>
      <c r="G28" s="14">
        <v>1</v>
      </c>
      <c r="H28" s="14"/>
    </row>
    <row r="29" spans="2:8" x14ac:dyDescent="0.3">
      <c r="B29" s="14" t="s">
        <v>9</v>
      </c>
      <c r="C29" s="20" t="s">
        <v>10</v>
      </c>
      <c r="D29" s="20">
        <v>48.72</v>
      </c>
      <c r="E29" s="20">
        <v>25</v>
      </c>
      <c r="F29" s="14" t="s">
        <v>13</v>
      </c>
      <c r="G29" s="14">
        <v>1</v>
      </c>
      <c r="H29" s="14"/>
    </row>
    <row r="30" spans="2:8" x14ac:dyDescent="0.3">
      <c r="B30" s="14" t="s">
        <v>9</v>
      </c>
      <c r="C30" s="20" t="s">
        <v>10</v>
      </c>
      <c r="D30" s="20">
        <v>0</v>
      </c>
      <c r="E30" s="20">
        <v>753.78</v>
      </c>
      <c r="F30" s="14" t="s">
        <v>13</v>
      </c>
      <c r="G30" s="14">
        <v>1</v>
      </c>
      <c r="H30" s="14"/>
    </row>
    <row r="31" spans="2:8" x14ac:dyDescent="0.3">
      <c r="B31" s="14" t="s">
        <v>9</v>
      </c>
      <c r="C31" s="20" t="s">
        <v>10</v>
      </c>
      <c r="D31" s="14">
        <v>99999999999</v>
      </c>
      <c r="E31" s="14">
        <v>11111111111</v>
      </c>
      <c r="F31" s="14" t="s">
        <v>13</v>
      </c>
      <c r="G31" s="14">
        <v>715</v>
      </c>
      <c r="H31" s="14" t="s">
        <v>62</v>
      </c>
    </row>
    <row r="34" spans="2:13" x14ac:dyDescent="0.3">
      <c r="B34" s="13" t="s">
        <v>0</v>
      </c>
      <c r="C34" s="13" t="s">
        <v>1</v>
      </c>
      <c r="D34" s="13" t="s">
        <v>2</v>
      </c>
      <c r="E34" s="13" t="s">
        <v>3</v>
      </c>
      <c r="F34" s="13" t="s">
        <v>4</v>
      </c>
      <c r="G34" s="13" t="s">
        <v>5</v>
      </c>
      <c r="H34" s="13" t="s">
        <v>6</v>
      </c>
      <c r="I34" s="13" t="s">
        <v>7</v>
      </c>
      <c r="J34" s="13" t="s">
        <v>8</v>
      </c>
      <c r="K34" s="13" t="s">
        <v>59</v>
      </c>
      <c r="L34" s="13" t="s">
        <v>60</v>
      </c>
      <c r="M34" s="13" t="s">
        <v>61</v>
      </c>
    </row>
    <row r="35" spans="2:13" x14ac:dyDescent="0.3">
      <c r="B35" s="14" t="s">
        <v>9</v>
      </c>
      <c r="C35" s="14" t="s">
        <v>10</v>
      </c>
      <c r="D35" s="14" t="s">
        <v>63</v>
      </c>
      <c r="E35" s="14" t="s">
        <v>33</v>
      </c>
      <c r="F35" s="14" t="s">
        <v>33</v>
      </c>
      <c r="G35" s="14" t="s">
        <v>11</v>
      </c>
      <c r="H35" s="14" t="s">
        <v>12</v>
      </c>
      <c r="I35" s="14" t="s">
        <v>12</v>
      </c>
      <c r="J35" s="14" t="s">
        <v>11</v>
      </c>
      <c r="K35" s="20">
        <v>34.617869370000001</v>
      </c>
      <c r="L35" s="20">
        <v>17.309999999999999</v>
      </c>
      <c r="M35" s="14" t="s">
        <v>13</v>
      </c>
    </row>
    <row r="36" spans="2:13" x14ac:dyDescent="0.3">
      <c r="B36" s="14" t="s">
        <v>9</v>
      </c>
      <c r="C36" s="14" t="s">
        <v>10</v>
      </c>
      <c r="D36" s="14" t="s">
        <v>48</v>
      </c>
      <c r="E36" s="14" t="s">
        <v>28</v>
      </c>
      <c r="F36" s="14" t="s">
        <v>28</v>
      </c>
      <c r="G36" s="14" t="s">
        <v>11</v>
      </c>
      <c r="H36" s="14" t="s">
        <v>12</v>
      </c>
      <c r="I36" s="14" t="s">
        <v>12</v>
      </c>
      <c r="J36" s="14" t="s">
        <v>11</v>
      </c>
      <c r="K36" s="20">
        <v>20.493194039999999</v>
      </c>
      <c r="L36" s="20">
        <v>10.25</v>
      </c>
      <c r="M36" s="14" t="s">
        <v>13</v>
      </c>
    </row>
    <row r="37" spans="2:13" x14ac:dyDescent="0.3">
      <c r="B37" s="14" t="s">
        <v>9</v>
      </c>
      <c r="C37" s="14" t="s">
        <v>10</v>
      </c>
      <c r="D37" s="14" t="s">
        <v>64</v>
      </c>
      <c r="E37" s="14" t="s">
        <v>28</v>
      </c>
      <c r="F37" s="14" t="s">
        <v>65</v>
      </c>
      <c r="G37" s="14" t="s">
        <v>13</v>
      </c>
      <c r="H37" s="14" t="s">
        <v>12</v>
      </c>
      <c r="I37" s="14" t="s">
        <v>12</v>
      </c>
      <c r="J37" s="14" t="s">
        <v>11</v>
      </c>
      <c r="K37" s="20">
        <v>100</v>
      </c>
      <c r="L37" s="20">
        <v>0</v>
      </c>
      <c r="M37" s="14" t="s">
        <v>13</v>
      </c>
    </row>
    <row r="38" spans="2:13" x14ac:dyDescent="0.3">
      <c r="B38" s="14" t="s">
        <v>9</v>
      </c>
      <c r="C38" s="14" t="s">
        <v>10</v>
      </c>
      <c r="D38" s="14" t="s">
        <v>66</v>
      </c>
      <c r="E38" s="14" t="s">
        <v>67</v>
      </c>
      <c r="F38" s="14" t="s">
        <v>68</v>
      </c>
      <c r="G38" s="14" t="s">
        <v>13</v>
      </c>
      <c r="H38" s="14" t="s">
        <v>12</v>
      </c>
      <c r="I38" s="14" t="s">
        <v>12</v>
      </c>
      <c r="J38" s="14" t="s">
        <v>11</v>
      </c>
      <c r="K38" s="20">
        <v>10055.57</v>
      </c>
      <c r="L38" s="20">
        <v>0</v>
      </c>
      <c r="M38" s="14" t="s">
        <v>13</v>
      </c>
    </row>
    <row r="39" spans="2:13" x14ac:dyDescent="0.3">
      <c r="B39" s="14" t="s">
        <v>9</v>
      </c>
      <c r="C39" s="14" t="s">
        <v>10</v>
      </c>
      <c r="D39" s="14" t="s">
        <v>69</v>
      </c>
      <c r="E39" s="14" t="s">
        <v>33</v>
      </c>
      <c r="F39" s="14" t="s">
        <v>29</v>
      </c>
      <c r="G39" s="14" t="s">
        <v>13</v>
      </c>
      <c r="H39" s="14" t="s">
        <v>12</v>
      </c>
      <c r="I39" s="14" t="s">
        <v>12</v>
      </c>
      <c r="J39" s="14" t="s">
        <v>11</v>
      </c>
      <c r="K39" s="20">
        <v>48.72</v>
      </c>
      <c r="L39" s="20">
        <v>25</v>
      </c>
      <c r="M39" s="14" t="s">
        <v>13</v>
      </c>
    </row>
    <row r="40" spans="2:13" x14ac:dyDescent="0.3">
      <c r="B40" s="14" t="s">
        <v>9</v>
      </c>
      <c r="C40" s="14" t="s">
        <v>10</v>
      </c>
      <c r="D40" s="14" t="s">
        <v>70</v>
      </c>
      <c r="E40" s="14" t="s">
        <v>16</v>
      </c>
      <c r="F40" s="14" t="s">
        <v>16</v>
      </c>
      <c r="G40" s="14" t="s">
        <v>11</v>
      </c>
      <c r="H40" s="14" t="s">
        <v>12</v>
      </c>
      <c r="I40" s="14" t="s">
        <v>12</v>
      </c>
      <c r="J40" s="14" t="s">
        <v>11</v>
      </c>
      <c r="K40" s="20">
        <v>0</v>
      </c>
      <c r="L40" s="20">
        <v>753.78</v>
      </c>
      <c r="M40" s="14" t="s">
        <v>13</v>
      </c>
    </row>
    <row r="41" spans="2:13" x14ac:dyDescent="0.3">
      <c r="B41" s="14" t="s">
        <v>9</v>
      </c>
      <c r="C41" s="14" t="s">
        <v>10</v>
      </c>
      <c r="D41" s="14" t="s">
        <v>71</v>
      </c>
      <c r="E41" s="14" t="s">
        <v>68</v>
      </c>
      <c r="F41" s="14" t="s">
        <v>68</v>
      </c>
      <c r="G41" s="14" t="s">
        <v>11</v>
      </c>
      <c r="H41" s="14" t="s">
        <v>12</v>
      </c>
      <c r="I41" s="14" t="s">
        <v>12</v>
      </c>
      <c r="J41" s="14" t="s">
        <v>11</v>
      </c>
      <c r="K41" s="20">
        <v>10055.549999999999</v>
      </c>
      <c r="L41" s="20">
        <v>0</v>
      </c>
      <c r="M41" s="14" t="s">
        <v>13</v>
      </c>
    </row>
    <row r="42" spans="2:13" x14ac:dyDescent="0.3">
      <c r="B42" s="14" t="s">
        <v>9</v>
      </c>
      <c r="C42" s="14" t="s">
        <v>10</v>
      </c>
      <c r="D42" s="14" t="s">
        <v>72</v>
      </c>
      <c r="E42" s="14" t="s">
        <v>28</v>
      </c>
      <c r="F42" s="14" t="s">
        <v>28</v>
      </c>
      <c r="G42" s="14" t="s">
        <v>11</v>
      </c>
      <c r="H42" s="14" t="s">
        <v>12</v>
      </c>
      <c r="I42" s="14" t="s">
        <v>12</v>
      </c>
      <c r="J42" s="14" t="s">
        <v>11</v>
      </c>
      <c r="K42" s="20">
        <v>1496.84528862</v>
      </c>
      <c r="L42" s="20">
        <v>748.42</v>
      </c>
      <c r="M42" s="14" t="s">
        <v>13</v>
      </c>
    </row>
    <row r="43" spans="2:13" x14ac:dyDescent="0.3">
      <c r="B43" s="14" t="s">
        <v>9</v>
      </c>
      <c r="C43" s="14" t="s">
        <v>10</v>
      </c>
      <c r="D43" s="14" t="s">
        <v>73</v>
      </c>
      <c r="E43" s="14" t="s">
        <v>16</v>
      </c>
      <c r="F43" s="14" t="s">
        <v>16</v>
      </c>
      <c r="G43" s="14" t="s">
        <v>11</v>
      </c>
      <c r="H43" s="14" t="s">
        <v>12</v>
      </c>
      <c r="I43" s="14" t="s">
        <v>12</v>
      </c>
      <c r="J43" s="14" t="s">
        <v>11</v>
      </c>
      <c r="K43" s="20">
        <v>0</v>
      </c>
      <c r="L43" s="20">
        <v>1106.02</v>
      </c>
      <c r="M43" s="14" t="s">
        <v>13</v>
      </c>
    </row>
    <row r="44" spans="2:13" x14ac:dyDescent="0.3">
      <c r="B44" s="14" t="s">
        <v>9</v>
      </c>
      <c r="C44" s="14" t="s">
        <v>10</v>
      </c>
      <c r="D44" s="14" t="s">
        <v>74</v>
      </c>
      <c r="E44" s="14" t="s">
        <v>68</v>
      </c>
      <c r="F44" s="14" t="s">
        <v>68</v>
      </c>
      <c r="G44" s="14" t="s">
        <v>11</v>
      </c>
      <c r="H44" s="14" t="s">
        <v>12</v>
      </c>
      <c r="I44" s="14" t="s">
        <v>12</v>
      </c>
      <c r="J44" s="14" t="s">
        <v>11</v>
      </c>
      <c r="K44" s="20">
        <v>13873.65</v>
      </c>
      <c r="L44" s="20">
        <v>0</v>
      </c>
      <c r="M44" s="14" t="s">
        <v>13</v>
      </c>
    </row>
    <row r="45" spans="2:13" x14ac:dyDescent="0.3">
      <c r="B45" s="14" t="s">
        <v>9</v>
      </c>
      <c r="C45" s="14" t="s">
        <v>10</v>
      </c>
      <c r="D45" s="14" t="s">
        <v>75</v>
      </c>
      <c r="E45" s="14" t="s">
        <v>33</v>
      </c>
      <c r="F45" s="14" t="s">
        <v>33</v>
      </c>
      <c r="G45" s="14" t="s">
        <v>11</v>
      </c>
      <c r="H45" s="14" t="s">
        <v>12</v>
      </c>
      <c r="I45" s="14" t="s">
        <v>12</v>
      </c>
      <c r="J45" s="14" t="s">
        <v>11</v>
      </c>
      <c r="K45" s="20">
        <v>317.3</v>
      </c>
      <c r="L45" s="20">
        <v>0</v>
      </c>
      <c r="M45" s="14" t="s">
        <v>13</v>
      </c>
    </row>
    <row r="46" spans="2:13" x14ac:dyDescent="0.3">
      <c r="B46" s="14" t="s">
        <v>9</v>
      </c>
      <c r="C46" s="14" t="s">
        <v>10</v>
      </c>
      <c r="D46" s="14" t="s">
        <v>76</v>
      </c>
      <c r="E46" s="14" t="s">
        <v>33</v>
      </c>
      <c r="F46" s="14" t="s">
        <v>33</v>
      </c>
      <c r="G46" s="14" t="s">
        <v>11</v>
      </c>
      <c r="H46" s="14" t="s">
        <v>12</v>
      </c>
      <c r="I46" s="14" t="s">
        <v>12</v>
      </c>
      <c r="J46" s="14" t="s">
        <v>11</v>
      </c>
      <c r="K46" s="20">
        <v>820.18380649999995</v>
      </c>
      <c r="L46" s="20">
        <v>410.09</v>
      </c>
      <c r="M46" s="14" t="s">
        <v>13</v>
      </c>
    </row>
    <row r="47" spans="2:13" x14ac:dyDescent="0.3">
      <c r="B47" s="14" t="s">
        <v>9</v>
      </c>
      <c r="C47" s="14" t="s">
        <v>10</v>
      </c>
      <c r="D47" s="14" t="s">
        <v>77</v>
      </c>
      <c r="E47" s="14" t="s">
        <v>33</v>
      </c>
      <c r="F47" s="14" t="s">
        <v>33</v>
      </c>
      <c r="G47" s="14" t="s">
        <v>11</v>
      </c>
      <c r="H47" s="14" t="s">
        <v>12</v>
      </c>
      <c r="I47" s="14" t="s">
        <v>12</v>
      </c>
      <c r="J47" s="14" t="s">
        <v>11</v>
      </c>
      <c r="K47" s="20">
        <v>88.315285000000003</v>
      </c>
      <c r="L47" s="20">
        <v>44.16</v>
      </c>
      <c r="M47" s="14" t="s">
        <v>13</v>
      </c>
    </row>
    <row r="48" spans="2:13" x14ac:dyDescent="0.3">
      <c r="B48" s="14" t="s">
        <v>9</v>
      </c>
      <c r="C48" s="14" t="s">
        <v>10</v>
      </c>
      <c r="D48" s="14" t="s">
        <v>78</v>
      </c>
      <c r="E48" s="14" t="s">
        <v>32</v>
      </c>
      <c r="F48" s="14" t="s">
        <v>32</v>
      </c>
      <c r="G48" s="14" t="s">
        <v>11</v>
      </c>
      <c r="H48" s="14" t="s">
        <v>12</v>
      </c>
      <c r="I48" s="14" t="s">
        <v>12</v>
      </c>
      <c r="J48" s="14" t="s">
        <v>11</v>
      </c>
      <c r="K48" s="20">
        <v>170.42</v>
      </c>
      <c r="L48" s="20">
        <v>85.42</v>
      </c>
      <c r="M48" s="14" t="s">
        <v>13</v>
      </c>
    </row>
    <row r="49" spans="2:13" x14ac:dyDescent="0.3">
      <c r="B49" s="14" t="s">
        <v>9</v>
      </c>
      <c r="C49" s="14" t="s">
        <v>10</v>
      </c>
      <c r="D49" s="14" t="s">
        <v>79</v>
      </c>
      <c r="E49" s="14" t="s">
        <v>67</v>
      </c>
      <c r="F49" s="14" t="s">
        <v>68</v>
      </c>
      <c r="G49" s="14" t="s">
        <v>13</v>
      </c>
      <c r="H49" s="14" t="s">
        <v>12</v>
      </c>
      <c r="I49" s="14" t="s">
        <v>12</v>
      </c>
      <c r="J49" s="14" t="s">
        <v>11</v>
      </c>
      <c r="K49" s="20">
        <v>1011.11</v>
      </c>
      <c r="L49" s="20">
        <v>0</v>
      </c>
      <c r="M49" s="14" t="s">
        <v>13</v>
      </c>
    </row>
    <row r="50" spans="2:13" x14ac:dyDescent="0.3">
      <c r="B50" s="14" t="s">
        <v>9</v>
      </c>
      <c r="C50" s="14" t="s">
        <v>10</v>
      </c>
      <c r="D50" s="14" t="s">
        <v>80</v>
      </c>
      <c r="E50" s="14" t="s">
        <v>33</v>
      </c>
      <c r="F50" s="14" t="s">
        <v>32</v>
      </c>
      <c r="G50" s="14" t="s">
        <v>13</v>
      </c>
      <c r="H50" s="14" t="s">
        <v>12</v>
      </c>
      <c r="I50" s="14" t="s">
        <v>12</v>
      </c>
      <c r="J50" s="14" t="s">
        <v>11</v>
      </c>
      <c r="K50" s="20">
        <v>226.17776015999999</v>
      </c>
      <c r="L50" s="20">
        <v>0</v>
      </c>
      <c r="M50" s="14" t="s">
        <v>13</v>
      </c>
    </row>
    <row r="51" spans="2:13" x14ac:dyDescent="0.3">
      <c r="B51" s="14" t="s">
        <v>9</v>
      </c>
      <c r="C51" s="14" t="s">
        <v>10</v>
      </c>
      <c r="D51" s="14" t="s">
        <v>81</v>
      </c>
      <c r="E51" s="14" t="s">
        <v>28</v>
      </c>
      <c r="F51" s="14" t="s">
        <v>28</v>
      </c>
      <c r="G51" s="14" t="s">
        <v>11</v>
      </c>
      <c r="H51" s="14" t="s">
        <v>12</v>
      </c>
      <c r="I51" s="14" t="s">
        <v>12</v>
      </c>
      <c r="J51" s="14" t="s">
        <v>11</v>
      </c>
      <c r="K51" s="20">
        <v>24.881450000000001</v>
      </c>
      <c r="L51" s="20">
        <v>12.44</v>
      </c>
      <c r="M51" s="14" t="s">
        <v>13</v>
      </c>
    </row>
    <row r="52" spans="2:13" x14ac:dyDescent="0.3">
      <c r="B52" s="14" t="s">
        <v>9</v>
      </c>
      <c r="C52" s="14" t="s">
        <v>10</v>
      </c>
      <c r="D52" s="14" t="s">
        <v>82</v>
      </c>
      <c r="E52" s="14" t="s">
        <v>33</v>
      </c>
      <c r="F52" s="14" t="s">
        <v>33</v>
      </c>
      <c r="G52" s="14" t="s">
        <v>11</v>
      </c>
      <c r="H52" s="14" t="s">
        <v>12</v>
      </c>
      <c r="I52" s="14" t="s">
        <v>12</v>
      </c>
      <c r="J52" s="14" t="s">
        <v>11</v>
      </c>
      <c r="K52" s="20">
        <v>1234.4108616000001</v>
      </c>
      <c r="L52" s="20">
        <v>617.21</v>
      </c>
      <c r="M52" s="14" t="s">
        <v>13</v>
      </c>
    </row>
    <row r="53" spans="2:13" x14ac:dyDescent="0.3">
      <c r="B53" s="14" t="s">
        <v>9</v>
      </c>
      <c r="C53" s="14" t="s">
        <v>10</v>
      </c>
      <c r="D53" s="14" t="s">
        <v>83</v>
      </c>
      <c r="E53" s="14" t="s">
        <v>29</v>
      </c>
      <c r="F53" s="14" t="s">
        <v>29</v>
      </c>
      <c r="G53" s="14" t="s">
        <v>11</v>
      </c>
      <c r="H53" s="14" t="s">
        <v>12</v>
      </c>
      <c r="I53" s="14" t="s">
        <v>12</v>
      </c>
      <c r="J53" s="14" t="s">
        <v>11</v>
      </c>
      <c r="K53" s="20">
        <v>170.42</v>
      </c>
      <c r="L53" s="20">
        <v>85</v>
      </c>
      <c r="M53" s="14" t="s">
        <v>13</v>
      </c>
    </row>
    <row r="56" spans="2:13" x14ac:dyDescent="0.3">
      <c r="B56" s="31" t="s">
        <v>90</v>
      </c>
    </row>
    <row r="57" spans="2:13" ht="7.05" customHeight="1" x14ac:dyDescent="0.3"/>
    <row r="58" spans="2:13" x14ac:dyDescent="0.3">
      <c r="B58" s="13" t="s">
        <v>0</v>
      </c>
      <c r="C58" s="13" t="s">
        <v>1</v>
      </c>
      <c r="D58" s="13" t="s">
        <v>2</v>
      </c>
      <c r="E58" s="18" t="s">
        <v>51</v>
      </c>
      <c r="F58" s="18" t="s">
        <v>84</v>
      </c>
      <c r="G58" s="18" t="s">
        <v>85</v>
      </c>
      <c r="H58" s="18" t="s">
        <v>53</v>
      </c>
      <c r="I58" s="18" t="s">
        <v>54</v>
      </c>
      <c r="J58" s="18" t="s">
        <v>86</v>
      </c>
    </row>
    <row r="59" spans="2:13" x14ac:dyDescent="0.3">
      <c r="B59" s="38" t="s">
        <v>9</v>
      </c>
      <c r="C59" s="38" t="s">
        <v>10</v>
      </c>
      <c r="D59" s="49" t="s">
        <v>75</v>
      </c>
      <c r="E59" s="24" t="s">
        <v>87</v>
      </c>
      <c r="F59" s="29">
        <v>317.3</v>
      </c>
      <c r="G59" s="29">
        <v>0</v>
      </c>
      <c r="H59" s="30">
        <v>1</v>
      </c>
      <c r="I59" s="20">
        <v>88608.52</v>
      </c>
      <c r="J59" s="40">
        <f>H59*(F59-G59)</f>
        <v>317.3</v>
      </c>
    </row>
    <row r="60" spans="2:13" x14ac:dyDescent="0.3">
      <c r="B60" s="39"/>
      <c r="C60" s="39"/>
      <c r="D60" s="50"/>
      <c r="E60" s="24" t="s">
        <v>75</v>
      </c>
      <c r="F60" s="29" t="s">
        <v>88</v>
      </c>
      <c r="G60" s="29" t="s">
        <v>88</v>
      </c>
      <c r="H60" s="30">
        <v>1</v>
      </c>
      <c r="I60" s="20">
        <v>88608.52</v>
      </c>
      <c r="J60" s="41"/>
    </row>
    <row r="61" spans="2:13" x14ac:dyDescent="0.3">
      <c r="B61" s="14" t="s">
        <v>9</v>
      </c>
      <c r="C61" s="14" t="s">
        <v>10</v>
      </c>
      <c r="D61" s="14" t="s">
        <v>76</v>
      </c>
      <c r="E61" s="24" t="s">
        <v>89</v>
      </c>
      <c r="F61" s="20">
        <v>908.5</v>
      </c>
      <c r="G61" s="29">
        <v>0</v>
      </c>
      <c r="H61" s="30">
        <v>0.90278899999999995</v>
      </c>
      <c r="I61" s="20">
        <v>9827.5499999999993</v>
      </c>
      <c r="J61" s="20">
        <f>H61*(F61-G61)</f>
        <v>820.18380649999995</v>
      </c>
    </row>
    <row r="64" spans="2:13" x14ac:dyDescent="0.3">
      <c r="F64" s="25"/>
    </row>
    <row r="65" spans="6:6" x14ac:dyDescent="0.3">
      <c r="F65" s="25"/>
    </row>
    <row r="66" spans="6:6" x14ac:dyDescent="0.3">
      <c r="F66" s="25"/>
    </row>
  </sheetData>
  <mergeCells count="5">
    <mergeCell ref="B9:C9"/>
    <mergeCell ref="D59:D60"/>
    <mergeCell ref="B59:B60"/>
    <mergeCell ref="C59:C60"/>
    <mergeCell ref="J59:J6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1D0C-C676-48D5-B32E-D077C12A7519}">
  <dimension ref="A1:S51"/>
  <sheetViews>
    <sheetView showGridLines="0" topLeftCell="A29" workbookViewId="0">
      <selection activeCell="G40" sqref="G40"/>
    </sheetView>
  </sheetViews>
  <sheetFormatPr defaultColWidth="11.5546875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4" width="33.7773437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18.77734375" bestFit="1" customWidth="1"/>
    <col min="12" max="12" width="16.88671875" bestFit="1" customWidth="1"/>
    <col min="13" max="13" width="18.33203125" bestFit="1" customWidth="1"/>
    <col min="14" max="14" width="33.6640625" bestFit="1" customWidth="1"/>
    <col min="15" max="15" width="11.33203125" customWidth="1"/>
    <col min="16" max="16" width="11" bestFit="1" customWidth="1"/>
    <col min="17" max="17" width="24" bestFit="1" customWidth="1"/>
    <col min="18" max="18" width="19.88671875" bestFit="1" customWidth="1"/>
    <col min="19" max="19" width="60.21875" bestFit="1" customWidth="1"/>
  </cols>
  <sheetData>
    <row r="1" spans="1:19" x14ac:dyDescent="0.3">
      <c r="D1" s="1"/>
    </row>
    <row r="2" spans="1:19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7" spans="1:19" x14ac:dyDescent="0.3">
      <c r="B7" s="15" t="s">
        <v>92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9" spans="1:19" x14ac:dyDescent="0.3">
      <c r="B9" s="32" t="s">
        <v>15</v>
      </c>
      <c r="C9" s="32"/>
      <c r="D9" s="19">
        <f>SUM(F12:F13)</f>
        <v>38105</v>
      </c>
      <c r="L9" s="44"/>
    </row>
    <row r="10" spans="1:19" x14ac:dyDescent="0.3">
      <c r="L10" s="44"/>
    </row>
    <row r="11" spans="1:19" x14ac:dyDescent="0.3">
      <c r="B11" s="13" t="s">
        <v>0</v>
      </c>
      <c r="C11" s="13" t="s">
        <v>1</v>
      </c>
      <c r="D11" s="13" t="s">
        <v>93</v>
      </c>
      <c r="E11" s="13" t="s">
        <v>20</v>
      </c>
      <c r="F11" s="13" t="s">
        <v>23</v>
      </c>
      <c r="G11" s="46" t="s">
        <v>14</v>
      </c>
      <c r="L11" s="44"/>
      <c r="N11" s="43"/>
    </row>
    <row r="12" spans="1:19" x14ac:dyDescent="0.3">
      <c r="B12" s="14" t="s">
        <v>9</v>
      </c>
      <c r="C12" s="14" t="s">
        <v>10</v>
      </c>
      <c r="D12" s="14" t="s">
        <v>13</v>
      </c>
      <c r="E12" s="21">
        <v>45838</v>
      </c>
      <c r="F12" s="22">
        <v>38082</v>
      </c>
      <c r="G12" s="14" t="s">
        <v>125</v>
      </c>
      <c r="N12" s="43"/>
    </row>
    <row r="13" spans="1:19" x14ac:dyDescent="0.3">
      <c r="B13" s="14" t="s">
        <v>9</v>
      </c>
      <c r="C13" s="14" t="s">
        <v>42</v>
      </c>
      <c r="D13" s="14" t="s">
        <v>13</v>
      </c>
      <c r="E13" s="21">
        <v>45808</v>
      </c>
      <c r="F13" s="22">
        <v>23</v>
      </c>
      <c r="G13" s="14" t="s">
        <v>142</v>
      </c>
    </row>
    <row r="14" spans="1:19" x14ac:dyDescent="0.3">
      <c r="E14" s="42"/>
      <c r="F14" s="25"/>
    </row>
    <row r="15" spans="1:19" x14ac:dyDescent="0.3">
      <c r="E15" s="42"/>
      <c r="F15" s="25"/>
    </row>
    <row r="16" spans="1:19" x14ac:dyDescent="0.3">
      <c r="B16" s="13" t="s">
        <v>0</v>
      </c>
      <c r="C16" s="13" t="s">
        <v>1</v>
      </c>
      <c r="D16" s="13" t="s">
        <v>2</v>
      </c>
      <c r="E16" s="13" t="s">
        <v>3</v>
      </c>
      <c r="F16" s="13" t="s">
        <v>4</v>
      </c>
      <c r="G16" s="13" t="s">
        <v>5</v>
      </c>
      <c r="H16" s="13" t="s">
        <v>6</v>
      </c>
      <c r="I16" s="13" t="s">
        <v>7</v>
      </c>
      <c r="J16" s="13" t="s">
        <v>8</v>
      </c>
      <c r="K16" s="13" t="s">
        <v>94</v>
      </c>
      <c r="L16" s="13" t="s">
        <v>95</v>
      </c>
      <c r="M16" s="13" t="s">
        <v>93</v>
      </c>
      <c r="N16" s="18" t="s">
        <v>51</v>
      </c>
      <c r="O16" s="18" t="s">
        <v>121</v>
      </c>
      <c r="P16" s="18" t="s">
        <v>53</v>
      </c>
      <c r="Q16" s="18" t="s">
        <v>54</v>
      </c>
      <c r="R16" s="18" t="s">
        <v>86</v>
      </c>
      <c r="S16" s="46" t="s">
        <v>14</v>
      </c>
    </row>
    <row r="17" spans="2:19" x14ac:dyDescent="0.3">
      <c r="B17" s="14" t="s">
        <v>9</v>
      </c>
      <c r="C17" s="14" t="s">
        <v>42</v>
      </c>
      <c r="D17" s="14" t="s">
        <v>96</v>
      </c>
      <c r="E17" s="14" t="s">
        <v>46</v>
      </c>
      <c r="F17" s="14" t="s">
        <v>46</v>
      </c>
      <c r="G17" s="14" t="s">
        <v>11</v>
      </c>
      <c r="H17" s="14" t="s">
        <v>97</v>
      </c>
      <c r="I17" s="14" t="s">
        <v>97</v>
      </c>
      <c r="J17" s="14" t="s">
        <v>11</v>
      </c>
      <c r="K17" s="20">
        <v>64.438333333333347</v>
      </c>
      <c r="L17" s="20">
        <v>43.37</v>
      </c>
      <c r="M17" s="14" t="s">
        <v>13</v>
      </c>
      <c r="N17" s="24" t="s">
        <v>122</v>
      </c>
      <c r="O17" s="14">
        <v>386.63</v>
      </c>
      <c r="P17" s="45">
        <v>0.16666666666666671</v>
      </c>
      <c r="Q17" s="14">
        <v>0</v>
      </c>
      <c r="R17" s="14">
        <f>O17*P17</f>
        <v>64.438333333333347</v>
      </c>
      <c r="S17" s="14" t="s">
        <v>124</v>
      </c>
    </row>
    <row r="18" spans="2:19" x14ac:dyDescent="0.3">
      <c r="B18" s="14" t="s">
        <v>9</v>
      </c>
      <c r="C18" s="14" t="s">
        <v>42</v>
      </c>
      <c r="D18" s="14" t="s">
        <v>98</v>
      </c>
      <c r="E18" s="14" t="s">
        <v>46</v>
      </c>
      <c r="F18" s="14" t="s">
        <v>46</v>
      </c>
      <c r="G18" s="14" t="s">
        <v>11</v>
      </c>
      <c r="H18" s="14" t="s">
        <v>97</v>
      </c>
      <c r="I18" s="14" t="s">
        <v>97</v>
      </c>
      <c r="J18" s="14" t="s">
        <v>11</v>
      </c>
      <c r="K18" s="20">
        <v>26.445</v>
      </c>
      <c r="L18" s="20">
        <v>31.58</v>
      </c>
      <c r="M18" s="14" t="s">
        <v>13</v>
      </c>
      <c r="N18" s="14"/>
      <c r="O18" s="14"/>
      <c r="P18" s="14"/>
      <c r="Q18" s="14"/>
      <c r="R18" s="14"/>
      <c r="S18" s="14" t="s">
        <v>124</v>
      </c>
    </row>
    <row r="19" spans="2:19" x14ac:dyDescent="0.3">
      <c r="B19" s="14" t="s">
        <v>9</v>
      </c>
      <c r="C19" s="14" t="s">
        <v>42</v>
      </c>
      <c r="D19" s="14" t="s">
        <v>99</v>
      </c>
      <c r="E19" s="14" t="s">
        <v>46</v>
      </c>
      <c r="F19" s="14" t="s">
        <v>46</v>
      </c>
      <c r="G19" s="14" t="s">
        <v>11</v>
      </c>
      <c r="H19" s="14" t="s">
        <v>97</v>
      </c>
      <c r="I19" s="14" t="s">
        <v>97</v>
      </c>
      <c r="J19" s="14" t="s">
        <v>11</v>
      </c>
      <c r="K19" s="20">
        <v>18.864999999999998</v>
      </c>
      <c r="L19" s="20">
        <v>27.11</v>
      </c>
      <c r="M19" s="14" t="s">
        <v>13</v>
      </c>
      <c r="N19" s="14"/>
      <c r="O19" s="14"/>
      <c r="P19" s="14"/>
      <c r="Q19" s="14"/>
      <c r="R19" s="14"/>
      <c r="S19" s="14" t="s">
        <v>124</v>
      </c>
    </row>
    <row r="20" spans="2:19" x14ac:dyDescent="0.3">
      <c r="B20" s="14" t="s">
        <v>9</v>
      </c>
      <c r="C20" s="14" t="s">
        <v>42</v>
      </c>
      <c r="D20" s="14" t="s">
        <v>100</v>
      </c>
      <c r="E20" s="14" t="s">
        <v>46</v>
      </c>
      <c r="F20" s="14" t="s">
        <v>46</v>
      </c>
      <c r="G20" s="14" t="s">
        <v>11</v>
      </c>
      <c r="H20" s="14" t="s">
        <v>97</v>
      </c>
      <c r="I20" s="14" t="s">
        <v>97</v>
      </c>
      <c r="J20" s="14" t="s">
        <v>11</v>
      </c>
      <c r="K20" s="20">
        <v>9.2349999999999994</v>
      </c>
      <c r="L20" s="20">
        <v>12.32</v>
      </c>
      <c r="M20" s="14" t="s">
        <v>13</v>
      </c>
      <c r="N20" s="14"/>
      <c r="O20" s="14"/>
      <c r="P20" s="14"/>
      <c r="Q20" s="14"/>
      <c r="R20" s="14"/>
      <c r="S20" s="14" t="s">
        <v>124</v>
      </c>
    </row>
    <row r="21" spans="2:19" x14ac:dyDescent="0.3">
      <c r="B21" s="14" t="s">
        <v>9</v>
      </c>
      <c r="C21" s="14" t="s">
        <v>42</v>
      </c>
      <c r="D21" s="14" t="s">
        <v>101</v>
      </c>
      <c r="E21" s="14" t="s">
        <v>46</v>
      </c>
      <c r="F21" s="14" t="s">
        <v>46</v>
      </c>
      <c r="G21" s="14" t="s">
        <v>11</v>
      </c>
      <c r="H21" s="14" t="s">
        <v>97</v>
      </c>
      <c r="I21" s="14" t="s">
        <v>97</v>
      </c>
      <c r="J21" s="14" t="s">
        <v>11</v>
      </c>
      <c r="K21" s="20">
        <v>4.1900000000000004</v>
      </c>
      <c r="L21" s="20">
        <v>8.3800000000000008</v>
      </c>
      <c r="M21" s="14" t="s">
        <v>13</v>
      </c>
      <c r="N21" s="14"/>
      <c r="O21" s="14"/>
      <c r="P21" s="14"/>
      <c r="Q21" s="14"/>
      <c r="R21" s="14"/>
      <c r="S21" s="14" t="s">
        <v>124</v>
      </c>
    </row>
    <row r="22" spans="2:19" x14ac:dyDescent="0.3">
      <c r="B22" s="14" t="s">
        <v>9</v>
      </c>
      <c r="C22" s="14" t="s">
        <v>42</v>
      </c>
      <c r="D22" s="14" t="s">
        <v>102</v>
      </c>
      <c r="E22" s="14" t="s">
        <v>46</v>
      </c>
      <c r="F22" s="14" t="s">
        <v>46</v>
      </c>
      <c r="G22" s="14" t="s">
        <v>11</v>
      </c>
      <c r="H22" s="14" t="s">
        <v>97</v>
      </c>
      <c r="I22" s="14" t="s">
        <v>97</v>
      </c>
      <c r="J22" s="14" t="s">
        <v>11</v>
      </c>
      <c r="K22" s="20">
        <v>26.445</v>
      </c>
      <c r="L22" s="20">
        <v>21.31</v>
      </c>
      <c r="M22" s="14" t="s">
        <v>13</v>
      </c>
      <c r="N22" s="14"/>
      <c r="O22" s="14"/>
      <c r="P22" s="14"/>
      <c r="Q22" s="14"/>
      <c r="R22" s="14"/>
      <c r="S22" s="14" t="s">
        <v>124</v>
      </c>
    </row>
    <row r="23" spans="2:19" x14ac:dyDescent="0.3">
      <c r="B23" s="14" t="s">
        <v>9</v>
      </c>
      <c r="C23" s="14" t="s">
        <v>42</v>
      </c>
      <c r="D23" s="14" t="s">
        <v>103</v>
      </c>
      <c r="E23" s="14" t="s">
        <v>46</v>
      </c>
      <c r="F23" s="14" t="s">
        <v>46</v>
      </c>
      <c r="G23" s="14" t="s">
        <v>11</v>
      </c>
      <c r="H23" s="14" t="s">
        <v>97</v>
      </c>
      <c r="I23" s="14" t="s">
        <v>97</v>
      </c>
      <c r="J23" s="14" t="s">
        <v>11</v>
      </c>
      <c r="K23" s="20">
        <v>9.2349999999999994</v>
      </c>
      <c r="L23" s="20">
        <v>6.15</v>
      </c>
      <c r="M23" s="14" t="s">
        <v>13</v>
      </c>
      <c r="N23" s="14"/>
      <c r="O23" s="14"/>
      <c r="P23" s="14"/>
      <c r="Q23" s="14"/>
      <c r="R23" s="14"/>
      <c r="S23" s="14" t="s">
        <v>124</v>
      </c>
    </row>
    <row r="24" spans="2:19" x14ac:dyDescent="0.3">
      <c r="B24" s="14" t="s">
        <v>9</v>
      </c>
      <c r="C24" s="14" t="s">
        <v>42</v>
      </c>
      <c r="D24" s="14" t="s">
        <v>104</v>
      </c>
      <c r="E24" s="14" t="s">
        <v>46</v>
      </c>
      <c r="F24" s="14" t="s">
        <v>46</v>
      </c>
      <c r="G24" s="14" t="s">
        <v>11</v>
      </c>
      <c r="H24" s="14" t="s">
        <v>97</v>
      </c>
      <c r="I24" s="14" t="s">
        <v>97</v>
      </c>
      <c r="J24" s="14" t="s">
        <v>11</v>
      </c>
      <c r="K24" s="20">
        <v>0.25666666666666671</v>
      </c>
      <c r="L24" s="20">
        <v>0.77</v>
      </c>
      <c r="M24" s="14" t="s">
        <v>13</v>
      </c>
      <c r="N24" s="14"/>
      <c r="O24" s="14"/>
      <c r="P24" s="14"/>
      <c r="Q24" s="14"/>
      <c r="R24" s="14"/>
      <c r="S24" s="14" t="s">
        <v>124</v>
      </c>
    </row>
    <row r="25" spans="2:19" x14ac:dyDescent="0.3">
      <c r="B25" s="14" t="s">
        <v>9</v>
      </c>
      <c r="C25" s="14" t="s">
        <v>42</v>
      </c>
      <c r="D25" s="14" t="s">
        <v>105</v>
      </c>
      <c r="E25" s="14" t="s">
        <v>46</v>
      </c>
      <c r="F25" s="14" t="s">
        <v>46</v>
      </c>
      <c r="G25" s="14" t="s">
        <v>11</v>
      </c>
      <c r="H25" s="14" t="s">
        <v>97</v>
      </c>
      <c r="I25" s="14" t="s">
        <v>97</v>
      </c>
      <c r="J25" s="14" t="s">
        <v>11</v>
      </c>
      <c r="K25" s="20">
        <v>64.438333333333347</v>
      </c>
      <c r="L25" s="20">
        <v>43.37</v>
      </c>
      <c r="M25" s="14" t="s">
        <v>13</v>
      </c>
      <c r="N25" s="14"/>
      <c r="O25" s="14"/>
      <c r="P25" s="14"/>
      <c r="Q25" s="14"/>
      <c r="R25" s="14"/>
      <c r="S25" s="14" t="s">
        <v>124</v>
      </c>
    </row>
    <row r="26" spans="2:19" x14ac:dyDescent="0.3">
      <c r="B26" s="14" t="s">
        <v>9</v>
      </c>
      <c r="C26" s="14" t="s">
        <v>42</v>
      </c>
      <c r="D26" s="14" t="s">
        <v>106</v>
      </c>
      <c r="E26" s="14" t="s">
        <v>46</v>
      </c>
      <c r="F26" s="14" t="s">
        <v>46</v>
      </c>
      <c r="G26" s="14" t="s">
        <v>11</v>
      </c>
      <c r="H26" s="14" t="s">
        <v>97</v>
      </c>
      <c r="I26" s="14" t="s">
        <v>97</v>
      </c>
      <c r="J26" s="14" t="s">
        <v>11</v>
      </c>
      <c r="K26" s="20">
        <v>64.438333333333347</v>
      </c>
      <c r="L26" s="20">
        <v>43.37</v>
      </c>
      <c r="M26" s="14" t="s">
        <v>13</v>
      </c>
      <c r="N26" s="14"/>
      <c r="O26" s="14"/>
      <c r="P26" s="14"/>
      <c r="Q26" s="14"/>
      <c r="R26" s="14"/>
      <c r="S26" s="14" t="s">
        <v>124</v>
      </c>
    </row>
    <row r="27" spans="2:19" x14ac:dyDescent="0.3">
      <c r="B27" s="14" t="s">
        <v>9</v>
      </c>
      <c r="C27" s="14" t="s">
        <v>42</v>
      </c>
      <c r="D27" s="14" t="s">
        <v>107</v>
      </c>
      <c r="E27" s="14" t="s">
        <v>46</v>
      </c>
      <c r="F27" s="14" t="s">
        <v>46</v>
      </c>
      <c r="G27" s="14" t="s">
        <v>11</v>
      </c>
      <c r="H27" s="14" t="s">
        <v>97</v>
      </c>
      <c r="I27" s="14" t="s">
        <v>97</v>
      </c>
      <c r="J27" s="14" t="s">
        <v>11</v>
      </c>
      <c r="K27" s="20">
        <v>54.305</v>
      </c>
      <c r="L27" s="20">
        <v>5.93</v>
      </c>
      <c r="M27" s="14" t="s">
        <v>13</v>
      </c>
      <c r="N27" s="14"/>
      <c r="O27" s="14"/>
      <c r="P27" s="14"/>
      <c r="Q27" s="14"/>
      <c r="R27" s="14"/>
      <c r="S27" s="14" t="s">
        <v>124</v>
      </c>
    </row>
    <row r="28" spans="2:19" x14ac:dyDescent="0.3">
      <c r="B28" s="14" t="s">
        <v>9</v>
      </c>
      <c r="C28" s="14" t="s">
        <v>42</v>
      </c>
      <c r="D28" s="14" t="s">
        <v>108</v>
      </c>
      <c r="E28" s="14" t="s">
        <v>30</v>
      </c>
      <c r="F28" s="14" t="s">
        <v>30</v>
      </c>
      <c r="G28" s="14" t="s">
        <v>11</v>
      </c>
      <c r="H28" s="14" t="s">
        <v>97</v>
      </c>
      <c r="I28" s="14" t="s">
        <v>97</v>
      </c>
      <c r="J28" s="14" t="s">
        <v>11</v>
      </c>
      <c r="K28" s="20">
        <v>1068.43</v>
      </c>
      <c r="L28" s="20">
        <v>207.27</v>
      </c>
      <c r="M28" s="14" t="s">
        <v>13</v>
      </c>
      <c r="N28" s="24" t="s">
        <v>123</v>
      </c>
      <c r="O28" s="20">
        <v>2136.86</v>
      </c>
      <c r="P28" s="14">
        <v>0.5</v>
      </c>
      <c r="Q28" s="14">
        <v>0</v>
      </c>
      <c r="R28" s="14">
        <f>P28*O28</f>
        <v>1068.43</v>
      </c>
      <c r="S28" s="14" t="s">
        <v>124</v>
      </c>
    </row>
    <row r="29" spans="2:19" x14ac:dyDescent="0.3">
      <c r="B29" s="14" t="s">
        <v>9</v>
      </c>
      <c r="C29" s="14" t="s">
        <v>42</v>
      </c>
      <c r="D29" s="14" t="s">
        <v>109</v>
      </c>
      <c r="E29" s="14" t="s">
        <v>46</v>
      </c>
      <c r="F29" s="14" t="s">
        <v>46</v>
      </c>
      <c r="G29" s="14" t="s">
        <v>11</v>
      </c>
      <c r="H29" s="14" t="s">
        <v>97</v>
      </c>
      <c r="I29" s="14" t="s">
        <v>97</v>
      </c>
      <c r="J29" s="14" t="s">
        <v>11</v>
      </c>
      <c r="K29" s="20">
        <v>64.438333333333347</v>
      </c>
      <c r="L29" s="20">
        <v>43.37</v>
      </c>
      <c r="M29" s="14" t="s">
        <v>13</v>
      </c>
      <c r="N29" s="14"/>
      <c r="O29" s="14"/>
      <c r="P29" s="14"/>
      <c r="Q29" s="14"/>
      <c r="R29" s="14"/>
      <c r="S29" s="14" t="s">
        <v>124</v>
      </c>
    </row>
    <row r="30" spans="2:19" x14ac:dyDescent="0.3">
      <c r="B30" s="14" t="s">
        <v>9</v>
      </c>
      <c r="C30" s="14" t="s">
        <v>42</v>
      </c>
      <c r="D30" s="14" t="s">
        <v>110</v>
      </c>
      <c r="E30" s="14" t="s">
        <v>46</v>
      </c>
      <c r="F30" s="14" t="s">
        <v>46</v>
      </c>
      <c r="G30" s="14" t="s">
        <v>11</v>
      </c>
      <c r="H30" s="14" t="s">
        <v>97</v>
      </c>
      <c r="I30" s="14" t="s">
        <v>97</v>
      </c>
      <c r="J30" s="14" t="s">
        <v>11</v>
      </c>
      <c r="K30" s="20">
        <v>54.305</v>
      </c>
      <c r="L30" s="20">
        <v>102.68</v>
      </c>
      <c r="M30" s="14" t="s">
        <v>13</v>
      </c>
      <c r="N30" s="14"/>
      <c r="O30" s="14"/>
      <c r="P30" s="14"/>
      <c r="Q30" s="14"/>
      <c r="R30" s="14"/>
      <c r="S30" s="14" t="s">
        <v>124</v>
      </c>
    </row>
    <row r="31" spans="2:19" x14ac:dyDescent="0.3">
      <c r="B31" s="14" t="s">
        <v>9</v>
      </c>
      <c r="C31" s="14" t="s">
        <v>42</v>
      </c>
      <c r="D31" s="14" t="s">
        <v>111</v>
      </c>
      <c r="E31" s="14" t="s">
        <v>33</v>
      </c>
      <c r="F31" s="14" t="s">
        <v>65</v>
      </c>
      <c r="G31" s="14" t="s">
        <v>13</v>
      </c>
      <c r="H31" s="14" t="s">
        <v>97</v>
      </c>
      <c r="I31" s="14" t="s">
        <v>97</v>
      </c>
      <c r="J31" s="14" t="s">
        <v>11</v>
      </c>
      <c r="K31" s="20">
        <v>15399</v>
      </c>
      <c r="L31" s="20">
        <v>0</v>
      </c>
      <c r="M31" s="14" t="s">
        <v>13</v>
      </c>
      <c r="N31" s="14"/>
      <c r="O31" s="14"/>
      <c r="P31" s="14"/>
      <c r="Q31" s="14"/>
      <c r="R31" s="14"/>
      <c r="S31" s="14" t="s">
        <v>124</v>
      </c>
    </row>
    <row r="32" spans="2:19" x14ac:dyDescent="0.3">
      <c r="B32" s="14" t="s">
        <v>9</v>
      </c>
      <c r="C32" s="14" t="s">
        <v>42</v>
      </c>
      <c r="D32" s="14" t="s">
        <v>112</v>
      </c>
      <c r="E32" s="14" t="s">
        <v>46</v>
      </c>
      <c r="F32" s="14" t="s">
        <v>46</v>
      </c>
      <c r="G32" s="14" t="s">
        <v>11</v>
      </c>
      <c r="H32" s="14" t="s">
        <v>97</v>
      </c>
      <c r="I32" s="14" t="s">
        <v>97</v>
      </c>
      <c r="J32" s="14" t="s">
        <v>11</v>
      </c>
      <c r="K32" s="20">
        <v>64.438333333333347</v>
      </c>
      <c r="L32" s="20">
        <v>169.78</v>
      </c>
      <c r="M32" s="14" t="s">
        <v>13</v>
      </c>
      <c r="N32" s="14"/>
      <c r="O32" s="14"/>
      <c r="P32" s="14"/>
      <c r="Q32" s="14"/>
      <c r="R32" s="14"/>
      <c r="S32" s="14" t="s">
        <v>124</v>
      </c>
    </row>
    <row r="33" spans="2:19" x14ac:dyDescent="0.3">
      <c r="B33" s="14" t="s">
        <v>9</v>
      </c>
      <c r="C33" s="14" t="s">
        <v>42</v>
      </c>
      <c r="D33" s="14" t="s">
        <v>113</v>
      </c>
      <c r="E33" s="14" t="s">
        <v>46</v>
      </c>
      <c r="F33" s="14" t="s">
        <v>46</v>
      </c>
      <c r="G33" s="14" t="s">
        <v>11</v>
      </c>
      <c r="H33" s="14" t="s">
        <v>114</v>
      </c>
      <c r="I33" s="14" t="s">
        <v>114</v>
      </c>
      <c r="J33" s="14" t="s">
        <v>11</v>
      </c>
      <c r="K33" s="20">
        <v>6.01</v>
      </c>
      <c r="L33" s="20">
        <v>2.67</v>
      </c>
      <c r="M33" s="14" t="s">
        <v>13</v>
      </c>
      <c r="N33" s="14"/>
      <c r="O33" s="14"/>
      <c r="P33" s="14"/>
      <c r="Q33" s="14"/>
      <c r="R33" s="14"/>
      <c r="S33" s="14" t="s">
        <v>124</v>
      </c>
    </row>
    <row r="34" spans="2:19" x14ac:dyDescent="0.3">
      <c r="B34" s="14" t="s">
        <v>9</v>
      </c>
      <c r="C34" s="14" t="s">
        <v>42</v>
      </c>
      <c r="D34" s="14" t="s">
        <v>115</v>
      </c>
      <c r="E34" s="14" t="s">
        <v>46</v>
      </c>
      <c r="F34" s="14" t="s">
        <v>46</v>
      </c>
      <c r="G34" s="14" t="s">
        <v>11</v>
      </c>
      <c r="H34" s="14" t="s">
        <v>97</v>
      </c>
      <c r="I34" s="14" t="s">
        <v>97</v>
      </c>
      <c r="J34" s="14" t="s">
        <v>11</v>
      </c>
      <c r="K34" s="20">
        <v>64.438333333333347</v>
      </c>
      <c r="L34" s="20">
        <v>43.37</v>
      </c>
      <c r="M34" s="14" t="s">
        <v>13</v>
      </c>
      <c r="N34" s="14"/>
      <c r="O34" s="14"/>
      <c r="P34" s="14"/>
      <c r="Q34" s="14"/>
      <c r="R34" s="14"/>
      <c r="S34" s="14" t="s">
        <v>124</v>
      </c>
    </row>
    <row r="35" spans="2:19" x14ac:dyDescent="0.3">
      <c r="B35" s="14" t="s">
        <v>9</v>
      </c>
      <c r="C35" s="14" t="s">
        <v>42</v>
      </c>
      <c r="D35" s="14" t="s">
        <v>116</v>
      </c>
      <c r="E35" s="14" t="s">
        <v>30</v>
      </c>
      <c r="F35" s="14" t="s">
        <v>30</v>
      </c>
      <c r="G35" s="14" t="s">
        <v>11</v>
      </c>
      <c r="H35" s="14" t="s">
        <v>97</v>
      </c>
      <c r="I35" s="14" t="s">
        <v>97</v>
      </c>
      <c r="J35" s="14" t="s">
        <v>11</v>
      </c>
      <c r="K35" s="20">
        <v>1068.43</v>
      </c>
      <c r="L35" s="20">
        <v>1929.59</v>
      </c>
      <c r="M35" s="14" t="s">
        <v>13</v>
      </c>
      <c r="N35" s="14"/>
      <c r="O35" s="14"/>
      <c r="P35" s="14"/>
      <c r="Q35" s="14"/>
      <c r="R35" s="14"/>
      <c r="S35" s="14" t="s">
        <v>124</v>
      </c>
    </row>
    <row r="36" spans="2:19" x14ac:dyDescent="0.3">
      <c r="B36" s="14" t="s">
        <v>9</v>
      </c>
      <c r="C36" s="14" t="s">
        <v>42</v>
      </c>
      <c r="D36" s="14" t="s">
        <v>117</v>
      </c>
      <c r="E36" s="14" t="s">
        <v>46</v>
      </c>
      <c r="F36" s="14" t="s">
        <v>46</v>
      </c>
      <c r="G36" s="14" t="s">
        <v>11</v>
      </c>
      <c r="H36" s="14" t="s">
        <v>114</v>
      </c>
      <c r="I36" s="14" t="s">
        <v>114</v>
      </c>
      <c r="J36" s="14" t="s">
        <v>11</v>
      </c>
      <c r="K36" s="20">
        <v>6.01</v>
      </c>
      <c r="L36" s="20">
        <v>9.35</v>
      </c>
      <c r="M36" s="14" t="s">
        <v>13</v>
      </c>
      <c r="N36" s="14"/>
      <c r="O36" s="14"/>
      <c r="P36" s="14"/>
      <c r="Q36" s="14"/>
      <c r="R36" s="14"/>
      <c r="S36" s="14" t="s">
        <v>124</v>
      </c>
    </row>
    <row r="37" spans="2:19" x14ac:dyDescent="0.3">
      <c r="B37" s="14" t="s">
        <v>9</v>
      </c>
      <c r="C37" s="14" t="s">
        <v>42</v>
      </c>
      <c r="D37" s="14" t="s">
        <v>118</v>
      </c>
      <c r="E37" s="14" t="s">
        <v>46</v>
      </c>
      <c r="F37" s="14" t="s">
        <v>46</v>
      </c>
      <c r="G37" s="14" t="s">
        <v>11</v>
      </c>
      <c r="H37" s="14" t="s">
        <v>97</v>
      </c>
      <c r="I37" s="14" t="s">
        <v>97</v>
      </c>
      <c r="J37" s="14" t="s">
        <v>11</v>
      </c>
      <c r="K37" s="20">
        <v>88.644999999999996</v>
      </c>
      <c r="L37" s="20">
        <v>95.44</v>
      </c>
      <c r="M37" s="14" t="s">
        <v>13</v>
      </c>
      <c r="N37" s="14"/>
      <c r="O37" s="14"/>
      <c r="P37" s="14"/>
      <c r="Q37" s="14"/>
      <c r="R37" s="14"/>
      <c r="S37" s="14" t="s">
        <v>124</v>
      </c>
    </row>
    <row r="38" spans="2:19" x14ac:dyDescent="0.3">
      <c r="B38" s="14" t="s">
        <v>9</v>
      </c>
      <c r="C38" s="14" t="s">
        <v>42</v>
      </c>
      <c r="D38" s="14" t="s">
        <v>119</v>
      </c>
      <c r="E38" s="14" t="s">
        <v>46</v>
      </c>
      <c r="F38" s="14" t="s">
        <v>46</v>
      </c>
      <c r="G38" s="14" t="s">
        <v>11</v>
      </c>
      <c r="H38" s="14" t="s">
        <v>97</v>
      </c>
      <c r="I38" s="14" t="s">
        <v>97</v>
      </c>
      <c r="J38" s="14" t="s">
        <v>11</v>
      </c>
      <c r="K38" s="20">
        <v>88.644999999999996</v>
      </c>
      <c r="L38" s="20">
        <v>81.849999999999994</v>
      </c>
      <c r="M38" s="14" t="s">
        <v>13</v>
      </c>
      <c r="N38" s="14"/>
      <c r="O38" s="14"/>
      <c r="P38" s="14"/>
      <c r="Q38" s="14"/>
      <c r="R38" s="14"/>
      <c r="S38" s="14" t="s">
        <v>124</v>
      </c>
    </row>
    <row r="39" spans="2:19" x14ac:dyDescent="0.3">
      <c r="B39" s="14" t="s">
        <v>9</v>
      </c>
      <c r="C39" s="14" t="s">
        <v>42</v>
      </c>
      <c r="D39" s="14" t="s">
        <v>120</v>
      </c>
      <c r="E39" s="14" t="s">
        <v>46</v>
      </c>
      <c r="F39" s="14" t="s">
        <v>46</v>
      </c>
      <c r="G39" s="14" t="s">
        <v>11</v>
      </c>
      <c r="H39" s="14" t="s">
        <v>97</v>
      </c>
      <c r="I39" s="14" t="s">
        <v>97</v>
      </c>
      <c r="J39" s="14" t="s">
        <v>11</v>
      </c>
      <c r="K39" s="20">
        <v>18.864999999999998</v>
      </c>
      <c r="L39" s="20">
        <v>10.62</v>
      </c>
      <c r="M39" s="14" t="s">
        <v>13</v>
      </c>
      <c r="N39" s="14"/>
      <c r="O39" s="14"/>
      <c r="P39" s="14"/>
      <c r="Q39" s="14"/>
      <c r="R39" s="14"/>
      <c r="S39" s="14" t="s">
        <v>124</v>
      </c>
    </row>
    <row r="42" spans="2:19" x14ac:dyDescent="0.3">
      <c r="B42" s="13" t="s">
        <v>0</v>
      </c>
      <c r="C42" s="13" t="s">
        <v>1</v>
      </c>
      <c r="D42" s="13" t="s">
        <v>2</v>
      </c>
      <c r="E42" s="13" t="s">
        <v>3</v>
      </c>
      <c r="F42" s="13" t="s">
        <v>4</v>
      </c>
      <c r="G42" s="13" t="s">
        <v>5</v>
      </c>
      <c r="H42" s="13" t="s">
        <v>6</v>
      </c>
      <c r="I42" s="13" t="s">
        <v>7</v>
      </c>
      <c r="J42" s="13" t="s">
        <v>8</v>
      </c>
      <c r="K42" s="13" t="s">
        <v>94</v>
      </c>
      <c r="L42" s="13" t="s">
        <v>95</v>
      </c>
      <c r="M42" s="13" t="s">
        <v>93</v>
      </c>
      <c r="N42" s="47" t="s">
        <v>51</v>
      </c>
      <c r="O42" s="47" t="s">
        <v>121</v>
      </c>
      <c r="P42" s="47" t="s">
        <v>53</v>
      </c>
      <c r="Q42" s="47" t="s">
        <v>54</v>
      </c>
      <c r="R42" s="47" t="s">
        <v>86</v>
      </c>
      <c r="S42" s="46" t="s">
        <v>14</v>
      </c>
    </row>
    <row r="43" spans="2:19" x14ac:dyDescent="0.3">
      <c r="B43" s="14" t="s">
        <v>9</v>
      </c>
      <c r="C43" s="14" t="s">
        <v>10</v>
      </c>
      <c r="D43" s="14" t="s">
        <v>126</v>
      </c>
      <c r="E43" s="14" t="s">
        <v>28</v>
      </c>
      <c r="F43" s="14" t="s">
        <v>28</v>
      </c>
      <c r="G43" s="14" t="s">
        <v>11</v>
      </c>
      <c r="H43" s="14" t="s">
        <v>12</v>
      </c>
      <c r="I43" s="14" t="s">
        <v>12</v>
      </c>
      <c r="J43" s="14" t="s">
        <v>11</v>
      </c>
      <c r="K43" s="20">
        <v>3.3251219999999999</v>
      </c>
      <c r="L43" s="20">
        <v>1.66</v>
      </c>
      <c r="M43" s="14" t="s">
        <v>13</v>
      </c>
      <c r="N43" s="48" t="s">
        <v>140</v>
      </c>
      <c r="O43" s="20">
        <v>2979.5</v>
      </c>
      <c r="P43" s="26">
        <v>1.116E-3</v>
      </c>
      <c r="Q43" s="20">
        <v>182.03</v>
      </c>
      <c r="R43" s="20">
        <f>P43*O43</f>
        <v>3.3251219999999999</v>
      </c>
      <c r="S43" s="14"/>
    </row>
    <row r="44" spans="2:19" x14ac:dyDescent="0.3">
      <c r="B44" s="14" t="s">
        <v>9</v>
      </c>
      <c r="C44" s="14" t="s">
        <v>10</v>
      </c>
      <c r="D44" s="14" t="s">
        <v>127</v>
      </c>
      <c r="E44" s="14" t="s">
        <v>33</v>
      </c>
      <c r="F44" s="14" t="s">
        <v>32</v>
      </c>
      <c r="G44" s="14" t="s">
        <v>13</v>
      </c>
      <c r="H44" s="14" t="s">
        <v>12</v>
      </c>
      <c r="I44" s="14" t="s">
        <v>12</v>
      </c>
      <c r="J44" s="14" t="s">
        <v>11</v>
      </c>
      <c r="K44" s="20">
        <v>3.36212424</v>
      </c>
      <c r="L44" s="20">
        <v>0</v>
      </c>
      <c r="M44" s="14" t="s">
        <v>13</v>
      </c>
      <c r="N44" s="14"/>
      <c r="O44" s="14"/>
      <c r="P44" s="14"/>
      <c r="Q44" s="14"/>
      <c r="R44" s="14"/>
      <c r="S44" s="14" t="s">
        <v>135</v>
      </c>
    </row>
    <row r="45" spans="2:19" x14ac:dyDescent="0.3">
      <c r="B45" s="14" t="s">
        <v>9</v>
      </c>
      <c r="C45" s="14" t="s">
        <v>10</v>
      </c>
      <c r="D45" s="14" t="s">
        <v>128</v>
      </c>
      <c r="E45" s="14" t="s">
        <v>28</v>
      </c>
      <c r="F45" s="14" t="s">
        <v>33</v>
      </c>
      <c r="G45" s="14" t="s">
        <v>13</v>
      </c>
      <c r="H45" s="14" t="s">
        <v>12</v>
      </c>
      <c r="I45" s="14" t="s">
        <v>12</v>
      </c>
      <c r="J45" s="14" t="s">
        <v>11</v>
      </c>
      <c r="K45" s="20">
        <v>1.48325</v>
      </c>
      <c r="L45" s="20">
        <v>0</v>
      </c>
      <c r="M45" s="14" t="s">
        <v>13</v>
      </c>
      <c r="N45" s="14"/>
      <c r="O45" s="14"/>
      <c r="P45" s="14"/>
      <c r="Q45" s="14"/>
      <c r="R45" s="14"/>
      <c r="S45" s="14" t="s">
        <v>136</v>
      </c>
    </row>
    <row r="46" spans="2:19" x14ac:dyDescent="0.3">
      <c r="B46" s="14" t="s">
        <v>9</v>
      </c>
      <c r="C46" s="14" t="s">
        <v>10</v>
      </c>
      <c r="D46" s="14" t="s">
        <v>129</v>
      </c>
      <c r="E46" s="14" t="s">
        <v>28</v>
      </c>
      <c r="F46" s="14" t="s">
        <v>29</v>
      </c>
      <c r="G46" s="14" t="s">
        <v>13</v>
      </c>
      <c r="H46" s="14" t="s">
        <v>12</v>
      </c>
      <c r="I46" s="14" t="s">
        <v>12</v>
      </c>
      <c r="J46" s="14" t="s">
        <v>11</v>
      </c>
      <c r="K46" s="20">
        <v>7.9816236299999996</v>
      </c>
      <c r="L46" s="20">
        <v>0</v>
      </c>
      <c r="M46" s="14" t="s">
        <v>13</v>
      </c>
      <c r="N46" s="14"/>
      <c r="O46" s="14"/>
      <c r="P46" s="14"/>
      <c r="Q46" s="14"/>
      <c r="R46" s="14"/>
      <c r="S46" s="14" t="s">
        <v>137</v>
      </c>
    </row>
    <row r="47" spans="2:19" x14ac:dyDescent="0.3">
      <c r="B47" s="14" t="s">
        <v>9</v>
      </c>
      <c r="C47" s="14" t="s">
        <v>10</v>
      </c>
      <c r="D47" s="14" t="s">
        <v>130</v>
      </c>
      <c r="E47" s="14" t="s">
        <v>32</v>
      </c>
      <c r="F47" s="14" t="s">
        <v>30</v>
      </c>
      <c r="G47" s="14" t="s">
        <v>13</v>
      </c>
      <c r="H47" s="14" t="s">
        <v>12</v>
      </c>
      <c r="I47" s="14" t="s">
        <v>12</v>
      </c>
      <c r="J47" s="14" t="s">
        <v>11</v>
      </c>
      <c r="K47" s="20">
        <v>0</v>
      </c>
      <c r="L47" s="20">
        <v>1640.08</v>
      </c>
      <c r="M47" s="14" t="s">
        <v>13</v>
      </c>
      <c r="N47" s="14"/>
      <c r="O47" s="14"/>
      <c r="P47" s="14"/>
      <c r="Q47" s="14"/>
      <c r="R47" s="14"/>
      <c r="S47" s="14" t="s">
        <v>138</v>
      </c>
    </row>
    <row r="48" spans="2:19" x14ac:dyDescent="0.3">
      <c r="B48" s="14" t="s">
        <v>9</v>
      </c>
      <c r="C48" s="14" t="s">
        <v>10</v>
      </c>
      <c r="D48" s="14" t="s">
        <v>131</v>
      </c>
      <c r="E48" s="14" t="s">
        <v>33</v>
      </c>
      <c r="F48" s="14" t="s">
        <v>32</v>
      </c>
      <c r="G48" s="14" t="s">
        <v>13</v>
      </c>
      <c r="H48" s="14" t="s">
        <v>12</v>
      </c>
      <c r="I48" s="14" t="s">
        <v>12</v>
      </c>
      <c r="J48" s="14" t="s">
        <v>11</v>
      </c>
      <c r="K48" s="20">
        <v>8.1031675199999995</v>
      </c>
      <c r="L48" s="20">
        <v>0</v>
      </c>
      <c r="M48" s="14" t="s">
        <v>13</v>
      </c>
      <c r="N48" s="14"/>
      <c r="O48" s="14"/>
      <c r="P48" s="14"/>
      <c r="Q48" s="14"/>
      <c r="R48" s="14"/>
      <c r="S48" s="14" t="s">
        <v>135</v>
      </c>
    </row>
    <row r="49" spans="2:19" x14ac:dyDescent="0.3">
      <c r="B49" s="14" t="s">
        <v>9</v>
      </c>
      <c r="C49" s="14" t="s">
        <v>10</v>
      </c>
      <c r="D49" s="14" t="s">
        <v>132</v>
      </c>
      <c r="E49" s="14" t="s">
        <v>30</v>
      </c>
      <c r="F49" s="14" t="s">
        <v>30</v>
      </c>
      <c r="G49" s="14" t="s">
        <v>11</v>
      </c>
      <c r="H49" s="14" t="s">
        <v>12</v>
      </c>
      <c r="I49" s="14" t="s">
        <v>12</v>
      </c>
      <c r="J49" s="14" t="s">
        <v>11</v>
      </c>
      <c r="K49" s="20">
        <v>2.1002843200000001</v>
      </c>
      <c r="L49" s="20">
        <v>1.05</v>
      </c>
      <c r="M49" s="14" t="s">
        <v>13</v>
      </c>
      <c r="N49" s="24" t="s">
        <v>52</v>
      </c>
      <c r="O49" s="20">
        <v>1589.92</v>
      </c>
      <c r="P49" s="26">
        <v>1.3209999999999999E-3</v>
      </c>
      <c r="Q49" s="20">
        <v>2388.9699999999998</v>
      </c>
      <c r="R49" s="20">
        <f>P49*O49</f>
        <v>2.1002843200000001</v>
      </c>
      <c r="S49" s="14"/>
    </row>
    <row r="50" spans="2:19" x14ac:dyDescent="0.3">
      <c r="B50" s="14" t="s">
        <v>9</v>
      </c>
      <c r="C50" s="14" t="s">
        <v>10</v>
      </c>
      <c r="D50" s="14" t="s">
        <v>133</v>
      </c>
      <c r="E50" s="14" t="s">
        <v>28</v>
      </c>
      <c r="F50" s="14" t="s">
        <v>29</v>
      </c>
      <c r="G50" s="14" t="s">
        <v>13</v>
      </c>
      <c r="H50" s="14" t="s">
        <v>12</v>
      </c>
      <c r="I50" s="14" t="s">
        <v>12</v>
      </c>
      <c r="J50" s="14" t="s">
        <v>11</v>
      </c>
      <c r="K50" s="20">
        <v>3.4987939199999998</v>
      </c>
      <c r="L50" s="20">
        <v>0</v>
      </c>
      <c r="M50" s="14" t="s">
        <v>13</v>
      </c>
      <c r="N50" s="14"/>
      <c r="O50" s="14"/>
      <c r="P50" s="14"/>
      <c r="Q50" s="14"/>
      <c r="R50" s="14"/>
      <c r="S50" s="14" t="s">
        <v>137</v>
      </c>
    </row>
    <row r="51" spans="2:19" x14ac:dyDescent="0.3">
      <c r="B51" s="14" t="s">
        <v>9</v>
      </c>
      <c r="C51" s="14" t="s">
        <v>10</v>
      </c>
      <c r="D51" s="14" t="s">
        <v>134</v>
      </c>
      <c r="E51" s="14" t="s">
        <v>30</v>
      </c>
      <c r="F51" s="14" t="s">
        <v>29</v>
      </c>
      <c r="G51" s="14" t="s">
        <v>13</v>
      </c>
      <c r="H51" s="14" t="s">
        <v>12</v>
      </c>
      <c r="I51" s="14" t="s">
        <v>12</v>
      </c>
      <c r="J51" s="14" t="s">
        <v>11</v>
      </c>
      <c r="K51" s="20">
        <v>560.49612172000002</v>
      </c>
      <c r="L51" s="20">
        <v>0</v>
      </c>
      <c r="M51" s="14" t="s">
        <v>13</v>
      </c>
      <c r="N51" s="14"/>
      <c r="O51" s="14"/>
      <c r="P51" s="14"/>
      <c r="Q51" s="14"/>
      <c r="R51" s="14"/>
      <c r="S51" s="14" t="s">
        <v>139</v>
      </c>
    </row>
  </sheetData>
  <autoFilter ref="B16:R39" xr:uid="{0D3D1D0C-C676-48D5-B32E-D077C12A7519}"/>
  <mergeCells count="1">
    <mergeCell ref="B9:C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9F4E-4209-40AD-8AFF-23B11DFD911C}">
  <dimension ref="A1:T27"/>
  <sheetViews>
    <sheetView showGridLines="0" topLeftCell="A2" workbookViewId="0">
      <selection activeCell="G13" sqref="G13"/>
    </sheetView>
  </sheetViews>
  <sheetFormatPr defaultColWidth="11.5546875" defaultRowHeight="14.4" x14ac:dyDescent="0.3"/>
  <cols>
    <col min="1" max="1" width="3.77734375" customWidth="1"/>
    <col min="2" max="2" width="12.5546875" bestFit="1" customWidth="1"/>
    <col min="3" max="3" width="14.5546875" bestFit="1" customWidth="1"/>
    <col min="4" max="4" width="33.6640625" bestFit="1" customWidth="1"/>
    <col min="5" max="5" width="18.6640625" bestFit="1" customWidth="1"/>
    <col min="6" max="6" width="16.77734375" bestFit="1" customWidth="1"/>
    <col min="7" max="7" width="18.21875" bestFit="1" customWidth="1"/>
    <col min="8" max="8" width="26.5546875" bestFit="1" customWidth="1"/>
    <col min="9" max="9" width="24.6640625" bestFit="1" customWidth="1"/>
    <col min="10" max="10" width="26.109375" bestFit="1" customWidth="1"/>
    <col min="11" max="11" width="25.88671875" bestFit="1" customWidth="1"/>
    <col min="12" max="12" width="24" bestFit="1" customWidth="1"/>
    <col min="13" max="13" width="25.33203125" bestFit="1" customWidth="1"/>
    <col min="14" max="14" width="33.6640625" bestFit="1" customWidth="1"/>
    <col min="15" max="16" width="11.33203125" customWidth="1"/>
    <col min="17" max="17" width="11" bestFit="1" customWidth="1"/>
    <col min="18" max="18" width="24" bestFit="1" customWidth="1"/>
    <col min="19" max="19" width="19.88671875" bestFit="1" customWidth="1"/>
    <col min="20" max="20" width="60.21875" bestFit="1" customWidth="1"/>
  </cols>
  <sheetData>
    <row r="1" spans="1:20" x14ac:dyDescent="0.3">
      <c r="D1" s="1"/>
    </row>
    <row r="2" spans="1:20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7" spans="1:20" x14ac:dyDescent="0.3">
      <c r="B7" s="15" t="s">
        <v>157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9" spans="1:20" x14ac:dyDescent="0.3">
      <c r="B9" s="32" t="s">
        <v>15</v>
      </c>
      <c r="C9" s="32"/>
      <c r="D9" s="19">
        <f>SUM(F12:F13)</f>
        <v>637989</v>
      </c>
      <c r="L9" s="44"/>
    </row>
    <row r="10" spans="1:20" x14ac:dyDescent="0.3">
      <c r="L10" s="44"/>
    </row>
    <row r="11" spans="1:20" x14ac:dyDescent="0.3">
      <c r="B11" s="13" t="s">
        <v>0</v>
      </c>
      <c r="C11" s="13" t="s">
        <v>1</v>
      </c>
      <c r="D11" s="13" t="s">
        <v>93</v>
      </c>
      <c r="E11" s="13" t="s">
        <v>20</v>
      </c>
      <c r="F11" s="13" t="s">
        <v>23</v>
      </c>
      <c r="G11" s="46" t="s">
        <v>14</v>
      </c>
      <c r="L11" s="44"/>
      <c r="N11" s="43"/>
    </row>
    <row r="12" spans="1:20" x14ac:dyDescent="0.3">
      <c r="B12" s="14" t="s">
        <v>9</v>
      </c>
      <c r="C12" s="14" t="s">
        <v>10</v>
      </c>
      <c r="D12" s="14" t="s">
        <v>13</v>
      </c>
      <c r="E12" s="21">
        <v>45838</v>
      </c>
      <c r="F12" s="22">
        <v>616905</v>
      </c>
      <c r="G12" s="14"/>
      <c r="N12" s="43"/>
    </row>
    <row r="13" spans="1:20" x14ac:dyDescent="0.3">
      <c r="B13" s="14" t="s">
        <v>9</v>
      </c>
      <c r="C13" s="14" t="s">
        <v>42</v>
      </c>
      <c r="D13" s="14" t="s">
        <v>13</v>
      </c>
      <c r="E13" s="21">
        <v>45808</v>
      </c>
      <c r="F13" s="22">
        <v>21084</v>
      </c>
      <c r="G13" s="14" t="s">
        <v>142</v>
      </c>
    </row>
    <row r="14" spans="1:20" x14ac:dyDescent="0.3">
      <c r="E14" s="42"/>
      <c r="F14" s="25"/>
    </row>
    <row r="15" spans="1:20" x14ac:dyDescent="0.3">
      <c r="E15" s="42"/>
      <c r="F15" s="25"/>
    </row>
    <row r="16" spans="1:20" x14ac:dyDescent="0.3">
      <c r="B16" s="13" t="s">
        <v>0</v>
      </c>
      <c r="C16" s="13" t="s">
        <v>1</v>
      </c>
      <c r="D16" s="13" t="s">
        <v>2</v>
      </c>
      <c r="E16" s="13" t="s">
        <v>3</v>
      </c>
      <c r="F16" s="13" t="s">
        <v>4</v>
      </c>
      <c r="G16" s="13" t="s">
        <v>5</v>
      </c>
      <c r="H16" s="13" t="s">
        <v>6</v>
      </c>
      <c r="I16" s="13" t="s">
        <v>7</v>
      </c>
      <c r="J16" s="13" t="s">
        <v>8</v>
      </c>
      <c r="K16" s="13" t="s">
        <v>143</v>
      </c>
      <c r="L16" s="13" t="s">
        <v>144</v>
      </c>
      <c r="M16" s="13" t="s">
        <v>141</v>
      </c>
      <c r="N16" s="18" t="s">
        <v>51</v>
      </c>
      <c r="O16" s="18" t="s">
        <v>84</v>
      </c>
      <c r="P16" s="18" t="s">
        <v>85</v>
      </c>
      <c r="Q16" s="18" t="s">
        <v>53</v>
      </c>
      <c r="R16" s="18" t="s">
        <v>54</v>
      </c>
      <c r="S16" s="18" t="s">
        <v>86</v>
      </c>
      <c r="T16" s="46" t="s">
        <v>14</v>
      </c>
    </row>
    <row r="17" spans="2:20" x14ac:dyDescent="0.3">
      <c r="B17" s="14" t="s">
        <v>9</v>
      </c>
      <c r="C17" s="14" t="s">
        <v>10</v>
      </c>
      <c r="D17" s="14" t="s">
        <v>145</v>
      </c>
      <c r="E17" s="14" t="s">
        <v>28</v>
      </c>
      <c r="F17" s="14" t="s">
        <v>65</v>
      </c>
      <c r="G17" s="14" t="s">
        <v>13</v>
      </c>
      <c r="H17" s="14" t="s">
        <v>12</v>
      </c>
      <c r="I17" s="14" t="s">
        <v>12</v>
      </c>
      <c r="J17" s="14" t="s">
        <v>11</v>
      </c>
      <c r="K17" s="20">
        <v>764.04</v>
      </c>
      <c r="L17" s="20">
        <v>0</v>
      </c>
      <c r="M17" s="14" t="s">
        <v>13</v>
      </c>
      <c r="N17" s="24" t="s">
        <v>145</v>
      </c>
      <c r="O17" s="14">
        <v>764.04</v>
      </c>
      <c r="P17" s="51">
        <v>0</v>
      </c>
      <c r="Q17" s="52">
        <v>1</v>
      </c>
      <c r="R17" s="14">
        <v>0</v>
      </c>
      <c r="S17" s="20">
        <f>Q17*(O17-P17)</f>
        <v>764.04</v>
      </c>
      <c r="T17" s="14" t="s">
        <v>154</v>
      </c>
    </row>
    <row r="18" spans="2:20" x14ac:dyDescent="0.3">
      <c r="B18" s="14" t="s">
        <v>9</v>
      </c>
      <c r="C18" s="14" t="s">
        <v>10</v>
      </c>
      <c r="D18" s="14" t="s">
        <v>146</v>
      </c>
      <c r="E18" s="14" t="s">
        <v>33</v>
      </c>
      <c r="F18" s="14" t="s">
        <v>65</v>
      </c>
      <c r="G18" s="14" t="s">
        <v>13</v>
      </c>
      <c r="H18" s="14" t="s">
        <v>12</v>
      </c>
      <c r="I18" s="14" t="s">
        <v>12</v>
      </c>
      <c r="J18" s="14" t="s">
        <v>11</v>
      </c>
      <c r="K18" s="20">
        <v>6159.03</v>
      </c>
      <c r="L18" s="20">
        <v>0</v>
      </c>
      <c r="M18" s="14" t="s">
        <v>13</v>
      </c>
      <c r="N18" s="24" t="s">
        <v>146</v>
      </c>
      <c r="O18" s="20">
        <v>6159.03</v>
      </c>
      <c r="P18" s="14">
        <v>0</v>
      </c>
      <c r="Q18" s="52">
        <v>1</v>
      </c>
      <c r="R18" s="14">
        <v>0</v>
      </c>
      <c r="S18" s="20">
        <f t="shared" ref="S18:S19" si="0">Q18*(O18-P18)</f>
        <v>6159.03</v>
      </c>
      <c r="T18" s="14" t="s">
        <v>154</v>
      </c>
    </row>
    <row r="19" spans="2:20" x14ac:dyDescent="0.3">
      <c r="B19" s="14" t="s">
        <v>9</v>
      </c>
      <c r="C19" s="14" t="s">
        <v>10</v>
      </c>
      <c r="D19" s="14" t="s">
        <v>147</v>
      </c>
      <c r="E19" s="14" t="s">
        <v>28</v>
      </c>
      <c r="F19" s="14" t="s">
        <v>65</v>
      </c>
      <c r="G19" s="14" t="s">
        <v>13</v>
      </c>
      <c r="H19" s="14" t="s">
        <v>12</v>
      </c>
      <c r="I19" s="14" t="s">
        <v>12</v>
      </c>
      <c r="J19" s="14" t="s">
        <v>11</v>
      </c>
      <c r="K19" s="20">
        <v>1473.35</v>
      </c>
      <c r="L19" s="20">
        <v>0</v>
      </c>
      <c r="M19" s="14" t="s">
        <v>13</v>
      </c>
      <c r="N19" s="24" t="s">
        <v>147</v>
      </c>
      <c r="O19" s="14">
        <v>1513.3</v>
      </c>
      <c r="P19" s="14">
        <v>39.5</v>
      </c>
      <c r="Q19" s="14">
        <v>1</v>
      </c>
      <c r="R19" s="14">
        <v>102.84</v>
      </c>
      <c r="S19" s="20">
        <f t="shared" si="0"/>
        <v>1473.8</v>
      </c>
      <c r="T19" s="14" t="s">
        <v>154</v>
      </c>
    </row>
    <row r="20" spans="2:20" x14ac:dyDescent="0.3">
      <c r="B20" s="14" t="s">
        <v>9</v>
      </c>
      <c r="C20" s="14" t="s">
        <v>10</v>
      </c>
      <c r="D20" s="14" t="s">
        <v>148</v>
      </c>
      <c r="E20" s="14" t="s">
        <v>67</v>
      </c>
      <c r="F20" s="14" t="s">
        <v>68</v>
      </c>
      <c r="G20" s="14" t="s">
        <v>13</v>
      </c>
      <c r="H20" s="14" t="s">
        <v>12</v>
      </c>
      <c r="I20" s="14" t="s">
        <v>12</v>
      </c>
      <c r="J20" s="14" t="s">
        <v>11</v>
      </c>
      <c r="K20" s="20">
        <v>7325.14</v>
      </c>
      <c r="L20" s="20">
        <v>0</v>
      </c>
      <c r="M20" s="14" t="s">
        <v>13</v>
      </c>
      <c r="N20" s="14"/>
      <c r="O20" s="14"/>
      <c r="P20" s="14"/>
      <c r="Q20" s="14"/>
      <c r="R20" s="14"/>
      <c r="S20" s="14"/>
      <c r="T20" s="14"/>
    </row>
    <row r="21" spans="2:20" x14ac:dyDescent="0.3">
      <c r="B21" s="14" t="s">
        <v>9</v>
      </c>
      <c r="C21" s="14" t="s">
        <v>10</v>
      </c>
      <c r="D21" s="14" t="s">
        <v>149</v>
      </c>
      <c r="E21" s="14" t="s">
        <v>67</v>
      </c>
      <c r="F21" s="14" t="s">
        <v>68</v>
      </c>
      <c r="G21" s="14" t="s">
        <v>13</v>
      </c>
      <c r="H21" s="14" t="s">
        <v>12</v>
      </c>
      <c r="I21" s="14" t="s">
        <v>12</v>
      </c>
      <c r="J21" s="14" t="s">
        <v>11</v>
      </c>
      <c r="K21" s="20">
        <v>1590</v>
      </c>
      <c r="L21" s="20">
        <v>0</v>
      </c>
      <c r="M21" s="14" t="s">
        <v>13</v>
      </c>
      <c r="N21" s="14"/>
      <c r="O21" s="14"/>
      <c r="P21" s="14"/>
      <c r="Q21" s="14"/>
      <c r="R21" s="14"/>
      <c r="S21" s="14"/>
      <c r="T21" s="14"/>
    </row>
    <row r="22" spans="2:20" x14ac:dyDescent="0.3">
      <c r="B22" s="14" t="s">
        <v>9</v>
      </c>
      <c r="C22" s="14" t="s">
        <v>10</v>
      </c>
      <c r="D22" s="14" t="s">
        <v>150</v>
      </c>
      <c r="E22" s="14" t="s">
        <v>67</v>
      </c>
      <c r="F22" s="14" t="s">
        <v>68</v>
      </c>
      <c r="G22" s="14" t="s">
        <v>13</v>
      </c>
      <c r="H22" s="14" t="s">
        <v>12</v>
      </c>
      <c r="I22" s="14" t="s">
        <v>12</v>
      </c>
      <c r="J22" s="14" t="s">
        <v>11</v>
      </c>
      <c r="K22" s="20">
        <v>234</v>
      </c>
      <c r="L22" s="20">
        <v>0</v>
      </c>
      <c r="M22" s="14" t="s">
        <v>13</v>
      </c>
      <c r="N22" s="14"/>
      <c r="O22" s="14"/>
      <c r="P22" s="14"/>
      <c r="Q22" s="14"/>
      <c r="R22" s="14"/>
      <c r="S22" s="14"/>
      <c r="T22" s="14"/>
    </row>
    <row r="23" spans="2:20" x14ac:dyDescent="0.3">
      <c r="B23" s="14" t="s">
        <v>9</v>
      </c>
      <c r="C23" s="14" t="s">
        <v>10</v>
      </c>
      <c r="D23" s="14" t="s">
        <v>64</v>
      </c>
      <c r="E23" s="14" t="s">
        <v>28</v>
      </c>
      <c r="F23" s="14" t="s">
        <v>65</v>
      </c>
      <c r="G23" s="14" t="s">
        <v>13</v>
      </c>
      <c r="H23" s="14" t="s">
        <v>12</v>
      </c>
      <c r="I23" s="14" t="s">
        <v>12</v>
      </c>
      <c r="J23" s="14" t="s">
        <v>11</v>
      </c>
      <c r="K23" s="20">
        <v>23720.84</v>
      </c>
      <c r="L23" s="20">
        <v>0</v>
      </c>
      <c r="M23" s="14" t="s">
        <v>13</v>
      </c>
      <c r="N23" s="14"/>
      <c r="O23" s="14"/>
      <c r="P23" s="14"/>
      <c r="Q23" s="14"/>
      <c r="R23" s="14"/>
      <c r="S23" s="14"/>
      <c r="T23" s="14"/>
    </row>
    <row r="24" spans="2:20" x14ac:dyDescent="0.3">
      <c r="B24" s="14" t="s">
        <v>9</v>
      </c>
      <c r="C24" s="14" t="s">
        <v>10</v>
      </c>
      <c r="D24" s="14" t="s">
        <v>151</v>
      </c>
      <c r="E24" s="14" t="s">
        <v>33</v>
      </c>
      <c r="F24" s="14" t="s">
        <v>65</v>
      </c>
      <c r="G24" s="14" t="s">
        <v>13</v>
      </c>
      <c r="H24" s="14" t="s">
        <v>12</v>
      </c>
      <c r="I24" s="14" t="s">
        <v>12</v>
      </c>
      <c r="J24" s="14" t="s">
        <v>11</v>
      </c>
      <c r="K24" s="20">
        <v>519.79999999999995</v>
      </c>
      <c r="L24" s="20">
        <v>0</v>
      </c>
      <c r="M24" s="14" t="s">
        <v>13</v>
      </c>
      <c r="N24" s="14"/>
      <c r="O24" s="14"/>
      <c r="P24" s="14"/>
      <c r="Q24" s="14"/>
      <c r="R24" s="14"/>
      <c r="S24" s="14"/>
      <c r="T24" s="14"/>
    </row>
    <row r="25" spans="2:20" x14ac:dyDescent="0.3">
      <c r="B25" s="14" t="s">
        <v>9</v>
      </c>
      <c r="C25" s="14" t="s">
        <v>10</v>
      </c>
      <c r="D25" s="14" t="s">
        <v>152</v>
      </c>
      <c r="E25" s="14" t="s">
        <v>28</v>
      </c>
      <c r="F25" s="14" t="s">
        <v>65</v>
      </c>
      <c r="G25" s="14" t="s">
        <v>13</v>
      </c>
      <c r="H25" s="14" t="s">
        <v>12</v>
      </c>
      <c r="I25" s="14" t="s">
        <v>12</v>
      </c>
      <c r="J25" s="14" t="s">
        <v>11</v>
      </c>
      <c r="K25" s="20">
        <v>508.3</v>
      </c>
      <c r="L25" s="20">
        <v>0</v>
      </c>
      <c r="M25" s="14" t="s">
        <v>13</v>
      </c>
      <c r="N25" s="14"/>
      <c r="O25" s="14"/>
      <c r="P25" s="14"/>
      <c r="Q25" s="14"/>
      <c r="R25" s="14"/>
      <c r="S25" s="14"/>
      <c r="T25" s="14"/>
    </row>
    <row r="26" spans="2:20" x14ac:dyDescent="0.3">
      <c r="B26" s="14" t="s">
        <v>9</v>
      </c>
      <c r="C26" s="14" t="s">
        <v>10</v>
      </c>
      <c r="D26" s="14" t="s">
        <v>153</v>
      </c>
      <c r="E26" s="14" t="s">
        <v>33</v>
      </c>
      <c r="F26" s="14" t="s">
        <v>65</v>
      </c>
      <c r="G26" s="14" t="s">
        <v>13</v>
      </c>
      <c r="H26" s="14" t="s">
        <v>12</v>
      </c>
      <c r="I26" s="14" t="s">
        <v>12</v>
      </c>
      <c r="J26" s="14" t="s">
        <v>11</v>
      </c>
      <c r="K26" s="20">
        <v>1507.98</v>
      </c>
      <c r="L26" s="20">
        <v>0</v>
      </c>
      <c r="M26" s="14" t="s">
        <v>13</v>
      </c>
      <c r="N26" s="53"/>
      <c r="O26" s="53"/>
      <c r="P26" s="53"/>
      <c r="Q26" s="53"/>
      <c r="R26" s="53"/>
      <c r="S26" s="53"/>
      <c r="T26" s="53"/>
    </row>
    <row r="27" spans="2:20" x14ac:dyDescent="0.3">
      <c r="B27" s="14" t="s">
        <v>9</v>
      </c>
      <c r="C27" s="14" t="s">
        <v>10</v>
      </c>
      <c r="D27" s="14" t="s">
        <v>155</v>
      </c>
      <c r="E27" s="14" t="s">
        <v>46</v>
      </c>
      <c r="F27" s="14" t="s">
        <v>46</v>
      </c>
      <c r="G27" s="14" t="s">
        <v>11</v>
      </c>
      <c r="H27" s="14" t="s">
        <v>12</v>
      </c>
      <c r="I27" s="14" t="s">
        <v>12</v>
      </c>
      <c r="J27" s="14" t="s">
        <v>11</v>
      </c>
      <c r="K27" s="14">
        <v>254.49</v>
      </c>
      <c r="L27" s="20">
        <v>0</v>
      </c>
      <c r="M27" s="14" t="s">
        <v>13</v>
      </c>
      <c r="N27" s="24" t="s">
        <v>155</v>
      </c>
      <c r="O27" s="14">
        <v>254.49</v>
      </c>
      <c r="P27" s="14">
        <v>0</v>
      </c>
      <c r="Q27" s="14">
        <v>1</v>
      </c>
      <c r="R27" s="20">
        <v>919.27</v>
      </c>
      <c r="S27" s="20">
        <f t="shared" ref="S27" si="1">Q27*(O27-P27)</f>
        <v>254.49</v>
      </c>
      <c r="T27" s="14"/>
    </row>
  </sheetData>
  <autoFilter ref="B16:S26" xr:uid="{0D3D1D0C-C676-48D5-B32E-D077C12A7519}"/>
  <mergeCells count="1">
    <mergeCell ref="B9:C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E8B0-10FE-448A-8DC5-6E3EA930D584}">
  <dimension ref="A1:T26"/>
  <sheetViews>
    <sheetView showGridLines="0" workbookViewId="0">
      <selection activeCell="H10" sqref="H10"/>
    </sheetView>
  </sheetViews>
  <sheetFormatPr defaultColWidth="0" defaultRowHeight="14.4" x14ac:dyDescent="0.3"/>
  <cols>
    <col min="1" max="1" width="3.77734375" customWidth="1"/>
    <col min="2" max="2" width="12.5546875" bestFit="1" customWidth="1"/>
    <col min="3" max="3" width="14.5546875" bestFit="1" customWidth="1"/>
    <col min="4" max="4" width="33.6640625" bestFit="1" customWidth="1"/>
    <col min="5" max="5" width="18.6640625" bestFit="1" customWidth="1"/>
    <col min="6" max="6" width="16.77734375" bestFit="1" customWidth="1"/>
    <col min="7" max="7" width="18.21875" bestFit="1" customWidth="1"/>
    <col min="8" max="8" width="26.5546875" bestFit="1" customWidth="1"/>
    <col min="9" max="9" width="24.6640625" bestFit="1" customWidth="1"/>
    <col min="10" max="10" width="26.109375" bestFit="1" customWidth="1"/>
    <col min="11" max="11" width="25.88671875" bestFit="1" customWidth="1"/>
    <col min="12" max="12" width="24" bestFit="1" customWidth="1"/>
    <col min="13" max="13" width="25.33203125" bestFit="1" customWidth="1"/>
    <col min="14" max="14" width="33.6640625" bestFit="1" customWidth="1"/>
    <col min="15" max="16" width="11.33203125" customWidth="1"/>
    <col min="17" max="17" width="11" bestFit="1" customWidth="1"/>
    <col min="18" max="18" width="24" bestFit="1" customWidth="1"/>
    <col min="19" max="19" width="19.88671875" bestFit="1" customWidth="1"/>
    <col min="20" max="20" width="3.77734375" customWidth="1"/>
    <col min="21" max="16384" width="11.5546875" hidden="1"/>
  </cols>
  <sheetData>
    <row r="1" spans="1:20" x14ac:dyDescent="0.3">
      <c r="D1" s="1"/>
    </row>
    <row r="2" spans="1:20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7" spans="1:20" x14ac:dyDescent="0.3">
      <c r="B7" s="15" t="s">
        <v>156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9" spans="1:20" x14ac:dyDescent="0.3">
      <c r="B9" s="32" t="s">
        <v>15</v>
      </c>
      <c r="C9" s="32"/>
      <c r="D9" s="19">
        <f>SUM(F12:F13)</f>
        <v>138150</v>
      </c>
      <c r="L9" s="44"/>
    </row>
    <row r="10" spans="1:20" x14ac:dyDescent="0.3">
      <c r="L10" s="44"/>
    </row>
    <row r="11" spans="1:20" x14ac:dyDescent="0.3">
      <c r="B11" s="13" t="s">
        <v>0</v>
      </c>
      <c r="C11" s="13" t="s">
        <v>1</v>
      </c>
      <c r="D11" s="13" t="s">
        <v>158</v>
      </c>
      <c r="E11" s="13" t="s">
        <v>20</v>
      </c>
      <c r="F11" s="13" t="s">
        <v>23</v>
      </c>
      <c r="G11" s="46" t="s">
        <v>14</v>
      </c>
      <c r="L11" s="44"/>
      <c r="N11" s="43"/>
    </row>
    <row r="12" spans="1:20" x14ac:dyDescent="0.3">
      <c r="B12" s="14" t="s">
        <v>9</v>
      </c>
      <c r="C12" s="14" t="s">
        <v>10</v>
      </c>
      <c r="D12" s="14" t="s">
        <v>13</v>
      </c>
      <c r="E12" s="21">
        <v>45838</v>
      </c>
      <c r="F12" s="22">
        <v>137128</v>
      </c>
      <c r="G12" s="14"/>
      <c r="N12" s="43"/>
    </row>
    <row r="13" spans="1:20" x14ac:dyDescent="0.3">
      <c r="B13" s="14" t="s">
        <v>9</v>
      </c>
      <c r="C13" s="14" t="s">
        <v>42</v>
      </c>
      <c r="D13" s="14" t="s">
        <v>13</v>
      </c>
      <c r="E13" s="21">
        <v>45808</v>
      </c>
      <c r="F13" s="22">
        <v>1022</v>
      </c>
      <c r="G13" s="14" t="s">
        <v>142</v>
      </c>
    </row>
    <row r="14" spans="1:20" x14ac:dyDescent="0.3">
      <c r="E14" s="42"/>
      <c r="F14" s="25"/>
    </row>
    <row r="15" spans="1:20" x14ac:dyDescent="0.3">
      <c r="E15" s="42"/>
      <c r="F15" s="25"/>
    </row>
    <row r="16" spans="1:20" x14ac:dyDescent="0.3">
      <c r="B16" s="13" t="s">
        <v>0</v>
      </c>
      <c r="C16" s="13" t="s">
        <v>1</v>
      </c>
      <c r="D16" s="13" t="s">
        <v>2</v>
      </c>
      <c r="E16" s="13" t="s">
        <v>3</v>
      </c>
      <c r="F16" s="13" t="s">
        <v>4</v>
      </c>
      <c r="G16" s="13" t="s">
        <v>5</v>
      </c>
      <c r="H16" s="13" t="s">
        <v>6</v>
      </c>
      <c r="I16" s="13" t="s">
        <v>7</v>
      </c>
      <c r="J16" s="13" t="s">
        <v>8</v>
      </c>
      <c r="K16" s="13" t="s">
        <v>159</v>
      </c>
      <c r="L16" s="13" t="s">
        <v>160</v>
      </c>
      <c r="M16" s="13" t="s">
        <v>158</v>
      </c>
      <c r="N16" s="18" t="s">
        <v>51</v>
      </c>
      <c r="O16" s="18" t="s">
        <v>171</v>
      </c>
      <c r="P16" s="18" t="s">
        <v>172</v>
      </c>
      <c r="Q16" s="18" t="s">
        <v>53</v>
      </c>
      <c r="R16" s="18" t="s">
        <v>54</v>
      </c>
      <c r="S16" s="18" t="s">
        <v>86</v>
      </c>
    </row>
    <row r="17" spans="2:19" x14ac:dyDescent="0.3">
      <c r="B17" s="14" t="s">
        <v>9</v>
      </c>
      <c r="C17" s="14" t="s">
        <v>10</v>
      </c>
      <c r="D17" s="14" t="s">
        <v>161</v>
      </c>
      <c r="E17" s="14" t="s">
        <v>46</v>
      </c>
      <c r="F17" s="14" t="s">
        <v>46</v>
      </c>
      <c r="G17" s="14" t="s">
        <v>11</v>
      </c>
      <c r="H17" s="14" t="s">
        <v>12</v>
      </c>
      <c r="I17" s="14" t="s">
        <v>12</v>
      </c>
      <c r="J17" s="14" t="s">
        <v>11</v>
      </c>
      <c r="K17" s="20">
        <v>116.63</v>
      </c>
      <c r="L17" s="20">
        <v>0</v>
      </c>
      <c r="M17" s="14" t="s">
        <v>13</v>
      </c>
      <c r="N17" s="24" t="s">
        <v>161</v>
      </c>
      <c r="O17" s="14">
        <v>8.2899999999999991</v>
      </c>
      <c r="P17" s="51">
        <v>0</v>
      </c>
      <c r="Q17" s="52">
        <v>1</v>
      </c>
      <c r="R17" s="20">
        <v>19749.02</v>
      </c>
      <c r="S17" s="20">
        <f>Q17*(O17-P17)</f>
        <v>8.2899999999999991</v>
      </c>
    </row>
    <row r="18" spans="2:19" x14ac:dyDescent="0.3">
      <c r="B18" s="14" t="s">
        <v>9</v>
      </c>
      <c r="C18" s="14" t="s">
        <v>10</v>
      </c>
      <c r="D18" s="14" t="s">
        <v>162</v>
      </c>
      <c r="E18" s="14" t="s">
        <v>46</v>
      </c>
      <c r="F18" s="14" t="s">
        <v>46</v>
      </c>
      <c r="G18" s="14" t="s">
        <v>11</v>
      </c>
      <c r="H18" s="14" t="s">
        <v>12</v>
      </c>
      <c r="I18" s="14" t="s">
        <v>12</v>
      </c>
      <c r="J18" s="14" t="s">
        <v>11</v>
      </c>
      <c r="K18" s="20">
        <v>12.34</v>
      </c>
      <c r="L18" s="20">
        <v>0</v>
      </c>
      <c r="M18" s="14" t="s">
        <v>13</v>
      </c>
      <c r="N18" s="24"/>
      <c r="O18" s="20"/>
      <c r="P18" s="14"/>
      <c r="Q18" s="52"/>
      <c r="R18" s="20"/>
      <c r="S18" s="20"/>
    </row>
    <row r="19" spans="2:19" x14ac:dyDescent="0.3">
      <c r="B19" s="14" t="s">
        <v>9</v>
      </c>
      <c r="C19" s="14" t="s">
        <v>10</v>
      </c>
      <c r="D19" s="14" t="s">
        <v>163</v>
      </c>
      <c r="E19" s="14" t="s">
        <v>46</v>
      </c>
      <c r="F19" s="14" t="s">
        <v>46</v>
      </c>
      <c r="G19" s="14" t="s">
        <v>11</v>
      </c>
      <c r="H19" s="14" t="s">
        <v>12</v>
      </c>
      <c r="I19" s="14" t="s">
        <v>12</v>
      </c>
      <c r="J19" s="14" t="s">
        <v>11</v>
      </c>
      <c r="K19" s="20">
        <v>50.89</v>
      </c>
      <c r="L19" s="20">
        <v>0</v>
      </c>
      <c r="M19" s="14" t="s">
        <v>13</v>
      </c>
      <c r="N19" s="24"/>
      <c r="O19" s="14"/>
      <c r="P19" s="14"/>
      <c r="Q19" s="14"/>
      <c r="R19" s="20"/>
      <c r="S19" s="20"/>
    </row>
    <row r="20" spans="2:19" x14ac:dyDescent="0.3">
      <c r="B20" s="14" t="s">
        <v>9</v>
      </c>
      <c r="C20" s="14" t="s">
        <v>10</v>
      </c>
      <c r="D20" s="14" t="s">
        <v>164</v>
      </c>
      <c r="E20" s="14" t="s">
        <v>46</v>
      </c>
      <c r="F20" s="14" t="s">
        <v>46</v>
      </c>
      <c r="G20" s="14" t="s">
        <v>11</v>
      </c>
      <c r="H20" s="14" t="s">
        <v>12</v>
      </c>
      <c r="I20" s="14" t="s">
        <v>12</v>
      </c>
      <c r="J20" s="14" t="s">
        <v>11</v>
      </c>
      <c r="K20" s="20">
        <v>211.91</v>
      </c>
      <c r="L20" s="20">
        <v>0</v>
      </c>
      <c r="M20" s="14" t="s">
        <v>13</v>
      </c>
      <c r="N20" s="24" t="s">
        <v>164</v>
      </c>
      <c r="O20" s="14">
        <v>211.91</v>
      </c>
      <c r="P20" s="14">
        <v>0</v>
      </c>
      <c r="Q20" s="14">
        <v>1</v>
      </c>
      <c r="R20" s="20">
        <v>129412.32</v>
      </c>
      <c r="S20" s="20">
        <f>Q20*(O20-P20)</f>
        <v>211.91</v>
      </c>
    </row>
    <row r="21" spans="2:19" x14ac:dyDescent="0.3">
      <c r="B21" s="14" t="s">
        <v>9</v>
      </c>
      <c r="C21" s="14" t="s">
        <v>10</v>
      </c>
      <c r="D21" s="14" t="s">
        <v>165</v>
      </c>
      <c r="E21" s="14" t="s">
        <v>46</v>
      </c>
      <c r="F21" s="14" t="s">
        <v>46</v>
      </c>
      <c r="G21" s="14" t="s">
        <v>11</v>
      </c>
      <c r="H21" s="14" t="s">
        <v>12</v>
      </c>
      <c r="I21" s="14" t="s">
        <v>12</v>
      </c>
      <c r="J21" s="14" t="s">
        <v>11</v>
      </c>
      <c r="K21" s="20">
        <v>177.17</v>
      </c>
      <c r="L21" s="20">
        <v>0</v>
      </c>
      <c r="M21" s="14" t="s">
        <v>13</v>
      </c>
      <c r="N21" s="14"/>
      <c r="O21" s="14"/>
      <c r="P21" s="14"/>
      <c r="Q21" s="14"/>
      <c r="R21" s="20"/>
      <c r="S21" s="14"/>
    </row>
    <row r="22" spans="2:19" x14ac:dyDescent="0.3">
      <c r="B22" s="14" t="s">
        <v>9</v>
      </c>
      <c r="C22" s="14" t="s">
        <v>10</v>
      </c>
      <c r="D22" s="14" t="s">
        <v>166</v>
      </c>
      <c r="E22" s="14" t="s">
        <v>46</v>
      </c>
      <c r="F22" s="14" t="s">
        <v>46</v>
      </c>
      <c r="G22" s="14" t="s">
        <v>11</v>
      </c>
      <c r="H22" s="14" t="s">
        <v>12</v>
      </c>
      <c r="I22" s="14" t="s">
        <v>12</v>
      </c>
      <c r="J22" s="14" t="s">
        <v>11</v>
      </c>
      <c r="K22" s="20">
        <v>82.87</v>
      </c>
      <c r="L22" s="20">
        <v>0</v>
      </c>
      <c r="M22" s="14" t="s">
        <v>13</v>
      </c>
      <c r="N22" s="14"/>
      <c r="O22" s="14"/>
      <c r="P22" s="14"/>
      <c r="Q22" s="14"/>
      <c r="R22" s="14"/>
      <c r="S22" s="14"/>
    </row>
    <row r="23" spans="2:19" x14ac:dyDescent="0.3">
      <c r="B23" s="14" t="s">
        <v>9</v>
      </c>
      <c r="C23" s="14" t="s">
        <v>10</v>
      </c>
      <c r="D23" s="14" t="s">
        <v>167</v>
      </c>
      <c r="E23" s="14" t="s">
        <v>46</v>
      </c>
      <c r="F23" s="14" t="s">
        <v>46</v>
      </c>
      <c r="G23" s="14" t="s">
        <v>11</v>
      </c>
      <c r="H23" s="14" t="s">
        <v>12</v>
      </c>
      <c r="I23" s="14" t="s">
        <v>12</v>
      </c>
      <c r="J23" s="14" t="s">
        <v>11</v>
      </c>
      <c r="K23" s="20">
        <v>154.44999999999999</v>
      </c>
      <c r="L23" s="20">
        <v>0</v>
      </c>
      <c r="M23" s="14" t="s">
        <v>13</v>
      </c>
      <c r="N23" s="14"/>
      <c r="O23" s="14"/>
      <c r="P23" s="14"/>
      <c r="Q23" s="14"/>
      <c r="R23" s="14"/>
      <c r="S23" s="14"/>
    </row>
    <row r="24" spans="2:19" x14ac:dyDescent="0.3">
      <c r="B24" s="14" t="s">
        <v>9</v>
      </c>
      <c r="C24" s="14" t="s">
        <v>10</v>
      </c>
      <c r="D24" s="14" t="s">
        <v>168</v>
      </c>
      <c r="E24" s="14" t="s">
        <v>46</v>
      </c>
      <c r="F24" s="14" t="s">
        <v>46</v>
      </c>
      <c r="G24" s="14" t="s">
        <v>11</v>
      </c>
      <c r="H24" s="14" t="s">
        <v>12</v>
      </c>
      <c r="I24" s="14" t="s">
        <v>12</v>
      </c>
      <c r="J24" s="14" t="s">
        <v>11</v>
      </c>
      <c r="K24" s="20">
        <v>202.52</v>
      </c>
      <c r="L24" s="20">
        <v>0</v>
      </c>
      <c r="M24" s="14" t="s">
        <v>13</v>
      </c>
      <c r="N24" s="14"/>
      <c r="O24" s="14"/>
      <c r="P24" s="14"/>
      <c r="Q24" s="14"/>
      <c r="R24" s="14"/>
      <c r="S24" s="14"/>
    </row>
    <row r="25" spans="2:19" x14ac:dyDescent="0.3">
      <c r="B25" s="14" t="s">
        <v>9</v>
      </c>
      <c r="C25" s="14" t="s">
        <v>10</v>
      </c>
      <c r="D25" s="14" t="s">
        <v>169</v>
      </c>
      <c r="E25" s="14" t="s">
        <v>46</v>
      </c>
      <c r="F25" s="14" t="s">
        <v>46</v>
      </c>
      <c r="G25" s="14" t="s">
        <v>11</v>
      </c>
      <c r="H25" s="14" t="s">
        <v>12</v>
      </c>
      <c r="I25" s="14" t="s">
        <v>12</v>
      </c>
      <c r="J25" s="14" t="s">
        <v>11</v>
      </c>
      <c r="K25" s="20">
        <v>14.86</v>
      </c>
      <c r="L25" s="20">
        <v>0</v>
      </c>
      <c r="M25" s="14" t="s">
        <v>13</v>
      </c>
      <c r="N25" s="14"/>
      <c r="O25" s="14"/>
      <c r="P25" s="14"/>
      <c r="Q25" s="14"/>
      <c r="R25" s="14"/>
      <c r="S25" s="14"/>
    </row>
    <row r="26" spans="2:19" x14ac:dyDescent="0.3">
      <c r="B26" s="14" t="s">
        <v>9</v>
      </c>
      <c r="C26" s="14" t="s">
        <v>10</v>
      </c>
      <c r="D26" s="14" t="s">
        <v>170</v>
      </c>
      <c r="E26" s="14" t="s">
        <v>46</v>
      </c>
      <c r="F26" s="14" t="s">
        <v>46</v>
      </c>
      <c r="G26" s="14" t="s">
        <v>11</v>
      </c>
      <c r="H26" s="14" t="s">
        <v>12</v>
      </c>
      <c r="I26" s="14" t="s">
        <v>12</v>
      </c>
      <c r="J26" s="14" t="s">
        <v>11</v>
      </c>
      <c r="K26" s="20">
        <v>161.31</v>
      </c>
      <c r="L26" s="20">
        <v>0</v>
      </c>
      <c r="M26" s="14" t="s">
        <v>13</v>
      </c>
      <c r="N26" s="14"/>
      <c r="O26" s="14"/>
      <c r="P26" s="14"/>
      <c r="Q26" s="14"/>
      <c r="R26" s="14"/>
      <c r="S26" s="14"/>
    </row>
  </sheetData>
  <autoFilter ref="B16:S26" xr:uid="{0D3D1D0C-C676-48D5-B32E-D077C12A7519}"/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FA7D38-D270-43ED-877C-F66869ED80E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A4693A8-BC3B-4311-8AFC-7B1E995878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5E32FD-DFA4-45A1-A090-1383047FB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NW_BSNSS</vt:lpstr>
      <vt:lpstr>FLG_INTRBSNSS</vt:lpstr>
      <vt:lpstr>INTRNL_TRNSFR_RT</vt:lpstr>
      <vt:lpstr>GRSS_CMMSSN_INCM_OFF_BLNC</vt:lpstr>
      <vt:lpstr>GRSS_INTRST_INCM</vt:lpstr>
      <vt:lpstr>GRSS_CMMSSN_INCM</vt:lpstr>
      <vt:lpstr>GRSS_CMMSSN_EXPNS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2025-07-27T03:15:27Z</dcterms:created>
  <dcterms:modified xsi:type="dcterms:W3CDTF">2025-08-01T16:10:48Z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2025-07-30T17:40:51Z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8b9cf062-47a6-4fcd-877f-aba76d1dc35b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