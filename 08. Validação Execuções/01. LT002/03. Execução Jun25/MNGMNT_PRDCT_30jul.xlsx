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03. Execução Jun25/"/>
    </mc:Choice>
  </mc:AlternateContent>
  <xr:revisionPtr revIDLastSave="0" documentId="8_{655D0E9A-3B8B-42C5-8D00-E3F06C9ED6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  <sheet name="ID 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</calcChain>
</file>

<file path=xl/sharedStrings.xml><?xml version="1.0" encoding="utf-8"?>
<sst xmlns="http://schemas.openxmlformats.org/spreadsheetml/2006/main" count="125" uniqueCount="43">
  <si>
    <t>val_univ</t>
  </si>
  <si>
    <t>univ_simul</t>
  </si>
  <si>
    <t>mngmnt_prdct_sim</t>
  </si>
  <si>
    <t>mngmnt_prdct_it</t>
  </si>
  <si>
    <t>val_mngmnt_prdct</t>
  </si>
  <si>
    <t>COMUM</t>
  </si>
  <si>
    <t>COMUM PM</t>
  </si>
  <si>
    <t>PRDCT01010207</t>
  </si>
  <si>
    <t>PRDCT010103</t>
  </si>
  <si>
    <t>NOK</t>
  </si>
  <si>
    <t>PRDCT0103</t>
  </si>
  <si>
    <t>PRDCT01010202</t>
  </si>
  <si>
    <t>PRDCT01010201</t>
  </si>
  <si>
    <t>PRDCT0201</t>
  </si>
  <si>
    <t>MISS</t>
  </si>
  <si>
    <t>Diferenças devido à BSNSS_AREA estar diferente entre IT e SIM. IT nestes casos tem sempre a BSNSS_AREA = BA17</t>
  </si>
  <si>
    <t>Validação FC</t>
  </si>
  <si>
    <t># Registos</t>
  </si>
  <si>
    <t>Diferenças devido à BSNSS_AREA estar diferente entre IT e SIM. IT nestes casos tem sempre a BSNSS_AREA = BA22 e nós = BA17</t>
  </si>
  <si>
    <t>Diferenças devido à BSNSS_AREA estar diferente entre IT e SIM. IT nestes casos tem sempre a BSNSS = MISS</t>
  </si>
  <si>
    <t>Diferenças devido à BSNSS_AREA estar diferente entre IT e SIM. IT nestes casos tem sempre a BSNSS_AREA = BA11</t>
  </si>
  <si>
    <t>Diferenças devido à BSNSS_AREA estar diferente entre IT e SIM. IT nestes casos tem sempre a BSNSS_AREA = BA16 e nós = BA11</t>
  </si>
  <si>
    <t>Diferenças devido à BSNSS_AREA estar diferente entre IT e SIM. IT nestes casos tem sempre a BSNSS_AREA = BA17 e nós = BA10</t>
  </si>
  <si>
    <t>ID</t>
  </si>
  <si>
    <t>instrmnt_id</t>
  </si>
  <si>
    <t>bsnss_area_sim</t>
  </si>
  <si>
    <t>bsnss_area_it</t>
  </si>
  <si>
    <t>val_bsnss_area</t>
  </si>
  <si>
    <t>cnclld_instrmnt_stts_sim</t>
  </si>
  <si>
    <t>cnclld_instrmnt_stts_it</t>
  </si>
  <si>
    <t>val_cnclld_instrmnt_stts</t>
  </si>
  <si>
    <t>SNCO0000000031000000000000000962304880469060BA22</t>
  </si>
  <si>
    <t>BA22</t>
  </si>
  <si>
    <t>OK</t>
  </si>
  <si>
    <t>N</t>
  </si>
  <si>
    <t>31000000000000000962304880469060</t>
  </si>
  <si>
    <t>BA4</t>
  </si>
  <si>
    <t>31663600380010102390103800101021</t>
  </si>
  <si>
    <t>31000000000000000962304880464870</t>
  </si>
  <si>
    <t>BA5</t>
  </si>
  <si>
    <t>SNCO0000000031000000000000000962304880464870BA22</t>
  </si>
  <si>
    <t>A BSNSS_AREA é igual nestes casos --&gt; ERRO NO NOSSO CÓDIGO, FALTA O CRUZAMENTO PELA CKAREA</t>
  </si>
  <si>
    <t>Erro do nosso lado --&gt; código corrigido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</si>
</sst>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0" fontId="0" fillId="2" borderId="1" xfId="0" applyFill="1" applyBorder="1"/>
    <xf numFmtId="3" fontId="0" fillId="2" borderId="1" xfId="0" applyNumberFormat="1" applyFill="1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2" fillId="0" borderId="1" xfId="0" applyNumberFormat="1" applyFont="1" applyBorder="1"/>
    <xf numFmtId="0" fontId="0" fillId="4" borderId="1" xfId="0" applyFill="1" applyBorder="1"/>
    <xf numFmtId="0" fontId="0" fillId="5" borderId="1" xfId="0" applyFill="1" applyBorder="1"/>
    <xf numFmtId="0" fontId="1" fillId="6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0"/>
  <sheetViews>
    <sheetView showGridLines="0" tabSelected="1" workbookViewId="0">
      <selection activeCell="F19" sqref="F19"/>
    </sheetView>
  </sheetViews>
  <sheetFormatPr defaultColWidth="11.5546875" defaultRowHeight="14.4" x14ac:dyDescent="0.3"/>
  <cols>
    <col min="1" max="1" width="3.77734375" customWidth="1"/>
    <col min="2" max="2" width="4.5546875" style="6" customWidth="1"/>
    <col min="3" max="3" width="8.109375" bestFit="1" customWidth="1"/>
    <col min="4" max="4" width="11.21875" bestFit="1" customWidth="1"/>
    <col min="5" max="5" width="17.77734375" bestFit="1" customWidth="1"/>
    <col min="6" max="6" width="15.88671875" bestFit="1" customWidth="1"/>
    <col min="7" max="7" width="17.33203125" bestFit="1" customWidth="1"/>
    <col min="8" max="8" width="9.33203125" bestFit="1" customWidth="1"/>
    <col min="9" max="9" width="107.33203125" bestFit="1" customWidth="1"/>
  </cols>
  <sheetData>
    <row r="2" spans="2:9" x14ac:dyDescent="0.3">
      <c r="B2" s="1" t="s">
        <v>23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17</v>
      </c>
      <c r="I2" s="11" t="s">
        <v>16</v>
      </c>
    </row>
    <row r="3" spans="2:9" x14ac:dyDescent="0.3">
      <c r="B3" s="7">
        <v>1</v>
      </c>
      <c r="C3" s="2" t="s">
        <v>5</v>
      </c>
      <c r="D3" s="2" t="s">
        <v>6</v>
      </c>
      <c r="E3" s="2" t="s">
        <v>8</v>
      </c>
      <c r="F3" s="2" t="s">
        <v>7</v>
      </c>
      <c r="G3" s="2" t="s">
        <v>9</v>
      </c>
      <c r="H3" s="3">
        <v>5341</v>
      </c>
      <c r="I3" s="2" t="s">
        <v>15</v>
      </c>
    </row>
    <row r="4" spans="2:9" x14ac:dyDescent="0.3">
      <c r="B4" s="7">
        <v>2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3">
        <v>720</v>
      </c>
      <c r="I4" s="2" t="s">
        <v>18</v>
      </c>
    </row>
    <row r="5" spans="2:9" x14ac:dyDescent="0.3">
      <c r="B5" s="7">
        <v>3</v>
      </c>
      <c r="C5" s="2" t="s">
        <v>5</v>
      </c>
      <c r="D5" s="2" t="s">
        <v>6</v>
      </c>
      <c r="E5" s="2" t="s">
        <v>8</v>
      </c>
      <c r="F5" s="2" t="s">
        <v>14</v>
      </c>
      <c r="G5" s="2" t="s">
        <v>9</v>
      </c>
      <c r="H5" s="3">
        <v>243</v>
      </c>
      <c r="I5" s="2" t="s">
        <v>19</v>
      </c>
    </row>
    <row r="6" spans="2:9" x14ac:dyDescent="0.3">
      <c r="B6" s="7">
        <v>4</v>
      </c>
      <c r="C6" s="2" t="s">
        <v>5</v>
      </c>
      <c r="D6" s="2" t="s">
        <v>6</v>
      </c>
      <c r="E6" s="2" t="s">
        <v>10</v>
      </c>
      <c r="F6" s="2" t="s">
        <v>11</v>
      </c>
      <c r="G6" s="2" t="s">
        <v>9</v>
      </c>
      <c r="H6" s="3">
        <v>43</v>
      </c>
      <c r="I6" s="2" t="s">
        <v>20</v>
      </c>
    </row>
    <row r="7" spans="2:9" x14ac:dyDescent="0.3">
      <c r="B7" s="7">
        <v>5</v>
      </c>
      <c r="C7" s="2" t="s">
        <v>5</v>
      </c>
      <c r="D7" s="2" t="s">
        <v>6</v>
      </c>
      <c r="E7" s="2" t="s">
        <v>11</v>
      </c>
      <c r="F7" s="2" t="s">
        <v>10</v>
      </c>
      <c r="G7" s="2" t="s">
        <v>9</v>
      </c>
      <c r="H7" s="3">
        <v>6</v>
      </c>
      <c r="I7" s="2" t="s">
        <v>21</v>
      </c>
    </row>
    <row r="8" spans="2:9" x14ac:dyDescent="0.3">
      <c r="B8" s="7">
        <v>6</v>
      </c>
      <c r="C8" s="4" t="s">
        <v>5</v>
      </c>
      <c r="D8" s="4" t="s">
        <v>6</v>
      </c>
      <c r="E8" s="4" t="s">
        <v>13</v>
      </c>
      <c r="F8" s="4" t="s">
        <v>8</v>
      </c>
      <c r="G8" s="4" t="s">
        <v>9</v>
      </c>
      <c r="H8" s="5">
        <v>3</v>
      </c>
      <c r="I8" s="9" t="s">
        <v>41</v>
      </c>
    </row>
    <row r="9" spans="2:9" x14ac:dyDescent="0.3">
      <c r="B9" s="7">
        <v>7</v>
      </c>
      <c r="C9" s="2" t="s">
        <v>5</v>
      </c>
      <c r="D9" s="2" t="s">
        <v>6</v>
      </c>
      <c r="E9" s="2" t="s">
        <v>12</v>
      </c>
      <c r="F9" s="2" t="s">
        <v>7</v>
      </c>
      <c r="G9" s="2" t="s">
        <v>9</v>
      </c>
      <c r="H9" s="3">
        <v>2</v>
      </c>
      <c r="I9" s="2" t="s">
        <v>22</v>
      </c>
    </row>
    <row r="10" spans="2:9" x14ac:dyDescent="0.3">
      <c r="H10" s="8">
        <f>SUM(H3:H9)</f>
        <v>6358</v>
      </c>
    </row>
  </sheetData>
  <sortState xmlns:xlrd2="http://schemas.microsoft.com/office/spreadsheetml/2017/richdata2" ref="C3:H9">
    <sortCondition descending="1" ref="H3:H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ADE7F-8538-4195-AB59-DC6ED49921A4}">
  <dimension ref="B2:N7"/>
  <sheetViews>
    <sheetView showGridLines="0" workbookViewId="0">
      <selection activeCell="B1" sqref="B1"/>
    </sheetView>
  </sheetViews>
  <sheetFormatPr defaultRowHeight="14.4" x14ac:dyDescent="0.3"/>
  <cols>
    <col min="1" max="1" width="3.77734375" customWidth="1"/>
    <col min="2" max="2" width="8.109375" bestFit="1" customWidth="1"/>
    <col min="3" max="3" width="11.21875" bestFit="1" customWidth="1"/>
    <col min="4" max="4" width="51" bestFit="1" customWidth="1"/>
    <col min="5" max="5" width="14.21875" bestFit="1" customWidth="1"/>
    <col min="6" max="6" width="12.33203125" bestFit="1" customWidth="1"/>
    <col min="7" max="7" width="13.77734375" bestFit="1" customWidth="1"/>
    <col min="8" max="8" width="22.109375" bestFit="1" customWidth="1"/>
    <col min="9" max="9" width="20.21875" bestFit="1" customWidth="1"/>
    <col min="10" max="10" width="21.6640625" bestFit="1" customWidth="1"/>
    <col min="11" max="11" width="17.77734375" bestFit="1" customWidth="1"/>
    <col min="12" max="12" width="15.88671875" bestFit="1" customWidth="1"/>
    <col min="13" max="13" width="17.33203125" bestFit="1" customWidth="1"/>
    <col min="14" max="14" width="33.109375" bestFit="1" customWidth="1"/>
  </cols>
  <sheetData>
    <row r="2" spans="2:14" x14ac:dyDescent="0.3">
      <c r="B2" s="1" t="s">
        <v>0</v>
      </c>
      <c r="C2" s="1" t="s">
        <v>1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2</v>
      </c>
      <c r="L2" s="1" t="s">
        <v>3</v>
      </c>
      <c r="M2" s="1" t="s">
        <v>4</v>
      </c>
      <c r="N2" s="11" t="s">
        <v>16</v>
      </c>
    </row>
    <row r="3" spans="2:14" x14ac:dyDescent="0.3">
      <c r="B3" s="2" t="s">
        <v>5</v>
      </c>
      <c r="C3" s="2" t="s">
        <v>6</v>
      </c>
      <c r="D3" s="10" t="s">
        <v>35</v>
      </c>
      <c r="E3" s="2" t="s">
        <v>36</v>
      </c>
      <c r="F3" s="2" t="s">
        <v>36</v>
      </c>
      <c r="G3" s="2" t="s">
        <v>33</v>
      </c>
      <c r="H3" s="2" t="s">
        <v>34</v>
      </c>
      <c r="I3" s="2" t="s">
        <v>34</v>
      </c>
      <c r="J3" s="2" t="s">
        <v>33</v>
      </c>
      <c r="K3" s="2" t="s">
        <v>13</v>
      </c>
      <c r="L3" s="2" t="s">
        <v>13</v>
      </c>
      <c r="M3" s="2" t="s">
        <v>33</v>
      </c>
      <c r="N3" s="2"/>
    </row>
    <row r="4" spans="2:14" x14ac:dyDescent="0.3">
      <c r="B4" s="2" t="s">
        <v>5</v>
      </c>
      <c r="C4" s="2" t="s">
        <v>6</v>
      </c>
      <c r="D4" s="10" t="s">
        <v>31</v>
      </c>
      <c r="E4" s="2" t="s">
        <v>32</v>
      </c>
      <c r="F4" s="2" t="s">
        <v>32</v>
      </c>
      <c r="G4" s="2" t="s">
        <v>33</v>
      </c>
      <c r="H4" s="2" t="s">
        <v>34</v>
      </c>
      <c r="I4" s="2" t="s">
        <v>34</v>
      </c>
      <c r="J4" s="2" t="s">
        <v>33</v>
      </c>
      <c r="K4" s="2" t="s">
        <v>13</v>
      </c>
      <c r="L4" s="2" t="s">
        <v>8</v>
      </c>
      <c r="M4" s="2" t="s">
        <v>9</v>
      </c>
      <c r="N4" s="12" t="s">
        <v>42</v>
      </c>
    </row>
    <row r="5" spans="2:14" x14ac:dyDescent="0.3">
      <c r="B5" s="2" t="s">
        <v>5</v>
      </c>
      <c r="C5" s="2" t="s">
        <v>6</v>
      </c>
      <c r="D5" s="10" t="s">
        <v>38</v>
      </c>
      <c r="E5" s="2" t="s">
        <v>39</v>
      </c>
      <c r="F5" s="2" t="s">
        <v>39</v>
      </c>
      <c r="G5" s="2" t="s">
        <v>33</v>
      </c>
      <c r="H5" s="2" t="s">
        <v>34</v>
      </c>
      <c r="I5" s="2" t="s">
        <v>34</v>
      </c>
      <c r="J5" s="2" t="s">
        <v>33</v>
      </c>
      <c r="K5" s="2" t="s">
        <v>13</v>
      </c>
      <c r="L5" s="2" t="s">
        <v>13</v>
      </c>
      <c r="M5" s="2" t="s">
        <v>33</v>
      </c>
      <c r="N5" s="2"/>
    </row>
    <row r="6" spans="2:14" x14ac:dyDescent="0.3">
      <c r="B6" s="2" t="s">
        <v>5</v>
      </c>
      <c r="C6" s="2" t="s">
        <v>6</v>
      </c>
      <c r="D6" s="10" t="s">
        <v>40</v>
      </c>
      <c r="E6" s="2" t="s">
        <v>32</v>
      </c>
      <c r="F6" s="2" t="s">
        <v>32</v>
      </c>
      <c r="G6" s="2" t="s">
        <v>33</v>
      </c>
      <c r="H6" s="2" t="s">
        <v>34</v>
      </c>
      <c r="I6" s="2" t="s">
        <v>34</v>
      </c>
      <c r="J6" s="2" t="s">
        <v>33</v>
      </c>
      <c r="K6" s="2" t="s">
        <v>13</v>
      </c>
      <c r="L6" s="2" t="s">
        <v>8</v>
      </c>
      <c r="M6" s="2" t="s">
        <v>9</v>
      </c>
      <c r="N6" s="12" t="s">
        <v>42</v>
      </c>
    </row>
    <row r="7" spans="2:14" x14ac:dyDescent="0.3">
      <c r="B7" s="2" t="s">
        <v>5</v>
      </c>
      <c r="C7" s="2" t="s">
        <v>6</v>
      </c>
      <c r="D7" s="2" t="s">
        <v>37</v>
      </c>
      <c r="E7" s="2" t="s">
        <v>36</v>
      </c>
      <c r="F7" s="2" t="s">
        <v>36</v>
      </c>
      <c r="G7" s="2" t="s">
        <v>33</v>
      </c>
      <c r="H7" s="2" t="s">
        <v>34</v>
      </c>
      <c r="I7" s="2" t="s">
        <v>34</v>
      </c>
      <c r="J7" s="2" t="s">
        <v>33</v>
      </c>
      <c r="K7" s="2" t="s">
        <v>13</v>
      </c>
      <c r="L7" s="2" t="s">
        <v>8</v>
      </c>
      <c r="M7" s="2" t="s">
        <v>9</v>
      </c>
      <c r="N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9DF6314-3BD2-4629-8F4D-D3D71DCA1EAD}"/>
</file>

<file path=customXml/itemProps2.xml><?xml version="1.0" encoding="utf-8"?>
<ds:datastoreItem xmlns:ds="http://schemas.openxmlformats.org/officeDocument/2006/customXml" ds:itemID="{ADE39A44-E0D9-4E20-8D00-560565E40361}"/>
</file>

<file path=customXml/itemProps3.xml><?xml version="1.0" encoding="utf-8"?>
<ds:datastoreItem xmlns:ds="http://schemas.openxmlformats.org/officeDocument/2006/customXml" ds:itemID="{B848D4F3-20BB-4500-A4FE-24CA6C3D35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ID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dcterms:created xsi:type="dcterms:W3CDTF">2025-07-27T03:15:27Z</dcterms:created>
  <dcterms:modified xsi:type="dcterms:W3CDTF">2025-07-30T10:14:40Z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2025-07-30T08:41:39Z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1a78247d-9197-4b09-97d1-f5cc0685eee7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