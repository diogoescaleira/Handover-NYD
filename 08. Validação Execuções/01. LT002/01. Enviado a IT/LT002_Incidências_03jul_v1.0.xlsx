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63" documentId="8_{62FEC090-C212-4730-9DB0-72BF564D20FA}" xr6:coauthVersionLast="47" xr6:coauthVersionMax="47" xr10:uidLastSave="{E3087B2A-6B3E-4DA3-A4EB-B8219CE72B66}"/>
  <bookViews>
    <workbookView minimized="1" xWindow="7305" yWindow="-11925" windowWidth="17280" windowHeight="8880" tabRatio="785" activeTab="5" xr2:uid="{00000000-000D-0000-FFFF-FFFF00000000}"/>
  </bookViews>
  <sheets>
    <sheet name="typ_off_blnc_prdct" sheetId="6" r:id="rId1"/>
    <sheet name="subportfolio_id" sheetId="1" r:id="rId2"/>
    <sheet name="dflt_stts_instrmnt" sheetId="2" r:id="rId3"/>
    <sheet name="typ_instrmnt" sheetId="3" r:id="rId4"/>
    <sheet name="accntng_clssfctn" sheetId="4" r:id="rId5"/>
    <sheet name="grss_intrst_incm" sheetId="7" r:id="rId6"/>
    <sheet name="intrnl_trnsfr_rt" sheetId="8" r:id="rId7"/>
    <sheet name="nw_bsnss" sheetId="9" r:id="rId8"/>
  </sheets>
  <externalReferences>
    <externalReference r:id="rId9"/>
  </externalReferences>
  <definedNames>
    <definedName name="_xlnm._FilterDatabase" localSheetId="3" hidden="1">typ_instrmnt!$A$13:$G$33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</calcChain>
</file>

<file path=xl/sharedStrings.xml><?xml version="1.0" encoding="utf-8"?>
<sst xmlns="http://schemas.openxmlformats.org/spreadsheetml/2006/main" count="699" uniqueCount="200">
  <si>
    <t>instrmnt_id</t>
  </si>
  <si>
    <t>val_subportfolio_id</t>
  </si>
  <si>
    <t>subportfolio_id_sim</t>
  </si>
  <si>
    <t>subportfolio_id_it</t>
  </si>
  <si>
    <t>31000000000000000962304880354880</t>
  </si>
  <si>
    <t>NOK</t>
  </si>
  <si>
    <t>SNFGUARS1P</t>
  </si>
  <si>
    <t>SNFCOMS1P</t>
  </si>
  <si>
    <t>31000000000000000962304880238820</t>
  </si>
  <si>
    <t>SNFGUARS2P</t>
  </si>
  <si>
    <t>SNFCOMS2P</t>
  </si>
  <si>
    <t>31000000000000000962304840285610</t>
  </si>
  <si>
    <t>31000000000000000962304880251350</t>
  </si>
  <si>
    <t>31000000000000000962304890378050</t>
  </si>
  <si>
    <t>31000000000000000962304880429640</t>
  </si>
  <si>
    <t>31000000000000000962304890382410</t>
  </si>
  <si>
    <t>31000000000000000262304880002580</t>
  </si>
  <si>
    <t>HOGGUARS1P</t>
  </si>
  <si>
    <t>HOGCOMS1P</t>
  </si>
  <si>
    <t>31000000000000000962304880197150</t>
  </si>
  <si>
    <t>31000000000000000962304890463610</t>
  </si>
  <si>
    <t>31000000000000000262304840008700</t>
  </si>
  <si>
    <t>SNFGUARS3NP</t>
  </si>
  <si>
    <t>SNFCOMS3NP</t>
  </si>
  <si>
    <t>31000000000000000162304840005860</t>
  </si>
  <si>
    <t>31000000000000000962304880419520</t>
  </si>
  <si>
    <t>31000000000000000262304880008680</t>
  </si>
  <si>
    <t>31663600380010044390103800100440</t>
  </si>
  <si>
    <t>31000000000000000862304880188260</t>
  </si>
  <si>
    <t>HOGGUARS3NP</t>
  </si>
  <si>
    <t>HOGCOMS3NP</t>
  </si>
  <si>
    <t>31000000000000000388804879396080</t>
  </si>
  <si>
    <t>31000000000000000962304890389900</t>
  </si>
  <si>
    <t>31000000000000000962304880288730</t>
  </si>
  <si>
    <t>31000000000000000862304880283210</t>
  </si>
  <si>
    <t>valor em ambito = 'PM'</t>
  </si>
  <si>
    <t>val_dflt_stts_instrmnt</t>
  </si>
  <si>
    <t>dflt_stts_instrmnt_sim</t>
  </si>
  <si>
    <t>dflt_stts_instrmnt_it</t>
  </si>
  <si>
    <t>31005133529880011629528900000001</t>
  </si>
  <si>
    <t>14</t>
  </si>
  <si>
    <t>99999999999</t>
  </si>
  <si>
    <t>31000319852218096000000000000000</t>
  </si>
  <si>
    <t>31000304460860096000000000000000</t>
  </si>
  <si>
    <t>31003193310540011638851900000001</t>
  </si>
  <si>
    <t>31005127602860011642381600000001</t>
  </si>
  <si>
    <t>31000313178033020000000000000000</t>
  </si>
  <si>
    <t>31003190036640011696309800000001</t>
  </si>
  <si>
    <t>31000305673107096000000000000000</t>
  </si>
  <si>
    <t>310031848619800115464735P0050001</t>
  </si>
  <si>
    <t>31000348424931020000000000000000</t>
  </si>
  <si>
    <t>31000353418208020000000000000000</t>
  </si>
  <si>
    <t>31000319926004096000000000000000</t>
  </si>
  <si>
    <t>31000302402492096000000000000000</t>
  </si>
  <si>
    <t>31003196141240011523308400000001</t>
  </si>
  <si>
    <t>31000321081764096000000000000000</t>
  </si>
  <si>
    <t>31000302524014096000000000000000</t>
  </si>
  <si>
    <t>31000302738044096000000000000000</t>
  </si>
  <si>
    <t>31000319897767096000000000000000</t>
  </si>
  <si>
    <t>31003198220850011539605600000001</t>
  </si>
  <si>
    <t>31003196389650011550049400000001</t>
  </si>
  <si>
    <t>val_typ_instrmnt</t>
  </si>
  <si>
    <t>typ_instrmnt_sim</t>
  </si>
  <si>
    <t>typ_instrmnt_it</t>
  </si>
  <si>
    <t>31000300054228007100086989060000</t>
  </si>
  <si>
    <t>71</t>
  </si>
  <si>
    <t>2020</t>
  </si>
  <si>
    <t>31000319478832096000000000000000</t>
  </si>
  <si>
    <t>1004</t>
  </si>
  <si>
    <t>31000320425962096000000000000000</t>
  </si>
  <si>
    <t>82000000005115988000510000640908</t>
  </si>
  <si>
    <t>80</t>
  </si>
  <si>
    <t>31000300057577007100088118840000</t>
  </si>
  <si>
    <t>31000300180445007100088100330000</t>
  </si>
  <si>
    <t>31000300000015007100087004560000</t>
  </si>
  <si>
    <t>31000310576630090069795240100000</t>
  </si>
  <si>
    <t>31000300000585007100086432830000</t>
  </si>
  <si>
    <t>31000300017605007100088169130000</t>
  </si>
  <si>
    <t>31000300161973007100087370540000</t>
  </si>
  <si>
    <t>31000300095015007100087266230000</t>
  </si>
  <si>
    <t>31000300143369007100086944050000</t>
  </si>
  <si>
    <t>31000300179314007100087773300000</t>
  </si>
  <si>
    <t>31000300149127007100085894370000</t>
  </si>
  <si>
    <t>31000300000015007100086673810000</t>
  </si>
  <si>
    <t>31000320635586096000000000000000</t>
  </si>
  <si>
    <t>31000300013943007100086879720000</t>
  </si>
  <si>
    <t>31000300058450007100088126210000</t>
  </si>
  <si>
    <t>31000300000015007100087022670000</t>
  </si>
  <si>
    <t>2025-02-28</t>
  </si>
  <si>
    <t>2024-12-31</t>
  </si>
  <si>
    <t>última data que aparece na FR001</t>
  </si>
  <si>
    <t>valor em ambito = 'PM' para essa data</t>
  </si>
  <si>
    <t>SNCO0000000031641600000000281PC0649155000000BA16</t>
  </si>
  <si>
    <t>11111111111</t>
  </si>
  <si>
    <t>1005</t>
  </si>
  <si>
    <t>SNCO0000000031641600000000940PC0654399000000BA11</t>
  </si>
  <si>
    <t>SNCO0000000031641600000000940PC0657187000000BA11</t>
  </si>
  <si>
    <t>SNCO0000000031641600000000940PC0658369000000BA11</t>
  </si>
  <si>
    <t>SNCO0000000031641600000000940PC0651755000000BA11</t>
  </si>
  <si>
    <t>SNCO0000000031641600000001120PC0648235000000BA16</t>
  </si>
  <si>
    <t>As linhas secundárias devem ser preenchidas com "11111111111" conforme documentação.</t>
  </si>
  <si>
    <t>Observações</t>
  </si>
  <si>
    <t>val_accntng_clssfctn</t>
  </si>
  <si>
    <t>accntng_clssfctn_sim</t>
  </si>
  <si>
    <t>accntng_clssfctn_it</t>
  </si>
  <si>
    <t>31000336779916020000000000000000</t>
  </si>
  <si>
    <t>6</t>
  </si>
  <si>
    <t>31037300200027796000000000000000</t>
  </si>
  <si>
    <t>31028300200000091000000000000000</t>
  </si>
  <si>
    <t>31000352099546020000000000000000</t>
  </si>
  <si>
    <t>31000315585854020000000000000000</t>
  </si>
  <si>
    <t>31000023467848001000000000000000</t>
  </si>
  <si>
    <t>31000340981979020000000000000000</t>
  </si>
  <si>
    <t>31000362599626020000000000000000</t>
  </si>
  <si>
    <t>31000339397104020000000000000000</t>
  </si>
  <si>
    <t>31000361385357020000000000000000</t>
  </si>
  <si>
    <t>31210902259334020000000000000000</t>
  </si>
  <si>
    <t>31000355270789020000000000000000</t>
  </si>
  <si>
    <t>31000300069994007100089116620000</t>
  </si>
  <si>
    <t>31015200070000574100088305950000</t>
  </si>
  <si>
    <t>31000300013232007100088495900000</t>
  </si>
  <si>
    <t>31000361899340020000000000000000</t>
  </si>
  <si>
    <t>31000300249000007100089115500000</t>
  </si>
  <si>
    <t>31000300190907007100088889420000</t>
  </si>
  <si>
    <t>31000003649175001000000000000000</t>
  </si>
  <si>
    <t>31000361258372020000000000000000</t>
  </si>
  <si>
    <t>31000300234374007100088895980000</t>
  </si>
  <si>
    <t>31000300013232007100088495910000</t>
  </si>
  <si>
    <t>31000300166501007100089076640000</t>
  </si>
  <si>
    <t>31000300213055007100088608350000</t>
  </si>
  <si>
    <t>31015200070000574100088305940000</t>
  </si>
  <si>
    <t>31000300189685007100089166150000</t>
  </si>
  <si>
    <t>val_typ_off_blnc_prdct</t>
  </si>
  <si>
    <t>typ_off_blnc_prdct_sim</t>
  </si>
  <si>
    <t>typ_off_blnc_prdct_it</t>
  </si>
  <si>
    <t>N/A</t>
  </si>
  <si>
    <t>MC42</t>
  </si>
  <si>
    <t>31000035411260001000000000000000</t>
  </si>
  <si>
    <t>MISS</t>
  </si>
  <si>
    <t>31000361813739020000000000000000</t>
  </si>
  <si>
    <t>31000029517928001000000000000000</t>
  </si>
  <si>
    <t>31036600200016355000000000000000</t>
  </si>
  <si>
    <t>31000352910114020000000000000000</t>
  </si>
  <si>
    <t>31000353023594020000000000000000</t>
  </si>
  <si>
    <t>31000807103640020000000000000000</t>
  </si>
  <si>
    <t>31000348491021020000000000000000</t>
  </si>
  <si>
    <t>31000348137160020000000000000000</t>
  </si>
  <si>
    <t>31000348764716020000000000000000</t>
  </si>
  <si>
    <t>31000351515963020000000000000000</t>
  </si>
  <si>
    <t>31000351696482020000000000000000</t>
  </si>
  <si>
    <t>31000803216685020000000000000000</t>
  </si>
  <si>
    <t>31000318606226097000000000000000</t>
  </si>
  <si>
    <t>31000353375259020000000000000000</t>
  </si>
  <si>
    <t>31000353303129020000000000000000</t>
  </si>
  <si>
    <t>31000353054722020000000000000000</t>
  </si>
  <si>
    <t>31000349036064020000000000000000</t>
  </si>
  <si>
    <t>31000349166564020000000000000000</t>
  </si>
  <si>
    <t>31000322718134020000000000000000</t>
  </si>
  <si>
    <t>31000352745775020000000000000000</t>
  </si>
  <si>
    <r>
      <t xml:space="preserve">1. Diferenças no campo </t>
    </r>
    <r>
      <rPr>
        <b/>
        <i/>
        <sz val="11"/>
        <color theme="1"/>
        <rFont val="Calibri"/>
        <family val="2"/>
        <scheme val="minor"/>
      </rPr>
      <t xml:space="preserve">typ_off_blnc_prdct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</si>
  <si>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"subportfolio_id_it" indica o valor na execução da equipa de IT enquanto que a coluna "subportfolio_id_sim" indica o valor obtido na simulação da equipa de testes.
Adicionalmente, a coluna G indica o valor do âmbito PM.</t>
  </si>
  <si>
    <r>
      <t xml:space="preserve">2. Diferenças no campo </t>
    </r>
    <r>
      <rPr>
        <b/>
        <i/>
        <sz val="11"/>
        <color theme="1"/>
        <rFont val="Calibri"/>
        <family val="2"/>
        <scheme val="minor"/>
      </rPr>
      <t xml:space="preserve">subportfolio_id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</si>
  <si>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3. Diferenças no campo </t>
    </r>
    <r>
      <rPr>
        <b/>
        <i/>
        <sz val="11"/>
        <color theme="1"/>
        <rFont val="Calibri"/>
        <family val="2"/>
        <scheme val="minor"/>
      </rPr>
      <t xml:space="preserve">dflt_stts_instrmnt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</si>
  <si>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"dflt_stts_instrmnt_it" indica o valor na execução da equipa de IT enquanto que a coluna "dflt_stts_instrmnt_sim" indica o valor obtido na simulação da equipa de testes.
Adicionalmente, a coluna G indica o valor do âmbito PM.</t>
  </si>
  <si>
    <r>
      <t xml:space="preserve">4. Diferenças no campo </t>
    </r>
    <r>
      <rPr>
        <b/>
        <i/>
        <sz val="11"/>
        <color theme="1"/>
        <rFont val="Calibri"/>
        <family val="2"/>
        <scheme val="minor"/>
      </rPr>
      <t xml:space="preserve">typ_instrmnt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</si>
  <si>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"typ_off_blnc_prdct_it" indica o valor na execução da equipa de IT enquanto que a coluna "typ_off_blnc_prdct_sim" indica o valor obtido na simulação da equipa de testes.
Adicionalmente, na coluna F é apresentada a última data para a qual o contrato se encontra na FR001, e na coluna G o valor do âmbito PM para essa data.</t>
  </si>
  <si>
    <t>A coluna "typ_instrmnt_it" indica o valor na execução da equipa de IT enquanto que a coluna "typ_instrmnt_sim" indica o valor obtido na simulação da equipa de testes.
Adicionalmente, na coluna F é apresentada a última data para a qual o contrato se encontra na FR001, e na coluna G o valor do âmbito PM para essa data.</t>
  </si>
  <si>
    <r>
      <t>5. Diferenças no campo accntng_clssfctn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</si>
  <si>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"accntng_clssfctn_it" indica o valor na execução da equipa de IT enquanto que a coluna "accntng_clssfctn_sim" indica o valor obtido na simulação da equipa de testes.
Adicionalmente, na coluna F é apresentada a última data para a qual o contrato se encontra na FR001, e na coluna G o valor do âmbito PM para essa data.</t>
  </si>
  <si>
    <r>
      <t xml:space="preserve">6. Diferenças no campo </t>
    </r>
    <r>
      <rPr>
        <b/>
        <i/>
        <sz val="11"/>
        <color theme="1"/>
        <rFont val="Calibri"/>
        <family val="2"/>
        <scheme val="minor"/>
      </rPr>
      <t xml:space="preserve">grss_intrst_incm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</si>
  <si>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val_grss_intrst_incm</t>
  </si>
  <si>
    <t>grss_intrst_incm_sim</t>
  </si>
  <si>
    <t>grss_intrst_incm_it</t>
  </si>
  <si>
    <t>31000300095015007100089657850000</t>
  </si>
  <si>
    <t>82000020210000226001520250142376</t>
  </si>
  <si>
    <t>31000311132213096000000000000000</t>
  </si>
  <si>
    <t>82000020210000226001520250094774</t>
  </si>
  <si>
    <t>A coluna "grss_intrst_incm_it" indica o valor na execução da equipa de IT enquanto que a coluna "grss_intrst_incm_sim" indica o valor obtido na simulação da equipa de testes.</t>
  </si>
  <si>
    <r>
      <t xml:space="preserve">7. Diferenças no campo </t>
    </r>
    <r>
      <rPr>
        <b/>
        <i/>
        <sz val="11"/>
        <color theme="1"/>
        <rFont val="Calibri"/>
        <family val="2"/>
        <scheme val="minor"/>
      </rPr>
      <t xml:space="preserve">intrnl_trnsfr_rt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</si>
  <si>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"intrnl_trnsfr_rt_it" indica o valor na execução da equipa de IT enquanto que a coluna "intrnl_trnsfr_rt_sim" indica o valor obtido na simulação da equipa de testes.</t>
  </si>
  <si>
    <t>val_intrnl_trnsfr_rt</t>
  </si>
  <si>
    <t>intrnl_trnsfr_rt_sim</t>
  </si>
  <si>
    <t>intrnl_trnsfr_rt_it</t>
  </si>
  <si>
    <r>
      <t xml:space="preserve">8. Diferenças no campo </t>
    </r>
    <r>
      <rPr>
        <b/>
        <i/>
        <sz val="11"/>
        <color theme="1"/>
        <rFont val="Calibri"/>
        <family val="2"/>
        <scheme val="minor"/>
      </rPr>
      <t xml:space="preserve">nw_bsnss </t>
    </r>
    <r>
      <rPr>
        <b/>
        <sz val="11"/>
        <color theme="1"/>
        <rFont val="Calibri"/>
        <family val="2"/>
        <scheme val="minor"/>
      </rPr>
      <t xml:space="preserve">da </t>
    </r>
    <r>
      <rPr>
        <b/>
        <i/>
        <sz val="11"/>
        <color theme="1"/>
        <rFont val="Calibri"/>
        <family val="2"/>
        <scheme val="minor"/>
      </rPr>
      <t>lt002_instrument</t>
    </r>
  </si>
  <si>
    <t>A coluna "nw_bsnss" indica o valor na execução da equipa de IT enquanto que a coluna "nw_bsnss_sim" indica o valor obtido na simulação da equipa de testes.</t>
  </si>
  <si>
    <t>val_nw_bsnss</t>
  </si>
  <si>
    <t>nw_bsnss_sim</t>
  </si>
  <si>
    <t>nw_bsnss_it</t>
  </si>
  <si>
    <t>31005123650690011646809100000001</t>
  </si>
  <si>
    <t>Y</t>
  </si>
  <si>
    <t>N</t>
  </si>
  <si>
    <t>31003194754230011519743300000001</t>
  </si>
  <si>
    <t>31003161734810011104121300000001</t>
  </si>
  <si>
    <t>31005121073400011588993100000001</t>
  </si>
  <si>
    <t>Default value not allowed</t>
  </si>
  <si>
    <t>8900002008000141900049000C3957I1</t>
  </si>
  <si>
    <t>31000353015756020000000000000000</t>
  </si>
  <si>
    <t>31000351372258020000000000000000</t>
  </si>
  <si>
    <t>31005134289420011789861600000001</t>
  </si>
  <si>
    <t>31005133931980011758206000000001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</si>
</sst>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quotePrefix="1" applyBorder="1"/>
    <xf numFmtId="0" fontId="4" fillId="0" borderId="0" xfId="0" applyFont="1"/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4" borderId="0" xfId="1" applyFont="1" applyFill="1" applyProtection="1">
      <protection hidden="1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0" xfId="0" applyAlignment="1">
      <alignment vertical="center" wrapText="1"/>
    </xf>
    <xf numFmtId="4" fontId="0" fillId="0" borderId="1" xfId="0" applyNumberFormat="1" applyBorder="1"/>
    <xf numFmtId="0" fontId="0" fillId="0" borderId="0" xfId="0" applyAlignment="1">
      <alignment horizontal="left" vertical="center" wrapText="1"/>
    </xf>
    <xf numFmtId="0" fontId="0" fillId="5" borderId="1" xfId="0" applyFill="1" applyBorder="1"/>
    <xf numFmtId="4" fontId="0" fillId="5" borderId="1" xfId="0" applyNumberFormat="1" applyFill="1" applyBorder="1"/>
  </cellXfs>
  <cellStyles count="2">
    <cellStyle name="Normal" xfId="0" builtinId="0"/>
    <cellStyle name="Normal 3" xfId="1" xr:uid="{B34F77E9-209E-4CE7-8E8F-370AD7685ED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9540" y="245534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176A3FBF-B907-492C-8742-86314897E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245534"/>
          <a:ext cx="1732684" cy="3048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67640" y="21336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09ED46E6-7001-42E9-BB50-F599A12EB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7640" y="213360"/>
          <a:ext cx="1732684" cy="30480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60020" y="21336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063EEE1B-6920-4692-90CE-DBBD58DD0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0020" y="213360"/>
          <a:ext cx="1732684" cy="30480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36220" y="24384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7913FF9A-27C6-434F-A4C7-100565A82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6220" y="243840"/>
          <a:ext cx="1732684" cy="30480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2954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F039F9D8-32FE-4289-B523-210342ADF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2954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B40AA50-8DFD-441F-9DC3-8EAEE5237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2954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B5FB4E5A-390B-4002-BFB4-22DDC7CB6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82880"/>
          <a:ext cx="1732684" cy="304800"/>
        </a:xfrm>
        <a:prstGeom prst="rect">
          <a:avLst/>
        </a:prstGeom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29540" y="18288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04CCF09B-DD31-4C17-A6AA-0D6C61586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540" y="182880"/>
          <a:ext cx="1732684" cy="304800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801803\Downloads\query-impala-4794053.xlsx" TargetMode="External"/><Relationship Id="rId1" Type="http://schemas.openxmlformats.org/officeDocument/2006/relationships/externalLinkPath" Target="file:///C:\Users\E801803\Downloads\query-impala-479405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1">
          <cell r="B1" t="str">
            <v>instrmnt_id</v>
          </cell>
          <cell r="C1" t="str">
            <v>subportfolio_id</v>
          </cell>
        </row>
        <row r="2">
          <cell r="B2" t="str">
            <v>31000000000000000388804879396080</v>
          </cell>
          <cell r="C2" t="str">
            <v>SNFGUARS3NP</v>
          </cell>
        </row>
        <row r="3">
          <cell r="B3" t="str">
            <v>31000000000000000962304880288730</v>
          </cell>
          <cell r="C3" t="str">
            <v>SNFGUARS2P</v>
          </cell>
        </row>
        <row r="4">
          <cell r="B4" t="str">
            <v>31000000000000000962304890463610</v>
          </cell>
          <cell r="C4" t="str">
            <v>SNFGUARS1P</v>
          </cell>
        </row>
        <row r="5">
          <cell r="B5" t="str">
            <v>31000000000000000962304880429640</v>
          </cell>
          <cell r="C5" t="str">
            <v>SNFGUARS1P</v>
          </cell>
        </row>
        <row r="6">
          <cell r="B6" t="str">
            <v>31000000000000000962304890378050</v>
          </cell>
          <cell r="C6" t="str">
            <v>SNFGUARS1P</v>
          </cell>
        </row>
        <row r="7">
          <cell r="B7" t="str">
            <v>31000000000000000862304880283210</v>
          </cell>
          <cell r="C7" t="str">
            <v>SNFGUARS3NP</v>
          </cell>
        </row>
        <row r="8">
          <cell r="B8" t="str">
            <v>31000000000000000962304890389900</v>
          </cell>
          <cell r="C8" t="str">
            <v>SNFGUARS1P</v>
          </cell>
        </row>
        <row r="9">
          <cell r="B9" t="str">
            <v>31000000000000000962304880354880</v>
          </cell>
          <cell r="C9" t="str">
            <v>SNFGUARS1P</v>
          </cell>
        </row>
        <row r="10">
          <cell r="B10" t="str">
            <v>31000000000000000262304880002580</v>
          </cell>
          <cell r="C10" t="str">
            <v>HOGGUARS1P</v>
          </cell>
        </row>
        <row r="11">
          <cell r="B11" t="str">
            <v>31000000000000000262304840008700</v>
          </cell>
          <cell r="C11" t="str">
            <v>SNFGUARS3NP</v>
          </cell>
        </row>
        <row r="12">
          <cell r="B12" t="str">
            <v>31000000000000000962304880197150</v>
          </cell>
          <cell r="C12" t="str">
            <v>SNFGUARS1P</v>
          </cell>
        </row>
        <row r="13">
          <cell r="B13" t="str">
            <v>31000000000000000962304880419520</v>
          </cell>
          <cell r="C13" t="str">
            <v>SNFGUARS1P</v>
          </cell>
        </row>
        <row r="14">
          <cell r="B14" t="str">
            <v>31000000000000000262304880008680</v>
          </cell>
          <cell r="C14" t="str">
            <v>SNFGUARS3NP</v>
          </cell>
        </row>
        <row r="15">
          <cell r="B15" t="str">
            <v>31000000000000000162304840005860</v>
          </cell>
          <cell r="C15" t="str">
            <v>SNFGUARS1P</v>
          </cell>
        </row>
        <row r="16">
          <cell r="B16" t="str">
            <v>31663600380010044390103800100440</v>
          </cell>
          <cell r="C16" t="str">
            <v>SNFGUARS1P</v>
          </cell>
        </row>
        <row r="17">
          <cell r="B17" t="str">
            <v>31000000000000000862304880188260</v>
          </cell>
          <cell r="C17" t="str">
            <v>HOGGUARS3NP</v>
          </cell>
        </row>
        <row r="18">
          <cell r="B18" t="str">
            <v>31000000000000000962304880251350</v>
          </cell>
          <cell r="C18" t="str">
            <v>SNFGUARS1P</v>
          </cell>
        </row>
        <row r="19">
          <cell r="B19" t="str">
            <v>31000000000000000962304880238820</v>
          </cell>
          <cell r="C19" t="str">
            <v>SNFGUARS2P</v>
          </cell>
        </row>
        <row r="20">
          <cell r="B20" t="str">
            <v>31000000000000000962304890382410</v>
          </cell>
          <cell r="C20" t="str">
            <v>SNFGUARS1P</v>
          </cell>
        </row>
        <row r="21">
          <cell r="B21" t="str">
            <v>31000000000000000962304840285610</v>
          </cell>
          <cell r="C21" t="str">
            <v>SNFGUARS1P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8E2C-D196-43D6-8811-9D471704CF44}">
  <dimension ref="A1:N39"/>
  <sheetViews>
    <sheetView showGridLines="0" zoomScale="90" zoomScaleNormal="90" workbookViewId="0">
      <selection activeCell="C20" sqref="C20"/>
    </sheetView>
  </sheetViews>
  <sheetFormatPr defaultColWidth="0" defaultRowHeight="14.4" x14ac:dyDescent="0.3"/>
  <cols>
    <col min="1" max="1" width="3.77734375" customWidth="1"/>
    <col min="2" max="2" width="39.88671875" customWidth="1"/>
    <col min="3" max="3" width="20.88671875" bestFit="1" customWidth="1"/>
    <col min="4" max="4" width="21.44140625" bestFit="1" customWidth="1"/>
    <col min="5" max="5" width="19.5546875" bestFit="1" customWidth="1"/>
    <col min="6" max="6" width="33.109375" customWidth="1"/>
    <col min="7" max="7" width="22.6640625" customWidth="1"/>
    <col min="8" max="8" width="3.77734375" customWidth="1"/>
    <col min="9" max="14" width="0" hidden="1" customWidth="1"/>
    <col min="15" max="16384" width="8.88671875" hidden="1"/>
  </cols>
  <sheetData>
    <row r="1" spans="1:8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7"/>
      <c r="B2" s="7"/>
      <c r="C2" s="7"/>
      <c r="D2" s="7"/>
      <c r="E2" s="7"/>
      <c r="F2" s="7"/>
      <c r="G2" s="7"/>
      <c r="H2" s="7"/>
    </row>
    <row r="3" spans="1:8" x14ac:dyDescent="0.3">
      <c r="A3" s="8"/>
      <c r="B3" s="8"/>
      <c r="C3" s="8"/>
      <c r="D3" s="8"/>
      <c r="E3" s="8"/>
      <c r="F3" s="8"/>
      <c r="G3" s="8"/>
      <c r="H3" s="8"/>
    </row>
    <row r="4" spans="1:8" x14ac:dyDescent="0.3">
      <c r="A4" s="7"/>
      <c r="B4" s="7"/>
      <c r="C4" s="7"/>
      <c r="D4" s="7"/>
      <c r="E4" s="7"/>
      <c r="F4" s="7"/>
      <c r="G4" s="7"/>
      <c r="H4" s="7"/>
    </row>
    <row r="5" spans="1:8" ht="3" customHeight="1" x14ac:dyDescent="0.3">
      <c r="A5" s="9"/>
      <c r="B5" s="9"/>
      <c r="C5" s="9"/>
      <c r="D5" s="9"/>
      <c r="E5" s="9"/>
      <c r="F5" s="9"/>
      <c r="G5" s="9"/>
      <c r="H5" s="9"/>
    </row>
    <row r="7" spans="1:8" x14ac:dyDescent="0.3">
      <c r="B7" s="10" t="s">
        <v>159</v>
      </c>
      <c r="C7" s="11"/>
      <c r="D7" s="11"/>
      <c r="E7" s="11"/>
      <c r="F7" s="11"/>
      <c r="G7" s="11"/>
    </row>
    <row r="8" spans="1:8" ht="7.05" customHeight="1" x14ac:dyDescent="0.3"/>
    <row r="9" spans="1:8" ht="14.4" customHeight="1" x14ac:dyDescent="0.3">
      <c r="B9" s="14" t="s">
        <v>165</v>
      </c>
      <c r="C9" s="14"/>
      <c r="D9" s="14"/>
      <c r="E9" s="14"/>
      <c r="F9" s="14"/>
      <c r="G9" s="14"/>
    </row>
    <row r="10" spans="1:8" x14ac:dyDescent="0.3">
      <c r="B10" s="14"/>
      <c r="C10" s="14"/>
      <c r="D10" s="14"/>
      <c r="E10" s="14"/>
      <c r="F10" s="14"/>
      <c r="G10" s="14"/>
    </row>
    <row r="11" spans="1:8" x14ac:dyDescent="0.3">
      <c r="B11" s="14"/>
      <c r="C11" s="14"/>
      <c r="D11" s="14"/>
      <c r="E11" s="14"/>
      <c r="F11" s="14"/>
      <c r="G11" s="14"/>
    </row>
    <row r="12" spans="1:8" x14ac:dyDescent="0.3">
      <c r="B12" s="14"/>
      <c r="C12" s="14"/>
      <c r="D12" s="14"/>
      <c r="E12" s="14"/>
      <c r="F12" s="14"/>
      <c r="G12" s="14"/>
    </row>
    <row r="14" spans="1:8" x14ac:dyDescent="0.3">
      <c r="B14" s="1" t="s">
        <v>0</v>
      </c>
      <c r="C14" s="1" t="s">
        <v>132</v>
      </c>
      <c r="D14" s="1" t="s">
        <v>133</v>
      </c>
      <c r="E14" s="1" t="s">
        <v>134</v>
      </c>
      <c r="F14" s="3" t="s">
        <v>90</v>
      </c>
      <c r="G14" s="3" t="s">
        <v>35</v>
      </c>
    </row>
    <row r="15" spans="1:8" x14ac:dyDescent="0.3">
      <c r="B15" s="2" t="s">
        <v>109</v>
      </c>
      <c r="C15" s="2" t="s">
        <v>5</v>
      </c>
      <c r="D15" s="2" t="s">
        <v>135</v>
      </c>
      <c r="E15" s="2" t="s">
        <v>136</v>
      </c>
      <c r="F15" s="2" t="s">
        <v>88</v>
      </c>
      <c r="G15" s="2" t="s">
        <v>135</v>
      </c>
    </row>
    <row r="16" spans="1:8" x14ac:dyDescent="0.3">
      <c r="B16" s="2" t="s">
        <v>110</v>
      </c>
      <c r="C16" s="2" t="s">
        <v>5</v>
      </c>
      <c r="D16" s="2" t="s">
        <v>135</v>
      </c>
      <c r="E16" s="2" t="s">
        <v>136</v>
      </c>
      <c r="F16" s="2" t="s">
        <v>88</v>
      </c>
      <c r="G16" s="2" t="s">
        <v>135</v>
      </c>
    </row>
    <row r="17" spans="2:7" x14ac:dyDescent="0.3">
      <c r="B17" s="2" t="s">
        <v>111</v>
      </c>
      <c r="C17" s="2" t="s">
        <v>5</v>
      </c>
      <c r="D17" s="2" t="s">
        <v>135</v>
      </c>
      <c r="E17" s="2" t="s">
        <v>136</v>
      </c>
      <c r="F17" s="2" t="s">
        <v>88</v>
      </c>
      <c r="G17" s="2" t="s">
        <v>135</v>
      </c>
    </row>
    <row r="18" spans="2:7" x14ac:dyDescent="0.3">
      <c r="B18" s="2" t="s">
        <v>137</v>
      </c>
      <c r="C18" s="2" t="s">
        <v>5</v>
      </c>
      <c r="D18" s="2" t="s">
        <v>138</v>
      </c>
      <c r="E18" s="2" t="s">
        <v>136</v>
      </c>
      <c r="F18" s="2" t="s">
        <v>88</v>
      </c>
      <c r="G18" s="2" t="s">
        <v>138</v>
      </c>
    </row>
    <row r="19" spans="2:7" x14ac:dyDescent="0.3">
      <c r="B19" s="2" t="s">
        <v>139</v>
      </c>
      <c r="C19" s="2" t="s">
        <v>5</v>
      </c>
      <c r="D19" s="2" t="s">
        <v>138</v>
      </c>
      <c r="E19" s="2" t="s">
        <v>135</v>
      </c>
      <c r="F19" s="2" t="s">
        <v>88</v>
      </c>
      <c r="G19" s="2" t="s">
        <v>138</v>
      </c>
    </row>
    <row r="20" spans="2:7" x14ac:dyDescent="0.3">
      <c r="B20" s="2" t="s">
        <v>140</v>
      </c>
      <c r="C20" s="2" t="s">
        <v>5</v>
      </c>
      <c r="D20" s="2" t="s">
        <v>135</v>
      </c>
      <c r="E20" s="2" t="s">
        <v>138</v>
      </c>
      <c r="F20" s="2" t="s">
        <v>88</v>
      </c>
      <c r="G20" s="2" t="s">
        <v>135</v>
      </c>
    </row>
    <row r="21" spans="2:7" x14ac:dyDescent="0.3">
      <c r="B21" s="2" t="s">
        <v>108</v>
      </c>
      <c r="C21" s="2" t="s">
        <v>5</v>
      </c>
      <c r="D21" s="2" t="s">
        <v>135</v>
      </c>
      <c r="E21" s="2" t="s">
        <v>138</v>
      </c>
      <c r="F21" s="2" t="s">
        <v>88</v>
      </c>
      <c r="G21" s="2" t="s">
        <v>135</v>
      </c>
    </row>
    <row r="22" spans="2:7" x14ac:dyDescent="0.3">
      <c r="B22" s="2" t="s">
        <v>141</v>
      </c>
      <c r="C22" s="2" t="s">
        <v>5</v>
      </c>
      <c r="D22" s="2" t="s">
        <v>135</v>
      </c>
      <c r="E22" s="2" t="s">
        <v>138</v>
      </c>
      <c r="F22" s="2" t="s">
        <v>89</v>
      </c>
      <c r="G22" s="2" t="s">
        <v>135</v>
      </c>
    </row>
    <row r="23" spans="2:7" x14ac:dyDescent="0.3">
      <c r="B23" s="2" t="s">
        <v>142</v>
      </c>
      <c r="C23" s="2" t="s">
        <v>5</v>
      </c>
      <c r="D23" s="2" t="s">
        <v>135</v>
      </c>
      <c r="E23" s="2" t="s">
        <v>138</v>
      </c>
      <c r="F23" s="2" t="s">
        <v>89</v>
      </c>
      <c r="G23" s="2" t="s">
        <v>135</v>
      </c>
    </row>
    <row r="24" spans="2:7" x14ac:dyDescent="0.3">
      <c r="B24" s="2" t="s">
        <v>143</v>
      </c>
      <c r="C24" s="2" t="s">
        <v>5</v>
      </c>
      <c r="D24" s="2" t="s">
        <v>135</v>
      </c>
      <c r="E24" s="2" t="s">
        <v>138</v>
      </c>
      <c r="F24" s="2" t="s">
        <v>88</v>
      </c>
      <c r="G24" s="2" t="s">
        <v>135</v>
      </c>
    </row>
    <row r="25" spans="2:7" x14ac:dyDescent="0.3">
      <c r="B25" s="2" t="s">
        <v>144</v>
      </c>
      <c r="C25" s="2" t="s">
        <v>5</v>
      </c>
      <c r="D25" s="2" t="s">
        <v>135</v>
      </c>
      <c r="E25" s="2" t="s">
        <v>138</v>
      </c>
      <c r="F25" s="2" t="s">
        <v>89</v>
      </c>
      <c r="G25" s="2" t="s">
        <v>135</v>
      </c>
    </row>
    <row r="26" spans="2:7" x14ac:dyDescent="0.3">
      <c r="B26" s="2" t="s">
        <v>145</v>
      </c>
      <c r="C26" s="2" t="s">
        <v>5</v>
      </c>
      <c r="D26" s="2" t="s">
        <v>135</v>
      </c>
      <c r="E26" s="2" t="s">
        <v>138</v>
      </c>
      <c r="F26" s="2" t="s">
        <v>88</v>
      </c>
      <c r="G26" s="2" t="s">
        <v>135</v>
      </c>
    </row>
    <row r="27" spans="2:7" x14ac:dyDescent="0.3">
      <c r="B27" s="2" t="s">
        <v>146</v>
      </c>
      <c r="C27" s="2" t="s">
        <v>5</v>
      </c>
      <c r="D27" s="2" t="s">
        <v>135</v>
      </c>
      <c r="E27" s="2" t="s">
        <v>138</v>
      </c>
      <c r="F27" s="2" t="s">
        <v>89</v>
      </c>
      <c r="G27" s="2" t="s">
        <v>135</v>
      </c>
    </row>
    <row r="28" spans="2:7" x14ac:dyDescent="0.3">
      <c r="B28" s="2" t="s">
        <v>147</v>
      </c>
      <c r="C28" s="2" t="s">
        <v>5</v>
      </c>
      <c r="D28" s="2" t="s">
        <v>135</v>
      </c>
      <c r="E28" s="2" t="s">
        <v>138</v>
      </c>
      <c r="F28" s="2" t="s">
        <v>89</v>
      </c>
      <c r="G28" s="2" t="s">
        <v>135</v>
      </c>
    </row>
    <row r="29" spans="2:7" x14ac:dyDescent="0.3">
      <c r="B29" s="2" t="s">
        <v>148</v>
      </c>
      <c r="C29" s="2" t="s">
        <v>5</v>
      </c>
      <c r="D29" s="2" t="s">
        <v>135</v>
      </c>
      <c r="E29" s="2" t="s">
        <v>138</v>
      </c>
      <c r="F29" s="2" t="s">
        <v>89</v>
      </c>
      <c r="G29" s="2" t="s">
        <v>135</v>
      </c>
    </row>
    <row r="30" spans="2:7" x14ac:dyDescent="0.3">
      <c r="B30" s="2" t="s">
        <v>149</v>
      </c>
      <c r="C30" s="2" t="s">
        <v>5</v>
      </c>
      <c r="D30" s="2" t="s">
        <v>135</v>
      </c>
      <c r="E30" s="2" t="s">
        <v>138</v>
      </c>
      <c r="F30" s="2" t="s">
        <v>89</v>
      </c>
      <c r="G30" s="2" t="s">
        <v>135</v>
      </c>
    </row>
    <row r="31" spans="2:7" x14ac:dyDescent="0.3">
      <c r="B31" s="2" t="s">
        <v>150</v>
      </c>
      <c r="C31" s="2" t="s">
        <v>5</v>
      </c>
      <c r="D31" s="2" t="s">
        <v>135</v>
      </c>
      <c r="E31" s="2" t="s">
        <v>138</v>
      </c>
      <c r="F31" s="2" t="s">
        <v>89</v>
      </c>
      <c r="G31" s="2" t="s">
        <v>135</v>
      </c>
    </row>
    <row r="32" spans="2:7" x14ac:dyDescent="0.3">
      <c r="B32" s="2" t="s">
        <v>151</v>
      </c>
      <c r="C32" s="2" t="s">
        <v>5</v>
      </c>
      <c r="D32" s="2" t="s">
        <v>135</v>
      </c>
      <c r="E32" s="2" t="s">
        <v>138</v>
      </c>
      <c r="F32" s="2" t="s">
        <v>88</v>
      </c>
      <c r="G32" s="2" t="s">
        <v>135</v>
      </c>
    </row>
    <row r="33" spans="2:7" x14ac:dyDescent="0.3">
      <c r="B33" s="2" t="s">
        <v>152</v>
      </c>
      <c r="C33" s="2" t="s">
        <v>5</v>
      </c>
      <c r="D33" s="2" t="s">
        <v>135</v>
      </c>
      <c r="E33" s="2" t="s">
        <v>138</v>
      </c>
      <c r="F33" s="2" t="s">
        <v>88</v>
      </c>
      <c r="G33" s="2" t="s">
        <v>135</v>
      </c>
    </row>
    <row r="34" spans="2:7" x14ac:dyDescent="0.3">
      <c r="B34" s="2" t="s">
        <v>153</v>
      </c>
      <c r="C34" s="2" t="s">
        <v>5</v>
      </c>
      <c r="D34" s="2" t="s">
        <v>135</v>
      </c>
      <c r="E34" s="2" t="s">
        <v>138</v>
      </c>
      <c r="F34" s="2" t="s">
        <v>89</v>
      </c>
      <c r="G34" s="2" t="s">
        <v>135</v>
      </c>
    </row>
    <row r="35" spans="2:7" x14ac:dyDescent="0.3">
      <c r="B35" s="2" t="s">
        <v>154</v>
      </c>
      <c r="C35" s="2" t="s">
        <v>5</v>
      </c>
      <c r="D35" s="2" t="s">
        <v>135</v>
      </c>
      <c r="E35" s="2" t="s">
        <v>138</v>
      </c>
      <c r="F35" s="2" t="s">
        <v>88</v>
      </c>
      <c r="G35" s="2" t="s">
        <v>135</v>
      </c>
    </row>
    <row r="36" spans="2:7" x14ac:dyDescent="0.3">
      <c r="B36" s="2" t="s">
        <v>155</v>
      </c>
      <c r="C36" s="2" t="s">
        <v>5</v>
      </c>
      <c r="D36" s="2" t="s">
        <v>135</v>
      </c>
      <c r="E36" s="2" t="s">
        <v>138</v>
      </c>
      <c r="F36" s="2" t="s">
        <v>89</v>
      </c>
      <c r="G36" s="2" t="s">
        <v>135</v>
      </c>
    </row>
    <row r="37" spans="2:7" x14ac:dyDescent="0.3">
      <c r="B37" s="2" t="s">
        <v>156</v>
      </c>
      <c r="C37" s="2" t="s">
        <v>5</v>
      </c>
      <c r="D37" s="2" t="s">
        <v>135</v>
      </c>
      <c r="E37" s="2" t="s">
        <v>138</v>
      </c>
      <c r="F37" s="2" t="s">
        <v>88</v>
      </c>
      <c r="G37" s="2" t="s">
        <v>135</v>
      </c>
    </row>
    <row r="38" spans="2:7" x14ac:dyDescent="0.3">
      <c r="B38" s="2" t="s">
        <v>157</v>
      </c>
      <c r="C38" s="2" t="s">
        <v>5</v>
      </c>
      <c r="D38" s="2" t="s">
        <v>135</v>
      </c>
      <c r="E38" s="2" t="s">
        <v>138</v>
      </c>
      <c r="F38" s="2" t="s">
        <v>88</v>
      </c>
      <c r="G38" s="2" t="s">
        <v>135</v>
      </c>
    </row>
    <row r="39" spans="2:7" x14ac:dyDescent="0.3">
      <c r="B39" s="2" t="s">
        <v>158</v>
      </c>
      <c r="C39" s="2" t="s">
        <v>5</v>
      </c>
      <c r="D39" s="2" t="s">
        <v>135</v>
      </c>
      <c r="E39" s="2" t="s">
        <v>138</v>
      </c>
      <c r="F39" s="2" t="s">
        <v>89</v>
      </c>
      <c r="G39" s="2" t="s">
        <v>135</v>
      </c>
    </row>
  </sheetData>
  <mergeCells count="1">
    <mergeCell ref="B9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showGridLines="0" workbookViewId="0">
      <selection activeCell="C38" sqref="C38"/>
    </sheetView>
  </sheetViews>
  <sheetFormatPr defaultColWidth="0" defaultRowHeight="14.4" x14ac:dyDescent="0.3"/>
  <cols>
    <col min="1" max="1" width="3.77734375" customWidth="1"/>
    <col min="2" max="2" width="33.6640625" bestFit="1" customWidth="1"/>
    <col min="3" max="3" width="18.88671875" customWidth="1"/>
    <col min="4" max="4" width="19.33203125" customWidth="1"/>
    <col min="5" max="5" width="18" customWidth="1"/>
    <col min="6" max="6" width="21.109375" customWidth="1"/>
    <col min="7" max="7" width="3.77734375" customWidth="1"/>
    <col min="8" max="14" width="0" hidden="1" customWidth="1"/>
    <col min="15" max="16384" width="11.5546875" hidden="1"/>
  </cols>
  <sheetData>
    <row r="1" spans="1:7" x14ac:dyDescent="0.3">
      <c r="A1" s="6"/>
      <c r="B1" s="6"/>
      <c r="C1" s="6"/>
      <c r="D1" s="6"/>
      <c r="E1" s="6"/>
      <c r="F1" s="6"/>
      <c r="G1" s="6"/>
    </row>
    <row r="2" spans="1:7" x14ac:dyDescent="0.3">
      <c r="A2" s="7"/>
      <c r="B2" s="7"/>
      <c r="C2" s="7"/>
      <c r="D2" s="7"/>
      <c r="E2" s="7"/>
      <c r="F2" s="7"/>
      <c r="G2" s="7"/>
    </row>
    <row r="3" spans="1:7" x14ac:dyDescent="0.3">
      <c r="A3" s="8"/>
      <c r="B3" s="8"/>
      <c r="C3" s="8"/>
      <c r="D3" s="8"/>
      <c r="E3" s="8"/>
      <c r="F3" s="8"/>
      <c r="G3" s="8"/>
    </row>
    <row r="4" spans="1:7" x14ac:dyDescent="0.3">
      <c r="A4" s="7"/>
      <c r="B4" s="7"/>
      <c r="C4" s="7"/>
      <c r="D4" s="7"/>
      <c r="E4" s="7"/>
      <c r="F4" s="7"/>
      <c r="G4" s="7"/>
    </row>
    <row r="5" spans="1:7" ht="3" customHeight="1" x14ac:dyDescent="0.3">
      <c r="A5" s="9"/>
      <c r="B5" s="9"/>
      <c r="C5" s="9"/>
      <c r="D5" s="9"/>
      <c r="E5" s="9"/>
      <c r="F5" s="9"/>
      <c r="G5" s="9"/>
    </row>
    <row r="7" spans="1:7" x14ac:dyDescent="0.3">
      <c r="B7" s="10" t="s">
        <v>161</v>
      </c>
      <c r="C7" s="11"/>
      <c r="D7" s="11"/>
      <c r="E7" s="11"/>
      <c r="F7" s="11"/>
    </row>
    <row r="8" spans="1:7" ht="7.05" customHeight="1" x14ac:dyDescent="0.3"/>
    <row r="9" spans="1:7" ht="14.4" customHeight="1" x14ac:dyDescent="0.3">
      <c r="B9" s="14" t="s">
        <v>160</v>
      </c>
      <c r="C9" s="14"/>
      <c r="D9" s="14"/>
      <c r="E9" s="14"/>
      <c r="F9" s="14"/>
    </row>
    <row r="10" spans="1:7" x14ac:dyDescent="0.3">
      <c r="B10" s="14"/>
      <c r="C10" s="14"/>
      <c r="D10" s="14"/>
      <c r="E10" s="14"/>
      <c r="F10" s="14"/>
    </row>
    <row r="11" spans="1:7" x14ac:dyDescent="0.3">
      <c r="B11" s="14"/>
      <c r="C11" s="14"/>
      <c r="D11" s="14"/>
      <c r="E11" s="14"/>
      <c r="F11" s="14"/>
    </row>
    <row r="12" spans="1:7" x14ac:dyDescent="0.3">
      <c r="B12" s="14"/>
      <c r="C12" s="14"/>
      <c r="D12" s="14"/>
      <c r="E12" s="14"/>
      <c r="F12" s="14"/>
    </row>
    <row r="14" spans="1:7" x14ac:dyDescent="0.3">
      <c r="B14" s="1" t="s">
        <v>0</v>
      </c>
      <c r="C14" s="1" t="s">
        <v>1</v>
      </c>
      <c r="D14" s="1" t="s">
        <v>2</v>
      </c>
      <c r="E14" s="1" t="s">
        <v>3</v>
      </c>
      <c r="F14" s="3" t="s">
        <v>35</v>
      </c>
    </row>
    <row r="15" spans="1:7" x14ac:dyDescent="0.3">
      <c r="B15" s="2" t="s">
        <v>4</v>
      </c>
      <c r="C15" s="2" t="s">
        <v>5</v>
      </c>
      <c r="D15" s="2" t="s">
        <v>6</v>
      </c>
      <c r="E15" s="2" t="s">
        <v>7</v>
      </c>
      <c r="F15" s="2" t="str">
        <f>VLOOKUP(B15,[1]Sheet!$B$1:$C$21,2,FALSE)</f>
        <v>SNFGUARS1P</v>
      </c>
    </row>
    <row r="16" spans="1:7" x14ac:dyDescent="0.3">
      <c r="B16" s="2" t="s">
        <v>8</v>
      </c>
      <c r="C16" s="2" t="s">
        <v>5</v>
      </c>
      <c r="D16" s="2" t="s">
        <v>9</v>
      </c>
      <c r="E16" s="2" t="s">
        <v>10</v>
      </c>
      <c r="F16" s="2" t="str">
        <f>VLOOKUP(B16,[1]Sheet!$B$1:$C$21,2,FALSE)</f>
        <v>SNFGUARS2P</v>
      </c>
    </row>
    <row r="17" spans="2:6" x14ac:dyDescent="0.3">
      <c r="B17" s="2" t="s">
        <v>11</v>
      </c>
      <c r="C17" s="2" t="s">
        <v>5</v>
      </c>
      <c r="D17" s="2" t="s">
        <v>6</v>
      </c>
      <c r="E17" s="2" t="s">
        <v>7</v>
      </c>
      <c r="F17" s="2" t="str">
        <f>VLOOKUP(B17,[1]Sheet!$B$1:$C$21,2,FALSE)</f>
        <v>SNFGUARS1P</v>
      </c>
    </row>
    <row r="18" spans="2:6" x14ac:dyDescent="0.3">
      <c r="B18" s="2" t="s">
        <v>12</v>
      </c>
      <c r="C18" s="2" t="s">
        <v>5</v>
      </c>
      <c r="D18" s="2" t="s">
        <v>6</v>
      </c>
      <c r="E18" s="2" t="s">
        <v>7</v>
      </c>
      <c r="F18" s="2" t="str">
        <f>VLOOKUP(B18,[1]Sheet!$B$1:$C$21,2,FALSE)</f>
        <v>SNFGUARS1P</v>
      </c>
    </row>
    <row r="19" spans="2:6" x14ac:dyDescent="0.3">
      <c r="B19" s="2" t="s">
        <v>13</v>
      </c>
      <c r="C19" s="2" t="s">
        <v>5</v>
      </c>
      <c r="D19" s="2" t="s">
        <v>6</v>
      </c>
      <c r="E19" s="2" t="s">
        <v>7</v>
      </c>
      <c r="F19" s="2" t="str">
        <f>VLOOKUP(B19,[1]Sheet!$B$1:$C$21,2,FALSE)</f>
        <v>SNFGUARS1P</v>
      </c>
    </row>
    <row r="20" spans="2:6" x14ac:dyDescent="0.3">
      <c r="B20" s="2" t="s">
        <v>14</v>
      </c>
      <c r="C20" s="2" t="s">
        <v>5</v>
      </c>
      <c r="D20" s="2" t="s">
        <v>6</v>
      </c>
      <c r="E20" s="2" t="s">
        <v>7</v>
      </c>
      <c r="F20" s="2" t="str">
        <f>VLOOKUP(B20,[1]Sheet!$B$1:$C$21,2,FALSE)</f>
        <v>SNFGUARS1P</v>
      </c>
    </row>
    <row r="21" spans="2:6" x14ac:dyDescent="0.3">
      <c r="B21" s="2" t="s">
        <v>15</v>
      </c>
      <c r="C21" s="2" t="s">
        <v>5</v>
      </c>
      <c r="D21" s="2" t="s">
        <v>6</v>
      </c>
      <c r="E21" s="2" t="s">
        <v>7</v>
      </c>
      <c r="F21" s="2" t="str">
        <f>VLOOKUP(B21,[1]Sheet!$B$1:$C$21,2,FALSE)</f>
        <v>SNFGUARS1P</v>
      </c>
    </row>
    <row r="22" spans="2:6" x14ac:dyDescent="0.3">
      <c r="B22" s="2" t="s">
        <v>16</v>
      </c>
      <c r="C22" s="2" t="s">
        <v>5</v>
      </c>
      <c r="D22" s="2" t="s">
        <v>17</v>
      </c>
      <c r="E22" s="2" t="s">
        <v>18</v>
      </c>
      <c r="F22" s="2" t="str">
        <f>VLOOKUP(B22,[1]Sheet!$B$1:$C$21,2,FALSE)</f>
        <v>HOGGUARS1P</v>
      </c>
    </row>
    <row r="23" spans="2:6" x14ac:dyDescent="0.3">
      <c r="B23" s="2" t="s">
        <v>19</v>
      </c>
      <c r="C23" s="2" t="s">
        <v>5</v>
      </c>
      <c r="D23" s="2" t="s">
        <v>6</v>
      </c>
      <c r="E23" s="2" t="s">
        <v>7</v>
      </c>
      <c r="F23" s="2" t="str">
        <f>VLOOKUP(B23,[1]Sheet!$B$1:$C$21,2,FALSE)</f>
        <v>SNFGUARS1P</v>
      </c>
    </row>
    <row r="24" spans="2:6" x14ac:dyDescent="0.3">
      <c r="B24" s="2" t="s">
        <v>20</v>
      </c>
      <c r="C24" s="2" t="s">
        <v>5</v>
      </c>
      <c r="D24" s="2" t="s">
        <v>6</v>
      </c>
      <c r="E24" s="2" t="s">
        <v>7</v>
      </c>
      <c r="F24" s="2" t="str">
        <f>VLOOKUP(B24,[1]Sheet!$B$1:$C$21,2,FALSE)</f>
        <v>SNFGUARS1P</v>
      </c>
    </row>
    <row r="25" spans="2:6" x14ac:dyDescent="0.3">
      <c r="B25" s="2" t="s">
        <v>21</v>
      </c>
      <c r="C25" s="2" t="s">
        <v>5</v>
      </c>
      <c r="D25" s="2" t="s">
        <v>22</v>
      </c>
      <c r="E25" s="2" t="s">
        <v>23</v>
      </c>
      <c r="F25" s="2" t="str">
        <f>VLOOKUP(B25,[1]Sheet!$B$1:$C$21,2,FALSE)</f>
        <v>SNFGUARS3NP</v>
      </c>
    </row>
    <row r="26" spans="2:6" x14ac:dyDescent="0.3">
      <c r="B26" s="2" t="s">
        <v>24</v>
      </c>
      <c r="C26" s="2" t="s">
        <v>5</v>
      </c>
      <c r="D26" s="2" t="s">
        <v>6</v>
      </c>
      <c r="E26" s="2" t="s">
        <v>7</v>
      </c>
      <c r="F26" s="2" t="str">
        <f>VLOOKUP(B26,[1]Sheet!$B$1:$C$21,2,FALSE)</f>
        <v>SNFGUARS1P</v>
      </c>
    </row>
    <row r="27" spans="2:6" x14ac:dyDescent="0.3">
      <c r="B27" s="2" t="s">
        <v>25</v>
      </c>
      <c r="C27" s="2" t="s">
        <v>5</v>
      </c>
      <c r="D27" s="2" t="s">
        <v>6</v>
      </c>
      <c r="E27" s="2" t="s">
        <v>7</v>
      </c>
      <c r="F27" s="2" t="str">
        <f>VLOOKUP(B27,[1]Sheet!$B$1:$C$21,2,FALSE)</f>
        <v>SNFGUARS1P</v>
      </c>
    </row>
    <row r="28" spans="2:6" x14ac:dyDescent="0.3">
      <c r="B28" s="2" t="s">
        <v>26</v>
      </c>
      <c r="C28" s="2" t="s">
        <v>5</v>
      </c>
      <c r="D28" s="2" t="s">
        <v>22</v>
      </c>
      <c r="E28" s="2" t="s">
        <v>23</v>
      </c>
      <c r="F28" s="2" t="str">
        <f>VLOOKUP(B28,[1]Sheet!$B$1:$C$21,2,FALSE)</f>
        <v>SNFGUARS3NP</v>
      </c>
    </row>
    <row r="29" spans="2:6" x14ac:dyDescent="0.3">
      <c r="B29" s="2" t="s">
        <v>27</v>
      </c>
      <c r="C29" s="2" t="s">
        <v>5</v>
      </c>
      <c r="D29" s="2" t="s">
        <v>6</v>
      </c>
      <c r="E29" s="2" t="s">
        <v>7</v>
      </c>
      <c r="F29" s="2" t="str">
        <f>VLOOKUP(B29,[1]Sheet!$B$1:$C$21,2,FALSE)</f>
        <v>SNFGUARS1P</v>
      </c>
    </row>
    <row r="30" spans="2:6" x14ac:dyDescent="0.3">
      <c r="B30" s="2" t="s">
        <v>28</v>
      </c>
      <c r="C30" s="2" t="s">
        <v>5</v>
      </c>
      <c r="D30" s="2" t="s">
        <v>29</v>
      </c>
      <c r="E30" s="2" t="s">
        <v>30</v>
      </c>
      <c r="F30" s="2" t="str">
        <f>VLOOKUP(B30,[1]Sheet!$B$1:$C$21,2,FALSE)</f>
        <v>HOGGUARS3NP</v>
      </c>
    </row>
    <row r="31" spans="2:6" x14ac:dyDescent="0.3">
      <c r="B31" s="2" t="s">
        <v>31</v>
      </c>
      <c r="C31" s="2" t="s">
        <v>5</v>
      </c>
      <c r="D31" s="2" t="s">
        <v>22</v>
      </c>
      <c r="E31" s="2" t="s">
        <v>23</v>
      </c>
      <c r="F31" s="2" t="str">
        <f>VLOOKUP(B31,[1]Sheet!$B$1:$C$21,2,FALSE)</f>
        <v>SNFGUARS3NP</v>
      </c>
    </row>
    <row r="32" spans="2:6" x14ac:dyDescent="0.3">
      <c r="B32" s="2" t="s">
        <v>32</v>
      </c>
      <c r="C32" s="2" t="s">
        <v>5</v>
      </c>
      <c r="D32" s="2" t="s">
        <v>6</v>
      </c>
      <c r="E32" s="2" t="s">
        <v>7</v>
      </c>
      <c r="F32" s="2" t="str">
        <f>VLOOKUP(B32,[1]Sheet!$B$1:$C$21,2,FALSE)</f>
        <v>SNFGUARS1P</v>
      </c>
    </row>
    <row r="33" spans="2:6" x14ac:dyDescent="0.3">
      <c r="B33" s="2" t="s">
        <v>33</v>
      </c>
      <c r="C33" s="2" t="s">
        <v>5</v>
      </c>
      <c r="D33" s="2" t="s">
        <v>9</v>
      </c>
      <c r="E33" s="2" t="s">
        <v>10</v>
      </c>
      <c r="F33" s="2" t="str">
        <f>VLOOKUP(B33,[1]Sheet!$B$1:$C$21,2,FALSE)</f>
        <v>SNFGUARS2P</v>
      </c>
    </row>
    <row r="34" spans="2:6" x14ac:dyDescent="0.3">
      <c r="B34" s="2" t="s">
        <v>34</v>
      </c>
      <c r="C34" s="2" t="s">
        <v>5</v>
      </c>
      <c r="D34" s="2" t="s">
        <v>22</v>
      </c>
      <c r="E34" s="2" t="s">
        <v>23</v>
      </c>
      <c r="F34" s="2" t="str">
        <f>VLOOKUP(B34,[1]Sheet!$B$1:$C$21,2,FALSE)</f>
        <v>SNFGUARS3NP</v>
      </c>
    </row>
  </sheetData>
  <mergeCells count="1">
    <mergeCell ref="B9:F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F428-B7B3-4649-A4C7-CFAC5D8DA6A0}">
  <dimension ref="A1:N34"/>
  <sheetViews>
    <sheetView showGridLines="0" workbookViewId="0">
      <selection sqref="A1:XFD12"/>
    </sheetView>
  </sheetViews>
  <sheetFormatPr defaultColWidth="0" defaultRowHeight="14.4" x14ac:dyDescent="0.3"/>
  <cols>
    <col min="1" max="1" width="3.77734375" customWidth="1"/>
    <col min="2" max="2" width="33.6640625" bestFit="1" customWidth="1"/>
    <col min="3" max="3" width="19.5546875" bestFit="1" customWidth="1"/>
    <col min="4" max="4" width="20" bestFit="1" customWidth="1"/>
    <col min="5" max="5" width="18.21875" bestFit="1" customWidth="1"/>
    <col min="6" max="6" width="20.6640625" bestFit="1" customWidth="1"/>
    <col min="7" max="7" width="3.77734375" customWidth="1"/>
    <col min="8" max="14" width="0" hidden="1" customWidth="1"/>
    <col min="15" max="16384" width="8.88671875" hidden="1"/>
  </cols>
  <sheetData>
    <row r="1" spans="1:7" x14ac:dyDescent="0.3">
      <c r="A1" s="6"/>
      <c r="B1" s="6"/>
      <c r="C1" s="6"/>
      <c r="D1" s="6"/>
      <c r="E1" s="6"/>
      <c r="F1" s="6"/>
      <c r="G1" s="6"/>
    </row>
    <row r="2" spans="1:7" x14ac:dyDescent="0.3">
      <c r="A2" s="7"/>
      <c r="B2" s="7"/>
      <c r="C2" s="7"/>
      <c r="D2" s="7"/>
      <c r="E2" s="7"/>
      <c r="F2" s="7"/>
      <c r="G2" s="7"/>
    </row>
    <row r="3" spans="1:7" x14ac:dyDescent="0.3">
      <c r="A3" s="8"/>
      <c r="B3" s="8"/>
      <c r="C3" s="8"/>
      <c r="D3" s="8"/>
      <c r="E3" s="8"/>
      <c r="F3" s="8"/>
      <c r="G3" s="8"/>
    </row>
    <row r="4" spans="1:7" x14ac:dyDescent="0.3">
      <c r="A4" s="7"/>
      <c r="B4" s="7"/>
      <c r="C4" s="7"/>
      <c r="D4" s="7"/>
      <c r="E4" s="7"/>
      <c r="F4" s="7"/>
      <c r="G4" s="7"/>
    </row>
    <row r="5" spans="1:7" ht="3" customHeight="1" x14ac:dyDescent="0.3">
      <c r="A5" s="9"/>
      <c r="B5" s="9"/>
      <c r="C5" s="9"/>
      <c r="D5" s="9"/>
      <c r="E5" s="9"/>
      <c r="F5" s="9"/>
      <c r="G5" s="9"/>
    </row>
    <row r="7" spans="1:7" x14ac:dyDescent="0.3">
      <c r="B7" s="10" t="s">
        <v>162</v>
      </c>
      <c r="C7" s="11"/>
      <c r="D7" s="11"/>
      <c r="E7" s="11"/>
      <c r="F7" s="11"/>
    </row>
    <row r="8" spans="1:7" ht="7.05" customHeight="1" x14ac:dyDescent="0.3"/>
    <row r="9" spans="1:7" ht="14.4" customHeight="1" x14ac:dyDescent="0.3">
      <c r="B9" s="14" t="s">
        <v>163</v>
      </c>
      <c r="C9" s="14"/>
      <c r="D9" s="14"/>
      <c r="E9" s="14"/>
      <c r="F9" s="14"/>
    </row>
    <row r="10" spans="1:7" x14ac:dyDescent="0.3">
      <c r="B10" s="14"/>
      <c r="C10" s="14"/>
      <c r="D10" s="14"/>
      <c r="E10" s="14"/>
      <c r="F10" s="14"/>
    </row>
    <row r="11" spans="1:7" x14ac:dyDescent="0.3">
      <c r="B11" s="14"/>
      <c r="C11" s="14"/>
      <c r="D11" s="14"/>
      <c r="E11" s="14"/>
      <c r="F11" s="14"/>
    </row>
    <row r="12" spans="1:7" x14ac:dyDescent="0.3">
      <c r="B12" s="14"/>
      <c r="C12" s="14"/>
      <c r="D12" s="14"/>
      <c r="E12" s="14"/>
      <c r="F12" s="14"/>
    </row>
    <row r="14" spans="1:7" x14ac:dyDescent="0.3">
      <c r="B14" s="1" t="s">
        <v>0</v>
      </c>
      <c r="C14" s="1" t="s">
        <v>36</v>
      </c>
      <c r="D14" s="1" t="s">
        <v>37</v>
      </c>
      <c r="E14" s="1" t="s">
        <v>38</v>
      </c>
      <c r="F14" s="3" t="s">
        <v>35</v>
      </c>
    </row>
    <row r="15" spans="1:7" x14ac:dyDescent="0.3">
      <c r="B15" s="2" t="s">
        <v>39</v>
      </c>
      <c r="C15" s="2" t="s">
        <v>5</v>
      </c>
      <c r="D15" s="2" t="s">
        <v>40</v>
      </c>
      <c r="E15" s="2" t="s">
        <v>41</v>
      </c>
      <c r="F15" s="2" t="s">
        <v>40</v>
      </c>
    </row>
    <row r="16" spans="1:7" x14ac:dyDescent="0.3">
      <c r="B16" s="2" t="s">
        <v>42</v>
      </c>
      <c r="C16" s="2" t="s">
        <v>5</v>
      </c>
      <c r="D16" s="2" t="s">
        <v>40</v>
      </c>
      <c r="E16" s="2" t="s">
        <v>41</v>
      </c>
      <c r="F16" s="2" t="s">
        <v>40</v>
      </c>
    </row>
    <row r="17" spans="2:6" x14ac:dyDescent="0.3">
      <c r="B17" s="2" t="s">
        <v>43</v>
      </c>
      <c r="C17" s="2" t="s">
        <v>5</v>
      </c>
      <c r="D17" s="2" t="s">
        <v>40</v>
      </c>
      <c r="E17" s="2" t="s">
        <v>41</v>
      </c>
      <c r="F17" s="2" t="s">
        <v>40</v>
      </c>
    </row>
    <row r="18" spans="2:6" x14ac:dyDescent="0.3">
      <c r="B18" s="2" t="s">
        <v>44</v>
      </c>
      <c r="C18" s="2" t="s">
        <v>5</v>
      </c>
      <c r="D18" s="2" t="s">
        <v>40</v>
      </c>
      <c r="E18" s="2" t="s">
        <v>41</v>
      </c>
      <c r="F18" s="2" t="s">
        <v>40</v>
      </c>
    </row>
    <row r="19" spans="2:6" x14ac:dyDescent="0.3">
      <c r="B19" s="2" t="s">
        <v>45</v>
      </c>
      <c r="C19" s="2" t="s">
        <v>5</v>
      </c>
      <c r="D19" s="2" t="s">
        <v>40</v>
      </c>
      <c r="E19" s="2" t="s">
        <v>41</v>
      </c>
      <c r="F19" s="2" t="s">
        <v>40</v>
      </c>
    </row>
    <row r="20" spans="2:6" x14ac:dyDescent="0.3">
      <c r="B20" s="2" t="s">
        <v>46</v>
      </c>
      <c r="C20" s="2" t="s">
        <v>5</v>
      </c>
      <c r="D20" s="2" t="s">
        <v>40</v>
      </c>
      <c r="E20" s="2" t="s">
        <v>41</v>
      </c>
      <c r="F20" s="2" t="s">
        <v>40</v>
      </c>
    </row>
    <row r="21" spans="2:6" x14ac:dyDescent="0.3">
      <c r="B21" s="2" t="s">
        <v>47</v>
      </c>
      <c r="C21" s="2" t="s">
        <v>5</v>
      </c>
      <c r="D21" s="2" t="s">
        <v>40</v>
      </c>
      <c r="E21" s="2" t="s">
        <v>41</v>
      </c>
      <c r="F21" s="2" t="s">
        <v>40</v>
      </c>
    </row>
    <row r="22" spans="2:6" x14ac:dyDescent="0.3">
      <c r="B22" s="2" t="s">
        <v>48</v>
      </c>
      <c r="C22" s="2" t="s">
        <v>5</v>
      </c>
      <c r="D22" s="2" t="s">
        <v>40</v>
      </c>
      <c r="E22" s="2" t="s">
        <v>41</v>
      </c>
      <c r="F22" s="2" t="s">
        <v>40</v>
      </c>
    </row>
    <row r="23" spans="2:6" x14ac:dyDescent="0.3">
      <c r="B23" s="2" t="s">
        <v>49</v>
      </c>
      <c r="C23" s="2" t="s">
        <v>5</v>
      </c>
      <c r="D23" s="2" t="s">
        <v>40</v>
      </c>
      <c r="E23" s="2" t="s">
        <v>41</v>
      </c>
      <c r="F23" s="2" t="s">
        <v>40</v>
      </c>
    </row>
    <row r="24" spans="2:6" x14ac:dyDescent="0.3">
      <c r="B24" s="2" t="s">
        <v>50</v>
      </c>
      <c r="C24" s="2" t="s">
        <v>5</v>
      </c>
      <c r="D24" s="2" t="s">
        <v>40</v>
      </c>
      <c r="E24" s="2" t="s">
        <v>41</v>
      </c>
      <c r="F24" s="2" t="s">
        <v>40</v>
      </c>
    </row>
    <row r="25" spans="2:6" x14ac:dyDescent="0.3">
      <c r="B25" s="2" t="s">
        <v>51</v>
      </c>
      <c r="C25" s="2" t="s">
        <v>5</v>
      </c>
      <c r="D25" s="2" t="s">
        <v>40</v>
      </c>
      <c r="E25" s="2" t="s">
        <v>41</v>
      </c>
      <c r="F25" s="2" t="s">
        <v>40</v>
      </c>
    </row>
    <row r="26" spans="2:6" x14ac:dyDescent="0.3">
      <c r="B26" s="2" t="s">
        <v>52</v>
      </c>
      <c r="C26" s="2" t="s">
        <v>5</v>
      </c>
      <c r="D26" s="2" t="s">
        <v>40</v>
      </c>
      <c r="E26" s="2" t="s">
        <v>41</v>
      </c>
      <c r="F26" s="2" t="s">
        <v>40</v>
      </c>
    </row>
    <row r="27" spans="2:6" x14ac:dyDescent="0.3">
      <c r="B27" s="2" t="s">
        <v>53</v>
      </c>
      <c r="C27" s="2" t="s">
        <v>5</v>
      </c>
      <c r="D27" s="2" t="s">
        <v>40</v>
      </c>
      <c r="E27" s="2" t="s">
        <v>41</v>
      </c>
      <c r="F27" s="2" t="s">
        <v>40</v>
      </c>
    </row>
    <row r="28" spans="2:6" x14ac:dyDescent="0.3">
      <c r="B28" s="2" t="s">
        <v>54</v>
      </c>
      <c r="C28" s="2" t="s">
        <v>5</v>
      </c>
      <c r="D28" s="2" t="s">
        <v>40</v>
      </c>
      <c r="E28" s="2" t="s">
        <v>41</v>
      </c>
      <c r="F28" s="2" t="s">
        <v>40</v>
      </c>
    </row>
    <row r="29" spans="2:6" x14ac:dyDescent="0.3">
      <c r="B29" s="2" t="s">
        <v>55</v>
      </c>
      <c r="C29" s="2" t="s">
        <v>5</v>
      </c>
      <c r="D29" s="2" t="s">
        <v>40</v>
      </c>
      <c r="E29" s="2" t="s">
        <v>41</v>
      </c>
      <c r="F29" s="2" t="s">
        <v>40</v>
      </c>
    </row>
    <row r="30" spans="2:6" x14ac:dyDescent="0.3">
      <c r="B30" s="2" t="s">
        <v>56</v>
      </c>
      <c r="C30" s="2" t="s">
        <v>5</v>
      </c>
      <c r="D30" s="2" t="s">
        <v>40</v>
      </c>
      <c r="E30" s="2" t="s">
        <v>41</v>
      </c>
      <c r="F30" s="2" t="s">
        <v>40</v>
      </c>
    </row>
    <row r="31" spans="2:6" x14ac:dyDescent="0.3">
      <c r="B31" s="2" t="s">
        <v>57</v>
      </c>
      <c r="C31" s="2" t="s">
        <v>5</v>
      </c>
      <c r="D31" s="2" t="s">
        <v>40</v>
      </c>
      <c r="E31" s="2" t="s">
        <v>41</v>
      </c>
      <c r="F31" s="2" t="s">
        <v>40</v>
      </c>
    </row>
    <row r="32" spans="2:6" x14ac:dyDescent="0.3">
      <c r="B32" s="2" t="s">
        <v>58</v>
      </c>
      <c r="C32" s="2" t="s">
        <v>5</v>
      </c>
      <c r="D32" s="2" t="s">
        <v>40</v>
      </c>
      <c r="E32" s="2" t="s">
        <v>41</v>
      </c>
      <c r="F32" s="2" t="s">
        <v>40</v>
      </c>
    </row>
    <row r="33" spans="2:6" x14ac:dyDescent="0.3">
      <c r="B33" s="2" t="s">
        <v>59</v>
      </c>
      <c r="C33" s="2" t="s">
        <v>5</v>
      </c>
      <c r="D33" s="2" t="s">
        <v>40</v>
      </c>
      <c r="E33" s="2" t="s">
        <v>41</v>
      </c>
      <c r="F33" s="2" t="s">
        <v>40</v>
      </c>
    </row>
    <row r="34" spans="2:6" x14ac:dyDescent="0.3">
      <c r="B34" s="2" t="s">
        <v>60</v>
      </c>
      <c r="C34" s="2" t="s">
        <v>5</v>
      </c>
      <c r="D34" s="2" t="s">
        <v>40</v>
      </c>
      <c r="E34" s="2" t="s">
        <v>41</v>
      </c>
      <c r="F34" s="2" t="s">
        <v>40</v>
      </c>
    </row>
  </sheetData>
  <mergeCells count="1">
    <mergeCell ref="B9:F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D25B-5FA1-48DB-9596-48F03597EC1B}">
  <dimension ref="A1:N39"/>
  <sheetViews>
    <sheetView showGridLines="0" workbookViewId="0">
      <selection activeCell="B4" sqref="B4"/>
    </sheetView>
  </sheetViews>
  <sheetFormatPr defaultColWidth="0" defaultRowHeight="14.4" x14ac:dyDescent="0.3"/>
  <cols>
    <col min="1" max="1" width="3.77734375" customWidth="1"/>
    <col min="2" max="2" width="51.109375" bestFit="1" customWidth="1"/>
    <col min="3" max="3" width="15.44140625" bestFit="1" customWidth="1"/>
    <col min="4" max="4" width="15.88671875" bestFit="1" customWidth="1"/>
    <col min="5" max="5" width="14.109375" bestFit="1" customWidth="1"/>
    <col min="6" max="6" width="29.88671875" bestFit="1" customWidth="1"/>
    <col min="7" max="7" width="33.44140625" bestFit="1" customWidth="1"/>
    <col min="8" max="8" width="77.44140625" bestFit="1" customWidth="1"/>
    <col min="9" max="9" width="3.77734375" customWidth="1"/>
    <col min="10" max="14" width="0" hidden="1" customWidth="1"/>
    <col min="15" max="16384" width="8.88671875" hidden="1"/>
  </cols>
  <sheetData>
    <row r="1" spans="1:9" x14ac:dyDescent="0.3">
      <c r="A1" s="6"/>
      <c r="B1" s="6"/>
      <c r="C1" s="6"/>
      <c r="D1" s="6"/>
      <c r="E1" s="6"/>
      <c r="F1" s="6"/>
      <c r="G1" s="6"/>
      <c r="H1" s="6"/>
      <c r="I1" s="6"/>
    </row>
    <row r="2" spans="1:9" x14ac:dyDescent="0.3">
      <c r="A2" s="7"/>
      <c r="B2" s="7"/>
      <c r="C2" s="7"/>
      <c r="D2" s="7"/>
      <c r="E2" s="7"/>
      <c r="F2" s="7"/>
      <c r="G2" s="7"/>
      <c r="H2" s="7"/>
      <c r="I2" s="7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7"/>
      <c r="B4" s="7"/>
      <c r="C4" s="7"/>
      <c r="D4" s="7"/>
      <c r="E4" s="7"/>
      <c r="F4" s="7"/>
      <c r="G4" s="7"/>
      <c r="H4" s="7"/>
      <c r="I4" s="7"/>
    </row>
    <row r="5" spans="1:9" ht="3" customHeight="1" x14ac:dyDescent="0.3">
      <c r="A5" s="9"/>
      <c r="B5" s="9"/>
      <c r="C5" s="9"/>
      <c r="D5" s="9"/>
      <c r="E5" s="9"/>
      <c r="F5" s="9"/>
      <c r="G5" s="9"/>
      <c r="H5" s="9"/>
      <c r="I5" s="9"/>
    </row>
    <row r="7" spans="1:9" x14ac:dyDescent="0.3">
      <c r="B7" s="10" t="s">
        <v>164</v>
      </c>
      <c r="C7" s="11"/>
      <c r="D7" s="11"/>
      <c r="E7" s="11"/>
      <c r="F7" s="11"/>
      <c r="G7" s="11"/>
      <c r="H7" s="11"/>
    </row>
    <row r="8" spans="1:9" ht="7.05" customHeight="1" x14ac:dyDescent="0.3"/>
    <row r="9" spans="1:9" ht="14.4" customHeight="1" x14ac:dyDescent="0.3">
      <c r="B9" s="14" t="s">
        <v>166</v>
      </c>
      <c r="C9" s="14"/>
      <c r="D9" s="14"/>
      <c r="E9" s="14"/>
      <c r="F9" s="14"/>
      <c r="G9" s="14"/>
      <c r="H9" s="14"/>
    </row>
    <row r="10" spans="1:9" x14ac:dyDescent="0.3">
      <c r="B10" s="14"/>
      <c r="C10" s="14"/>
      <c r="D10" s="14"/>
      <c r="E10" s="14"/>
      <c r="F10" s="14"/>
      <c r="G10" s="14"/>
      <c r="H10" s="14"/>
    </row>
    <row r="11" spans="1:9" x14ac:dyDescent="0.3">
      <c r="B11" s="14"/>
      <c r="C11" s="14"/>
      <c r="D11" s="14"/>
      <c r="E11" s="14"/>
      <c r="F11" s="14"/>
      <c r="G11" s="14"/>
      <c r="H11" s="14"/>
    </row>
    <row r="12" spans="1:9" x14ac:dyDescent="0.3">
      <c r="B12" s="12"/>
      <c r="C12" s="12"/>
      <c r="D12" s="12"/>
      <c r="E12" s="12"/>
      <c r="F12" s="12"/>
      <c r="G12" s="12"/>
    </row>
    <row r="13" spans="1:9" x14ac:dyDescent="0.3">
      <c r="B13" s="1" t="s">
        <v>0</v>
      </c>
      <c r="C13" s="1" t="s">
        <v>61</v>
      </c>
      <c r="D13" s="1" t="s">
        <v>62</v>
      </c>
      <c r="E13" s="1" t="s">
        <v>63</v>
      </c>
      <c r="F13" s="3" t="s">
        <v>90</v>
      </c>
      <c r="G13" s="3" t="s">
        <v>91</v>
      </c>
      <c r="H13" s="3" t="s">
        <v>101</v>
      </c>
    </row>
    <row r="14" spans="1:9" x14ac:dyDescent="0.3">
      <c r="B14" s="2" t="s">
        <v>64</v>
      </c>
      <c r="C14" s="2" t="s">
        <v>5</v>
      </c>
      <c r="D14" s="2" t="s">
        <v>65</v>
      </c>
      <c r="E14" s="2" t="s">
        <v>66</v>
      </c>
      <c r="F14" s="4">
        <v>45716</v>
      </c>
      <c r="G14" s="2" t="s">
        <v>65</v>
      </c>
      <c r="H14" s="2"/>
    </row>
    <row r="15" spans="1:9" x14ac:dyDescent="0.3">
      <c r="B15" s="2" t="s">
        <v>67</v>
      </c>
      <c r="C15" s="2" t="s">
        <v>5</v>
      </c>
      <c r="D15" s="2" t="s">
        <v>68</v>
      </c>
      <c r="E15" s="2" t="s">
        <v>66</v>
      </c>
      <c r="F15" s="4">
        <v>45716</v>
      </c>
      <c r="G15" s="2" t="s">
        <v>68</v>
      </c>
      <c r="H15" s="2"/>
    </row>
    <row r="16" spans="1:9" x14ac:dyDescent="0.3">
      <c r="B16" s="2" t="s">
        <v>69</v>
      </c>
      <c r="C16" s="2" t="s">
        <v>5</v>
      </c>
      <c r="D16" s="2" t="s">
        <v>68</v>
      </c>
      <c r="E16" s="2" t="s">
        <v>66</v>
      </c>
      <c r="F16" s="4">
        <v>45716</v>
      </c>
      <c r="G16" s="2" t="s">
        <v>68</v>
      </c>
      <c r="H16" s="2"/>
    </row>
    <row r="17" spans="2:8" x14ac:dyDescent="0.3">
      <c r="B17" s="2" t="s">
        <v>70</v>
      </c>
      <c r="C17" s="2" t="s">
        <v>5</v>
      </c>
      <c r="D17" s="2" t="s">
        <v>71</v>
      </c>
      <c r="E17" s="2" t="s">
        <v>66</v>
      </c>
      <c r="F17" s="4">
        <v>45657</v>
      </c>
      <c r="G17" s="2" t="s">
        <v>71</v>
      </c>
      <c r="H17" s="2"/>
    </row>
    <row r="18" spans="2:8" x14ac:dyDescent="0.3">
      <c r="B18" s="2" t="s">
        <v>72</v>
      </c>
      <c r="C18" s="2" t="s">
        <v>5</v>
      </c>
      <c r="D18" s="2" t="s">
        <v>65</v>
      </c>
      <c r="E18" s="2" t="s">
        <v>66</v>
      </c>
      <c r="F18" s="4">
        <v>45716</v>
      </c>
      <c r="G18" s="2" t="s">
        <v>65</v>
      </c>
      <c r="H18" s="2"/>
    </row>
    <row r="19" spans="2:8" x14ac:dyDescent="0.3">
      <c r="B19" s="2" t="s">
        <v>73</v>
      </c>
      <c r="C19" s="2" t="s">
        <v>5</v>
      </c>
      <c r="D19" s="2" t="s">
        <v>65</v>
      </c>
      <c r="E19" s="2" t="s">
        <v>66</v>
      </c>
      <c r="F19" s="4">
        <v>45716</v>
      </c>
      <c r="G19" s="2" t="s">
        <v>65</v>
      </c>
      <c r="H19" s="2"/>
    </row>
    <row r="20" spans="2:8" x14ac:dyDescent="0.3">
      <c r="B20" s="2" t="s">
        <v>74</v>
      </c>
      <c r="C20" s="2" t="s">
        <v>5</v>
      </c>
      <c r="D20" s="2" t="s">
        <v>65</v>
      </c>
      <c r="E20" s="2" t="s">
        <v>66</v>
      </c>
      <c r="F20" s="4">
        <v>45657</v>
      </c>
      <c r="G20" s="2" t="s">
        <v>65</v>
      </c>
      <c r="H20" s="2"/>
    </row>
    <row r="21" spans="2:8" x14ac:dyDescent="0.3">
      <c r="B21" s="2" t="s">
        <v>75</v>
      </c>
      <c r="C21" s="2" t="s">
        <v>5</v>
      </c>
      <c r="D21" s="2" t="s">
        <v>68</v>
      </c>
      <c r="E21" s="2" t="s">
        <v>66</v>
      </c>
      <c r="F21" s="4">
        <v>45716</v>
      </c>
      <c r="G21" s="2" t="s">
        <v>68</v>
      </c>
      <c r="H21" s="2"/>
    </row>
    <row r="22" spans="2:8" x14ac:dyDescent="0.3">
      <c r="B22" s="2" t="s">
        <v>76</v>
      </c>
      <c r="C22" s="2" t="s">
        <v>5</v>
      </c>
      <c r="D22" s="2" t="s">
        <v>65</v>
      </c>
      <c r="E22" s="2" t="s">
        <v>66</v>
      </c>
      <c r="F22" s="4">
        <v>45657</v>
      </c>
      <c r="G22" s="2" t="s">
        <v>65</v>
      </c>
      <c r="H22" s="2"/>
    </row>
    <row r="23" spans="2:8" x14ac:dyDescent="0.3">
      <c r="B23" s="2" t="s">
        <v>77</v>
      </c>
      <c r="C23" s="2" t="s">
        <v>5</v>
      </c>
      <c r="D23" s="2" t="s">
        <v>65</v>
      </c>
      <c r="E23" s="2" t="s">
        <v>66</v>
      </c>
      <c r="F23" s="4">
        <v>45716</v>
      </c>
      <c r="G23" s="2" t="s">
        <v>65</v>
      </c>
      <c r="H23" s="2"/>
    </row>
    <row r="24" spans="2:8" x14ac:dyDescent="0.3">
      <c r="B24" s="2" t="s">
        <v>78</v>
      </c>
      <c r="C24" s="2" t="s">
        <v>5</v>
      </c>
      <c r="D24" s="2" t="s">
        <v>65</v>
      </c>
      <c r="E24" s="2" t="s">
        <v>66</v>
      </c>
      <c r="F24" s="4">
        <v>45716</v>
      </c>
      <c r="G24" s="2" t="s">
        <v>65</v>
      </c>
      <c r="H24" s="2"/>
    </row>
    <row r="25" spans="2:8" x14ac:dyDescent="0.3">
      <c r="B25" s="2" t="s">
        <v>79</v>
      </c>
      <c r="C25" s="2" t="s">
        <v>5</v>
      </c>
      <c r="D25" s="2" t="s">
        <v>65</v>
      </c>
      <c r="E25" s="2" t="s">
        <v>66</v>
      </c>
      <c r="F25" s="4">
        <v>45657</v>
      </c>
      <c r="G25" s="2" t="s">
        <v>65</v>
      </c>
      <c r="H25" s="2"/>
    </row>
    <row r="26" spans="2:8" x14ac:dyDescent="0.3">
      <c r="B26" s="2" t="s">
        <v>80</v>
      </c>
      <c r="C26" s="2" t="s">
        <v>5</v>
      </c>
      <c r="D26" s="2" t="s">
        <v>65</v>
      </c>
      <c r="E26" s="2" t="s">
        <v>66</v>
      </c>
      <c r="F26" s="4">
        <v>45716</v>
      </c>
      <c r="G26" s="2" t="s">
        <v>65</v>
      </c>
      <c r="H26" s="2"/>
    </row>
    <row r="27" spans="2:8" x14ac:dyDescent="0.3">
      <c r="B27" s="2" t="s">
        <v>81</v>
      </c>
      <c r="C27" s="2" t="s">
        <v>5</v>
      </c>
      <c r="D27" s="2" t="s">
        <v>65</v>
      </c>
      <c r="E27" s="2" t="s">
        <v>66</v>
      </c>
      <c r="F27" s="4">
        <v>45716</v>
      </c>
      <c r="G27" s="2" t="s">
        <v>65</v>
      </c>
      <c r="H27" s="2"/>
    </row>
    <row r="28" spans="2:8" x14ac:dyDescent="0.3">
      <c r="B28" s="2" t="s">
        <v>82</v>
      </c>
      <c r="C28" s="2" t="s">
        <v>5</v>
      </c>
      <c r="D28" s="2" t="s">
        <v>65</v>
      </c>
      <c r="E28" s="2" t="s">
        <v>66</v>
      </c>
      <c r="F28" s="4">
        <v>45657</v>
      </c>
      <c r="G28" s="2" t="s">
        <v>65</v>
      </c>
      <c r="H28" s="2"/>
    </row>
    <row r="29" spans="2:8" x14ac:dyDescent="0.3">
      <c r="B29" s="2" t="s">
        <v>83</v>
      </c>
      <c r="C29" s="2" t="s">
        <v>5</v>
      </c>
      <c r="D29" s="2" t="s">
        <v>65</v>
      </c>
      <c r="E29" s="2" t="s">
        <v>66</v>
      </c>
      <c r="F29" s="4">
        <v>45657</v>
      </c>
      <c r="G29" s="2" t="s">
        <v>65</v>
      </c>
      <c r="H29" s="2"/>
    </row>
    <row r="30" spans="2:8" x14ac:dyDescent="0.3">
      <c r="B30" s="2" t="s">
        <v>84</v>
      </c>
      <c r="C30" s="2" t="s">
        <v>5</v>
      </c>
      <c r="D30" s="2" t="s">
        <v>68</v>
      </c>
      <c r="E30" s="2" t="s">
        <v>66</v>
      </c>
      <c r="F30" s="4">
        <v>45716</v>
      </c>
      <c r="G30" s="2" t="s">
        <v>68</v>
      </c>
      <c r="H30" s="2"/>
    </row>
    <row r="31" spans="2:8" x14ac:dyDescent="0.3">
      <c r="B31" s="2" t="s">
        <v>85</v>
      </c>
      <c r="C31" s="2" t="s">
        <v>5</v>
      </c>
      <c r="D31" s="2" t="s">
        <v>65</v>
      </c>
      <c r="E31" s="2" t="s">
        <v>66</v>
      </c>
      <c r="F31" s="4">
        <v>45657</v>
      </c>
      <c r="G31" s="2" t="s">
        <v>65</v>
      </c>
      <c r="H31" s="2"/>
    </row>
    <row r="32" spans="2:8" x14ac:dyDescent="0.3">
      <c r="B32" s="2" t="s">
        <v>86</v>
      </c>
      <c r="C32" s="2" t="s">
        <v>5</v>
      </c>
      <c r="D32" s="2" t="s">
        <v>65</v>
      </c>
      <c r="E32" s="2" t="s">
        <v>66</v>
      </c>
      <c r="F32" s="4">
        <v>45716</v>
      </c>
      <c r="G32" s="2" t="s">
        <v>65</v>
      </c>
      <c r="H32" s="2"/>
    </row>
    <row r="33" spans="2:8" x14ac:dyDescent="0.3">
      <c r="B33" s="2" t="s">
        <v>87</v>
      </c>
      <c r="C33" s="2" t="s">
        <v>5</v>
      </c>
      <c r="D33" s="2" t="s">
        <v>65</v>
      </c>
      <c r="E33" s="2" t="s">
        <v>66</v>
      </c>
      <c r="F33" s="4">
        <v>45657</v>
      </c>
      <c r="G33" s="2" t="s">
        <v>65</v>
      </c>
      <c r="H33" s="2"/>
    </row>
    <row r="34" spans="2:8" x14ac:dyDescent="0.3">
      <c r="B34" s="2" t="s">
        <v>92</v>
      </c>
      <c r="C34" s="2" t="s">
        <v>5</v>
      </c>
      <c r="D34" s="2" t="s">
        <v>93</v>
      </c>
      <c r="E34" s="2" t="s">
        <v>94</v>
      </c>
      <c r="F34" s="2"/>
      <c r="G34" s="2"/>
      <c r="H34" s="2" t="s">
        <v>100</v>
      </c>
    </row>
    <row r="35" spans="2:8" x14ac:dyDescent="0.3">
      <c r="B35" s="2" t="s">
        <v>95</v>
      </c>
      <c r="C35" s="2" t="s">
        <v>5</v>
      </c>
      <c r="D35" s="2" t="s">
        <v>93</v>
      </c>
      <c r="E35" s="2" t="s">
        <v>94</v>
      </c>
      <c r="F35" s="2"/>
      <c r="G35" s="2"/>
      <c r="H35" s="2" t="s">
        <v>100</v>
      </c>
    </row>
    <row r="36" spans="2:8" x14ac:dyDescent="0.3">
      <c r="B36" s="2" t="s">
        <v>96</v>
      </c>
      <c r="C36" s="2" t="s">
        <v>5</v>
      </c>
      <c r="D36" s="2" t="s">
        <v>93</v>
      </c>
      <c r="E36" s="2" t="s">
        <v>94</v>
      </c>
      <c r="F36" s="2"/>
      <c r="G36" s="2"/>
      <c r="H36" s="2" t="s">
        <v>100</v>
      </c>
    </row>
    <row r="37" spans="2:8" x14ac:dyDescent="0.3">
      <c r="B37" s="2" t="s">
        <v>97</v>
      </c>
      <c r="C37" s="2" t="s">
        <v>5</v>
      </c>
      <c r="D37" s="2" t="s">
        <v>93</v>
      </c>
      <c r="E37" s="2" t="s">
        <v>94</v>
      </c>
      <c r="F37" s="2"/>
      <c r="G37" s="2"/>
      <c r="H37" s="2" t="s">
        <v>100</v>
      </c>
    </row>
    <row r="38" spans="2:8" x14ac:dyDescent="0.3">
      <c r="B38" s="2" t="s">
        <v>98</v>
      </c>
      <c r="C38" s="2" t="s">
        <v>5</v>
      </c>
      <c r="D38" s="2" t="s">
        <v>93</v>
      </c>
      <c r="E38" s="2" t="s">
        <v>94</v>
      </c>
      <c r="F38" s="2"/>
      <c r="G38" s="2"/>
      <c r="H38" s="2" t="s">
        <v>100</v>
      </c>
    </row>
    <row r="39" spans="2:8" x14ac:dyDescent="0.3">
      <c r="B39" s="2" t="s">
        <v>99</v>
      </c>
      <c r="C39" s="2" t="s">
        <v>5</v>
      </c>
      <c r="D39" s="2" t="s">
        <v>93</v>
      </c>
      <c r="E39" s="2" t="s">
        <v>94</v>
      </c>
      <c r="F39" s="2"/>
      <c r="G39" s="2"/>
      <c r="H39" s="2" t="s">
        <v>100</v>
      </c>
    </row>
  </sheetData>
  <mergeCells count="1">
    <mergeCell ref="B9:H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A622-2A23-47BA-A638-3156B22B7F86}">
  <dimension ref="A1:N40"/>
  <sheetViews>
    <sheetView showGridLines="0" workbookViewId="0">
      <selection activeCell="B9" sqref="B9:G12"/>
    </sheetView>
  </sheetViews>
  <sheetFormatPr defaultColWidth="0" defaultRowHeight="14.4" x14ac:dyDescent="0.3"/>
  <cols>
    <col min="1" max="1" width="3.77734375" customWidth="1"/>
    <col min="2" max="2" width="33.6640625" bestFit="1" customWidth="1"/>
    <col min="3" max="3" width="18" bestFit="1" customWidth="1"/>
    <col min="4" max="4" width="19" bestFit="1" customWidth="1"/>
    <col min="5" max="5" width="17.21875" bestFit="1" customWidth="1"/>
    <col min="6" max="6" width="29.88671875" bestFit="1" customWidth="1"/>
    <col min="7" max="7" width="20.6640625" bestFit="1" customWidth="1"/>
    <col min="8" max="8" width="3.77734375" customWidth="1"/>
    <col min="9" max="14" width="0" hidden="1" customWidth="1"/>
    <col min="15" max="16384" width="8.88671875" hidden="1"/>
  </cols>
  <sheetData>
    <row r="1" spans="1:8" x14ac:dyDescent="0.3">
      <c r="A1" s="6"/>
      <c r="B1" s="6"/>
      <c r="C1" s="6"/>
      <c r="D1" s="6"/>
      <c r="E1" s="6"/>
      <c r="F1" s="6"/>
      <c r="G1" s="6"/>
      <c r="H1" s="6"/>
    </row>
    <row r="2" spans="1:8" x14ac:dyDescent="0.3">
      <c r="A2" s="7"/>
      <c r="B2" s="7"/>
      <c r="C2" s="7"/>
      <c r="D2" s="7"/>
      <c r="E2" s="7"/>
      <c r="F2" s="7"/>
      <c r="G2" s="7"/>
      <c r="H2" s="7"/>
    </row>
    <row r="3" spans="1:8" x14ac:dyDescent="0.3">
      <c r="A3" s="8"/>
      <c r="B3" s="8"/>
      <c r="C3" s="8"/>
      <c r="D3" s="8"/>
      <c r="E3" s="8"/>
      <c r="F3" s="8"/>
      <c r="G3" s="8"/>
      <c r="H3" s="8"/>
    </row>
    <row r="4" spans="1:8" x14ac:dyDescent="0.3">
      <c r="A4" s="7"/>
      <c r="B4" s="7"/>
      <c r="C4" s="7"/>
      <c r="D4" s="7"/>
      <c r="E4" s="7"/>
      <c r="F4" s="7"/>
      <c r="G4" s="7"/>
      <c r="H4" s="7"/>
    </row>
    <row r="5" spans="1:8" ht="3" customHeight="1" x14ac:dyDescent="0.3">
      <c r="A5" s="9"/>
      <c r="B5" s="9"/>
      <c r="C5" s="9"/>
      <c r="D5" s="9"/>
      <c r="E5" s="9"/>
      <c r="F5" s="9"/>
      <c r="G5" s="9"/>
      <c r="H5" s="9"/>
    </row>
    <row r="7" spans="1:8" x14ac:dyDescent="0.3">
      <c r="B7" s="10" t="s">
        <v>167</v>
      </c>
      <c r="C7" s="11"/>
      <c r="D7" s="11"/>
      <c r="E7" s="11"/>
      <c r="F7" s="11"/>
      <c r="G7" s="11"/>
    </row>
    <row r="8" spans="1:8" ht="7.05" customHeight="1" x14ac:dyDescent="0.3"/>
    <row r="9" spans="1:8" ht="14.4" customHeight="1" x14ac:dyDescent="0.3">
      <c r="B9" s="14" t="s">
        <v>168</v>
      </c>
      <c r="C9" s="14"/>
      <c r="D9" s="14"/>
      <c r="E9" s="14"/>
      <c r="F9" s="14"/>
      <c r="G9" s="14"/>
    </row>
    <row r="10" spans="1:8" x14ac:dyDescent="0.3">
      <c r="B10" s="14"/>
      <c r="C10" s="14"/>
      <c r="D10" s="14"/>
      <c r="E10" s="14"/>
      <c r="F10" s="14"/>
      <c r="G10" s="14"/>
    </row>
    <row r="11" spans="1:8" x14ac:dyDescent="0.3">
      <c r="B11" s="14"/>
      <c r="C11" s="14"/>
      <c r="D11" s="14"/>
      <c r="E11" s="14"/>
      <c r="F11" s="14"/>
      <c r="G11" s="14"/>
    </row>
    <row r="12" spans="1:8" x14ac:dyDescent="0.3">
      <c r="B12" s="14"/>
      <c r="C12" s="14"/>
      <c r="D12" s="14"/>
      <c r="E12" s="14"/>
      <c r="F12" s="14"/>
      <c r="G12" s="14"/>
    </row>
    <row r="14" spans="1:8" x14ac:dyDescent="0.3">
      <c r="B14" s="1" t="s">
        <v>0</v>
      </c>
      <c r="C14" s="1" t="s">
        <v>102</v>
      </c>
      <c r="D14" s="1" t="s">
        <v>103</v>
      </c>
      <c r="E14" s="1" t="s">
        <v>104</v>
      </c>
      <c r="F14" s="3" t="s">
        <v>90</v>
      </c>
      <c r="G14" s="3" t="s">
        <v>35</v>
      </c>
    </row>
    <row r="15" spans="1:8" x14ac:dyDescent="0.3">
      <c r="B15" s="2" t="s">
        <v>105</v>
      </c>
      <c r="C15" s="2" t="s">
        <v>5</v>
      </c>
      <c r="D15" s="2" t="s">
        <v>93</v>
      </c>
      <c r="E15" s="2" t="s">
        <v>106</v>
      </c>
      <c r="F15" s="4">
        <v>45716</v>
      </c>
      <c r="G15" s="2" t="s">
        <v>93</v>
      </c>
    </row>
    <row r="16" spans="1:8" x14ac:dyDescent="0.3">
      <c r="B16" s="2" t="s">
        <v>107</v>
      </c>
      <c r="C16" s="2" t="s">
        <v>5</v>
      </c>
      <c r="D16" s="2" t="s">
        <v>93</v>
      </c>
      <c r="E16" s="2" t="s">
        <v>106</v>
      </c>
      <c r="F16" s="4">
        <v>45716</v>
      </c>
      <c r="G16" s="2" t="s">
        <v>93</v>
      </c>
    </row>
    <row r="17" spans="2:7" x14ac:dyDescent="0.3">
      <c r="B17" s="5" t="s">
        <v>108</v>
      </c>
      <c r="C17" s="2" t="s">
        <v>5</v>
      </c>
      <c r="D17" s="2" t="s">
        <v>106</v>
      </c>
      <c r="E17" s="2" t="s">
        <v>93</v>
      </c>
      <c r="F17" s="4">
        <v>45716</v>
      </c>
      <c r="G17" s="2" t="s">
        <v>106</v>
      </c>
    </row>
    <row r="18" spans="2:7" x14ac:dyDescent="0.3">
      <c r="B18" s="5" t="s">
        <v>109</v>
      </c>
      <c r="C18" s="2" t="s">
        <v>5</v>
      </c>
      <c r="D18" s="2" t="s">
        <v>106</v>
      </c>
      <c r="E18" s="2" t="s">
        <v>93</v>
      </c>
      <c r="F18" s="4">
        <v>45716</v>
      </c>
      <c r="G18" s="2" t="s">
        <v>106</v>
      </c>
    </row>
    <row r="19" spans="2:7" x14ac:dyDescent="0.3">
      <c r="B19" s="5" t="s">
        <v>110</v>
      </c>
      <c r="C19" s="2" t="s">
        <v>5</v>
      </c>
      <c r="D19" s="2" t="s">
        <v>106</v>
      </c>
      <c r="E19" s="2" t="s">
        <v>93</v>
      </c>
      <c r="F19" s="4">
        <v>45716</v>
      </c>
      <c r="G19" s="2" t="s">
        <v>106</v>
      </c>
    </row>
    <row r="20" spans="2:7" x14ac:dyDescent="0.3">
      <c r="B20" s="5" t="s">
        <v>111</v>
      </c>
      <c r="C20" s="2" t="s">
        <v>5</v>
      </c>
      <c r="D20" s="2" t="s">
        <v>106</v>
      </c>
      <c r="E20" s="2" t="s">
        <v>93</v>
      </c>
      <c r="F20" s="4">
        <v>45716</v>
      </c>
      <c r="G20" s="2" t="s">
        <v>106</v>
      </c>
    </row>
    <row r="21" spans="2:7" x14ac:dyDescent="0.3">
      <c r="B21" s="2" t="s">
        <v>112</v>
      </c>
      <c r="C21" s="2" t="s">
        <v>5</v>
      </c>
      <c r="D21" s="2" t="s">
        <v>106</v>
      </c>
      <c r="E21" s="2" t="s">
        <v>41</v>
      </c>
      <c r="F21" s="4">
        <v>45716</v>
      </c>
      <c r="G21" s="2" t="s">
        <v>106</v>
      </c>
    </row>
    <row r="22" spans="2:7" x14ac:dyDescent="0.3">
      <c r="B22" s="2" t="s">
        <v>113</v>
      </c>
      <c r="C22" s="2" t="s">
        <v>5</v>
      </c>
      <c r="D22" s="2" t="s">
        <v>106</v>
      </c>
      <c r="E22" s="2" t="s">
        <v>41</v>
      </c>
      <c r="F22" s="4">
        <v>45716</v>
      </c>
      <c r="G22" s="2" t="s">
        <v>106</v>
      </c>
    </row>
    <row r="23" spans="2:7" x14ac:dyDescent="0.3">
      <c r="B23" s="2" t="s">
        <v>114</v>
      </c>
      <c r="C23" s="2" t="s">
        <v>5</v>
      </c>
      <c r="D23" s="2" t="s">
        <v>106</v>
      </c>
      <c r="E23" s="2" t="s">
        <v>41</v>
      </c>
      <c r="F23" s="4">
        <v>45716</v>
      </c>
      <c r="G23" s="2" t="s">
        <v>106</v>
      </c>
    </row>
    <row r="24" spans="2:7" x14ac:dyDescent="0.3">
      <c r="B24" s="2" t="s">
        <v>115</v>
      </c>
      <c r="C24" s="2" t="s">
        <v>5</v>
      </c>
      <c r="D24" s="2" t="s">
        <v>106</v>
      </c>
      <c r="E24" s="2" t="s">
        <v>41</v>
      </c>
      <c r="F24" s="4">
        <v>45716</v>
      </c>
      <c r="G24" s="2" t="s">
        <v>106</v>
      </c>
    </row>
    <row r="25" spans="2:7" x14ac:dyDescent="0.3">
      <c r="B25" s="2" t="s">
        <v>116</v>
      </c>
      <c r="C25" s="2" t="s">
        <v>5</v>
      </c>
      <c r="D25" s="2" t="s">
        <v>106</v>
      </c>
      <c r="E25" s="2" t="s">
        <v>41</v>
      </c>
      <c r="F25" s="4">
        <v>45716</v>
      </c>
      <c r="G25" s="2" t="s">
        <v>106</v>
      </c>
    </row>
    <row r="26" spans="2:7" x14ac:dyDescent="0.3">
      <c r="B26" s="2" t="s">
        <v>117</v>
      </c>
      <c r="C26" s="2" t="s">
        <v>5</v>
      </c>
      <c r="D26" s="2" t="s">
        <v>106</v>
      </c>
      <c r="E26" s="2" t="s">
        <v>41</v>
      </c>
      <c r="F26" s="4">
        <v>45716</v>
      </c>
      <c r="G26" s="2" t="s">
        <v>106</v>
      </c>
    </row>
    <row r="27" spans="2:7" x14ac:dyDescent="0.3">
      <c r="B27" s="2" t="s">
        <v>118</v>
      </c>
      <c r="C27" s="2" t="s">
        <v>5</v>
      </c>
      <c r="D27" s="2" t="s">
        <v>106</v>
      </c>
      <c r="E27" s="2" t="s">
        <v>41</v>
      </c>
      <c r="F27" s="4">
        <v>45716</v>
      </c>
      <c r="G27" s="2" t="s">
        <v>106</v>
      </c>
    </row>
    <row r="28" spans="2:7" x14ac:dyDescent="0.3">
      <c r="B28" s="2" t="s">
        <v>119</v>
      </c>
      <c r="C28" s="2" t="s">
        <v>5</v>
      </c>
      <c r="D28" s="2" t="s">
        <v>106</v>
      </c>
      <c r="E28" s="2" t="s">
        <v>41</v>
      </c>
      <c r="F28" s="4">
        <v>45716</v>
      </c>
      <c r="G28" s="2" t="s">
        <v>106</v>
      </c>
    </row>
    <row r="29" spans="2:7" x14ac:dyDescent="0.3">
      <c r="B29" s="2" t="s">
        <v>120</v>
      </c>
      <c r="C29" s="2" t="s">
        <v>5</v>
      </c>
      <c r="D29" s="2" t="s">
        <v>106</v>
      </c>
      <c r="E29" s="2" t="s">
        <v>41</v>
      </c>
      <c r="F29" s="4">
        <v>45716</v>
      </c>
      <c r="G29" s="2" t="s">
        <v>106</v>
      </c>
    </row>
    <row r="30" spans="2:7" x14ac:dyDescent="0.3">
      <c r="B30" s="2" t="s">
        <v>121</v>
      </c>
      <c r="C30" s="2" t="s">
        <v>5</v>
      </c>
      <c r="D30" s="2" t="s">
        <v>106</v>
      </c>
      <c r="E30" s="2" t="s">
        <v>41</v>
      </c>
      <c r="F30" s="4">
        <v>45716</v>
      </c>
      <c r="G30" s="2" t="s">
        <v>106</v>
      </c>
    </row>
    <row r="31" spans="2:7" x14ac:dyDescent="0.3">
      <c r="B31" s="2" t="s">
        <v>122</v>
      </c>
      <c r="C31" s="2" t="s">
        <v>5</v>
      </c>
      <c r="D31" s="2" t="s">
        <v>106</v>
      </c>
      <c r="E31" s="2" t="s">
        <v>41</v>
      </c>
      <c r="F31" s="4">
        <v>45716</v>
      </c>
      <c r="G31" s="2" t="s">
        <v>106</v>
      </c>
    </row>
    <row r="32" spans="2:7" x14ac:dyDescent="0.3">
      <c r="B32" s="2" t="s">
        <v>123</v>
      </c>
      <c r="C32" s="2" t="s">
        <v>5</v>
      </c>
      <c r="D32" s="2" t="s">
        <v>106</v>
      </c>
      <c r="E32" s="2" t="s">
        <v>41</v>
      </c>
      <c r="F32" s="4">
        <v>45716</v>
      </c>
      <c r="G32" s="2" t="s">
        <v>106</v>
      </c>
    </row>
    <row r="33" spans="2:7" x14ac:dyDescent="0.3">
      <c r="B33" s="2" t="s">
        <v>124</v>
      </c>
      <c r="C33" s="2" t="s">
        <v>5</v>
      </c>
      <c r="D33" s="2" t="s">
        <v>106</v>
      </c>
      <c r="E33" s="2" t="s">
        <v>41</v>
      </c>
      <c r="F33" s="4">
        <v>45716</v>
      </c>
      <c r="G33" s="2" t="s">
        <v>106</v>
      </c>
    </row>
    <row r="34" spans="2:7" x14ac:dyDescent="0.3">
      <c r="B34" s="2" t="s">
        <v>125</v>
      </c>
      <c r="C34" s="2" t="s">
        <v>5</v>
      </c>
      <c r="D34" s="2" t="s">
        <v>106</v>
      </c>
      <c r="E34" s="2" t="s">
        <v>41</v>
      </c>
      <c r="F34" s="4">
        <v>45716</v>
      </c>
      <c r="G34" s="2" t="s">
        <v>106</v>
      </c>
    </row>
    <row r="35" spans="2:7" x14ac:dyDescent="0.3">
      <c r="B35" s="2" t="s">
        <v>126</v>
      </c>
      <c r="C35" s="2" t="s">
        <v>5</v>
      </c>
      <c r="D35" s="2" t="s">
        <v>106</v>
      </c>
      <c r="E35" s="2" t="s">
        <v>41</v>
      </c>
      <c r="F35" s="4">
        <v>45716</v>
      </c>
      <c r="G35" s="2" t="s">
        <v>106</v>
      </c>
    </row>
    <row r="36" spans="2:7" x14ac:dyDescent="0.3">
      <c r="B36" s="2" t="s">
        <v>127</v>
      </c>
      <c r="C36" s="2" t="s">
        <v>5</v>
      </c>
      <c r="D36" s="2" t="s">
        <v>106</v>
      </c>
      <c r="E36" s="2" t="s">
        <v>41</v>
      </c>
      <c r="F36" s="4">
        <v>45716</v>
      </c>
      <c r="G36" s="2" t="s">
        <v>106</v>
      </c>
    </row>
    <row r="37" spans="2:7" x14ac:dyDescent="0.3">
      <c r="B37" s="2" t="s">
        <v>128</v>
      </c>
      <c r="C37" s="2" t="s">
        <v>5</v>
      </c>
      <c r="D37" s="2" t="s">
        <v>106</v>
      </c>
      <c r="E37" s="2" t="s">
        <v>41</v>
      </c>
      <c r="F37" s="4">
        <v>45716</v>
      </c>
      <c r="G37" s="2" t="s">
        <v>106</v>
      </c>
    </row>
    <row r="38" spans="2:7" x14ac:dyDescent="0.3">
      <c r="B38" s="2" t="s">
        <v>129</v>
      </c>
      <c r="C38" s="2" t="s">
        <v>5</v>
      </c>
      <c r="D38" s="2" t="s">
        <v>106</v>
      </c>
      <c r="E38" s="2" t="s">
        <v>41</v>
      </c>
      <c r="F38" s="4">
        <v>45716</v>
      </c>
      <c r="G38" s="2" t="s">
        <v>106</v>
      </c>
    </row>
    <row r="39" spans="2:7" x14ac:dyDescent="0.3">
      <c r="B39" s="2" t="s">
        <v>130</v>
      </c>
      <c r="C39" s="2" t="s">
        <v>5</v>
      </c>
      <c r="D39" s="2" t="s">
        <v>106</v>
      </c>
      <c r="E39" s="2" t="s">
        <v>41</v>
      </c>
      <c r="F39" s="4">
        <v>45716</v>
      </c>
      <c r="G39" s="2" t="s">
        <v>106</v>
      </c>
    </row>
    <row r="40" spans="2:7" x14ac:dyDescent="0.3">
      <c r="B40" s="2" t="s">
        <v>131</v>
      </c>
      <c r="C40" s="2" t="s">
        <v>5</v>
      </c>
      <c r="D40" s="2" t="s">
        <v>106</v>
      </c>
      <c r="E40" s="2" t="s">
        <v>41</v>
      </c>
      <c r="F40" s="4">
        <v>45716</v>
      </c>
      <c r="G40" s="2" t="s">
        <v>106</v>
      </c>
    </row>
  </sheetData>
  <mergeCells count="1">
    <mergeCell ref="B9:G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F239-B707-4E1B-859A-7CFE4F92D549}">
  <dimension ref="A1:N44"/>
  <sheetViews>
    <sheetView showGridLines="0" tabSelected="1" workbookViewId="0">
      <selection activeCell="D25" sqref="D25"/>
    </sheetView>
  </sheetViews>
  <sheetFormatPr defaultColWidth="0" defaultRowHeight="14.4" x14ac:dyDescent="0.3"/>
  <cols>
    <col min="1" max="1" width="3.77734375" customWidth="1"/>
    <col min="2" max="2" width="33.6640625" bestFit="1" customWidth="1"/>
    <col min="3" max="3" width="18" bestFit="1" customWidth="1"/>
    <col min="4" max="4" width="19" bestFit="1" customWidth="1"/>
    <col min="5" max="5" width="17.21875" bestFit="1" customWidth="1"/>
    <col min="6" max="6" width="3.77734375" customWidth="1"/>
    <col min="7" max="14" width="0" hidden="1" customWidth="1"/>
    <col min="15" max="16384" width="8.88671875" hidden="1"/>
  </cols>
  <sheetData>
    <row r="1" spans="1:6" x14ac:dyDescent="0.3">
      <c r="A1" s="6"/>
      <c r="B1" s="6"/>
      <c r="C1" s="6"/>
      <c r="D1" s="6"/>
      <c r="E1" s="6"/>
      <c r="F1" s="6"/>
    </row>
    <row r="2" spans="1:6" x14ac:dyDescent="0.3">
      <c r="A2" s="7"/>
      <c r="B2" s="7"/>
      <c r="C2" s="7"/>
      <c r="D2" s="7"/>
      <c r="E2" s="7"/>
      <c r="F2" s="7"/>
    </row>
    <row r="3" spans="1:6" x14ac:dyDescent="0.3">
      <c r="A3" s="8"/>
      <c r="B3" s="8"/>
      <c r="C3" s="8"/>
      <c r="D3" s="8"/>
      <c r="E3" s="8"/>
      <c r="F3" s="8"/>
    </row>
    <row r="4" spans="1:6" x14ac:dyDescent="0.3">
      <c r="A4" s="7"/>
      <c r="B4" s="7"/>
      <c r="C4" s="7"/>
      <c r="D4" s="7"/>
      <c r="E4" s="7"/>
      <c r="F4" s="7"/>
    </row>
    <row r="5" spans="1:6" ht="3" customHeight="1" x14ac:dyDescent="0.3">
      <c r="A5" s="9"/>
      <c r="B5" s="9"/>
      <c r="C5" s="9"/>
      <c r="D5" s="9"/>
      <c r="E5" s="9"/>
      <c r="F5" s="9"/>
    </row>
    <row r="7" spans="1:6" x14ac:dyDescent="0.3">
      <c r="B7" s="10" t="s">
        <v>169</v>
      </c>
      <c r="C7" s="11"/>
      <c r="D7" s="11"/>
      <c r="E7" s="11"/>
    </row>
    <row r="8" spans="1:6" ht="7.05" customHeight="1" x14ac:dyDescent="0.3"/>
    <row r="9" spans="1:6" ht="14.4" customHeight="1" x14ac:dyDescent="0.3">
      <c r="B9" s="14" t="s">
        <v>177</v>
      </c>
      <c r="C9" s="14"/>
      <c r="D9" s="14"/>
      <c r="E9" s="14"/>
    </row>
    <row r="10" spans="1:6" x14ac:dyDescent="0.3">
      <c r="B10" s="14"/>
      <c r="C10" s="14"/>
      <c r="D10" s="14"/>
      <c r="E10" s="14"/>
    </row>
    <row r="11" spans="1:6" x14ac:dyDescent="0.3">
      <c r="B11" s="12"/>
      <c r="C11" s="12"/>
      <c r="D11" s="12"/>
      <c r="E11" s="12"/>
    </row>
    <row r="12" spans="1:6" x14ac:dyDescent="0.3">
      <c r="B12" s="1" t="s">
        <v>0</v>
      </c>
      <c r="C12" s="1" t="s">
        <v>170</v>
      </c>
      <c r="D12" s="1" t="s">
        <v>171</v>
      </c>
      <c r="E12" s="1" t="s">
        <v>172</v>
      </c>
    </row>
    <row r="13" spans="1:6" x14ac:dyDescent="0.3">
      <c r="B13" s="2" t="s">
        <v>173</v>
      </c>
      <c r="C13" s="2" t="s">
        <v>5</v>
      </c>
      <c r="D13" s="13">
        <v>7.0000000000000007E-2</v>
      </c>
      <c r="E13" s="13">
        <v>0.28000000000000003</v>
      </c>
    </row>
    <row r="14" spans="1:6" x14ac:dyDescent="0.3">
      <c r="B14" s="15" t="s">
        <v>174</v>
      </c>
      <c r="C14" s="15" t="s">
        <v>5</v>
      </c>
      <c r="D14" s="16">
        <v>161.04091083</v>
      </c>
      <c r="E14" s="16">
        <v>250.58</v>
      </c>
    </row>
    <row r="15" spans="1:6" x14ac:dyDescent="0.3">
      <c r="B15" s="5" t="s">
        <v>175</v>
      </c>
      <c r="C15" s="2" t="s">
        <v>5</v>
      </c>
      <c r="D15" s="13">
        <v>980.79</v>
      </c>
      <c r="E15" s="13">
        <v>3923.16</v>
      </c>
    </row>
    <row r="16" spans="1:6" x14ac:dyDescent="0.3">
      <c r="B16" s="5" t="s">
        <v>176</v>
      </c>
      <c r="C16" s="2" t="s">
        <v>5</v>
      </c>
      <c r="D16" s="13">
        <v>139.46666787000001</v>
      </c>
      <c r="E16" s="13">
        <v>108.5</v>
      </c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</sheetData>
  <mergeCells count="1">
    <mergeCell ref="B9:E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60FC-2570-4FE4-A487-885F64DC715F}">
  <dimension ref="A1:N16"/>
  <sheetViews>
    <sheetView showGridLines="0" workbookViewId="0">
      <selection activeCell="C17" sqref="C17"/>
    </sheetView>
  </sheetViews>
  <sheetFormatPr defaultColWidth="0" defaultRowHeight="14.4" x14ac:dyDescent="0.3"/>
  <cols>
    <col min="1" max="1" width="3.77734375" customWidth="1"/>
    <col min="2" max="2" width="33.6640625" bestFit="1" customWidth="1"/>
    <col min="3" max="3" width="18" bestFit="1" customWidth="1"/>
    <col min="4" max="4" width="19" bestFit="1" customWidth="1"/>
    <col min="5" max="5" width="17.21875" bestFit="1" customWidth="1"/>
    <col min="6" max="6" width="3.77734375" customWidth="1"/>
    <col min="7" max="14" width="0" hidden="1" customWidth="1"/>
    <col min="15" max="16384" width="8.88671875" hidden="1"/>
  </cols>
  <sheetData>
    <row r="1" spans="1:6" x14ac:dyDescent="0.3">
      <c r="A1" s="6"/>
      <c r="B1" s="6"/>
      <c r="C1" s="6"/>
      <c r="D1" s="6"/>
      <c r="E1" s="6"/>
      <c r="F1" s="6"/>
    </row>
    <row r="2" spans="1:6" x14ac:dyDescent="0.3">
      <c r="A2" s="7"/>
      <c r="B2" s="7"/>
      <c r="C2" s="7"/>
      <c r="D2" s="7"/>
      <c r="E2" s="7"/>
      <c r="F2" s="7"/>
    </row>
    <row r="3" spans="1:6" x14ac:dyDescent="0.3">
      <c r="A3" s="8"/>
      <c r="B3" s="8"/>
      <c r="C3" s="8"/>
      <c r="D3" s="8"/>
      <c r="E3" s="8"/>
      <c r="F3" s="8"/>
    </row>
    <row r="4" spans="1:6" x14ac:dyDescent="0.3">
      <c r="A4" s="7"/>
      <c r="B4" s="7"/>
      <c r="C4" s="7"/>
      <c r="D4" s="7"/>
      <c r="E4" s="7"/>
      <c r="F4" s="7"/>
    </row>
    <row r="5" spans="1:6" ht="3" customHeight="1" x14ac:dyDescent="0.3">
      <c r="A5" s="9"/>
      <c r="B5" s="9"/>
      <c r="C5" s="9"/>
      <c r="D5" s="9"/>
      <c r="E5" s="9"/>
      <c r="F5" s="9"/>
    </row>
    <row r="7" spans="1:6" x14ac:dyDescent="0.3">
      <c r="B7" s="10" t="s">
        <v>178</v>
      </c>
      <c r="C7" s="11"/>
      <c r="D7" s="11"/>
      <c r="E7" s="11"/>
    </row>
    <row r="8" spans="1:6" ht="7.05" customHeight="1" x14ac:dyDescent="0.3"/>
    <row r="9" spans="1:6" ht="14.4" customHeight="1" x14ac:dyDescent="0.3">
      <c r="B9" s="14" t="s">
        <v>179</v>
      </c>
      <c r="C9" s="14"/>
      <c r="D9" s="14"/>
      <c r="E9" s="14"/>
    </row>
    <row r="10" spans="1:6" x14ac:dyDescent="0.3">
      <c r="B10" s="14"/>
      <c r="C10" s="14"/>
      <c r="D10" s="14"/>
      <c r="E10" s="14"/>
    </row>
    <row r="11" spans="1:6" x14ac:dyDescent="0.3">
      <c r="B11" s="12"/>
      <c r="C11" s="12"/>
      <c r="D11" s="12"/>
      <c r="E11" s="12"/>
    </row>
    <row r="12" spans="1:6" x14ac:dyDescent="0.3">
      <c r="B12" s="1" t="s">
        <v>0</v>
      </c>
      <c r="C12" s="1" t="s">
        <v>180</v>
      </c>
      <c r="D12" s="1" t="s">
        <v>181</v>
      </c>
      <c r="E12" s="1" t="s">
        <v>182</v>
      </c>
    </row>
    <row r="13" spans="1:6" x14ac:dyDescent="0.3">
      <c r="B13" s="2" t="s">
        <v>173</v>
      </c>
      <c r="C13" s="2" t="s">
        <v>5</v>
      </c>
      <c r="D13" s="13">
        <v>0.05</v>
      </c>
      <c r="E13" s="13">
        <v>0.2</v>
      </c>
    </row>
    <row r="14" spans="1:6" x14ac:dyDescent="0.3">
      <c r="B14" s="2" t="s">
        <v>175</v>
      </c>
      <c r="C14" s="2" t="s">
        <v>5</v>
      </c>
      <c r="D14" s="13">
        <v>184.03</v>
      </c>
      <c r="E14" s="13">
        <v>736.12</v>
      </c>
    </row>
    <row r="15" spans="1:6" x14ac:dyDescent="0.3">
      <c r="B15" s="5" t="s">
        <v>176</v>
      </c>
      <c r="C15" s="2" t="s">
        <v>5</v>
      </c>
      <c r="D15" s="13">
        <v>44.85027951</v>
      </c>
      <c r="E15" s="13">
        <v>34.89</v>
      </c>
    </row>
    <row r="16" spans="1:6" x14ac:dyDescent="0.3">
      <c r="B16" s="5" t="s">
        <v>174</v>
      </c>
      <c r="C16" s="2" t="s">
        <v>5</v>
      </c>
      <c r="D16" s="13">
        <v>51.78821559</v>
      </c>
      <c r="E16" s="13">
        <v>80.58</v>
      </c>
    </row>
  </sheetData>
  <mergeCells count="1">
    <mergeCell ref="B9:E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B646-E8F4-4962-A522-DBC49E3C93EF}">
  <dimension ref="A1:N21"/>
  <sheetViews>
    <sheetView showGridLines="0" workbookViewId="0">
      <selection activeCell="C24" sqref="C24"/>
    </sheetView>
  </sheetViews>
  <sheetFormatPr defaultColWidth="0" defaultRowHeight="14.4" x14ac:dyDescent="0.3"/>
  <cols>
    <col min="1" max="1" width="3.77734375" customWidth="1"/>
    <col min="2" max="2" width="33.6640625" bestFit="1" customWidth="1"/>
    <col min="3" max="3" width="18" bestFit="1" customWidth="1"/>
    <col min="4" max="4" width="19" bestFit="1" customWidth="1"/>
    <col min="5" max="5" width="22.21875" bestFit="1" customWidth="1"/>
    <col min="6" max="6" width="3.77734375" customWidth="1"/>
    <col min="7" max="14" width="0" hidden="1" customWidth="1"/>
    <col min="15" max="16384" width="8.88671875" hidden="1"/>
  </cols>
  <sheetData>
    <row r="1" spans="1:6" x14ac:dyDescent="0.3">
      <c r="A1" s="6"/>
      <c r="B1" s="6"/>
      <c r="C1" s="6"/>
      <c r="D1" s="6"/>
      <c r="E1" s="6"/>
      <c r="F1" s="6"/>
    </row>
    <row r="2" spans="1:6" x14ac:dyDescent="0.3">
      <c r="A2" s="7"/>
      <c r="B2" s="7"/>
      <c r="C2" s="7"/>
      <c r="D2" s="7"/>
      <c r="E2" s="7"/>
      <c r="F2" s="7"/>
    </row>
    <row r="3" spans="1:6" x14ac:dyDescent="0.3">
      <c r="A3" s="8"/>
      <c r="B3" s="8"/>
      <c r="C3" s="8"/>
      <c r="D3" s="8"/>
      <c r="E3" s="8"/>
      <c r="F3" s="8"/>
    </row>
    <row r="4" spans="1:6" x14ac:dyDescent="0.3">
      <c r="A4" s="7"/>
      <c r="B4" s="7"/>
      <c r="C4" s="7"/>
      <c r="D4" s="7"/>
      <c r="E4" s="7"/>
      <c r="F4" s="7"/>
    </row>
    <row r="5" spans="1:6" ht="3" customHeight="1" x14ac:dyDescent="0.3">
      <c r="A5" s="9"/>
      <c r="B5" s="9"/>
      <c r="C5" s="9"/>
      <c r="D5" s="9"/>
      <c r="E5" s="9"/>
      <c r="F5" s="9"/>
    </row>
    <row r="7" spans="1:6" x14ac:dyDescent="0.3">
      <c r="B7" s="10" t="s">
        <v>183</v>
      </c>
      <c r="C7" s="11"/>
      <c r="D7" s="11"/>
      <c r="E7" s="11"/>
    </row>
    <row r="8" spans="1:6" ht="7.05" customHeight="1" x14ac:dyDescent="0.3"/>
    <row r="9" spans="1:6" ht="14.4" customHeight="1" x14ac:dyDescent="0.3">
      <c r="B9" s="14" t="s">
        <v>184</v>
      </c>
      <c r="C9" s="14"/>
      <c r="D9" s="14"/>
      <c r="E9" s="14"/>
    </row>
    <row r="10" spans="1:6" x14ac:dyDescent="0.3">
      <c r="B10" s="14"/>
      <c r="C10" s="14"/>
      <c r="D10" s="14"/>
      <c r="E10" s="14"/>
    </row>
    <row r="11" spans="1:6" x14ac:dyDescent="0.3">
      <c r="B11" s="12"/>
      <c r="C11" s="12"/>
      <c r="D11" s="12"/>
      <c r="E11" s="12"/>
    </row>
    <row r="12" spans="1:6" x14ac:dyDescent="0.3">
      <c r="B12" s="1" t="s">
        <v>0</v>
      </c>
      <c r="C12" s="1" t="s">
        <v>185</v>
      </c>
      <c r="D12" s="1" t="s">
        <v>186</v>
      </c>
      <c r="E12" s="1" t="s">
        <v>187</v>
      </c>
    </row>
    <row r="13" spans="1:6" x14ac:dyDescent="0.3">
      <c r="B13" s="2" t="s">
        <v>188</v>
      </c>
      <c r="C13" s="2" t="s">
        <v>5</v>
      </c>
      <c r="D13" s="13" t="s">
        <v>189</v>
      </c>
      <c r="E13" s="13" t="s">
        <v>190</v>
      </c>
    </row>
    <row r="14" spans="1:6" x14ac:dyDescent="0.3">
      <c r="B14" s="2" t="s">
        <v>191</v>
      </c>
      <c r="C14" s="2" t="s">
        <v>5</v>
      </c>
      <c r="D14" s="13" t="s">
        <v>189</v>
      </c>
      <c r="E14" s="13" t="s">
        <v>190</v>
      </c>
    </row>
    <row r="15" spans="1:6" x14ac:dyDescent="0.3">
      <c r="B15" s="5" t="s">
        <v>192</v>
      </c>
      <c r="C15" s="2" t="s">
        <v>5</v>
      </c>
      <c r="D15" s="13" t="s">
        <v>189</v>
      </c>
      <c r="E15" s="13" t="s">
        <v>190</v>
      </c>
    </row>
    <row r="16" spans="1:6" x14ac:dyDescent="0.3">
      <c r="B16" s="5" t="s">
        <v>193</v>
      </c>
      <c r="C16" s="2" t="s">
        <v>5</v>
      </c>
      <c r="D16" s="13" t="s">
        <v>190</v>
      </c>
      <c r="E16" s="13" t="s">
        <v>194</v>
      </c>
    </row>
    <row r="17" spans="2:5" x14ac:dyDescent="0.3">
      <c r="B17" s="5" t="s">
        <v>195</v>
      </c>
      <c r="C17" s="2" t="s">
        <v>5</v>
      </c>
      <c r="D17" s="13" t="s">
        <v>190</v>
      </c>
      <c r="E17" s="13" t="s">
        <v>194</v>
      </c>
    </row>
    <row r="18" spans="2:5" x14ac:dyDescent="0.3">
      <c r="B18" s="5" t="s">
        <v>196</v>
      </c>
      <c r="C18" s="2" t="s">
        <v>5</v>
      </c>
      <c r="D18" s="13" t="s">
        <v>190</v>
      </c>
      <c r="E18" s="13" t="s">
        <v>189</v>
      </c>
    </row>
    <row r="19" spans="2:5" x14ac:dyDescent="0.3">
      <c r="B19" s="5" t="s">
        <v>197</v>
      </c>
      <c r="C19" s="2" t="s">
        <v>5</v>
      </c>
      <c r="D19" s="13" t="s">
        <v>190</v>
      </c>
      <c r="E19" s="13" t="s">
        <v>189</v>
      </c>
    </row>
    <row r="20" spans="2:5" x14ac:dyDescent="0.3">
      <c r="B20" s="5" t="s">
        <v>198</v>
      </c>
      <c r="C20" s="2" t="s">
        <v>5</v>
      </c>
      <c r="D20" s="13" t="s">
        <v>189</v>
      </c>
      <c r="E20" s="13" t="s">
        <v>194</v>
      </c>
    </row>
    <row r="21" spans="2:5" x14ac:dyDescent="0.3">
      <c r="B21" s="5" t="s">
        <v>199</v>
      </c>
      <c r="C21" s="2" t="s">
        <v>5</v>
      </c>
      <c r="D21" s="13" t="s">
        <v>189</v>
      </c>
      <c r="E21" s="13" t="s">
        <v>194</v>
      </c>
    </row>
  </sheetData>
  <mergeCells count="1">
    <mergeCell ref="B9:E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8AC68D-175B-415A-A3B2-7D9B414B5E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4042B5-906A-4847-9D46-64B14C804F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AA1C46A-D430-4D50-BEF4-069C6F6785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typ_off_blnc_prdct</vt:lpstr>
      <vt:lpstr>subportfolio_id</vt:lpstr>
      <vt:lpstr>dflt_stts_instrmnt</vt:lpstr>
      <vt:lpstr>typ_instrmnt</vt:lpstr>
      <vt:lpstr>accntng_clssfctn</vt:lpstr>
      <vt:lpstr>grss_intrst_incm</vt:lpstr>
      <vt:lpstr>intrnl_trnsfr_rt</vt:lpstr>
      <vt:lpstr>nw_bsnss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2025-06-22T03:15:37Z</dcterms:created>
  <dcterms:modified xsi:type="dcterms:W3CDTF">2025-07-08T16:04:57Z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2025-07-02T15:03:49Z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70c1310e-57e5-4abf-9612-e50157aa89b7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