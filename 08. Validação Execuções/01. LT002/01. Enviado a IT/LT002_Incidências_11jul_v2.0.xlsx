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361" documentId="8_{44815AE4-B7A6-404C-8471-BB4BDB1E6F49}" xr6:coauthVersionLast="47" xr6:coauthVersionMax="47" xr10:uidLastSave="{91EE3706-0570-4550-85A4-F5D9424A8663}"/>
  <bookViews>
    <workbookView xWindow="-108" yWindow="-108" windowWidth="23256" windowHeight="12456" tabRatio="848" xr2:uid="{00000000-000D-0000-FFFF-FFFF00000000}"/>
  </bookViews>
  <sheets>
    <sheet name="GRSS_INTRST_EXPNS" sheetId="7" r:id="rId1"/>
    <sheet name="GNS_FNNCL_TRNSCTN_EXCHNG" sheetId="12" r:id="rId2"/>
    <sheet name="AVRG_BLNC" sheetId="13" r:id="rId3"/>
    <sheet name="AVRG_BLNC_detalhe" sheetId="29" r:id="rId4"/>
    <sheet name="AVRG_BLNC_OFF_BLNC" sheetId="15" r:id="rId5"/>
    <sheet name="EAD" sheetId="25" r:id="rId6"/>
    <sheet name="RWA" sheetId="27" r:id="rId7"/>
    <sheet name="GRSS_CRRYNG_AMNT_INSTRMNT" sheetId="21" r:id="rId8"/>
    <sheet name="OFF_BLNC_SHT_AMNT_INSTRMNT" sheetId="22" r:id="rId9"/>
    <sheet name="PRVSNS_OFF_BLNC_SHT" sheetId="23" r:id="rId10"/>
    <sheet name="ACCMLTD_IMPRMNT_INSTRMNT" sheetId="28" r:id="rId11"/>
    <sheet name="IDCMB" sheetId="2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29" l="1"/>
  <c r="W8" i="29"/>
  <c r="W7" i="29"/>
  <c r="W6" i="29"/>
  <c r="W5" i="29"/>
  <c r="W4" i="29"/>
  <c r="W3" i="29"/>
  <c r="W2" i="29"/>
</calcChain>
</file>

<file path=xl/sharedStrings.xml><?xml version="1.0" encoding="utf-8"?>
<sst xmlns="http://schemas.openxmlformats.org/spreadsheetml/2006/main" count="539" uniqueCount="193">
  <si>
    <t>instrmnt_id</t>
  </si>
  <si>
    <t>NOK</t>
  </si>
  <si>
    <t>valor em ambito = 'PM'</t>
  </si>
  <si>
    <t>99999999999</t>
  </si>
  <si>
    <t>N</t>
  </si>
  <si>
    <t>instrmnt_id_sim</t>
  </si>
  <si>
    <t>val_grss_intrst_expns</t>
  </si>
  <si>
    <t>grss_intrst_expns_sim</t>
  </si>
  <si>
    <t>grss_intrst_expns_it</t>
  </si>
  <si>
    <t>nok</t>
  </si>
  <si>
    <t/>
  </si>
  <si>
    <t>val_gns_fnncl_trnsctn_exchng_dffrncs</t>
  </si>
  <si>
    <t>gns_fnncl_trnsctn_exchng_dffrncs_sim</t>
  </si>
  <si>
    <t>gns_fnncl_trnsctn_exchng_dffrncs_it</t>
  </si>
  <si>
    <t>bsnss_area</t>
  </si>
  <si>
    <t>cnclld_instrmnt_stts_it</t>
  </si>
  <si>
    <t>accmltd_imprmnt_instrmnt_sim</t>
  </si>
  <si>
    <t>accmltd_imprmnt_instrmnt_it</t>
  </si>
  <si>
    <t>val_accmltd_imprmnt_instrmnt</t>
  </si>
  <si>
    <t>BA2</t>
  </si>
  <si>
    <t>BA3</t>
  </si>
  <si>
    <t>val_ead</t>
  </si>
  <si>
    <t>val_rwa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</si>
  <si>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</si>
  <si>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</si>
  <si>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</si>
  <si>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</si>
  <si>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</si>
  <si>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</si>
  <si>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val_avrg_blnc_off_blnc</t>
  </si>
  <si>
    <t>avrg_blnc_off_blnc_sim</t>
  </si>
  <si>
    <t>avrg_blnc_off_blnc_it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</si>
  <si>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</si>
  <si>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</si>
  <si>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</si>
  <si>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</si>
  <si>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</si>
  <si>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</si>
  <si>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</si>
  <si>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</si>
  <si>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</si>
  <si>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t>ead_sim</t>
  </si>
  <si>
    <t>31000311590172029115901720290110</t>
  </si>
  <si>
    <t>31000311756815029117568150290010</t>
  </si>
  <si>
    <t>31000311756815029117568150290000</t>
  </si>
  <si>
    <t>31000311590172029115901720290120</t>
  </si>
  <si>
    <t>31000311590172029115901720290130</t>
  </si>
  <si>
    <t>31000311561801029115618010290090</t>
  </si>
  <si>
    <t>31000311561801029115618010290080</t>
  </si>
  <si>
    <t>ead_it</t>
  </si>
  <si>
    <t>cnclld_instrmnt_stts_sim</t>
  </si>
  <si>
    <t>31663600350240060363603502400600</t>
  </si>
  <si>
    <t>31663600350249581363603502495810</t>
  </si>
  <si>
    <t>31663600350249437363603502494370</t>
  </si>
  <si>
    <t>31663600350250402363603502504020</t>
  </si>
  <si>
    <t>31663600350245476363603502454760</t>
  </si>
  <si>
    <t>31663600350250474363603502504740</t>
  </si>
  <si>
    <t>31003123911180011554127400000001</t>
  </si>
  <si>
    <t>31000310193872091069880950100000</t>
  </si>
  <si>
    <t>M</t>
  </si>
  <si>
    <t>31000316910838020000000000000000</t>
  </si>
  <si>
    <t>31362100001250096000000000000000</t>
  </si>
  <si>
    <t>31003186674700011591070500000001</t>
  </si>
  <si>
    <t>31005124547630011581683200000001</t>
  </si>
  <si>
    <t>31005100123310011548524300000001</t>
  </si>
  <si>
    <t>31003184582410011529517400000001</t>
  </si>
  <si>
    <t>31003122942970011629060300000001</t>
  </si>
  <si>
    <t>31027500200011136000000000000000</t>
  </si>
  <si>
    <t>31038900200020045000000000000000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</si>
  <si>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</si>
  <si>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31000338077426020000000000000000</t>
  </si>
  <si>
    <t>31000322329221020000000000000000</t>
  </si>
  <si>
    <t>31003189790650011696684800000001</t>
  </si>
  <si>
    <t>31003173647520011562177300000001</t>
  </si>
  <si>
    <t>31000317734012096000000000000000</t>
  </si>
  <si>
    <t>31000314186091096000000000000000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</si>
  <si>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</si>
  <si>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</si>
  <si>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</si>
  <si>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</si>
  <si>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</si>
  <si>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</si>
  <si>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</si>
  <si>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</si>
  <si>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</si>
  <si>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</si>
  <si>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</si>
  <si>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</si>
  <si>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</si>
  <si>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</si>
  <si>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</si>
  <si>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</si>
  <si>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</si>
  <si>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</si>
  <si>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</si>
  <si>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</si>
  <si>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</si>
  <si>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</si>
  <si>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</si>
  <si>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</si>
  <si>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</si>
  <si>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</si>
  <si>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</si>
  <si>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</si>
  <si>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</si>
  <si>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</si>
  <si>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31003173894060011523359100000001</t>
  </si>
  <si>
    <t>31003198568210011592050100000001</t>
  </si>
  <si>
    <t>31000310698553020000000000000000</t>
  </si>
  <si>
    <t>31005130578610011564967800000001</t>
  </si>
  <si>
    <t>31033100200017563000000000000000</t>
  </si>
  <si>
    <t>31000348133953020000000000000000</t>
  </si>
  <si>
    <t>31005134058280011785826100000001</t>
  </si>
  <si>
    <t>31003189022610011624305700000001</t>
  </si>
  <si>
    <t>31000315128747020000000000000000</t>
  </si>
  <si>
    <t>31000039663735001000000000000000</t>
  </si>
  <si>
    <t>31003125129530011638262400000001</t>
  </si>
  <si>
    <t>31005125825090011648012300000001</t>
  </si>
  <si>
    <t>rwa_sim</t>
  </si>
  <si>
    <t>rwa_it</t>
  </si>
  <si>
    <t xml:space="preserve"> </t>
  </si>
  <si>
    <t>31000319803203096000000000000000</t>
  </si>
  <si>
    <t>31000312932793096000000000000000</t>
  </si>
  <si>
    <t>31003174269680011659046300000001</t>
  </si>
  <si>
    <t>31005121453780011606252900000001</t>
  </si>
  <si>
    <t>31000318546712096000000000000000</t>
  </si>
  <si>
    <t>310031927702600115850249P0260001</t>
  </si>
  <si>
    <t># Incidências</t>
  </si>
  <si>
    <t>cempcta</t>
  </si>
  <si>
    <t>ckbalcao</t>
  </si>
  <si>
    <t>cknumcta</t>
  </si>
  <si>
    <t>zdeposit_mis</t>
  </si>
  <si>
    <t>31</t>
  </si>
  <si>
    <t>0031</t>
  </si>
  <si>
    <t>86674700011</t>
  </si>
  <si>
    <t>000000000000000</t>
  </si>
  <si>
    <t>23911180011</t>
  </si>
  <si>
    <t>0003</t>
  </si>
  <si>
    <t>16910838020</t>
  </si>
  <si>
    <t>0051</t>
  </si>
  <si>
    <t>24547630011</t>
  </si>
  <si>
    <t>3621</t>
  </si>
  <si>
    <t>00001250096</t>
  </si>
  <si>
    <t>10193872091</t>
  </si>
  <si>
    <t>069880950100000</t>
  </si>
  <si>
    <t>univ</t>
  </si>
  <si>
    <t>ref_date</t>
  </si>
  <si>
    <t>ambito</t>
  </si>
  <si>
    <t>segmento</t>
  </si>
  <si>
    <t>ckarea</t>
  </si>
  <si>
    <t>cnclld_instrmnt_stts</t>
  </si>
  <si>
    <t>last_ref_date</t>
  </si>
  <si>
    <t>msaldo_final</t>
  </si>
  <si>
    <t>msaldo_mis</t>
  </si>
  <si>
    <t>count_chave</t>
  </si>
  <si>
    <t>ponderador</t>
  </si>
  <si>
    <t>COMUM PM</t>
  </si>
  <si>
    <t>2025-03-31</t>
  </si>
  <si>
    <t>GD</t>
  </si>
  <si>
    <t>ESTR</t>
  </si>
  <si>
    <t>AN01010500</t>
  </si>
  <si>
    <t>AN01010201</t>
  </si>
  <si>
    <t>CANCELADOS</t>
  </si>
  <si>
    <t>AN01020410</t>
  </si>
  <si>
    <t>2025-02-28</t>
  </si>
  <si>
    <t>NULL</t>
  </si>
  <si>
    <t>c295</t>
  </si>
  <si>
    <t>c224_dez</t>
  </si>
  <si>
    <t>c224_jan</t>
  </si>
  <si>
    <t>c224_fev</t>
  </si>
  <si>
    <t>c224_mar</t>
  </si>
  <si>
    <t>avrg_blnc</t>
  </si>
  <si>
    <t>A coluna "grss_intrst_expns_it" indica o valor na execução da equipa de IT enquanto que a coluna "grss_intrst_expns_sim" indica o valor obtido na simulação da equipa de testes.</t>
  </si>
  <si>
    <t>A coluna "gns_fnncl_trnsctn_exchng_dffrncs_it" indica o valor na execução da equipa de IT enquanto que a coluna "gns_fnncl_trnsctn_exchng_dffrncs_sim" indica o valor obtido na simulação da equipa de testes.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</si>
  <si>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>gns_fnncl_trnsctn_exchng_dffrncs</t>
    </r>
    <r>
      <rPr>
        <b/>
        <sz val="11"/>
        <color theme="1"/>
        <rFont val="Calibri"/>
        <family val="2"/>
        <scheme val="minor"/>
      </rPr>
      <t xml:space="preserve"> da lt002_instrument</t>
    </r>
  </si>
  <si>
    <t>A coluna "avrg_blnc_it" indica o valor na execução da equipa de IT enquanto que a coluna "avrg_blnc_sim" indica o valor obtido na simulação da equipa de testes.</t>
  </si>
  <si>
    <t>A coluna "avrg_blnc_off_blnc_it" indica o valor na execução da equipa de IT enquanto que a coluna "avrg_blnc_off_blnc_sim" indica o valor obtido na simulação da equipa de testes.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</si>
  <si>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</si>
  <si>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</si>
  <si>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</si>
  <si>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>Diferenças no campo off_blnc_sht_amnt_instrmnt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</si>
  <si>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</si>
  <si>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accmltd_imprmnt_instrmnt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</si>
  <si>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"idcmb_it" indica o valor na execução da equipa de IT enquanto que a coluna "idcmb_sim" indica o valor obtido na simulação da equipa de testes.
Adicionalmente, a coluna I indica o valor do âmbito PM.</t>
  </si>
  <si>
    <t>A coluna "accmltd_imprmnt_instrmnt_it" indica o valor na execução da equipa de IT enquanto que a coluna "accmltd_imprmnt_instrmnt_sim" indica o valor obtido na simulação da equipa de testes. 
Adicionalmente, a coluna H indica o valor do âmbito PM.</t>
  </si>
  <si>
    <t>A coluna "prvsns_off_blnc_sht_it" indica o valor na execução da equipa de IT enquanto que a coluna "prvsns_off_blnc_sht_sim" indica o valor obtido na simulação da equipa de testes.
Adicionalmente, a coluna H indica o valor do âmbito PM.</t>
  </si>
  <si>
    <t>A coluna "off_blnc_sht_amnt_instrmnt_it" indica o valor na execução da equipa de IT enquanto que a coluna "off_blnc_sht_amnt_instrmnt_sim" indica o valor obtido na simulação da equipa de testes.
Adicionalmente, a coluna H indica o valor do âmbito PM.</t>
  </si>
  <si>
    <t>A coluna "grss_crryng_amnt_instrmnt_it" indica o valor na execução da equipa de IT enquanto que a coluna "grss_crryng_amnt_instrmnt_sim" indica o valor obtido na simulação da equipa de testes.
Adicionalmente, a coluna H indica o valor do âmbito PM</t>
  </si>
  <si>
    <t>A coluna "rwa_it" indica o valor na execução da equipa de IT enquanto que a coluna "rwa_sim" indica o valor obtido na simulação da equipa de testes.
Adicionalmente, a coluna H indica o valor do âmbito PM.</t>
  </si>
  <si>
    <t>A coluna "ead_it" indica o valor na execução da equipa de IT enquanto que a coluna "ead_sim" indica o valor obtido na simulação da equipa de testes.
Adicionalmente, a coluna H indica o valor do âmbito PM.</t>
  </si>
  <si>
    <t>31003184798120011649855400000001</t>
  </si>
  <si>
    <t>310031847981200116498554P0030001</t>
  </si>
  <si>
    <t>84798120011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</si>
</sst>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  <xf numFmtId="4" fontId="0" fillId="0" borderId="1" xfId="0" applyNumberFormat="1" applyBorder="1"/>
    <xf numFmtId="4" fontId="0" fillId="0" borderId="0" xfId="0" quotePrefix="1" applyNumberFormat="1"/>
    <xf numFmtId="4" fontId="0" fillId="0" borderId="0" xfId="0" applyNumberFormat="1"/>
    <xf numFmtId="49" fontId="3" fillId="5" borderId="0" xfId="0" applyNumberFormat="1" applyFont="1" applyFill="1" applyAlignment="1">
      <alignment horizontal="right" vertical="center" indent="1"/>
    </xf>
    <xf numFmtId="0" fontId="3" fillId="5" borderId="0" xfId="0" applyFont="1" applyFill="1" applyAlignment="1">
      <alignment horizontal="left" vertical="center" indent="1"/>
    </xf>
    <xf numFmtId="0" fontId="0" fillId="6" borderId="0" xfId="0" applyFill="1"/>
    <xf numFmtId="49" fontId="0" fillId="0" borderId="3" xfId="0" applyNumberFormat="1" applyBorder="1"/>
    <xf numFmtId="4" fontId="0" fillId="0" borderId="3" xfId="0" applyNumberFormat="1" applyBorder="1"/>
    <xf numFmtId="0" fontId="0" fillId="0" borderId="1" xfId="0" applyBorder="1"/>
    <xf numFmtId="49" fontId="0" fillId="0" borderId="3" xfId="0" quotePrefix="1" applyNumberFormat="1" applyBorder="1"/>
    <xf numFmtId="0" fontId="0" fillId="0" borderId="0" xfId="0" applyAlignment="1">
      <alignment horizontal="left" vertical="center" wrapText="1"/>
    </xf>
    <xf numFmtId="4" fontId="0" fillId="0" borderId="0" xfId="0" applyNumberFormat="1" applyFill="1"/>
    <xf numFmtId="0" fontId="0" fillId="0" borderId="0" xfId="0" applyFill="1"/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9E21ED2-8428-47DE-9907-0079CF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H17"/>
  <sheetViews>
    <sheetView showGridLines="0" tabSelected="1" workbookViewId="0">
      <selection activeCell="B11" sqref="B11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9.109375" bestFit="1" customWidth="1"/>
    <col min="4" max="4" width="19.5546875" bestFit="1" customWidth="1"/>
    <col min="5" max="5" width="22.109375" bestFit="1" customWidth="1"/>
    <col min="6" max="6" width="17.77734375" bestFit="1" customWidth="1"/>
    <col min="7" max="7" width="20.21875" bestFit="1" customWidth="1"/>
    <col min="8" max="8" width="3.77734375" customWidth="1"/>
    <col min="9" max="16384" width="8.88671875" hidden="1"/>
  </cols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26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0" t="s">
        <v>172</v>
      </c>
      <c r="C9" s="30"/>
      <c r="D9" s="30"/>
      <c r="E9" s="30"/>
      <c r="F9" s="30"/>
      <c r="G9" s="30"/>
    </row>
    <row r="10" spans="1:8" x14ac:dyDescent="0.3">
      <c r="B10" s="30"/>
      <c r="C10" s="30"/>
      <c r="D10" s="30"/>
      <c r="E10" s="30"/>
      <c r="F10" s="30"/>
      <c r="G10" s="30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6</v>
      </c>
      <c r="D12" s="9" t="s">
        <v>7</v>
      </c>
      <c r="E12" s="9" t="s">
        <v>50</v>
      </c>
      <c r="F12" s="9" t="s">
        <v>8</v>
      </c>
      <c r="G12" s="9" t="s">
        <v>15</v>
      </c>
    </row>
    <row r="13" spans="1:8" x14ac:dyDescent="0.3">
      <c r="B13" s="11" t="s">
        <v>51</v>
      </c>
      <c r="C13" s="10" t="s">
        <v>9</v>
      </c>
      <c r="D13" s="10" t="s">
        <v>3</v>
      </c>
      <c r="E13" s="10" t="s">
        <v>4</v>
      </c>
      <c r="F13" s="10">
        <v>0</v>
      </c>
      <c r="G13" s="10" t="s">
        <v>4</v>
      </c>
    </row>
    <row r="14" spans="1:8" x14ac:dyDescent="0.3">
      <c r="B14" s="11" t="s">
        <v>52</v>
      </c>
      <c r="C14" s="10" t="s">
        <v>9</v>
      </c>
      <c r="D14" s="10" t="s">
        <v>3</v>
      </c>
      <c r="E14" s="10" t="s">
        <v>4</v>
      </c>
      <c r="F14" s="10">
        <v>0</v>
      </c>
      <c r="G14" s="10" t="s">
        <v>4</v>
      </c>
    </row>
    <row r="15" spans="1:8" x14ac:dyDescent="0.3">
      <c r="B15" s="11" t="s">
        <v>53</v>
      </c>
      <c r="C15" s="10" t="s">
        <v>9</v>
      </c>
      <c r="D15" s="10" t="s">
        <v>3</v>
      </c>
      <c r="E15" s="10" t="s">
        <v>4</v>
      </c>
      <c r="F15" s="10">
        <v>0</v>
      </c>
      <c r="G15" s="10" t="s">
        <v>4</v>
      </c>
    </row>
    <row r="17" spans="2:3" x14ac:dyDescent="0.3">
      <c r="B17" s="23" t="s">
        <v>127</v>
      </c>
      <c r="C17" s="24">
        <v>312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16"/>
  <sheetViews>
    <sheetView showGridLines="0" workbookViewId="0">
      <selection activeCell="B8" sqref="B8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4" bestFit="1" customWidth="1"/>
    <col min="4" max="4" width="34.44140625" bestFit="1" customWidth="1"/>
    <col min="5" max="5" width="22.109375" bestFit="1" customWidth="1"/>
    <col min="6" max="6" width="32.5546875" bestFit="1" customWidth="1"/>
    <col min="7" max="7" width="20.21875" bestFit="1" customWidth="1"/>
    <col min="8" max="8" width="3.77734375" customWidth="1"/>
    <col min="9" max="9" width="8.88671875" hidden="1" customWidth="1"/>
    <col min="10" max="10" width="0" hidden="1" customWidth="1"/>
    <col min="11" max="16384" width="8.88671875" hidden="1"/>
  </cols>
  <sheetData>
    <row r="1" spans="1:8" x14ac:dyDescent="0.3">
      <c r="A1" s="13"/>
      <c r="B1" s="13"/>
      <c r="C1" s="13"/>
      <c r="D1" s="13"/>
      <c r="E1" s="13"/>
      <c r="F1" s="13"/>
    </row>
    <row r="2" spans="1:8" x14ac:dyDescent="0.3">
      <c r="A2" s="14"/>
      <c r="B2" s="14"/>
      <c r="C2" s="14"/>
      <c r="D2" s="14"/>
      <c r="E2" s="14"/>
      <c r="F2" s="14"/>
    </row>
    <row r="3" spans="1:8" x14ac:dyDescent="0.3">
      <c r="A3" s="15"/>
      <c r="B3" s="15"/>
      <c r="C3" s="15"/>
      <c r="D3" s="15"/>
      <c r="E3" s="15"/>
      <c r="F3" s="15"/>
    </row>
    <row r="4" spans="1:8" x14ac:dyDescent="0.3">
      <c r="A4" s="14"/>
      <c r="B4" s="14"/>
      <c r="C4" s="14"/>
      <c r="D4" s="14"/>
      <c r="E4" s="14"/>
      <c r="F4" s="14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174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0" t="s">
        <v>173</v>
      </c>
      <c r="C9" s="30"/>
      <c r="D9" s="30"/>
      <c r="E9" s="30"/>
      <c r="F9" s="30"/>
      <c r="G9" s="30"/>
    </row>
    <row r="10" spans="1:8" x14ac:dyDescent="0.3">
      <c r="B10" s="8"/>
      <c r="C10" s="8"/>
      <c r="D10" s="8"/>
      <c r="E10" s="8"/>
    </row>
    <row r="11" spans="1:8" x14ac:dyDescent="0.3">
      <c r="B11" s="9" t="s">
        <v>5</v>
      </c>
      <c r="C11" s="9" t="s">
        <v>11</v>
      </c>
      <c r="D11" s="9" t="s">
        <v>12</v>
      </c>
      <c r="E11" s="9" t="s">
        <v>50</v>
      </c>
      <c r="F11" s="9" t="s">
        <v>13</v>
      </c>
      <c r="G11" s="9" t="s">
        <v>15</v>
      </c>
    </row>
    <row r="12" spans="1:8" x14ac:dyDescent="0.3">
      <c r="B12" s="10" t="s">
        <v>54</v>
      </c>
      <c r="C12" s="10" t="s">
        <v>9</v>
      </c>
      <c r="D12" s="10" t="s">
        <v>3</v>
      </c>
      <c r="E12" s="10" t="s">
        <v>4</v>
      </c>
      <c r="F12" s="10">
        <v>0</v>
      </c>
      <c r="G12" s="10" t="s">
        <v>4</v>
      </c>
      <c r="H12" s="12" t="s">
        <v>10</v>
      </c>
    </row>
    <row r="13" spans="1:8" x14ac:dyDescent="0.3">
      <c r="B13" s="10" t="s">
        <v>55</v>
      </c>
      <c r="C13" s="10" t="s">
        <v>9</v>
      </c>
      <c r="D13" s="10" t="s">
        <v>3</v>
      </c>
      <c r="E13" s="10" t="s">
        <v>4</v>
      </c>
      <c r="F13" s="10">
        <v>0</v>
      </c>
      <c r="G13" s="10" t="s">
        <v>4</v>
      </c>
    </row>
    <row r="14" spans="1:8" x14ac:dyDescent="0.3">
      <c r="B14" s="11" t="s">
        <v>56</v>
      </c>
      <c r="C14" s="10" t="s">
        <v>9</v>
      </c>
      <c r="D14" s="10" t="s">
        <v>3</v>
      </c>
      <c r="E14" s="10" t="s">
        <v>4</v>
      </c>
      <c r="F14" s="10">
        <v>0</v>
      </c>
      <c r="G14" s="10" t="s">
        <v>4</v>
      </c>
    </row>
    <row r="16" spans="1:8" x14ac:dyDescent="0.3">
      <c r="B16" s="23" t="s">
        <v>127</v>
      </c>
      <c r="C16" s="24">
        <v>312</v>
      </c>
    </row>
  </sheetData>
  <mergeCells count="1">
    <mergeCell ref="B9:G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I20"/>
  <sheetViews>
    <sheetView showGridLines="0" workbookViewId="0">
      <selection activeCell="C21" sqref="C21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2.6640625" bestFit="1" customWidth="1"/>
    <col min="4" max="4" width="13.21875" bestFit="1" customWidth="1"/>
    <col min="5" max="5" width="22.109375" bestFit="1" customWidth="1"/>
    <col min="6" max="6" width="11.3320312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27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0" t="s">
        <v>175</v>
      </c>
      <c r="C9" s="30"/>
      <c r="D9" s="30"/>
      <c r="E9" s="30"/>
      <c r="F9" s="30"/>
      <c r="G9" s="30"/>
    </row>
    <row r="10" spans="1:8" x14ac:dyDescent="0.3">
      <c r="B10" s="30"/>
      <c r="C10" s="30"/>
      <c r="D10" s="30"/>
      <c r="E10" s="30"/>
      <c r="F10" s="30"/>
      <c r="G10" s="30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23</v>
      </c>
      <c r="D12" s="9" t="s">
        <v>24</v>
      </c>
      <c r="E12" s="9" t="s">
        <v>50</v>
      </c>
      <c r="F12" s="9" t="s">
        <v>25</v>
      </c>
      <c r="G12" s="9" t="s">
        <v>15</v>
      </c>
    </row>
    <row r="13" spans="1:8" x14ac:dyDescent="0.3">
      <c r="B13" s="10" t="s">
        <v>57</v>
      </c>
      <c r="C13" s="10" t="s">
        <v>9</v>
      </c>
      <c r="D13" s="20">
        <v>2956.36</v>
      </c>
      <c r="E13" s="20" t="s">
        <v>4</v>
      </c>
      <c r="F13" s="20">
        <v>0</v>
      </c>
      <c r="G13" s="10" t="s">
        <v>4</v>
      </c>
      <c r="H13" s="12" t="s">
        <v>10</v>
      </c>
    </row>
    <row r="14" spans="1:8" x14ac:dyDescent="0.3">
      <c r="B14" s="10" t="s">
        <v>58</v>
      </c>
      <c r="C14" s="10" t="s">
        <v>9</v>
      </c>
      <c r="D14" s="20">
        <v>4517.6000000000004</v>
      </c>
      <c r="E14" s="20" t="s">
        <v>59</v>
      </c>
      <c r="F14" s="20">
        <v>52210.5</v>
      </c>
      <c r="G14" s="10" t="s">
        <v>59</v>
      </c>
    </row>
    <row r="15" spans="1:8" x14ac:dyDescent="0.3">
      <c r="B15" s="11" t="s">
        <v>60</v>
      </c>
      <c r="C15" s="10" t="s">
        <v>9</v>
      </c>
      <c r="D15" s="20">
        <v>3.46</v>
      </c>
      <c r="E15" s="20" t="s">
        <v>4</v>
      </c>
      <c r="F15" s="20">
        <v>10681.33</v>
      </c>
      <c r="G15" s="10" t="s">
        <v>4</v>
      </c>
    </row>
    <row r="16" spans="1:8" x14ac:dyDescent="0.3">
      <c r="B16" s="11" t="s">
        <v>61</v>
      </c>
      <c r="C16" s="10" t="s">
        <v>9</v>
      </c>
      <c r="D16" s="20">
        <v>29576.57</v>
      </c>
      <c r="E16" s="20" t="s">
        <v>4</v>
      </c>
      <c r="F16" s="20">
        <v>240594.54</v>
      </c>
      <c r="G16" s="10" t="s">
        <v>4</v>
      </c>
    </row>
    <row r="17" spans="2:7" x14ac:dyDescent="0.3">
      <c r="B17" s="11" t="s">
        <v>62</v>
      </c>
      <c r="C17" s="10" t="s">
        <v>9</v>
      </c>
      <c r="D17" s="20">
        <v>716.06</v>
      </c>
      <c r="E17" s="20" t="s">
        <v>4</v>
      </c>
      <c r="F17" s="20">
        <v>0</v>
      </c>
      <c r="G17" s="10" t="s">
        <v>4</v>
      </c>
    </row>
    <row r="18" spans="2:7" x14ac:dyDescent="0.3">
      <c r="B18" s="11" t="s">
        <v>63</v>
      </c>
      <c r="C18" s="10" t="s">
        <v>9</v>
      </c>
      <c r="D18" s="20">
        <v>13.86</v>
      </c>
      <c r="E18" s="20" t="s">
        <v>4</v>
      </c>
      <c r="F18" s="20">
        <v>0</v>
      </c>
      <c r="G18" s="10" t="s">
        <v>4</v>
      </c>
    </row>
    <row r="19" spans="2:7" x14ac:dyDescent="0.3">
      <c r="B19" s="28" t="s">
        <v>190</v>
      </c>
      <c r="C19" s="10" t="s">
        <v>9</v>
      </c>
      <c r="D19" s="20">
        <v>78.661913749999997</v>
      </c>
      <c r="E19" s="20" t="s">
        <v>4</v>
      </c>
      <c r="F19" s="20">
        <v>59.92</v>
      </c>
      <c r="G19" s="10" t="s">
        <v>4</v>
      </c>
    </row>
    <row r="20" spans="2:7" x14ac:dyDescent="0.3">
      <c r="B20" s="28" t="s">
        <v>191</v>
      </c>
      <c r="C20" s="10" t="s">
        <v>9</v>
      </c>
      <c r="D20" s="20">
        <v>246.4877611</v>
      </c>
      <c r="E20" s="20" t="s">
        <v>4</v>
      </c>
      <c r="F20" s="20">
        <v>187.76</v>
      </c>
      <c r="G20" s="10" t="s">
        <v>4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7481-C1E7-42CC-A0CA-F16D2340372C}">
  <dimension ref="A1:X9"/>
  <sheetViews>
    <sheetView topLeftCell="F1" workbookViewId="0">
      <selection activeCell="W8" sqref="W8"/>
    </sheetView>
  </sheetViews>
  <sheetFormatPr defaultRowHeight="14.4" x14ac:dyDescent="0.3"/>
  <cols>
    <col min="1" max="1" width="12.1093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3.6640625" bestFit="1" customWidth="1"/>
    <col min="6" max="6" width="8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customWidth="1"/>
    <col min="13" max="13" width="11.88671875" customWidth="1"/>
    <col min="14" max="15" width="12.5546875" customWidth="1"/>
    <col min="16" max="16" width="11.44140625" customWidth="1"/>
    <col min="17" max="17" width="10.5546875" customWidth="1"/>
  </cols>
  <sheetData>
    <row r="1" spans="1:24" x14ac:dyDescent="0.3">
      <c r="A1" t="s">
        <v>145</v>
      </c>
      <c r="B1" t="s">
        <v>146</v>
      </c>
      <c r="C1" t="s">
        <v>147</v>
      </c>
      <c r="D1" t="s">
        <v>148</v>
      </c>
      <c r="E1" t="s">
        <v>0</v>
      </c>
      <c r="F1" t="s">
        <v>128</v>
      </c>
      <c r="G1" t="s">
        <v>129</v>
      </c>
      <c r="H1" t="s">
        <v>130</v>
      </c>
      <c r="I1" t="s">
        <v>131</v>
      </c>
      <c r="J1" t="s">
        <v>149</v>
      </c>
      <c r="K1" t="s">
        <v>14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s="25" t="s">
        <v>166</v>
      </c>
      <c r="S1" s="25" t="s">
        <v>167</v>
      </c>
      <c r="T1" s="25" t="s">
        <v>168</v>
      </c>
      <c r="U1" s="25" t="s">
        <v>169</v>
      </c>
      <c r="V1" s="25" t="s">
        <v>170</v>
      </c>
      <c r="W1" s="25" t="s">
        <v>171</v>
      </c>
    </row>
    <row r="2" spans="1:24" x14ac:dyDescent="0.3">
      <c r="A2" t="s">
        <v>156</v>
      </c>
      <c r="B2" t="s">
        <v>157</v>
      </c>
      <c r="C2" t="s">
        <v>158</v>
      </c>
      <c r="D2" t="s">
        <v>159</v>
      </c>
      <c r="E2" t="s">
        <v>62</v>
      </c>
      <c r="F2" t="s">
        <v>132</v>
      </c>
      <c r="G2" t="s">
        <v>133</v>
      </c>
      <c r="H2" t="s">
        <v>134</v>
      </c>
      <c r="I2" t="s">
        <v>135</v>
      </c>
      <c r="J2" t="s">
        <v>160</v>
      </c>
      <c r="K2" t="s">
        <v>19</v>
      </c>
      <c r="L2" t="s">
        <v>4</v>
      </c>
      <c r="M2" t="s">
        <v>157</v>
      </c>
      <c r="N2" s="31">
        <v>764.3</v>
      </c>
      <c r="O2" s="22">
        <v>764.3</v>
      </c>
      <c r="P2">
        <v>1</v>
      </c>
      <c r="Q2">
        <v>1</v>
      </c>
      <c r="R2" s="22">
        <v>533.39</v>
      </c>
      <c r="S2" s="22">
        <v>0</v>
      </c>
      <c r="T2" s="22">
        <v>730.68</v>
      </c>
      <c r="U2" s="22">
        <v>0</v>
      </c>
      <c r="V2" s="22">
        <v>0</v>
      </c>
      <c r="W2" s="22">
        <f>(R2+(SUM(S2:V2)/4))*Q2</f>
        <v>716.06</v>
      </c>
    </row>
    <row r="3" spans="1:24" x14ac:dyDescent="0.3">
      <c r="A3" t="s">
        <v>156</v>
      </c>
      <c r="B3" t="s">
        <v>157</v>
      </c>
      <c r="C3" t="s">
        <v>158</v>
      </c>
      <c r="D3" t="s">
        <v>159</v>
      </c>
      <c r="E3" t="s">
        <v>60</v>
      </c>
      <c r="F3" t="s">
        <v>132</v>
      </c>
      <c r="G3" t="s">
        <v>137</v>
      </c>
      <c r="H3" t="s">
        <v>138</v>
      </c>
      <c r="I3" t="s">
        <v>135</v>
      </c>
      <c r="J3" t="s">
        <v>161</v>
      </c>
      <c r="K3" t="s">
        <v>19</v>
      </c>
      <c r="L3" t="s">
        <v>4</v>
      </c>
      <c r="M3" t="s">
        <v>157</v>
      </c>
      <c r="N3" s="22">
        <v>0</v>
      </c>
      <c r="O3" s="22">
        <v>0</v>
      </c>
      <c r="P3">
        <v>1</v>
      </c>
      <c r="Q3">
        <v>1</v>
      </c>
      <c r="R3" s="22">
        <v>3.46</v>
      </c>
      <c r="S3" s="22">
        <v>0</v>
      </c>
      <c r="T3" s="22">
        <v>0</v>
      </c>
      <c r="U3" s="22">
        <v>0</v>
      </c>
      <c r="V3" s="22">
        <v>0</v>
      </c>
      <c r="W3" s="22">
        <f t="shared" ref="W3:W9" si="0">(R3+(SUM(S3:V3)/4))*Q3</f>
        <v>3.46</v>
      </c>
    </row>
    <row r="4" spans="1:24" x14ac:dyDescent="0.3">
      <c r="A4" t="s">
        <v>156</v>
      </c>
      <c r="B4" t="s">
        <v>157</v>
      </c>
      <c r="C4" t="s">
        <v>158</v>
      </c>
      <c r="D4" t="s">
        <v>159</v>
      </c>
      <c r="E4" t="s">
        <v>61</v>
      </c>
      <c r="F4" t="s">
        <v>132</v>
      </c>
      <c r="G4" t="s">
        <v>141</v>
      </c>
      <c r="H4" t="s">
        <v>142</v>
      </c>
      <c r="I4" t="s">
        <v>135</v>
      </c>
      <c r="J4" t="s">
        <v>160</v>
      </c>
      <c r="K4" t="s">
        <v>19</v>
      </c>
      <c r="L4" t="s">
        <v>4</v>
      </c>
      <c r="M4" t="s">
        <v>157</v>
      </c>
      <c r="N4" s="22">
        <v>29415.39</v>
      </c>
      <c r="O4" s="22">
        <v>29415.39</v>
      </c>
      <c r="P4">
        <v>1</v>
      </c>
      <c r="Q4">
        <v>1</v>
      </c>
      <c r="R4" s="22">
        <v>29576.57</v>
      </c>
      <c r="S4" s="22">
        <v>0</v>
      </c>
      <c r="T4" s="22">
        <v>0</v>
      </c>
      <c r="U4" s="22">
        <v>0</v>
      </c>
      <c r="V4" s="22">
        <v>0</v>
      </c>
      <c r="W4" s="22">
        <f t="shared" si="0"/>
        <v>29576.57</v>
      </c>
    </row>
    <row r="5" spans="1:24" s="32" customFormat="1" x14ac:dyDescent="0.3">
      <c r="A5" s="32" t="s">
        <v>162</v>
      </c>
      <c r="B5" s="32" t="s">
        <v>157</v>
      </c>
      <c r="C5" s="32" t="s">
        <v>158</v>
      </c>
      <c r="D5" s="32" t="s">
        <v>159</v>
      </c>
      <c r="E5" s="32" t="s">
        <v>58</v>
      </c>
      <c r="F5" s="32" t="s">
        <v>132</v>
      </c>
      <c r="G5" s="32" t="s">
        <v>137</v>
      </c>
      <c r="H5" s="32" t="s">
        <v>143</v>
      </c>
      <c r="I5" s="32" t="s">
        <v>144</v>
      </c>
      <c r="J5" s="32" t="s">
        <v>163</v>
      </c>
      <c r="K5" s="32" t="s">
        <v>101</v>
      </c>
      <c r="L5" s="32" t="s">
        <v>59</v>
      </c>
      <c r="M5" s="32" t="s">
        <v>164</v>
      </c>
      <c r="N5" s="31">
        <v>13539.24</v>
      </c>
      <c r="O5" s="31">
        <v>13539.24</v>
      </c>
      <c r="P5" s="32">
        <v>1</v>
      </c>
      <c r="Q5" s="32">
        <v>1</v>
      </c>
      <c r="R5" s="31">
        <v>4517.6000000000004</v>
      </c>
      <c r="S5" s="31" t="s">
        <v>165</v>
      </c>
      <c r="T5" s="31">
        <v>0</v>
      </c>
      <c r="U5" s="31">
        <v>0</v>
      </c>
      <c r="V5" s="31">
        <v>0</v>
      </c>
      <c r="W5" s="22">
        <f t="shared" si="0"/>
        <v>4517.6000000000004</v>
      </c>
      <c r="X5" s="31"/>
    </row>
    <row r="6" spans="1:24" x14ac:dyDescent="0.3">
      <c r="A6" t="s">
        <v>156</v>
      </c>
      <c r="B6" t="s">
        <v>157</v>
      </c>
      <c r="C6" t="s">
        <v>158</v>
      </c>
      <c r="D6" t="s">
        <v>159</v>
      </c>
      <c r="E6" t="s">
        <v>63</v>
      </c>
      <c r="F6" t="s">
        <v>132</v>
      </c>
      <c r="G6" t="s">
        <v>139</v>
      </c>
      <c r="H6" t="s">
        <v>140</v>
      </c>
      <c r="I6" t="s">
        <v>135</v>
      </c>
      <c r="J6" t="s">
        <v>160</v>
      </c>
      <c r="K6" t="s">
        <v>19</v>
      </c>
      <c r="L6" t="s">
        <v>4</v>
      </c>
      <c r="M6" t="s">
        <v>157</v>
      </c>
      <c r="N6" s="22">
        <v>12.48</v>
      </c>
      <c r="O6" s="22">
        <v>12.48</v>
      </c>
      <c r="P6">
        <v>1</v>
      </c>
      <c r="Q6">
        <v>1</v>
      </c>
      <c r="R6" s="22">
        <v>13.86</v>
      </c>
      <c r="S6" s="22">
        <v>0</v>
      </c>
      <c r="T6" s="22">
        <v>0</v>
      </c>
      <c r="U6" s="22">
        <v>0</v>
      </c>
      <c r="V6" s="22">
        <v>0</v>
      </c>
      <c r="W6" s="22">
        <f t="shared" si="0"/>
        <v>13.86</v>
      </c>
    </row>
    <row r="7" spans="1:24" x14ac:dyDescent="0.3">
      <c r="A7" t="s">
        <v>156</v>
      </c>
      <c r="B7" t="s">
        <v>157</v>
      </c>
      <c r="C7" t="s">
        <v>158</v>
      </c>
      <c r="D7" t="s">
        <v>159</v>
      </c>
      <c r="E7" t="s">
        <v>57</v>
      </c>
      <c r="F7" t="s">
        <v>132</v>
      </c>
      <c r="G7" t="s">
        <v>133</v>
      </c>
      <c r="H7" t="s">
        <v>136</v>
      </c>
      <c r="I7" t="s">
        <v>135</v>
      </c>
      <c r="J7" t="s">
        <v>161</v>
      </c>
      <c r="K7" t="s">
        <v>19</v>
      </c>
      <c r="L7" t="s">
        <v>4</v>
      </c>
      <c r="M7" t="s">
        <v>157</v>
      </c>
      <c r="N7" s="22">
        <v>3204.46</v>
      </c>
      <c r="O7" s="22">
        <v>3204.46</v>
      </c>
      <c r="P7">
        <v>1</v>
      </c>
      <c r="Q7">
        <v>1</v>
      </c>
      <c r="R7" s="22">
        <v>2956.36</v>
      </c>
      <c r="S7" s="22">
        <v>0</v>
      </c>
      <c r="T7" s="22">
        <v>0</v>
      </c>
      <c r="U7" s="22">
        <v>0</v>
      </c>
      <c r="V7" s="22">
        <v>0</v>
      </c>
      <c r="W7" s="22">
        <f t="shared" si="0"/>
        <v>2956.36</v>
      </c>
    </row>
    <row r="8" spans="1:24" x14ac:dyDescent="0.3">
      <c r="A8" t="s">
        <v>156</v>
      </c>
      <c r="B8" t="s">
        <v>157</v>
      </c>
      <c r="C8" t="s">
        <v>158</v>
      </c>
      <c r="D8" t="s">
        <v>159</v>
      </c>
      <c r="E8" t="s">
        <v>190</v>
      </c>
      <c r="F8" t="s">
        <v>132</v>
      </c>
      <c r="G8" t="s">
        <v>133</v>
      </c>
      <c r="H8" t="s">
        <v>192</v>
      </c>
      <c r="I8" t="s">
        <v>135</v>
      </c>
      <c r="J8" t="s">
        <v>160</v>
      </c>
      <c r="K8" t="s">
        <v>19</v>
      </c>
      <c r="L8" t="s">
        <v>4</v>
      </c>
      <c r="M8" t="s">
        <v>157</v>
      </c>
      <c r="N8">
        <v>105.91</v>
      </c>
      <c r="O8">
        <v>437.78</v>
      </c>
      <c r="P8">
        <v>2</v>
      </c>
      <c r="Q8" s="22">
        <v>0.241925</v>
      </c>
      <c r="R8" s="22">
        <v>325.14999999999998</v>
      </c>
      <c r="S8" s="22">
        <v>0</v>
      </c>
      <c r="T8" s="22">
        <v>0</v>
      </c>
      <c r="U8" s="22">
        <v>0</v>
      </c>
      <c r="V8" s="22">
        <v>0</v>
      </c>
      <c r="W8" s="22">
        <f t="shared" si="0"/>
        <v>78.661913749999997</v>
      </c>
    </row>
    <row r="9" spans="1:24" x14ac:dyDescent="0.3">
      <c r="A9" t="s">
        <v>156</v>
      </c>
      <c r="B9" t="s">
        <v>157</v>
      </c>
      <c r="C9" t="s">
        <v>158</v>
      </c>
      <c r="D9" t="s">
        <v>159</v>
      </c>
      <c r="E9" t="s">
        <v>191</v>
      </c>
      <c r="F9" t="s">
        <v>132</v>
      </c>
      <c r="G9" t="s">
        <v>133</v>
      </c>
      <c r="H9" t="s">
        <v>192</v>
      </c>
      <c r="I9" t="s">
        <v>135</v>
      </c>
      <c r="J9" t="s">
        <v>160</v>
      </c>
      <c r="K9" t="s">
        <v>19</v>
      </c>
      <c r="L9" t="s">
        <v>4</v>
      </c>
      <c r="M9" t="s">
        <v>157</v>
      </c>
      <c r="N9">
        <v>331.87</v>
      </c>
      <c r="O9">
        <v>437.78</v>
      </c>
      <c r="P9">
        <v>2</v>
      </c>
      <c r="Q9" s="22">
        <v>0.75807400000000003</v>
      </c>
      <c r="R9" s="22">
        <v>325.14999999999998</v>
      </c>
      <c r="S9" s="22">
        <v>0</v>
      </c>
      <c r="T9" s="22">
        <v>0</v>
      </c>
      <c r="U9" s="22">
        <v>0</v>
      </c>
      <c r="V9" s="22">
        <v>0</v>
      </c>
      <c r="W9" s="22">
        <f t="shared" si="0"/>
        <v>246.4877611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I17"/>
  <sheetViews>
    <sheetView showGridLines="0" workbookViewId="0">
      <selection activeCell="B11" sqref="B11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0.88671875" bestFit="1" customWidth="1"/>
    <col min="4" max="4" width="21.44140625" bestFit="1" customWidth="1"/>
    <col min="5" max="5" width="22.109375" bestFit="1" customWidth="1"/>
    <col min="6" max="6" width="19.554687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28</v>
      </c>
      <c r="C7" s="7"/>
      <c r="D7" s="7"/>
      <c r="E7" s="7"/>
      <c r="F7" s="7"/>
      <c r="G7" s="7"/>
    </row>
    <row r="8" spans="1:8" ht="6.75" customHeight="1" x14ac:dyDescent="0.3"/>
    <row r="9" spans="1:8" ht="14.4" customHeight="1" x14ac:dyDescent="0.3">
      <c r="B9" s="30" t="s">
        <v>176</v>
      </c>
      <c r="C9" s="30"/>
      <c r="D9" s="30"/>
      <c r="E9" s="30"/>
      <c r="F9" s="30"/>
      <c r="G9" s="30"/>
    </row>
    <row r="10" spans="1:8" x14ac:dyDescent="0.3">
      <c r="B10" s="30"/>
      <c r="C10" s="30"/>
      <c r="D10" s="30"/>
      <c r="E10" s="30"/>
      <c r="F10" s="30"/>
      <c r="G10" s="30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29</v>
      </c>
      <c r="D12" s="9" t="s">
        <v>30</v>
      </c>
      <c r="E12" s="9" t="s">
        <v>50</v>
      </c>
      <c r="F12" s="9" t="s">
        <v>31</v>
      </c>
      <c r="G12" s="9" t="s">
        <v>15</v>
      </c>
    </row>
    <row r="13" spans="1:8" x14ac:dyDescent="0.3">
      <c r="B13" s="10" t="s">
        <v>68</v>
      </c>
      <c r="C13" s="10" t="s">
        <v>9</v>
      </c>
      <c r="D13" s="20">
        <v>3283.665</v>
      </c>
      <c r="E13" s="20" t="s">
        <v>4</v>
      </c>
      <c r="F13" s="20">
        <v>3283.67</v>
      </c>
      <c r="G13" s="20" t="s">
        <v>4</v>
      </c>
      <c r="H13" s="21" t="s">
        <v>10</v>
      </c>
    </row>
    <row r="14" spans="1:8" x14ac:dyDescent="0.3">
      <c r="B14" s="10" t="s">
        <v>66</v>
      </c>
      <c r="C14" s="10" t="s">
        <v>9</v>
      </c>
      <c r="D14" s="20">
        <v>3496.88</v>
      </c>
      <c r="E14" s="20" t="s">
        <v>4</v>
      </c>
      <c r="F14" s="20">
        <v>6993.76</v>
      </c>
      <c r="G14" s="20" t="s">
        <v>4</v>
      </c>
      <c r="H14" s="22"/>
    </row>
    <row r="15" spans="1:8" x14ac:dyDescent="0.3">
      <c r="B15" s="11" t="s">
        <v>65</v>
      </c>
      <c r="C15" s="10" t="s">
        <v>9</v>
      </c>
      <c r="D15" s="20">
        <v>458.90499999999997</v>
      </c>
      <c r="E15" s="20" t="s">
        <v>4</v>
      </c>
      <c r="F15" s="20">
        <v>917.81</v>
      </c>
      <c r="G15" s="20" t="s">
        <v>4</v>
      </c>
      <c r="H15" s="22"/>
    </row>
    <row r="16" spans="1:8" x14ac:dyDescent="0.3">
      <c r="B16" s="11" t="s">
        <v>64</v>
      </c>
      <c r="C16" s="10" t="s">
        <v>9</v>
      </c>
      <c r="D16" s="20">
        <v>1088.2925</v>
      </c>
      <c r="E16" s="20" t="s">
        <v>4</v>
      </c>
      <c r="F16" s="20">
        <v>2890.47</v>
      </c>
      <c r="G16" s="20" t="s">
        <v>4</v>
      </c>
      <c r="H16" s="22"/>
    </row>
    <row r="17" spans="2:8" x14ac:dyDescent="0.3">
      <c r="B17" s="11" t="s">
        <v>67</v>
      </c>
      <c r="C17" s="10" t="s">
        <v>9</v>
      </c>
      <c r="D17" s="20">
        <v>1875</v>
      </c>
      <c r="E17" s="20" t="s">
        <v>4</v>
      </c>
      <c r="F17" s="20">
        <v>2500</v>
      </c>
      <c r="G17" s="20" t="s">
        <v>4</v>
      </c>
      <c r="H17" s="22"/>
    </row>
  </sheetData>
  <mergeCells count="1">
    <mergeCell ref="B9:G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19"/>
  <sheetViews>
    <sheetView showGridLines="0" workbookViewId="0">
      <selection activeCell="B24" sqref="B24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8.88671875" bestFit="1" customWidth="1"/>
    <col min="4" max="4" width="9" bestFit="1" customWidth="1"/>
    <col min="5" max="5" width="22.109375" bestFit="1" customWidth="1"/>
    <col min="6" max="6" width="8.88671875" bestFit="1" customWidth="1"/>
    <col min="7" max="7" width="22.44140625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2" t="s">
        <v>120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ht="3" customHeight="1" x14ac:dyDescent="0.3">
      <c r="A5" s="5"/>
      <c r="B5" s="5"/>
      <c r="C5" s="5"/>
      <c r="D5" s="5"/>
      <c r="E5" s="5"/>
      <c r="F5" s="5"/>
      <c r="G5" s="5"/>
      <c r="H5" s="5"/>
      <c r="I5" s="5"/>
    </row>
    <row r="7" spans="1:9" x14ac:dyDescent="0.3">
      <c r="B7" s="6" t="s">
        <v>177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189</v>
      </c>
      <c r="C9" s="30"/>
      <c r="D9" s="30"/>
      <c r="E9" s="30"/>
      <c r="F9" s="30"/>
      <c r="G9" s="30"/>
      <c r="H9" s="30"/>
    </row>
    <row r="10" spans="1:9" ht="14.4" customHeight="1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21</v>
      </c>
      <c r="D12" s="9" t="s">
        <v>41</v>
      </c>
      <c r="E12" s="9" t="s">
        <v>50</v>
      </c>
      <c r="F12" s="9" t="s">
        <v>49</v>
      </c>
      <c r="G12" s="9" t="s">
        <v>15</v>
      </c>
      <c r="H12" s="1" t="s">
        <v>2</v>
      </c>
    </row>
    <row r="13" spans="1:9" x14ac:dyDescent="0.3">
      <c r="B13" s="10" t="s">
        <v>42</v>
      </c>
      <c r="C13" s="10" t="s">
        <v>9</v>
      </c>
      <c r="D13" s="20">
        <v>1240.98</v>
      </c>
      <c r="E13" s="20" t="s">
        <v>4</v>
      </c>
      <c r="F13" s="20">
        <v>1085.8599999999999</v>
      </c>
      <c r="G13" s="20" t="s">
        <v>4</v>
      </c>
      <c r="H13" s="20">
        <v>1240.98</v>
      </c>
      <c r="I13" s="12" t="s">
        <v>10</v>
      </c>
    </row>
    <row r="14" spans="1:9" x14ac:dyDescent="0.3">
      <c r="B14" s="10" t="s">
        <v>48</v>
      </c>
      <c r="C14" s="10" t="s">
        <v>9</v>
      </c>
      <c r="D14" s="20">
        <v>533.11</v>
      </c>
      <c r="E14" s="20" t="s">
        <v>4</v>
      </c>
      <c r="F14" s="20">
        <v>521.12</v>
      </c>
      <c r="G14" s="20" t="s">
        <v>4</v>
      </c>
      <c r="H14" s="20">
        <v>533.11</v>
      </c>
    </row>
    <row r="15" spans="1:9" x14ac:dyDescent="0.3">
      <c r="B15" s="11" t="s">
        <v>47</v>
      </c>
      <c r="C15" s="10" t="s">
        <v>9</v>
      </c>
      <c r="D15" s="20">
        <v>1985.67</v>
      </c>
      <c r="E15" s="20" t="s">
        <v>4</v>
      </c>
      <c r="F15" s="20">
        <v>1941.01</v>
      </c>
      <c r="G15" s="20" t="s">
        <v>4</v>
      </c>
      <c r="H15" s="20">
        <v>1985.67</v>
      </c>
    </row>
    <row r="16" spans="1:9" x14ac:dyDescent="0.3">
      <c r="B16" s="11" t="s">
        <v>44</v>
      </c>
      <c r="C16" s="10" t="s">
        <v>9</v>
      </c>
      <c r="D16" s="20">
        <v>32957.42</v>
      </c>
      <c r="E16" s="20" t="s">
        <v>4</v>
      </c>
      <c r="F16" s="20">
        <v>31318.22</v>
      </c>
      <c r="G16" s="20" t="s">
        <v>4</v>
      </c>
      <c r="H16" s="20">
        <v>32957.42</v>
      </c>
    </row>
    <row r="17" spans="2:8" x14ac:dyDescent="0.3">
      <c r="B17" s="11" t="s">
        <v>43</v>
      </c>
      <c r="C17" s="10" t="s">
        <v>9</v>
      </c>
      <c r="D17" s="20">
        <v>44637.440000000002</v>
      </c>
      <c r="E17" s="20" t="s">
        <v>4</v>
      </c>
      <c r="F17" s="20">
        <v>42417.32</v>
      </c>
      <c r="G17" s="20" t="s">
        <v>4</v>
      </c>
      <c r="H17" s="20">
        <v>44637.440000000002</v>
      </c>
    </row>
    <row r="18" spans="2:8" x14ac:dyDescent="0.3">
      <c r="B18" s="11" t="s">
        <v>45</v>
      </c>
      <c r="C18" s="10" t="s">
        <v>9</v>
      </c>
      <c r="D18" s="20">
        <v>1240.98</v>
      </c>
      <c r="E18" s="20" t="s">
        <v>4</v>
      </c>
      <c r="F18" s="20">
        <v>1085.8599999999999</v>
      </c>
      <c r="G18" s="20" t="s">
        <v>4</v>
      </c>
      <c r="H18" s="20">
        <v>1240.98</v>
      </c>
    </row>
    <row r="19" spans="2:8" x14ac:dyDescent="0.3">
      <c r="B19" s="11" t="s">
        <v>46</v>
      </c>
      <c r="C19" s="10" t="s">
        <v>9</v>
      </c>
      <c r="D19" s="20">
        <v>6204.91</v>
      </c>
      <c r="E19" s="20" t="s">
        <v>4</v>
      </c>
      <c r="F19" s="20">
        <v>5429.3</v>
      </c>
      <c r="G19" s="20" t="s">
        <v>4</v>
      </c>
      <c r="H19" s="20">
        <v>6204.91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19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8.88671875" bestFit="1" customWidth="1"/>
    <col min="4" max="4" width="10.5546875" customWidth="1"/>
    <col min="5" max="5" width="22.109375" bestFit="1" customWidth="1"/>
    <col min="6" max="6" width="10.21875" customWidth="1"/>
    <col min="7" max="7" width="22.77734375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178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188</v>
      </c>
      <c r="C9" s="30"/>
      <c r="D9" s="30"/>
      <c r="E9" s="30"/>
      <c r="F9" s="30"/>
      <c r="G9" s="30"/>
      <c r="H9" s="30"/>
    </row>
    <row r="10" spans="1:9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22</v>
      </c>
      <c r="D12" s="9" t="s">
        <v>118</v>
      </c>
      <c r="E12" s="9" t="s">
        <v>50</v>
      </c>
      <c r="F12" s="9" t="s">
        <v>119</v>
      </c>
      <c r="G12" s="9" t="s">
        <v>15</v>
      </c>
      <c r="H12" s="1" t="s">
        <v>2</v>
      </c>
    </row>
    <row r="13" spans="1:9" x14ac:dyDescent="0.3">
      <c r="B13" s="10" t="s">
        <v>47</v>
      </c>
      <c r="C13" s="10" t="s">
        <v>9</v>
      </c>
      <c r="D13" s="20">
        <v>1160</v>
      </c>
      <c r="E13" s="20" t="s">
        <v>4</v>
      </c>
      <c r="F13" s="20">
        <v>1133.9100000000001</v>
      </c>
      <c r="G13" s="20" t="s">
        <v>4</v>
      </c>
      <c r="H13" s="20">
        <v>1160</v>
      </c>
      <c r="I13" s="21" t="s">
        <v>10</v>
      </c>
    </row>
    <row r="14" spans="1:9" x14ac:dyDescent="0.3">
      <c r="B14" s="10" t="s">
        <v>42</v>
      </c>
      <c r="C14" s="10" t="s">
        <v>9</v>
      </c>
      <c r="D14" s="20">
        <v>1992.02</v>
      </c>
      <c r="E14" s="20" t="s">
        <v>4</v>
      </c>
      <c r="F14" s="20">
        <v>1743.02</v>
      </c>
      <c r="G14" s="20" t="s">
        <v>4</v>
      </c>
      <c r="H14" s="20">
        <v>1992.02</v>
      </c>
      <c r="I14" s="22"/>
    </row>
    <row r="15" spans="1:9" x14ac:dyDescent="0.3">
      <c r="B15" s="11" t="s">
        <v>46</v>
      </c>
      <c r="C15" s="10" t="s">
        <v>9</v>
      </c>
      <c r="D15" s="20">
        <v>9960.1</v>
      </c>
      <c r="E15" s="20" t="s">
        <v>4</v>
      </c>
      <c r="F15" s="20">
        <v>8715.09</v>
      </c>
      <c r="G15" s="20" t="s">
        <v>4</v>
      </c>
      <c r="H15" s="20">
        <v>9960.1</v>
      </c>
      <c r="I15" s="22"/>
    </row>
    <row r="16" spans="1:9" x14ac:dyDescent="0.3">
      <c r="B16" s="11" t="s">
        <v>48</v>
      </c>
      <c r="C16" s="10" t="s">
        <v>9</v>
      </c>
      <c r="D16" s="20">
        <v>311.44</v>
      </c>
      <c r="E16" s="20" t="s">
        <v>4</v>
      </c>
      <c r="F16" s="20">
        <v>304.43</v>
      </c>
      <c r="G16" s="20" t="s">
        <v>4</v>
      </c>
      <c r="H16" s="20">
        <v>311.44</v>
      </c>
      <c r="I16" s="22"/>
    </row>
    <row r="17" spans="2:9" x14ac:dyDescent="0.3">
      <c r="B17" s="11" t="s">
        <v>43</v>
      </c>
      <c r="C17" s="10" t="s">
        <v>9</v>
      </c>
      <c r="D17" s="20">
        <v>14961.83</v>
      </c>
      <c r="E17" s="20" t="s">
        <v>4</v>
      </c>
      <c r="F17" s="20">
        <v>14217.68</v>
      </c>
      <c r="G17" s="20" t="s">
        <v>4</v>
      </c>
      <c r="H17" s="20">
        <v>14961.83</v>
      </c>
      <c r="I17" s="22"/>
    </row>
    <row r="18" spans="2:9" x14ac:dyDescent="0.3">
      <c r="B18" s="29" t="s">
        <v>45</v>
      </c>
      <c r="C18" s="26" t="s">
        <v>9</v>
      </c>
      <c r="D18" s="27">
        <v>1992.02</v>
      </c>
      <c r="E18" s="27" t="s">
        <v>4</v>
      </c>
      <c r="F18" s="27">
        <v>1743.02</v>
      </c>
      <c r="G18" s="27" t="s">
        <v>4</v>
      </c>
      <c r="H18" s="27">
        <v>1992.02</v>
      </c>
      <c r="I18" s="22"/>
    </row>
    <row r="19" spans="2:9" x14ac:dyDescent="0.3">
      <c r="B19" s="28" t="s">
        <v>44</v>
      </c>
      <c r="C19" s="10" t="s">
        <v>9</v>
      </c>
      <c r="D19" s="20">
        <v>11046.86</v>
      </c>
      <c r="E19" s="20" t="s">
        <v>4</v>
      </c>
      <c r="F19" s="20">
        <v>10497.42</v>
      </c>
      <c r="G19" s="20" t="s">
        <v>4</v>
      </c>
      <c r="H19" s="20">
        <v>11046.86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18"/>
  <sheetViews>
    <sheetView showGridLines="0" workbookViewId="0">
      <selection activeCell="F23" sqref="F23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8" bestFit="1" customWidth="1"/>
    <col min="4" max="4" width="28.44140625" bestFit="1" customWidth="1"/>
    <col min="5" max="5" width="22.109375" bestFit="1" customWidth="1"/>
    <col min="6" max="6" width="26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179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187</v>
      </c>
      <c r="C9" s="30"/>
      <c r="D9" s="30"/>
      <c r="E9" s="30"/>
      <c r="F9" s="30"/>
      <c r="G9" s="30"/>
      <c r="H9" s="30"/>
    </row>
    <row r="10" spans="1:9" ht="14.4" customHeight="1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  <c r="F11" s="8"/>
      <c r="G11" s="8"/>
      <c r="H11" s="8"/>
    </row>
    <row r="12" spans="1:9" x14ac:dyDescent="0.3">
      <c r="B12" s="9" t="s">
        <v>5</v>
      </c>
      <c r="C12" s="9" t="s">
        <v>32</v>
      </c>
      <c r="D12" s="9" t="s">
        <v>33</v>
      </c>
      <c r="E12" s="9" t="s">
        <v>50</v>
      </c>
      <c r="F12" s="9" t="s">
        <v>34</v>
      </c>
      <c r="G12" s="9" t="s">
        <v>15</v>
      </c>
      <c r="H12" s="1" t="s">
        <v>2</v>
      </c>
    </row>
    <row r="13" spans="1:9" x14ac:dyDescent="0.3">
      <c r="B13" s="10" t="s">
        <v>70</v>
      </c>
      <c r="C13" s="10" t="s">
        <v>9</v>
      </c>
      <c r="D13" s="20">
        <v>280.61</v>
      </c>
      <c r="E13" s="20" t="s">
        <v>4</v>
      </c>
      <c r="F13" s="20">
        <v>1122.44</v>
      </c>
      <c r="G13" s="20" t="s">
        <v>4</v>
      </c>
      <c r="H13" s="20">
        <v>280.61</v>
      </c>
      <c r="I13" s="12" t="s">
        <v>10</v>
      </c>
    </row>
    <row r="14" spans="1:9" x14ac:dyDescent="0.3">
      <c r="B14" s="10" t="s">
        <v>71</v>
      </c>
      <c r="C14" s="10" t="s">
        <v>9</v>
      </c>
      <c r="D14" s="20">
        <v>2.3199999999999998</v>
      </c>
      <c r="E14" s="20" t="s">
        <v>4</v>
      </c>
      <c r="F14" s="20">
        <v>13.92</v>
      </c>
      <c r="G14" s="20" t="s">
        <v>4</v>
      </c>
      <c r="H14" s="20">
        <v>2.3199999999999998</v>
      </c>
    </row>
    <row r="15" spans="1:9" x14ac:dyDescent="0.3">
      <c r="B15" s="11" t="s">
        <v>72</v>
      </c>
      <c r="C15" s="10" t="s">
        <v>9</v>
      </c>
      <c r="D15" s="20">
        <v>1312.32</v>
      </c>
      <c r="E15" s="20" t="s">
        <v>4</v>
      </c>
      <c r="F15" s="20">
        <v>5249.28</v>
      </c>
      <c r="G15" s="20" t="s">
        <v>4</v>
      </c>
      <c r="H15" s="20">
        <v>1312.32</v>
      </c>
    </row>
    <row r="16" spans="1:9" x14ac:dyDescent="0.3">
      <c r="B16" s="11" t="s">
        <v>73</v>
      </c>
      <c r="C16" s="10" t="s">
        <v>9</v>
      </c>
      <c r="D16" s="20">
        <v>1269.82</v>
      </c>
      <c r="E16" s="20" t="s">
        <v>4</v>
      </c>
      <c r="F16" s="20">
        <v>7618.92</v>
      </c>
      <c r="G16" s="20" t="s">
        <v>4</v>
      </c>
      <c r="H16" s="20">
        <v>1269.82</v>
      </c>
    </row>
    <row r="17" spans="2:8" x14ac:dyDescent="0.3">
      <c r="B17" s="11" t="s">
        <v>74</v>
      </c>
      <c r="C17" s="10" t="s">
        <v>9</v>
      </c>
      <c r="D17" s="20">
        <v>56.3</v>
      </c>
      <c r="E17" s="20" t="s">
        <v>4</v>
      </c>
      <c r="F17" s="20">
        <v>112.6</v>
      </c>
      <c r="G17" s="20" t="s">
        <v>4</v>
      </c>
      <c r="H17" s="20">
        <v>56.3</v>
      </c>
    </row>
    <row r="18" spans="2:8" x14ac:dyDescent="0.3">
      <c r="B18" s="11" t="s">
        <v>75</v>
      </c>
      <c r="C18" s="10" t="s">
        <v>9</v>
      </c>
      <c r="D18" s="20">
        <v>105522.14</v>
      </c>
      <c r="E18" s="20" t="s">
        <v>4</v>
      </c>
      <c r="F18" s="20">
        <v>633132.84</v>
      </c>
      <c r="G18" s="20" t="s">
        <v>4</v>
      </c>
      <c r="H18" s="20">
        <v>105522.14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9" bestFit="1" customWidth="1"/>
    <col min="4" max="4" width="29.5546875" bestFit="1" customWidth="1"/>
    <col min="5" max="5" width="22.109375" bestFit="1" customWidth="1"/>
    <col min="6" max="6" width="27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180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186</v>
      </c>
      <c r="C9" s="30"/>
      <c r="D9" s="30"/>
      <c r="E9" s="30"/>
      <c r="F9" s="30"/>
      <c r="G9" s="30"/>
      <c r="H9" s="30"/>
    </row>
    <row r="10" spans="1:9" ht="14.4" customHeight="1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35</v>
      </c>
      <c r="D12" s="9" t="s">
        <v>36</v>
      </c>
      <c r="E12" s="9" t="s">
        <v>50</v>
      </c>
      <c r="F12" s="9" t="s">
        <v>37</v>
      </c>
      <c r="G12" s="9" t="s">
        <v>15</v>
      </c>
      <c r="H12" s="1" t="s">
        <v>2</v>
      </c>
    </row>
    <row r="13" spans="1:9" x14ac:dyDescent="0.3">
      <c r="B13" s="10" t="s">
        <v>106</v>
      </c>
      <c r="C13" s="10" t="s">
        <v>9</v>
      </c>
      <c r="D13" s="20">
        <v>1041.5999999999999</v>
      </c>
      <c r="E13" s="20" t="s">
        <v>4</v>
      </c>
      <c r="F13" s="20">
        <v>6249.6</v>
      </c>
      <c r="G13" s="20" t="s">
        <v>4</v>
      </c>
      <c r="H13" s="20">
        <v>1041.5999999999999</v>
      </c>
      <c r="I13" s="12" t="s">
        <v>10</v>
      </c>
    </row>
    <row r="14" spans="1:9" x14ac:dyDescent="0.3">
      <c r="B14" s="10" t="s">
        <v>107</v>
      </c>
      <c r="C14" s="10" t="s">
        <v>9</v>
      </c>
      <c r="D14" s="20">
        <v>1995.63</v>
      </c>
      <c r="E14" s="20" t="s">
        <v>4</v>
      </c>
      <c r="F14" s="20">
        <v>11973.78</v>
      </c>
      <c r="G14" s="20" t="s">
        <v>4</v>
      </c>
      <c r="H14" s="20">
        <v>1995.63</v>
      </c>
    </row>
    <row r="15" spans="1:9" x14ac:dyDescent="0.3">
      <c r="B15" s="11" t="s">
        <v>108</v>
      </c>
      <c r="C15" s="10" t="s">
        <v>9</v>
      </c>
      <c r="D15" s="20">
        <v>704.07</v>
      </c>
      <c r="E15" s="20" t="s">
        <v>4</v>
      </c>
      <c r="F15" s="20">
        <v>7040.7</v>
      </c>
      <c r="G15" s="20" t="s">
        <v>4</v>
      </c>
      <c r="H15" s="20">
        <v>704.07</v>
      </c>
    </row>
    <row r="16" spans="1:9" x14ac:dyDescent="0.3">
      <c r="B16" s="11" t="s">
        <v>109</v>
      </c>
      <c r="C16" s="10" t="s">
        <v>9</v>
      </c>
      <c r="D16" s="20">
        <v>8.3699999999999992</v>
      </c>
      <c r="E16" s="20" t="s">
        <v>4</v>
      </c>
      <c r="F16" s="20">
        <v>25.11</v>
      </c>
      <c r="G16" s="20" t="s">
        <v>4</v>
      </c>
      <c r="H16" s="20">
        <v>8.3699999999999992</v>
      </c>
    </row>
    <row r="17" spans="2:8" x14ac:dyDescent="0.3">
      <c r="B17" s="11" t="s">
        <v>110</v>
      </c>
      <c r="C17" s="10" t="s">
        <v>9</v>
      </c>
      <c r="D17" s="20">
        <v>2461.75</v>
      </c>
      <c r="E17" s="20" t="s">
        <v>4</v>
      </c>
      <c r="F17" s="20">
        <v>9847</v>
      </c>
      <c r="G17" s="20" t="s">
        <v>4</v>
      </c>
      <c r="H17" s="20">
        <v>2461.75</v>
      </c>
    </row>
    <row r="18" spans="2:8" x14ac:dyDescent="0.3">
      <c r="B18" s="11" t="s">
        <v>111</v>
      </c>
      <c r="C18" s="10" t="s">
        <v>9</v>
      </c>
      <c r="D18" s="20">
        <v>1197.32</v>
      </c>
      <c r="E18" s="20" t="s">
        <v>4</v>
      </c>
      <c r="F18" s="20">
        <v>4789.28</v>
      </c>
      <c r="G18" s="20" t="s">
        <v>4</v>
      </c>
      <c r="H18" s="20">
        <v>1197.32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1.77734375" bestFit="1" customWidth="1"/>
    <col min="4" max="4" width="22.21875" bestFit="1" customWidth="1"/>
    <col min="5" max="5" width="22.109375" bestFit="1" customWidth="1"/>
    <col min="6" max="6" width="20.332031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181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185</v>
      </c>
      <c r="C9" s="30"/>
      <c r="D9" s="30"/>
      <c r="E9" s="30"/>
      <c r="F9" s="30"/>
      <c r="G9" s="30"/>
      <c r="H9" s="30"/>
    </row>
    <row r="10" spans="1:9" ht="14.4" customHeight="1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38</v>
      </c>
      <c r="D12" s="9" t="s">
        <v>39</v>
      </c>
      <c r="E12" s="9" t="s">
        <v>50</v>
      </c>
      <c r="F12" s="9" t="s">
        <v>40</v>
      </c>
      <c r="G12" s="9" t="s">
        <v>15</v>
      </c>
      <c r="H12" s="1" t="s">
        <v>2</v>
      </c>
    </row>
    <row r="13" spans="1:9" x14ac:dyDescent="0.3">
      <c r="B13" s="10" t="s">
        <v>112</v>
      </c>
      <c r="C13" s="10" t="s">
        <v>9</v>
      </c>
      <c r="D13" s="20">
        <v>205.98</v>
      </c>
      <c r="E13" s="20" t="s">
        <v>4</v>
      </c>
      <c r="F13" s="20">
        <v>411.96</v>
      </c>
      <c r="G13" s="20" t="s">
        <v>4</v>
      </c>
      <c r="H13" s="20">
        <v>205.98</v>
      </c>
      <c r="I13" s="12" t="s">
        <v>10</v>
      </c>
    </row>
    <row r="14" spans="1:9" x14ac:dyDescent="0.3">
      <c r="B14" s="10" t="s">
        <v>113</v>
      </c>
      <c r="C14" s="10" t="s">
        <v>9</v>
      </c>
      <c r="D14" s="20">
        <v>2.2599999999999998</v>
      </c>
      <c r="E14" s="20" t="s">
        <v>4</v>
      </c>
      <c r="F14" s="20">
        <v>13.56</v>
      </c>
      <c r="G14" s="20" t="s">
        <v>4</v>
      </c>
      <c r="H14" s="20">
        <v>2.2599999999999998</v>
      </c>
    </row>
    <row r="15" spans="1:9" x14ac:dyDescent="0.3">
      <c r="B15" s="11" t="s">
        <v>114</v>
      </c>
      <c r="C15" s="10" t="s">
        <v>9</v>
      </c>
      <c r="D15" s="20">
        <v>0.46</v>
      </c>
      <c r="E15" s="20" t="s">
        <v>4</v>
      </c>
      <c r="F15" s="20">
        <v>1.84</v>
      </c>
      <c r="G15" s="20" t="s">
        <v>4</v>
      </c>
      <c r="H15" s="20">
        <v>0.46</v>
      </c>
    </row>
    <row r="16" spans="1:9" x14ac:dyDescent="0.3">
      <c r="B16" s="11" t="s">
        <v>115</v>
      </c>
      <c r="C16" s="10" t="s">
        <v>9</v>
      </c>
      <c r="D16" s="20">
        <v>0.41</v>
      </c>
      <c r="E16" s="20" t="s">
        <v>4</v>
      </c>
      <c r="F16" s="20">
        <v>1.64</v>
      </c>
      <c r="G16" s="20" t="s">
        <v>4</v>
      </c>
      <c r="H16" s="20">
        <v>0.41</v>
      </c>
    </row>
    <row r="17" spans="2:8" x14ac:dyDescent="0.3">
      <c r="B17" s="11" t="s">
        <v>116</v>
      </c>
      <c r="C17" s="10" t="s">
        <v>9</v>
      </c>
      <c r="D17" s="20">
        <v>0.97</v>
      </c>
      <c r="E17" s="20" t="s">
        <v>4</v>
      </c>
      <c r="F17" s="20">
        <v>5.82</v>
      </c>
      <c r="G17" s="20" t="s">
        <v>4</v>
      </c>
      <c r="H17" s="20">
        <v>0.97</v>
      </c>
    </row>
    <row r="18" spans="2:8" x14ac:dyDescent="0.3">
      <c r="B18" s="11" t="s">
        <v>117</v>
      </c>
      <c r="C18" s="10" t="s">
        <v>9</v>
      </c>
      <c r="D18" s="20">
        <v>7.11</v>
      </c>
      <c r="E18" s="20" t="s">
        <v>4</v>
      </c>
      <c r="F18" s="20">
        <v>42.66</v>
      </c>
      <c r="G18" s="20" t="s">
        <v>4</v>
      </c>
      <c r="H18" s="20">
        <v>7.11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506-5B07-4D5A-9157-C31ABC1C7D0E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8" bestFit="1" customWidth="1"/>
    <col min="4" max="4" width="28.44140625" bestFit="1" customWidth="1"/>
    <col min="5" max="5" width="22.109375" bestFit="1" customWidth="1"/>
    <col min="6" max="6" width="26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182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0" t="s">
        <v>184</v>
      </c>
      <c r="C9" s="30"/>
      <c r="D9" s="30"/>
      <c r="E9" s="30"/>
      <c r="F9" s="30"/>
      <c r="G9" s="30"/>
      <c r="H9" s="30"/>
    </row>
    <row r="10" spans="1:9" ht="14.4" customHeight="1" x14ac:dyDescent="0.3">
      <c r="B10" s="30"/>
      <c r="C10" s="30"/>
      <c r="D10" s="30"/>
      <c r="E10" s="30"/>
      <c r="F10" s="30"/>
      <c r="G10" s="30"/>
      <c r="H10" s="30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18</v>
      </c>
      <c r="D12" s="9" t="s">
        <v>16</v>
      </c>
      <c r="E12" s="9" t="s">
        <v>50</v>
      </c>
      <c r="F12" s="9" t="s">
        <v>17</v>
      </c>
      <c r="G12" s="9" t="s">
        <v>15</v>
      </c>
      <c r="H12" s="1" t="s">
        <v>2</v>
      </c>
    </row>
    <row r="13" spans="1:9" x14ac:dyDescent="0.3">
      <c r="B13" s="10" t="s">
        <v>121</v>
      </c>
      <c r="C13" s="10" t="s">
        <v>9</v>
      </c>
      <c r="D13" s="20">
        <v>84.1</v>
      </c>
      <c r="E13" s="20" t="s">
        <v>4</v>
      </c>
      <c r="F13" s="20">
        <v>252.3</v>
      </c>
      <c r="G13" s="20" t="s">
        <v>4</v>
      </c>
      <c r="H13" s="20">
        <v>84.1</v>
      </c>
    </row>
    <row r="14" spans="1:9" x14ac:dyDescent="0.3">
      <c r="B14" s="10" t="s">
        <v>122</v>
      </c>
      <c r="C14" s="10" t="s">
        <v>9</v>
      </c>
      <c r="D14" s="20">
        <v>14.1</v>
      </c>
      <c r="E14" s="20" t="s">
        <v>4</v>
      </c>
      <c r="F14" s="20">
        <v>42.3</v>
      </c>
      <c r="G14" s="20" t="s">
        <v>4</v>
      </c>
      <c r="H14" s="20">
        <v>14.1</v>
      </c>
    </row>
    <row r="15" spans="1:9" x14ac:dyDescent="0.3">
      <c r="B15" s="11" t="s">
        <v>123</v>
      </c>
      <c r="C15" s="10" t="s">
        <v>9</v>
      </c>
      <c r="D15" s="20">
        <v>8.4600000000000009</v>
      </c>
      <c r="E15" s="20" t="s">
        <v>4</v>
      </c>
      <c r="F15" s="20">
        <v>50.76</v>
      </c>
      <c r="G15" s="20" t="s">
        <v>4</v>
      </c>
      <c r="H15" s="20">
        <v>8.4600000000000009</v>
      </c>
    </row>
    <row r="16" spans="1:9" x14ac:dyDescent="0.3">
      <c r="B16" s="11" t="s">
        <v>124</v>
      </c>
      <c r="C16" s="10" t="s">
        <v>9</v>
      </c>
      <c r="D16" s="20">
        <v>0.68</v>
      </c>
      <c r="E16" s="20" t="s">
        <v>4</v>
      </c>
      <c r="F16" s="20">
        <v>2.72</v>
      </c>
      <c r="G16" s="20" t="s">
        <v>4</v>
      </c>
      <c r="H16" s="20">
        <v>0.68</v>
      </c>
    </row>
    <row r="17" spans="2:8" x14ac:dyDescent="0.3">
      <c r="B17" s="11" t="s">
        <v>125</v>
      </c>
      <c r="C17" s="10" t="s">
        <v>9</v>
      </c>
      <c r="D17" s="20">
        <v>0.74</v>
      </c>
      <c r="E17" s="20" t="s">
        <v>4</v>
      </c>
      <c r="F17" s="20">
        <v>1.48</v>
      </c>
      <c r="G17" s="20" t="s">
        <v>4</v>
      </c>
      <c r="H17" s="20">
        <v>0.74</v>
      </c>
    </row>
    <row r="18" spans="2:8" x14ac:dyDescent="0.3">
      <c r="B18" s="11" t="s">
        <v>126</v>
      </c>
      <c r="C18" s="10" t="s">
        <v>9</v>
      </c>
      <c r="D18" s="20">
        <v>38.020000000000003</v>
      </c>
      <c r="E18" s="20" t="s">
        <v>4</v>
      </c>
      <c r="F18" s="20">
        <v>76.040000000000006</v>
      </c>
      <c r="G18" s="20" t="s">
        <v>4</v>
      </c>
      <c r="H18" s="20">
        <v>38.020000000000003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topLeftCell="B1" workbookViewId="0">
      <selection activeCell="B11" sqref="B11"/>
    </sheetView>
  </sheetViews>
  <sheetFormatPr defaultColWidth="0" defaultRowHeight="14.4" x14ac:dyDescent="0.3"/>
  <cols>
    <col min="1" max="1" width="3.6640625" customWidth="1"/>
    <col min="2" max="2" width="33.88671875" bestFit="1" customWidth="1"/>
    <col min="3" max="3" width="10.6640625" bestFit="1" customWidth="1"/>
    <col min="4" max="4" width="14.21875" customWidth="1"/>
    <col min="5" max="5" width="105.33203125" bestFit="1" customWidth="1"/>
    <col min="6" max="6" width="103.109375" bestFit="1" customWidth="1"/>
    <col min="7" max="7" width="10" bestFit="1" customWidth="1"/>
    <col min="8" max="8" width="12.109375" bestFit="1" customWidth="1"/>
    <col min="9" max="9" width="105.33203125" bestFit="1" customWidth="1"/>
    <col min="10" max="10" width="3.6640625" customWidth="1"/>
    <col min="11" max="16384" width="8.88671875" hidden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x14ac:dyDescent="0.3">
      <c r="B7" s="6" t="s">
        <v>69</v>
      </c>
      <c r="C7" s="7"/>
      <c r="D7" s="7"/>
      <c r="E7" s="7"/>
      <c r="F7" s="7"/>
      <c r="G7" s="7"/>
      <c r="H7" s="7"/>
      <c r="I7" s="7"/>
    </row>
    <row r="8" spans="1:10" ht="7.2" customHeight="1" x14ac:dyDescent="0.3"/>
    <row r="9" spans="1:10" x14ac:dyDescent="0.3">
      <c r="B9" s="30" t="s">
        <v>183</v>
      </c>
      <c r="C9" s="30"/>
      <c r="D9" s="30"/>
      <c r="E9" s="30"/>
      <c r="F9" s="30"/>
    </row>
    <row r="10" spans="1:10" x14ac:dyDescent="0.3">
      <c r="B10" s="30"/>
      <c r="C10" s="30"/>
      <c r="D10" s="30"/>
      <c r="E10" s="30"/>
      <c r="F10" s="30"/>
    </row>
    <row r="11" spans="1:10" x14ac:dyDescent="0.3">
      <c r="B11" s="8"/>
      <c r="C11" s="8"/>
      <c r="D11" s="8"/>
      <c r="E11" s="8"/>
      <c r="F11" s="8"/>
    </row>
    <row r="12" spans="1:10" x14ac:dyDescent="0.3">
      <c r="B12" s="17" t="s">
        <v>0</v>
      </c>
      <c r="C12" s="17" t="s">
        <v>14</v>
      </c>
      <c r="D12" s="17" t="s">
        <v>15</v>
      </c>
      <c r="E12" s="17" t="s">
        <v>76</v>
      </c>
      <c r="F12" s="17" t="s">
        <v>77</v>
      </c>
      <c r="G12" s="17" t="s">
        <v>78</v>
      </c>
      <c r="H12" s="1" t="s">
        <v>79</v>
      </c>
      <c r="I12" s="1" t="s">
        <v>2</v>
      </c>
    </row>
    <row r="13" spans="1:10" x14ac:dyDescent="0.3">
      <c r="B13" s="18" t="s">
        <v>80</v>
      </c>
      <c r="C13" s="18" t="s">
        <v>19</v>
      </c>
      <c r="D13" s="18" t="s">
        <v>81</v>
      </c>
      <c r="E13" s="18" t="s">
        <v>82</v>
      </c>
      <c r="F13" s="18" t="s">
        <v>83</v>
      </c>
      <c r="G13" s="18" t="s">
        <v>1</v>
      </c>
      <c r="H13" s="19">
        <v>45657</v>
      </c>
      <c r="I13" s="18" t="s">
        <v>82</v>
      </c>
    </row>
    <row r="14" spans="1:10" x14ac:dyDescent="0.3">
      <c r="B14" s="18" t="s">
        <v>84</v>
      </c>
      <c r="C14" s="18" t="s">
        <v>19</v>
      </c>
      <c r="D14" s="18" t="s">
        <v>81</v>
      </c>
      <c r="E14" s="18" t="s">
        <v>85</v>
      </c>
      <c r="F14" s="18" t="s">
        <v>86</v>
      </c>
      <c r="G14" s="18" t="s">
        <v>1</v>
      </c>
      <c r="H14" s="19">
        <v>45657</v>
      </c>
      <c r="I14" s="18" t="s">
        <v>85</v>
      </c>
    </row>
    <row r="15" spans="1:10" x14ac:dyDescent="0.3">
      <c r="B15" s="18" t="s">
        <v>87</v>
      </c>
      <c r="C15" s="18" t="s">
        <v>19</v>
      </c>
      <c r="D15" s="18" t="s">
        <v>81</v>
      </c>
      <c r="E15" s="18" t="s">
        <v>88</v>
      </c>
      <c r="F15" s="18" t="s">
        <v>83</v>
      </c>
      <c r="G15" s="18" t="s">
        <v>1</v>
      </c>
      <c r="H15" s="19">
        <v>45657</v>
      </c>
      <c r="I15" s="18" t="s">
        <v>88</v>
      </c>
    </row>
    <row r="16" spans="1:10" x14ac:dyDescent="0.3">
      <c r="B16" s="18" t="s">
        <v>89</v>
      </c>
      <c r="C16" s="18" t="s">
        <v>19</v>
      </c>
      <c r="D16" s="18" t="s">
        <v>81</v>
      </c>
      <c r="E16" s="18" t="s">
        <v>88</v>
      </c>
      <c r="F16" s="18" t="s">
        <v>83</v>
      </c>
      <c r="G16" s="18" t="s">
        <v>1</v>
      </c>
      <c r="H16" s="19">
        <v>45657</v>
      </c>
      <c r="I16" s="18" t="s">
        <v>88</v>
      </c>
    </row>
    <row r="17" spans="2:9" x14ac:dyDescent="0.3">
      <c r="B17" s="18" t="s">
        <v>90</v>
      </c>
      <c r="C17" s="18" t="s">
        <v>20</v>
      </c>
      <c r="D17" s="18" t="s">
        <v>81</v>
      </c>
      <c r="E17" s="18" t="s">
        <v>91</v>
      </c>
      <c r="F17" s="18" t="s">
        <v>92</v>
      </c>
      <c r="G17" s="18" t="s">
        <v>1</v>
      </c>
      <c r="H17" s="19">
        <v>45657</v>
      </c>
      <c r="I17" s="18" t="s">
        <v>91</v>
      </c>
    </row>
    <row r="18" spans="2:9" x14ac:dyDescent="0.3">
      <c r="B18" s="18" t="s">
        <v>93</v>
      </c>
      <c r="C18" s="18" t="s">
        <v>19</v>
      </c>
      <c r="D18" s="18" t="s">
        <v>81</v>
      </c>
      <c r="E18" s="18" t="s">
        <v>83</v>
      </c>
      <c r="F18" s="18" t="s">
        <v>94</v>
      </c>
      <c r="G18" s="18" t="s">
        <v>1</v>
      </c>
      <c r="H18" s="19">
        <v>45657</v>
      </c>
      <c r="I18" s="18" t="s">
        <v>83</v>
      </c>
    </row>
    <row r="19" spans="2:9" x14ac:dyDescent="0.3">
      <c r="B19" s="18" t="s">
        <v>95</v>
      </c>
      <c r="C19" s="18" t="s">
        <v>19</v>
      </c>
      <c r="D19" s="18" t="s">
        <v>81</v>
      </c>
      <c r="E19" s="18" t="s">
        <v>96</v>
      </c>
      <c r="F19" s="18" t="s">
        <v>97</v>
      </c>
      <c r="G19" s="18" t="s">
        <v>1</v>
      </c>
      <c r="H19" s="19">
        <v>45657</v>
      </c>
      <c r="I19" s="18" t="s">
        <v>96</v>
      </c>
    </row>
    <row r="20" spans="2:9" x14ac:dyDescent="0.3">
      <c r="B20" s="18" t="s">
        <v>98</v>
      </c>
      <c r="C20" s="18" t="s">
        <v>19</v>
      </c>
      <c r="D20" s="18" t="s">
        <v>81</v>
      </c>
      <c r="E20" s="18" t="s">
        <v>85</v>
      </c>
      <c r="F20" s="18" t="s">
        <v>99</v>
      </c>
      <c r="G20" s="18" t="s">
        <v>1</v>
      </c>
      <c r="H20" s="19">
        <v>45657</v>
      </c>
      <c r="I20" s="18" t="s">
        <v>85</v>
      </c>
    </row>
    <row r="21" spans="2:9" x14ac:dyDescent="0.3">
      <c r="B21" s="18" t="s">
        <v>100</v>
      </c>
      <c r="C21" s="18" t="s">
        <v>101</v>
      </c>
      <c r="D21" s="18" t="s">
        <v>81</v>
      </c>
      <c r="E21" s="18" t="s">
        <v>102</v>
      </c>
      <c r="F21" s="18" t="s">
        <v>103</v>
      </c>
      <c r="G21" s="18" t="s">
        <v>1</v>
      </c>
      <c r="H21" s="19">
        <v>45657</v>
      </c>
      <c r="I21" s="18" t="s">
        <v>102</v>
      </c>
    </row>
    <row r="22" spans="2:9" x14ac:dyDescent="0.3">
      <c r="B22" s="18" t="s">
        <v>104</v>
      </c>
      <c r="C22" s="18" t="s">
        <v>19</v>
      </c>
      <c r="D22" s="18" t="s">
        <v>81</v>
      </c>
      <c r="E22" s="18" t="s">
        <v>105</v>
      </c>
      <c r="F22" s="18" t="s">
        <v>83</v>
      </c>
      <c r="G22" s="18" t="s">
        <v>1</v>
      </c>
      <c r="H22" s="19">
        <v>45657</v>
      </c>
      <c r="I22" s="18" t="s">
        <v>105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EA354-D492-4CA5-8790-B954229F60F2}"/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GRSS_INTRST_EXPNS</vt:lpstr>
      <vt:lpstr>GNS_FNNCL_TRNSCTN_EXCHNG</vt:lpstr>
      <vt:lpstr>AVRG_BLNC</vt:lpstr>
      <vt:lpstr>AVRG_BLNC_detalhe</vt:lpstr>
      <vt:lpstr>AVRG_BLNC_OFF_BLNC</vt:lpstr>
      <vt:lpstr>EAD</vt:lpstr>
      <vt:lpstr>RWA</vt:lpstr>
      <vt:lpstr>GRSS_CRRYNG_AMNT_INSTRMNT</vt:lpstr>
      <vt:lpstr>OFF_BLNC_SHT_AMNT_INSTRMNT</vt:lpstr>
      <vt:lpstr>PRVSNS_OFF_BLNC_SHT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2025-07-11T11:06:42Z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