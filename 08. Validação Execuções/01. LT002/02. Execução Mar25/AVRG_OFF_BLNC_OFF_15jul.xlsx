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00" documentId="8_{0F53F6EB-3ABC-4940-9048-AE0EBB659EBA}" xr6:coauthVersionLast="47" xr6:coauthVersionMax="47" xr10:uidLastSave="{DC1BB32B-BCBC-455E-8C33-D61B9185178E}"/>
  <bookViews>
    <workbookView xWindow="-108" yWindow="-108" windowWidth="23256" windowHeight="12456" activeTab="1" xr2:uid="{2CBD6539-788A-464F-94B8-AF862CE585AF}"/>
  </bookViews>
  <sheets>
    <sheet name="Sheet1" sheetId="1" r:id="rId1"/>
    <sheet name="Sheet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8" i="3"/>
  <c r="R9" i="3"/>
  <c r="R15" i="3"/>
  <c r="R16" i="3"/>
  <c r="Q21" i="3"/>
  <c r="Q22" i="3"/>
  <c r="M7" i="1" l="1"/>
  <c r="M3" i="1"/>
</calcChain>
</file>

<file path=xl/sharedStrings.xml><?xml version="1.0" encoding="utf-8"?>
<sst xmlns="http://schemas.openxmlformats.org/spreadsheetml/2006/main" count="269" uniqueCount="80">
  <si>
    <t>31005100123310011548524300000001</t>
  </si>
  <si>
    <t>INSTRMNT_ID</t>
  </si>
  <si>
    <t>31027500200011136000000000000000</t>
  </si>
  <si>
    <t>cempcta</t>
  </si>
  <si>
    <t>ckbalcao</t>
  </si>
  <si>
    <t>cknumcta</t>
  </si>
  <si>
    <t>zdeposit</t>
  </si>
  <si>
    <t>000000000000000</t>
  </si>
  <si>
    <t>00123310011</t>
  </si>
  <si>
    <t>0051</t>
  </si>
  <si>
    <t>31</t>
  </si>
  <si>
    <t>ckmetamis</t>
  </si>
  <si>
    <t>c134_dez</t>
  </si>
  <si>
    <t>c134_jan</t>
  </si>
  <si>
    <t>c134_fev</t>
  </si>
  <si>
    <t>c134_mar</t>
  </si>
  <si>
    <t>AI0820</t>
  </si>
  <si>
    <t>0275</t>
  </si>
  <si>
    <t>00200011136</t>
  </si>
  <si>
    <t>AI0705</t>
  </si>
  <si>
    <t>Tipo conta local</t>
  </si>
  <si>
    <t>ATIVO EXTRAPATRIMONIAL LINHAS DE CREDITO</t>
  </si>
  <si>
    <t>avrg_blnc_off_blnc</t>
  </si>
  <si>
    <t>AN01010201</t>
  </si>
  <si>
    <t>ckarea</t>
  </si>
  <si>
    <t>AN01010500</t>
  </si>
  <si>
    <t>CKAREA</t>
  </si>
  <si>
    <t>XXXXX</t>
  </si>
  <si>
    <t>YYYY</t>
  </si>
  <si>
    <t>MAR</t>
  </si>
  <si>
    <t>FEV</t>
  </si>
  <si>
    <t>FINREP</t>
  </si>
  <si>
    <t>A</t>
  </si>
  <si>
    <t>ckarea_mar</t>
  </si>
  <si>
    <t>BA2</t>
  </si>
  <si>
    <t>BA4</t>
  </si>
  <si>
    <t>C134</t>
  </si>
  <si>
    <t>ATIVO PATRIMONIAL</t>
  </si>
  <si>
    <t>AI0707</t>
  </si>
  <si>
    <t>0.280000</t>
  </si>
  <si>
    <t>BA15</t>
  </si>
  <si>
    <t>AN02020100</t>
  </si>
  <si>
    <t>35768230003</t>
  </si>
  <si>
    <t>0000</t>
  </si>
  <si>
    <t>31000035768230003000000000000000</t>
  </si>
  <si>
    <t>BA16</t>
  </si>
  <si>
    <t>AN02020300</t>
  </si>
  <si>
    <t>SNCO0000000031000035768230003000000000000000BA16</t>
  </si>
  <si>
    <t>grss_cmmssn_incm</t>
  </si>
  <si>
    <t>c458_mar</t>
  </si>
  <si>
    <t>c457_mar</t>
  </si>
  <si>
    <t>ponderador</t>
  </si>
  <si>
    <t>msaldo_mis</t>
  </si>
  <si>
    <t>msaldo_final</t>
  </si>
  <si>
    <t>bsnss_area</t>
  </si>
  <si>
    <t>zdeposit_mis</t>
  </si>
  <si>
    <t>instrmnt_id</t>
  </si>
  <si>
    <t>não existe a 2a ckarea a jan</t>
  </si>
  <si>
    <t>não existe a 2a ckarea a  dez</t>
  </si>
  <si>
    <t>AO0312</t>
  </si>
  <si>
    <t>0.000000</t>
  </si>
  <si>
    <t>00250180007</t>
  </si>
  <si>
    <t>0003</t>
  </si>
  <si>
    <t>31000300250180007000000000000000</t>
  </si>
  <si>
    <t>IT não tem esta BA mas tem o avrg_blnc_off_blnc = 1 436 024,25</t>
  </si>
  <si>
    <t>BA17</t>
  </si>
  <si>
    <t>AN02020200</t>
  </si>
  <si>
    <t>SNCO0000000031000300250180007000000000000000BA17</t>
  </si>
  <si>
    <t>mas mesmo assim estamos a duplicar o valor</t>
  </si>
  <si>
    <t>se tirássemos o cruzamento por ckarea, iriamos estar a duplicar o valor</t>
  </si>
  <si>
    <t>00181112007</t>
  </si>
  <si>
    <t>31000300181112007000000000000000</t>
  </si>
  <si>
    <t>IT não tem esta BA</t>
  </si>
  <si>
    <t>SNCO0000000031000300181112007000000000000000BA17</t>
  </si>
  <si>
    <t>não existe a 1a ckarea a fev</t>
  </si>
  <si>
    <t>não existe a 1a ckarea a jan</t>
  </si>
  <si>
    <t>não existe a 1a ckarea a dez</t>
  </si>
  <si>
    <t>AI0701</t>
  </si>
  <si>
    <t>38147609001</t>
  </si>
  <si>
    <t>31000038147609001000000000000000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</si>
</sst>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4" fontId="0" fillId="0" borderId="0" xfId="0" applyNumberForma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2" fillId="0" borderId="1" xfId="0" quotePrefix="1" applyFont="1" applyBorder="1"/>
    <xf numFmtId="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22861</xdr:colOff>
      <xdr:row>17</xdr:row>
      <xdr:rowOff>91440</xdr:rowOff>
    </xdr:from>
    <xdr:to>
      <xdr:col>7</xdr:col>
      <xdr:colOff>1127761</xdr:colOff>
      <xdr:row>24</xdr:row>
      <xdr:rowOff>133991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0B98A-67BD-9A0D-23C8-CCCC1850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1" y="3200400"/>
          <a:ext cx="7421880" cy="1322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7A9E-A777-46A8-BBA9-E3C2C2EA6882}">
  <dimension ref="B2:M12"/>
  <sheetViews>
    <sheetView showGridLines="0" workbookViewId="0">
      <selection activeCell="L18" sqref="L18"/>
    </sheetView>
  </sheetViews>
  <sheetFormatPr defaultRowHeight="14.4" x14ac:dyDescent="0.3"/>
  <cols>
    <col min="1" max="1" width="8.88671875" style="3"/>
    <col min="2" max="2" width="33.6640625" style="3" bestFit="1" customWidth="1"/>
    <col min="3" max="4" width="8.88671875" style="3"/>
    <col min="5" max="5" width="12" style="3" bestFit="1" customWidth="1"/>
    <col min="6" max="6" width="16.109375" style="3" bestFit="1" customWidth="1"/>
    <col min="7" max="7" width="12.5546875" style="3" customWidth="1"/>
    <col min="8" max="8" width="39.88671875" style="3" bestFit="1" customWidth="1"/>
    <col min="9" max="9" width="12.21875" style="3" customWidth="1"/>
    <col min="10" max="12" width="11.44140625" style="3" bestFit="1" customWidth="1"/>
    <col min="13" max="13" width="18.77734375" style="3" customWidth="1"/>
    <col min="14" max="16384" width="8.88671875" style="3"/>
  </cols>
  <sheetData>
    <row r="2" spans="2:13" x14ac:dyDescent="0.3">
      <c r="B2" s="6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11</v>
      </c>
      <c r="H2" s="6" t="s">
        <v>20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22</v>
      </c>
    </row>
    <row r="3" spans="2:13" x14ac:dyDescent="0.3">
      <c r="B3" s="7" t="s">
        <v>0</v>
      </c>
      <c r="C3" s="7" t="s">
        <v>10</v>
      </c>
      <c r="D3" s="7" t="s">
        <v>9</v>
      </c>
      <c r="E3" s="7" t="s">
        <v>8</v>
      </c>
      <c r="F3" s="7" t="s">
        <v>7</v>
      </c>
      <c r="G3" s="7" t="s">
        <v>16</v>
      </c>
      <c r="H3" s="7" t="s">
        <v>21</v>
      </c>
      <c r="I3" s="8">
        <v>1427.77</v>
      </c>
      <c r="J3" s="8">
        <v>1427.88</v>
      </c>
      <c r="K3" s="8">
        <v>1496.88</v>
      </c>
      <c r="L3" s="8">
        <v>1428.41</v>
      </c>
      <c r="M3" s="8">
        <f>SUM(I3:L3)/4</f>
        <v>1445.2350000000001</v>
      </c>
    </row>
    <row r="4" spans="2:13" x14ac:dyDescent="0.3">
      <c r="B4" s="4"/>
      <c r="C4" s="4"/>
      <c r="D4" s="4"/>
      <c r="E4" s="4"/>
      <c r="F4" s="4"/>
      <c r="G4" s="4"/>
      <c r="H4" s="4"/>
      <c r="I4" s="10" t="s">
        <v>25</v>
      </c>
      <c r="J4" s="10" t="s">
        <v>23</v>
      </c>
      <c r="K4" s="10" t="s">
        <v>23</v>
      </c>
      <c r="L4" s="10" t="s">
        <v>23</v>
      </c>
      <c r="M4" s="5"/>
    </row>
    <row r="5" spans="2:13" x14ac:dyDescent="0.3"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</row>
    <row r="6" spans="2:13" x14ac:dyDescent="0.3">
      <c r="B6" s="6" t="s">
        <v>1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11</v>
      </c>
      <c r="H6" s="6" t="s">
        <v>20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22</v>
      </c>
    </row>
    <row r="7" spans="2:13" x14ac:dyDescent="0.3">
      <c r="B7" s="7" t="s">
        <v>2</v>
      </c>
      <c r="C7" s="7" t="s">
        <v>10</v>
      </c>
      <c r="D7" s="7" t="s">
        <v>17</v>
      </c>
      <c r="E7" s="7" t="s">
        <v>18</v>
      </c>
      <c r="F7" s="7" t="s">
        <v>7</v>
      </c>
      <c r="G7" s="9" t="s">
        <v>19</v>
      </c>
      <c r="H7" s="7" t="s">
        <v>21</v>
      </c>
      <c r="I7" s="8">
        <v>2500</v>
      </c>
      <c r="J7" s="8">
        <v>2500</v>
      </c>
      <c r="K7" s="8">
        <v>2500</v>
      </c>
      <c r="L7" s="8">
        <v>2500</v>
      </c>
      <c r="M7" s="8">
        <f>SUM(I7:L7)/4</f>
        <v>2500</v>
      </c>
    </row>
    <row r="8" spans="2:13" x14ac:dyDescent="0.3">
      <c r="I8" s="11" t="s">
        <v>25</v>
      </c>
      <c r="J8" s="11" t="s">
        <v>23</v>
      </c>
      <c r="K8" s="11" t="s">
        <v>23</v>
      </c>
      <c r="L8" s="11" t="s">
        <v>23</v>
      </c>
      <c r="M8" s="5"/>
    </row>
    <row r="10" spans="2:13" x14ac:dyDescent="0.3">
      <c r="B10" s="6" t="s">
        <v>1</v>
      </c>
      <c r="C10" s="6" t="s">
        <v>3</v>
      </c>
      <c r="D10" s="6" t="s">
        <v>4</v>
      </c>
      <c r="E10" s="6" t="s">
        <v>5</v>
      </c>
      <c r="F10" s="6" t="s">
        <v>6</v>
      </c>
      <c r="G10" s="3" t="s">
        <v>33</v>
      </c>
      <c r="I10" s="3" t="s">
        <v>36</v>
      </c>
      <c r="L10" s="5"/>
      <c r="M10" s="5"/>
    </row>
    <row r="11" spans="2:13" x14ac:dyDescent="0.3">
      <c r="B11" s="7" t="s">
        <v>2</v>
      </c>
      <c r="C11" s="7" t="s">
        <v>10</v>
      </c>
      <c r="D11" s="7" t="s">
        <v>17</v>
      </c>
      <c r="E11" s="7" t="s">
        <v>18</v>
      </c>
      <c r="F11" s="7" t="s">
        <v>7</v>
      </c>
      <c r="G11" s="11" t="s">
        <v>23</v>
      </c>
      <c r="H11" s="3" t="s">
        <v>34</v>
      </c>
      <c r="I11" s="3">
        <v>50</v>
      </c>
    </row>
    <row r="12" spans="2:13" x14ac:dyDescent="0.3">
      <c r="B12" s="7" t="s">
        <v>2</v>
      </c>
      <c r="C12" s="7" t="s">
        <v>10</v>
      </c>
      <c r="D12" s="7" t="s">
        <v>17</v>
      </c>
      <c r="E12" s="7" t="s">
        <v>18</v>
      </c>
      <c r="F12" s="7" t="s">
        <v>7</v>
      </c>
      <c r="G12" s="11" t="s">
        <v>25</v>
      </c>
      <c r="H12" s="3" t="s">
        <v>35</v>
      </c>
      <c r="I12" s="3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4372-2110-489B-9DCF-1F4BEFB56AAE}">
  <dimension ref="A1:T22"/>
  <sheetViews>
    <sheetView tabSelected="1" workbookViewId="0">
      <selection activeCell="A15" sqref="A15:XFD16"/>
    </sheetView>
  </sheetViews>
  <sheetFormatPr defaultColWidth="11.5546875" defaultRowHeight="14.4" x14ac:dyDescent="0.3"/>
  <cols>
    <col min="1" max="1" width="33.66406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11.44140625" bestFit="1" customWidth="1"/>
    <col min="7" max="7" width="10" bestFit="1" customWidth="1"/>
    <col min="8" max="8" width="11.44140625" bestFit="1" customWidth="1"/>
    <col min="9" max="9" width="10.6640625" bestFit="1" customWidth="1"/>
    <col min="10" max="10" width="10.5546875" bestFit="1" customWidth="1"/>
    <col min="11" max="12" width="16.6640625" bestFit="1" customWidth="1"/>
  </cols>
  <sheetData>
    <row r="1" spans="1:20" x14ac:dyDescent="0.3">
      <c r="A1" t="s">
        <v>56</v>
      </c>
      <c r="B1" t="s">
        <v>3</v>
      </c>
      <c r="C1" t="s">
        <v>4</v>
      </c>
      <c r="D1" t="s">
        <v>5</v>
      </c>
      <c r="E1" t="s">
        <v>55</v>
      </c>
      <c r="F1" t="s">
        <v>24</v>
      </c>
      <c r="G1" t="s">
        <v>54</v>
      </c>
      <c r="H1" t="s">
        <v>53</v>
      </c>
      <c r="I1" t="s">
        <v>52</v>
      </c>
      <c r="J1" t="s">
        <v>51</v>
      </c>
      <c r="K1" t="s">
        <v>22</v>
      </c>
      <c r="L1" t="s">
        <v>11</v>
      </c>
      <c r="M1" t="s">
        <v>20</v>
      </c>
      <c r="N1" t="s">
        <v>12</v>
      </c>
      <c r="O1" t="s">
        <v>13</v>
      </c>
      <c r="P1" t="s">
        <v>14</v>
      </c>
      <c r="Q1" t="s">
        <v>15</v>
      </c>
      <c r="R1" t="s">
        <v>22</v>
      </c>
    </row>
    <row r="2" spans="1:20" x14ac:dyDescent="0.3">
      <c r="A2" t="s">
        <v>79</v>
      </c>
      <c r="B2" t="s">
        <v>10</v>
      </c>
      <c r="C2" t="s">
        <v>43</v>
      </c>
      <c r="D2" t="s">
        <v>78</v>
      </c>
      <c r="E2" t="s">
        <v>7</v>
      </c>
      <c r="F2" t="s">
        <v>23</v>
      </c>
      <c r="G2" t="s">
        <v>34</v>
      </c>
      <c r="H2" t="s">
        <v>60</v>
      </c>
      <c r="I2" t="s">
        <v>60</v>
      </c>
      <c r="J2">
        <v>1</v>
      </c>
      <c r="K2" s="2">
        <v>634.03250000000003</v>
      </c>
      <c r="L2" t="s">
        <v>77</v>
      </c>
      <c r="M2" s="1" t="s">
        <v>21</v>
      </c>
      <c r="N2" s="12">
        <v>0</v>
      </c>
      <c r="O2" s="12">
        <v>0</v>
      </c>
      <c r="P2" s="12">
        <v>0</v>
      </c>
      <c r="Q2" s="2">
        <v>2536.13</v>
      </c>
      <c r="R2" s="2">
        <f>SUM(N2:Q2)/4</f>
        <v>634.03250000000003</v>
      </c>
    </row>
    <row r="3" spans="1:20" x14ac:dyDescent="0.3">
      <c r="A3" t="s">
        <v>79</v>
      </c>
      <c r="B3" t="s">
        <v>10</v>
      </c>
      <c r="C3" t="s">
        <v>43</v>
      </c>
      <c r="D3" t="s">
        <v>78</v>
      </c>
      <c r="E3" t="s">
        <v>7</v>
      </c>
      <c r="F3" t="s">
        <v>25</v>
      </c>
      <c r="G3" t="s">
        <v>34</v>
      </c>
      <c r="H3" t="s">
        <v>60</v>
      </c>
      <c r="I3" t="s">
        <v>60</v>
      </c>
      <c r="J3">
        <v>1</v>
      </c>
      <c r="K3" s="2">
        <v>2124.1574999999998</v>
      </c>
      <c r="L3" t="s">
        <v>77</v>
      </c>
      <c r="M3" s="1" t="s">
        <v>21</v>
      </c>
      <c r="N3" s="2">
        <v>3500</v>
      </c>
      <c r="O3" s="2">
        <v>2484.5</v>
      </c>
      <c r="P3" s="2">
        <v>2512.13</v>
      </c>
      <c r="Q3" s="2">
        <v>0</v>
      </c>
      <c r="R3" s="2">
        <f>SUM(N3:Q3)/4</f>
        <v>2124.1575000000003</v>
      </c>
    </row>
    <row r="5" spans="1:20" x14ac:dyDescent="0.3">
      <c r="N5" t="s">
        <v>76</v>
      </c>
      <c r="O5" t="s">
        <v>75</v>
      </c>
      <c r="P5" t="s">
        <v>74</v>
      </c>
    </row>
    <row r="7" spans="1:20" x14ac:dyDescent="0.3">
      <c r="A7" t="s">
        <v>56</v>
      </c>
      <c r="B7" t="s">
        <v>3</v>
      </c>
      <c r="C7" t="s">
        <v>4</v>
      </c>
      <c r="D7" t="s">
        <v>5</v>
      </c>
      <c r="E7" t="s">
        <v>55</v>
      </c>
      <c r="F7" t="s">
        <v>24</v>
      </c>
      <c r="G7" t="s">
        <v>54</v>
      </c>
      <c r="H7" t="s">
        <v>53</v>
      </c>
      <c r="I7" t="s">
        <v>52</v>
      </c>
      <c r="J7" t="s">
        <v>51</v>
      </c>
      <c r="K7" t="s">
        <v>22</v>
      </c>
      <c r="L7" t="s">
        <v>11</v>
      </c>
      <c r="M7" t="s">
        <v>20</v>
      </c>
      <c r="N7" t="s">
        <v>12</v>
      </c>
      <c r="O7" t="s">
        <v>13</v>
      </c>
      <c r="P7" t="s">
        <v>14</v>
      </c>
      <c r="Q7" t="s">
        <v>15</v>
      </c>
      <c r="R7" t="s">
        <v>22</v>
      </c>
    </row>
    <row r="8" spans="1:20" x14ac:dyDescent="0.3">
      <c r="A8" t="s">
        <v>73</v>
      </c>
      <c r="B8" t="s">
        <v>10</v>
      </c>
      <c r="C8" t="s">
        <v>62</v>
      </c>
      <c r="D8" t="s">
        <v>70</v>
      </c>
      <c r="E8" t="s">
        <v>7</v>
      </c>
      <c r="F8" t="s">
        <v>66</v>
      </c>
      <c r="G8" t="s">
        <v>65</v>
      </c>
      <c r="H8" t="s">
        <v>60</v>
      </c>
      <c r="I8" t="s">
        <v>60</v>
      </c>
      <c r="J8">
        <v>1</v>
      </c>
      <c r="K8" s="2">
        <v>250000</v>
      </c>
      <c r="L8" t="s">
        <v>59</v>
      </c>
      <c r="M8" s="1" t="s">
        <v>21</v>
      </c>
      <c r="N8" s="2">
        <v>250000</v>
      </c>
      <c r="O8" s="2">
        <v>250000</v>
      </c>
      <c r="P8" s="2">
        <v>250000</v>
      </c>
      <c r="Q8" s="2">
        <v>250000</v>
      </c>
      <c r="R8" s="2">
        <f>SUM(N8:Q8)/4</f>
        <v>250000</v>
      </c>
      <c r="T8" t="s">
        <v>72</v>
      </c>
    </row>
    <row r="9" spans="1:20" x14ac:dyDescent="0.3">
      <c r="A9" t="s">
        <v>71</v>
      </c>
      <c r="B9" t="s">
        <v>10</v>
      </c>
      <c r="C9" t="s">
        <v>62</v>
      </c>
      <c r="D9" t="s">
        <v>70</v>
      </c>
      <c r="E9" t="s">
        <v>7</v>
      </c>
      <c r="F9" t="s">
        <v>46</v>
      </c>
      <c r="G9" t="s">
        <v>45</v>
      </c>
      <c r="H9" t="s">
        <v>60</v>
      </c>
      <c r="I9" t="s">
        <v>60</v>
      </c>
      <c r="J9">
        <v>1</v>
      </c>
      <c r="K9" s="2">
        <v>250000</v>
      </c>
      <c r="L9" t="s">
        <v>59</v>
      </c>
      <c r="M9" s="1" t="s">
        <v>21</v>
      </c>
      <c r="N9" s="2">
        <v>250000</v>
      </c>
      <c r="O9" s="2">
        <v>250000</v>
      </c>
      <c r="P9" s="2">
        <v>250000</v>
      </c>
      <c r="Q9" s="2">
        <v>250000</v>
      </c>
      <c r="R9" s="2">
        <f>SUM(N9:Q9)/4</f>
        <v>250000</v>
      </c>
    </row>
    <row r="11" spans="1:20" x14ac:dyDescent="0.3">
      <c r="N11" t="s">
        <v>69</v>
      </c>
    </row>
    <row r="12" spans="1:20" x14ac:dyDescent="0.3">
      <c r="N12" t="s">
        <v>68</v>
      </c>
    </row>
    <row r="14" spans="1:20" x14ac:dyDescent="0.3">
      <c r="A14" t="s">
        <v>56</v>
      </c>
      <c r="B14" t="s">
        <v>3</v>
      </c>
      <c r="C14" t="s">
        <v>4</v>
      </c>
      <c r="D14" t="s">
        <v>5</v>
      </c>
      <c r="E14" t="s">
        <v>55</v>
      </c>
      <c r="F14" t="s">
        <v>24</v>
      </c>
      <c r="G14" t="s">
        <v>54</v>
      </c>
      <c r="H14" t="s">
        <v>53</v>
      </c>
      <c r="I14" t="s">
        <v>52</v>
      </c>
      <c r="J14" t="s">
        <v>51</v>
      </c>
      <c r="K14" t="s">
        <v>22</v>
      </c>
      <c r="L14" t="s">
        <v>11</v>
      </c>
      <c r="M14" t="s">
        <v>20</v>
      </c>
      <c r="N14" t="s">
        <v>12</v>
      </c>
      <c r="O14" t="s">
        <v>13</v>
      </c>
      <c r="P14" t="s">
        <v>14</v>
      </c>
      <c r="Q14" t="s">
        <v>15</v>
      </c>
      <c r="R14" t="s">
        <v>22</v>
      </c>
    </row>
    <row r="15" spans="1:20" x14ac:dyDescent="0.3">
      <c r="A15" t="s">
        <v>67</v>
      </c>
      <c r="B15" t="s">
        <v>10</v>
      </c>
      <c r="C15" t="s">
        <v>62</v>
      </c>
      <c r="D15" t="s">
        <v>61</v>
      </c>
      <c r="E15" t="s">
        <v>7</v>
      </c>
      <c r="F15" t="s">
        <v>66</v>
      </c>
      <c r="G15" t="s">
        <v>65</v>
      </c>
      <c r="H15" t="s">
        <v>60</v>
      </c>
      <c r="I15" t="s">
        <v>60</v>
      </c>
      <c r="J15">
        <v>1</v>
      </c>
      <c r="K15" s="2">
        <v>1436024.25</v>
      </c>
      <c r="L15" t="s">
        <v>59</v>
      </c>
      <c r="M15" s="1" t="s">
        <v>21</v>
      </c>
      <c r="N15">
        <v>0</v>
      </c>
      <c r="O15" s="2">
        <v>1744097</v>
      </c>
      <c r="P15" s="2">
        <v>2000000</v>
      </c>
      <c r="Q15" s="2">
        <v>2000000</v>
      </c>
      <c r="R15" s="2">
        <f>SUM(N15:Q15)/4</f>
        <v>1436024.25</v>
      </c>
      <c r="T15" t="s">
        <v>64</v>
      </c>
    </row>
    <row r="16" spans="1:20" x14ac:dyDescent="0.3">
      <c r="A16" t="s">
        <v>63</v>
      </c>
      <c r="B16" t="s">
        <v>10</v>
      </c>
      <c r="C16" t="s">
        <v>62</v>
      </c>
      <c r="D16" t="s">
        <v>61</v>
      </c>
      <c r="E16" t="s">
        <v>7</v>
      </c>
      <c r="F16" t="s">
        <v>46</v>
      </c>
      <c r="G16" t="s">
        <v>45</v>
      </c>
      <c r="H16" t="s">
        <v>60</v>
      </c>
      <c r="I16" t="s">
        <v>60</v>
      </c>
      <c r="J16">
        <v>1</v>
      </c>
      <c r="K16" s="2">
        <v>1000000</v>
      </c>
      <c r="L16" t="s">
        <v>59</v>
      </c>
      <c r="M16" s="1" t="s">
        <v>21</v>
      </c>
      <c r="N16" s="12">
        <v>0</v>
      </c>
      <c r="O16" s="12">
        <v>0</v>
      </c>
      <c r="P16" s="2">
        <v>2000000</v>
      </c>
      <c r="Q16" s="2">
        <v>2000000</v>
      </c>
      <c r="R16" s="2">
        <f>SUM(N16:Q16)/4</f>
        <v>1000000</v>
      </c>
    </row>
    <row r="18" spans="1:17" x14ac:dyDescent="0.3">
      <c r="N18" t="s">
        <v>58</v>
      </c>
      <c r="O18" t="s">
        <v>57</v>
      </c>
    </row>
    <row r="20" spans="1:17" x14ac:dyDescent="0.3">
      <c r="A20" t="s">
        <v>56</v>
      </c>
      <c r="B20" t="s">
        <v>3</v>
      </c>
      <c r="C20" t="s">
        <v>4</v>
      </c>
      <c r="D20" t="s">
        <v>5</v>
      </c>
      <c r="E20" t="s">
        <v>55</v>
      </c>
      <c r="F20" t="s">
        <v>24</v>
      </c>
      <c r="G20" t="s">
        <v>54</v>
      </c>
      <c r="H20" t="s">
        <v>53</v>
      </c>
      <c r="I20" t="s">
        <v>52</v>
      </c>
      <c r="J20" t="s">
        <v>51</v>
      </c>
      <c r="K20" t="s">
        <v>22</v>
      </c>
      <c r="L20" t="s">
        <v>48</v>
      </c>
      <c r="M20" t="s">
        <v>11</v>
      </c>
      <c r="N20" t="s">
        <v>20</v>
      </c>
      <c r="O20" t="s">
        <v>50</v>
      </c>
      <c r="P20" t="s">
        <v>49</v>
      </c>
      <c r="Q20" t="s">
        <v>48</v>
      </c>
    </row>
    <row r="21" spans="1:17" x14ac:dyDescent="0.3">
      <c r="A21" t="s">
        <v>47</v>
      </c>
      <c r="B21" t="s">
        <v>10</v>
      </c>
      <c r="C21" t="s">
        <v>43</v>
      </c>
      <c r="D21" t="s">
        <v>42</v>
      </c>
      <c r="E21" t="s">
        <v>7</v>
      </c>
      <c r="F21" t="s">
        <v>46</v>
      </c>
      <c r="G21" t="s">
        <v>45</v>
      </c>
      <c r="H21" t="s">
        <v>39</v>
      </c>
      <c r="I21" t="s">
        <v>39</v>
      </c>
      <c r="J21">
        <v>1</v>
      </c>
      <c r="K21">
        <v>0</v>
      </c>
      <c r="L21">
        <v>79</v>
      </c>
      <c r="M21" t="s">
        <v>38</v>
      </c>
      <c r="N21" t="s">
        <v>37</v>
      </c>
      <c r="O21" s="2">
        <v>79</v>
      </c>
      <c r="P21">
        <v>0</v>
      </c>
      <c r="Q21" s="2">
        <f>O21-P21</f>
        <v>79</v>
      </c>
    </row>
    <row r="22" spans="1:17" x14ac:dyDescent="0.3">
      <c r="A22" t="s">
        <v>44</v>
      </c>
      <c r="B22" t="s">
        <v>10</v>
      </c>
      <c r="C22" t="s">
        <v>43</v>
      </c>
      <c r="D22" t="s">
        <v>42</v>
      </c>
      <c r="E22" t="s">
        <v>7</v>
      </c>
      <c r="F22" t="s">
        <v>41</v>
      </c>
      <c r="G22" t="s">
        <v>40</v>
      </c>
      <c r="H22" t="s">
        <v>39</v>
      </c>
      <c r="I22" t="s">
        <v>39</v>
      </c>
      <c r="J22">
        <v>1</v>
      </c>
      <c r="K22">
        <v>0</v>
      </c>
      <c r="L22">
        <v>176</v>
      </c>
      <c r="M22" t="s">
        <v>38</v>
      </c>
      <c r="N22" t="s">
        <v>37</v>
      </c>
      <c r="O22" s="2">
        <v>176</v>
      </c>
      <c r="P22">
        <v>0</v>
      </c>
      <c r="Q22" s="2">
        <f>O22-P22</f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6FCB-2730-4688-BC32-4688E49581E0}">
  <dimension ref="A2:M8"/>
  <sheetViews>
    <sheetView workbookViewId="0">
      <selection activeCell="F6" sqref="F6:F10"/>
    </sheetView>
  </sheetViews>
  <sheetFormatPr defaultRowHeight="14.4" x14ac:dyDescent="0.3"/>
  <cols>
    <col min="2" max="2" width="8.109375" bestFit="1" customWidth="1"/>
    <col min="3" max="3" width="8.33203125" bestFit="1" customWidth="1"/>
    <col min="4" max="4" width="12" bestFit="1" customWidth="1"/>
    <col min="5" max="5" width="16.109375" bestFit="1" customWidth="1"/>
  </cols>
  <sheetData>
    <row r="2" spans="1:13" x14ac:dyDescent="0.3">
      <c r="B2" t="s">
        <v>3</v>
      </c>
      <c r="C2" t="s">
        <v>4</v>
      </c>
      <c r="D2" t="s">
        <v>5</v>
      </c>
      <c r="E2" t="s">
        <v>6</v>
      </c>
      <c r="F2" t="s">
        <v>26</v>
      </c>
      <c r="K2" t="s">
        <v>31</v>
      </c>
    </row>
    <row r="3" spans="1:13" x14ac:dyDescent="0.3">
      <c r="A3" t="s">
        <v>29</v>
      </c>
      <c r="B3" s="1" t="s">
        <v>10</v>
      </c>
      <c r="C3" s="1" t="s">
        <v>17</v>
      </c>
      <c r="D3" s="1" t="s">
        <v>18</v>
      </c>
      <c r="E3" s="1" t="s">
        <v>7</v>
      </c>
      <c r="F3" t="s">
        <v>27</v>
      </c>
      <c r="G3">
        <v>30</v>
      </c>
      <c r="K3" t="s">
        <v>32</v>
      </c>
      <c r="L3" t="s">
        <v>27</v>
      </c>
      <c r="M3">
        <v>50</v>
      </c>
    </row>
    <row r="4" spans="1:13" x14ac:dyDescent="0.3">
      <c r="A4" t="s">
        <v>29</v>
      </c>
      <c r="B4" s="1" t="s">
        <v>10</v>
      </c>
      <c r="C4" s="1" t="s">
        <v>17</v>
      </c>
      <c r="D4" s="1" t="s">
        <v>18</v>
      </c>
      <c r="E4" s="1" t="s">
        <v>7</v>
      </c>
      <c r="F4" t="s">
        <v>28</v>
      </c>
      <c r="G4">
        <v>20</v>
      </c>
      <c r="K4" t="s">
        <v>32</v>
      </c>
      <c r="L4" t="s">
        <v>28</v>
      </c>
      <c r="M4">
        <v>50</v>
      </c>
    </row>
    <row r="7" spans="1:13" x14ac:dyDescent="0.3">
      <c r="A7" t="s">
        <v>30</v>
      </c>
      <c r="B7" s="1" t="s">
        <v>10</v>
      </c>
      <c r="C7" s="1" t="s">
        <v>17</v>
      </c>
      <c r="D7" s="1" t="s">
        <v>18</v>
      </c>
      <c r="E7" s="1" t="s">
        <v>7</v>
      </c>
      <c r="F7" t="s">
        <v>27</v>
      </c>
      <c r="G7">
        <v>35</v>
      </c>
    </row>
    <row r="8" spans="1:13" x14ac:dyDescent="0.3">
      <c r="A8" t="s">
        <v>30</v>
      </c>
      <c r="B8" s="1" t="s">
        <v>10</v>
      </c>
      <c r="C8" s="1" t="s">
        <v>17</v>
      </c>
      <c r="D8" s="1" t="s">
        <v>18</v>
      </c>
      <c r="E8" s="1" t="s">
        <v>7</v>
      </c>
      <c r="F8" t="s">
        <v>28</v>
      </c>
      <c r="G8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E3181C-FEF7-47E5-AE5D-FB2D5B9F33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9BDE78D-C0BC-4DC3-93C3-F54229B424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A5318-04B2-4269-A353-13CE8CD44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</vt:lpstr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2025-07-15T17:04:21Z</dcterms:created>
  <dcterms:modified xsi:type="dcterms:W3CDTF">2025-07-16T20:57:13Z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2025-07-15T17:47:42Z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eba98510-b144-4dcb-923b-4688d1c386a0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