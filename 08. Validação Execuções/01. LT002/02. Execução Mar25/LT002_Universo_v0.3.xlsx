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189" documentId="8_{3A56538A-DF38-419D-A14E-2CFCB561AB88}" xr6:coauthVersionLast="47" xr6:coauthVersionMax="47" xr10:uidLastSave="{D12D0621-26B3-4B72-914C-AC8EA9C8768D}"/>
  <bookViews>
    <workbookView xWindow="-108" yWindow="-108" windowWidth="23256" windowHeight="12456" tabRatio="715" activeTab="2" xr2:uid="{00000000-000D-0000-FFFF-FFFF00000000}"/>
  </bookViews>
  <sheets>
    <sheet name="Resumo" sheetId="1" r:id="rId1"/>
    <sheet name="Exclusivo IT" sheetId="2" r:id="rId2"/>
    <sheet name="Sheet1" sheetId="7" r:id="rId3"/>
    <sheet name="Exclusivo IT - Detalhe" sheetId="6" r:id="rId4"/>
    <sheet name="Exclusivo SIM (comum PM)" sheetId="3" r:id="rId5"/>
    <sheet name="Exclusivo SIM (cancelados)" sheetId="5" r:id="rId6"/>
  </sheets>
  <definedNames>
    <definedName name="_xlnm._FilterDatabase" localSheetId="1" hidden="1">'Exclusivo IT'!$B$4:$D$64</definedName>
    <definedName name="_xlnm._FilterDatabase" localSheetId="5" hidden="1">'Exclusivo SIM (cancelados)'!$B$6:$M$25</definedName>
    <definedName name="_xlnm._FilterDatabase" localSheetId="4" hidden="1">'Exclusivo SIM (comum PM)'!$B$6:$M$9</definedName>
    <definedName name="_xlnm._FilterDatabase" localSheetId="2" hidden="1">Sheet1!$B$4:$G$63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7" l="1"/>
  <c r="H59" i="7"/>
  <c r="H55" i="7"/>
  <c r="H54" i="7"/>
  <c r="H48" i="7"/>
  <c r="H47" i="7"/>
  <c r="H46" i="7"/>
  <c r="H45" i="7"/>
  <c r="H44" i="7"/>
  <c r="H43" i="7"/>
  <c r="H37" i="7"/>
  <c r="H36" i="7"/>
  <c r="H34" i="7"/>
  <c r="H33" i="7"/>
  <c r="H30" i="7"/>
  <c r="H29" i="7"/>
  <c r="H28" i="7"/>
  <c r="H27" i="7"/>
  <c r="H26" i="7"/>
  <c r="H25" i="7"/>
  <c r="H24" i="7"/>
  <c r="H23" i="7"/>
  <c r="H20" i="7"/>
  <c r="H19" i="7"/>
  <c r="H12" i="7"/>
  <c r="H11" i="7"/>
  <c r="H6" i="7"/>
  <c r="H5" i="7"/>
  <c r="G64" i="2"/>
  <c r="G63" i="2"/>
  <c r="G62" i="2"/>
  <c r="G61" i="2"/>
  <c r="G60" i="2"/>
  <c r="G59" i="2"/>
  <c r="G55" i="2"/>
  <c r="G54" i="2"/>
  <c r="G48" i="2"/>
  <c r="G47" i="2"/>
  <c r="G45" i="2"/>
  <c r="G44" i="2"/>
  <c r="G43" i="2"/>
  <c r="G42" i="2"/>
  <c r="G40" i="2"/>
  <c r="G39" i="2"/>
  <c r="G38" i="2"/>
  <c r="G37" i="2"/>
  <c r="G35" i="2"/>
  <c r="G34" i="2"/>
  <c r="G25" i="2"/>
  <c r="G24" i="2"/>
  <c r="G23" i="2"/>
  <c r="G22" i="2"/>
  <c r="G21" i="2"/>
  <c r="G20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<sst xmlns="http://schemas.openxmlformats.org/spreadsheetml/2006/main" count="966" uniqueCount="179">
  <si>
    <t>val_univ</t>
  </si>
  <si>
    <t>EXCLUSIVO IT</t>
  </si>
  <si>
    <t>COMUM</t>
  </si>
  <si>
    <t>EXCLUSIVO SIM</t>
  </si>
  <si>
    <t># Registos</t>
  </si>
  <si>
    <t>val_lt002_pm</t>
  </si>
  <si>
    <t>val_contrato</t>
  </si>
  <si>
    <t>instrmnt_id</t>
  </si>
  <si>
    <t>NAO EXISTE EM PM</t>
  </si>
  <si>
    <t>ANALISE</t>
  </si>
  <si>
    <t>2. Análise aos registos "Exclusivo IT"</t>
  </si>
  <si>
    <t>1. Validação Universo | Simulação vs IT</t>
  </si>
  <si>
    <t>REF_DATE</t>
  </si>
  <si>
    <t>univ_simul</t>
  </si>
  <si>
    <t>instrmnt_id_aux</t>
  </si>
  <si>
    <t>cempcta</t>
  </si>
  <si>
    <t>ckbalcao</t>
  </si>
  <si>
    <t>cknumcta</t>
  </si>
  <si>
    <t>zdeposit_mis</t>
  </si>
  <si>
    <t>bsnss_area</t>
  </si>
  <si>
    <t>31000352171758020000000000000000</t>
  </si>
  <si>
    <t>31000353944674020000000000000000</t>
  </si>
  <si>
    <t>31000344413094020000000000000000</t>
  </si>
  <si>
    <t>31000357296741020000000000000000</t>
  </si>
  <si>
    <t>Validação</t>
  </si>
  <si>
    <t>3. Análise aos registos "Exclusivo IT"</t>
  </si>
  <si>
    <t>31000334337022020000000000000000</t>
  </si>
  <si>
    <t>CANCELADOS</t>
  </si>
  <si>
    <t>31</t>
  </si>
  <si>
    <t>0003</t>
  </si>
  <si>
    <t>34337022020</t>
  </si>
  <si>
    <t>000000000000000</t>
  </si>
  <si>
    <t>BA2</t>
  </si>
  <si>
    <t>31003172341280011588937900000001</t>
  </si>
  <si>
    <t>0031</t>
  </si>
  <si>
    <t>72341280011</t>
  </si>
  <si>
    <t>31000311771871029000000000000000</t>
  </si>
  <si>
    <t>11771871029</t>
  </si>
  <si>
    <t>31000311770535029000000000000000</t>
  </si>
  <si>
    <t>11770535029</t>
  </si>
  <si>
    <t>31003185741860011552819500000001</t>
  </si>
  <si>
    <t>85741860011</t>
  </si>
  <si>
    <t>31000348115828020000000000000000</t>
  </si>
  <si>
    <t>48115828020</t>
  </si>
  <si>
    <t>31003195517510011596615400000001</t>
  </si>
  <si>
    <t>95517510011</t>
  </si>
  <si>
    <t>31000000000000000962304880449220</t>
  </si>
  <si>
    <t xml:space="preserve">    </t>
  </si>
  <si>
    <t xml:space="preserve">           </t>
  </si>
  <si>
    <t>962304880449220</t>
  </si>
  <si>
    <t>BA3</t>
  </si>
  <si>
    <t>31000330594717020000000000000000</t>
  </si>
  <si>
    <t>30594717020</t>
  </si>
  <si>
    <t>82000020050000648001520240585130</t>
  </si>
  <si>
    <t>0000</t>
  </si>
  <si>
    <t>20050000648</t>
  </si>
  <si>
    <t>V00500C16548I32</t>
  </si>
  <si>
    <t>BA5</t>
  </si>
  <si>
    <t>82000020050002201001520240587161</t>
  </si>
  <si>
    <t>20050002201</t>
  </si>
  <si>
    <t>V00500C16610I32</t>
  </si>
  <si>
    <t>31003170832790011527913800000001</t>
  </si>
  <si>
    <t>70832790011</t>
  </si>
  <si>
    <t>31000364562630020000000000000000</t>
  </si>
  <si>
    <t>64562630020</t>
  </si>
  <si>
    <t>31000346275558020000000000000000</t>
  </si>
  <si>
    <t>46275558020</t>
  </si>
  <si>
    <t>82000020080000204001520250022215</t>
  </si>
  <si>
    <t>20080000204</t>
  </si>
  <si>
    <t>V00500C27525I21</t>
  </si>
  <si>
    <t>31000362875083020000000000000000</t>
  </si>
  <si>
    <t>62875083020</t>
  </si>
  <si>
    <t>31003172399330011618762900000001</t>
  </si>
  <si>
    <t>72399330011</t>
  </si>
  <si>
    <t>31000000000000000962304880386300</t>
  </si>
  <si>
    <t>962304880386300</t>
  </si>
  <si>
    <t>BA4</t>
  </si>
  <si>
    <t>31212702949969020000000000000000</t>
  </si>
  <si>
    <t>2127</t>
  </si>
  <si>
    <t>02949969020</t>
  </si>
  <si>
    <t>Chave MIS pertence ao universo de cancelados de 2025-01-31</t>
  </si>
  <si>
    <t>Chave MIS pertence ao universo de cancelados de 2025-03-31</t>
  </si>
  <si>
    <t>Chave MIS pertence ao universo de cancelados de 2025-01-31. 
Identificado como contrato cancelado a jan/25 que existia a dez/24.</t>
  </si>
  <si>
    <t>Chave MIS pertence ao universo de cancelados de 2025-02-28.
Identificado como contrato cancelado a fev/25 que existia a jan/25.</t>
  </si>
  <si>
    <t>Chave MIS pertence ao universo de cancelados de 2025-02-28.</t>
  </si>
  <si>
    <t>COMUM PM</t>
  </si>
  <si>
    <t>Comum PM</t>
  </si>
  <si>
    <t>Cancelados</t>
  </si>
  <si>
    <t>3.2 Universo de Contratos Cancelados</t>
  </si>
  <si>
    <t>3.1 Universo de Contratos Comuns com PM</t>
  </si>
  <si>
    <t>EXISTE EM PM</t>
  </si>
  <si>
    <t>CONTRATO EXISTE EM IT E SIM</t>
  </si>
  <si>
    <t>20240000766</t>
  </si>
  <si>
    <t>BA17</t>
  </si>
  <si>
    <t>SNCO0000000082000020240000766001520240653579BA17</t>
  </si>
  <si>
    <t>82000020240000766001520240653579</t>
  </si>
  <si>
    <t>001520240651750</t>
  </si>
  <si>
    <t>Este instrmnt_id encontra-se associada a chaves MIS com o ckarea AN02020200 e AN01020210, o que mapeia para BA17 e BA3.</t>
  </si>
  <si>
    <t>SNCO0000000082000020230000425001520240597256BA4</t>
  </si>
  <si>
    <t>82000020230000425001520240597256</t>
  </si>
  <si>
    <t>20230000425</t>
  </si>
  <si>
    <t>001520240597256</t>
  </si>
  <si>
    <t>pode ficar resolvido com a alteração da ct831</t>
  </si>
  <si>
    <t>Este instrmnt_id encontra-se associada a chaves MIS com o ckarea AN01020410 e AN01020210, o que mapeia para BA4 e BA3.</t>
  </si>
  <si>
    <t>SNCO0000000031000316140303020000000000000000BA16</t>
  </si>
  <si>
    <t>31000316140303020000000000000000</t>
  </si>
  <si>
    <t>16140303020</t>
  </si>
  <si>
    <t>BA16</t>
  </si>
  <si>
    <t>A tabela infra apresenta o número de registos comuns e exclusivos entre as duas tabelas. Foi considerado como chave de cruzamento, o instrmnt_id.</t>
  </si>
  <si>
    <t>Data Execução</t>
  </si>
  <si>
    <t>Universo</t>
  </si>
  <si>
    <t>cnclld_instrmnt_stts_it</t>
  </si>
  <si>
    <t>SNCO0000000031003191609870011999664600000001BA4</t>
  </si>
  <si>
    <t>C</t>
  </si>
  <si>
    <t>SNCO0000000031003197729710011539096900000001BA4</t>
  </si>
  <si>
    <t>SNCO0000000031005128846250011691894900000001BA4</t>
  </si>
  <si>
    <t>SNCO0000000031003188956020011667925200000001BA4</t>
  </si>
  <si>
    <t>SNCO0000000031003199832130011589103900000001BA4</t>
  </si>
  <si>
    <t>31000360309101020000000000000000</t>
  </si>
  <si>
    <t>31000355092969020000000000000000</t>
  </si>
  <si>
    <t>31000353491239020000000000000000</t>
  </si>
  <si>
    <t>31000345721693020000000000000000</t>
  </si>
  <si>
    <t>31000356989858020000000000000000</t>
  </si>
  <si>
    <t>SNCO0000000031003143192770011102756500000001BA4</t>
  </si>
  <si>
    <t>BA1</t>
  </si>
  <si>
    <t>SNCO0000000031005121447700011633409500000001BA4</t>
  </si>
  <si>
    <t>SNCO0000000031003188274630011627959700000001BA4</t>
  </si>
  <si>
    <t>31000358757956020000000000000000</t>
  </si>
  <si>
    <t>31000356798960020000000000000000</t>
  </si>
  <si>
    <t>31000360653508020000000000000000</t>
  </si>
  <si>
    <t>31000354812680020000000000000000</t>
  </si>
  <si>
    <t>31000357070104020000000000000000</t>
  </si>
  <si>
    <t>SNCO0000000031003194066610011645843300000001BA4</t>
  </si>
  <si>
    <t>31000354482112020000000000000000</t>
  </si>
  <si>
    <t>SNCO0000000031005133068040011714639900000001BA4</t>
  </si>
  <si>
    <t>SNCO0000000031003180693500011007751700000001BA4</t>
  </si>
  <si>
    <t>31000035093456001000000000000000</t>
  </si>
  <si>
    <t>SNCO0000000031005120993090011697274600000001BA4</t>
  </si>
  <si>
    <t>SNCO0000000031003164039660011105293800000001BA4</t>
  </si>
  <si>
    <t>31000355157994020000000000000000</t>
  </si>
  <si>
    <t>SNCO0000000031005123201900011686326900000001BA4</t>
  </si>
  <si>
    <t>31000355744361020000000000000000</t>
  </si>
  <si>
    <t>31000357916538020000000000000000</t>
  </si>
  <si>
    <t>31000356556285020000000000000000</t>
  </si>
  <si>
    <t>31000360644788020000000000000000</t>
  </si>
  <si>
    <t>SNCO0000000031003173418880011678684600000001BA4</t>
  </si>
  <si>
    <t>31000360558004020000000000000000</t>
  </si>
  <si>
    <t>SNCN00029902</t>
  </si>
  <si>
    <t>MISS</t>
  </si>
  <si>
    <t>N</t>
  </si>
  <si>
    <t>31000360230364020000000000000000</t>
  </si>
  <si>
    <t>SNCO0000000031000345575362020000000000000000BA16</t>
  </si>
  <si>
    <t>BA15</t>
  </si>
  <si>
    <t>SNCO0000000031005122404100011719347000000001BA4</t>
  </si>
  <si>
    <t>SNCO0000000031005120287300011716229700000001BA4</t>
  </si>
  <si>
    <t>Observações</t>
  </si>
  <si>
    <t>ref_date</t>
  </si>
  <si>
    <t>ambito</t>
  </si>
  <si>
    <t>segmento</t>
  </si>
  <si>
    <t>entidade</t>
  </si>
  <si>
    <t>2025-03-31</t>
  </si>
  <si>
    <t>GD</t>
  </si>
  <si>
    <t>ESTR</t>
  </si>
  <si>
    <t>00100</t>
  </si>
  <si>
    <t>31003191609870011999664600000001</t>
  </si>
  <si>
    <t>Este contrato encontra-se associado a 2 BA, na execução de dia 8/jul, o contrato aparece duplicado para cada BA (ver sheet "Exclusivo It - Detalhe" para maior detalhe). Apenas devia estar associado à BA4.</t>
  </si>
  <si>
    <t>31003197729710011539096900000001</t>
  </si>
  <si>
    <t>31000345575362020000000000000000</t>
  </si>
  <si>
    <t>Não é considerado cancelado em nenhum mês pois o c001 é sempre igual a 0.</t>
  </si>
  <si>
    <t>Este contrato encontra-se associado a 2 BA na execução de dia 8/jul, o contrato aparece duplicado para cada BA (ver sheet "Exclusivo It - Detalhe" para maior detalhe). Apenas devia estar associado à BA4.</t>
  </si>
  <si>
    <t>Este contrato encontra-se associado a 2 BA,na execução de dia 8/jul, o contrato aparece duplicado para cada BA (ver sheet "Exclusivo It - Detalhe" para maior detalhe). Apenas devia estar associado à BA4.</t>
  </si>
  <si>
    <t>Este contrato encontra-se associado a 2 BA na execução de dia 8/jul, o contrato aparece duplicado para cada BA (ver sheet "Exclusivo It - Detalhe" para maior detalhe). Apenas devia estar associado à BA16.</t>
  </si>
  <si>
    <t>bsnss_area_sim</t>
  </si>
  <si>
    <t>bsnss_area_it</t>
  </si>
  <si>
    <t>NULL</t>
  </si>
  <si>
    <t>Apesar de ter condições para ser considerado cancelado a jan, a chave FINREP existe no tradutor a jan</t>
  </si>
  <si>
    <t>Apesar de ter condições para ser considerado cancelado a fev, a chave FINREP existe no tradutor a fev</t>
  </si>
  <si>
    <t>Este contrato encontra-se associado a 2 BA na execução de dia 11/jul, o contrato aparece duplicado para cada BA (ver sheet "Exclusivo It - Detalhe" para maior detalhe). Apenas devia estar associado à BA4.</t>
  </si>
  <si>
    <t>31003143192770011102756500000001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</si>
</sst>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2424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DDD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2" fillId="0" borderId="0" xfId="0" applyFont="1" applyAlignment="1">
      <alignment vertical="center"/>
    </xf>
    <xf numFmtId="49" fontId="0" fillId="0" borderId="0" xfId="0" applyNumberFormat="1"/>
    <xf numFmtId="0" fontId="2" fillId="0" borderId="2" xfId="0" applyFon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0" borderId="1" xfId="0" applyBorder="1"/>
    <xf numFmtId="49" fontId="2" fillId="0" borderId="2" xfId="0" applyNumberFormat="1" applyFont="1" applyBorder="1"/>
    <xf numFmtId="49" fontId="0" fillId="0" borderId="2" xfId="0" applyNumberFormat="1" applyBorder="1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49" fontId="2" fillId="0" borderId="2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left" vertical="center" indent="1"/>
    </xf>
    <xf numFmtId="0" fontId="6" fillId="0" borderId="0" xfId="0" applyFont="1"/>
    <xf numFmtId="4" fontId="6" fillId="0" borderId="0" xfId="0" applyNumberFormat="1" applyFont="1"/>
    <xf numFmtId="0" fontId="0" fillId="0" borderId="3" xfId="0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49" fontId="2" fillId="0" borderId="0" xfId="0" applyNumberFormat="1" applyFont="1" applyBorder="1"/>
    <xf numFmtId="0" fontId="0" fillId="0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"/>
  <sheetViews>
    <sheetView showGridLines="0" zoomScale="90" zoomScaleNormal="90" zoomScaleSheetLayoutView="110" workbookViewId="0">
      <selection activeCell="D23" sqref="D23"/>
    </sheetView>
  </sheetViews>
  <sheetFormatPr defaultRowHeight="14.4" x14ac:dyDescent="0.3"/>
  <cols>
    <col min="1" max="1" width="3.6640625" customWidth="1"/>
    <col min="2" max="2" width="15.6640625" customWidth="1"/>
    <col min="3" max="7" width="15.5546875" customWidth="1"/>
    <col min="8" max="9" width="15.77734375" customWidth="1"/>
  </cols>
  <sheetData>
    <row r="2" spans="2:10" x14ac:dyDescent="0.3">
      <c r="B2" s="7" t="s">
        <v>11</v>
      </c>
      <c r="C2" s="4"/>
      <c r="D2" s="4"/>
      <c r="E2" s="4"/>
      <c r="F2" s="4"/>
      <c r="G2" s="4"/>
      <c r="H2" s="4"/>
      <c r="I2" s="4"/>
      <c r="J2" s="4"/>
    </row>
    <row r="4" spans="2:10" x14ac:dyDescent="0.3">
      <c r="B4" s="3" t="s">
        <v>12</v>
      </c>
      <c r="C4" s="8">
        <v>45747</v>
      </c>
    </row>
    <row r="5" spans="2:10" x14ac:dyDescent="0.3">
      <c r="B5" s="3" t="s">
        <v>109</v>
      </c>
      <c r="C5" s="8">
        <v>45846</v>
      </c>
      <c r="D5" s="8">
        <v>45849</v>
      </c>
    </row>
    <row r="7" spans="2:10" x14ac:dyDescent="0.3">
      <c r="B7" t="s">
        <v>108</v>
      </c>
    </row>
    <row r="9" spans="2:10" x14ac:dyDescent="0.3">
      <c r="B9" s="2" t="s">
        <v>110</v>
      </c>
      <c r="C9" s="2" t="s">
        <v>4</v>
      </c>
      <c r="D9" s="2" t="s">
        <v>4</v>
      </c>
    </row>
    <row r="10" spans="2:10" x14ac:dyDescent="0.3">
      <c r="B10" s="3" t="s">
        <v>2</v>
      </c>
      <c r="C10" s="24">
        <v>2229102</v>
      </c>
      <c r="D10" s="24">
        <v>2229103</v>
      </c>
    </row>
    <row r="11" spans="2:10" x14ac:dyDescent="0.3">
      <c r="B11" s="3" t="s">
        <v>1</v>
      </c>
      <c r="C11" s="24">
        <v>60</v>
      </c>
      <c r="D11" s="24">
        <v>59</v>
      </c>
    </row>
    <row r="12" spans="2:10" x14ac:dyDescent="0.3">
      <c r="B12" s="3" t="s">
        <v>3</v>
      </c>
      <c r="C12" s="24">
        <v>88400</v>
      </c>
      <c r="D12" s="24">
        <v>88400</v>
      </c>
    </row>
    <row r="13" spans="2:10" x14ac:dyDescent="0.3">
      <c r="B13" s="19" t="s">
        <v>86</v>
      </c>
      <c r="C13" s="23">
        <v>82417</v>
      </c>
      <c r="D13" s="23">
        <v>82417</v>
      </c>
    </row>
    <row r="14" spans="2:10" x14ac:dyDescent="0.3">
      <c r="B14" s="19" t="s">
        <v>87</v>
      </c>
      <c r="C14" s="23">
        <v>5983</v>
      </c>
      <c r="D14" s="23">
        <v>5983</v>
      </c>
    </row>
    <row r="15" spans="2:10" x14ac:dyDescent="0.3">
      <c r="B15" s="5"/>
    </row>
    <row r="19" spans="3:3" x14ac:dyDescent="0.3">
      <c r="C19" s="21"/>
    </row>
    <row r="20" spans="3:3" x14ac:dyDescent="0.3">
      <c r="C20" s="21"/>
    </row>
    <row r="21" spans="3:3" x14ac:dyDescent="0.3">
      <c r="C21" s="20"/>
    </row>
    <row r="22" spans="3:3" x14ac:dyDescent="0.3">
      <c r="C22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F07A-E169-40E6-92B4-6193865F1F1D}">
  <dimension ref="B2:G64"/>
  <sheetViews>
    <sheetView showGridLines="0" workbookViewId="0">
      <selection activeCell="B2" sqref="B2"/>
    </sheetView>
  </sheetViews>
  <sheetFormatPr defaultRowHeight="14.4" x14ac:dyDescent="0.3"/>
  <cols>
    <col min="1" max="1" width="3.6640625" customWidth="1"/>
    <col min="2" max="2" width="51" style="6" bestFit="1" customWidth="1"/>
    <col min="3" max="3" width="10.21875" style="6" bestFit="1" customWidth="1"/>
    <col min="4" max="5" width="20.21875" bestFit="1" customWidth="1"/>
    <col min="6" max="6" width="20.21875" customWidth="1"/>
    <col min="7" max="7" width="33.6640625" bestFit="1" customWidth="1"/>
  </cols>
  <sheetData>
    <row r="2" spans="2:7" x14ac:dyDescent="0.3">
      <c r="B2" s="10" t="s">
        <v>10</v>
      </c>
      <c r="C2" s="11"/>
      <c r="D2" s="4"/>
      <c r="E2" s="4"/>
    </row>
    <row r="4" spans="2:7" x14ac:dyDescent="0.3">
      <c r="B4" s="2" t="s">
        <v>7</v>
      </c>
      <c r="C4" s="2" t="s">
        <v>19</v>
      </c>
      <c r="D4" s="2" t="s">
        <v>111</v>
      </c>
      <c r="E4" s="25" t="s">
        <v>155</v>
      </c>
    </row>
    <row r="5" spans="2:7" x14ac:dyDescent="0.3">
      <c r="B5" s="9" t="s">
        <v>112</v>
      </c>
      <c r="C5" s="9" t="s">
        <v>32</v>
      </c>
      <c r="D5" s="9" t="s">
        <v>113</v>
      </c>
      <c r="E5" s="9" t="s">
        <v>169</v>
      </c>
      <c r="G5" t="str">
        <f>MID(B5,13,32)</f>
        <v>31003191609870011999664600000001</v>
      </c>
    </row>
    <row r="6" spans="2:7" x14ac:dyDescent="0.3">
      <c r="B6" s="9" t="s">
        <v>112</v>
      </c>
      <c r="C6" s="9" t="s">
        <v>76</v>
      </c>
      <c r="D6" s="9" t="s">
        <v>113</v>
      </c>
      <c r="E6" s="9" t="s">
        <v>170</v>
      </c>
      <c r="G6" t="str">
        <f t="shared" ref="G6:G14" si="0">MID(B6,13,32)</f>
        <v>31003191609870011999664600000001</v>
      </c>
    </row>
    <row r="7" spans="2:7" x14ac:dyDescent="0.3">
      <c r="B7" s="9" t="s">
        <v>114</v>
      </c>
      <c r="C7" s="9" t="s">
        <v>76</v>
      </c>
      <c r="D7" s="9" t="s">
        <v>113</v>
      </c>
      <c r="E7" s="9" t="s">
        <v>169</v>
      </c>
      <c r="G7" t="str">
        <f t="shared" si="0"/>
        <v>31003197729710011539096900000001</v>
      </c>
    </row>
    <row r="8" spans="2:7" x14ac:dyDescent="0.3">
      <c r="B8" s="9" t="s">
        <v>114</v>
      </c>
      <c r="C8" s="9" t="s">
        <v>32</v>
      </c>
      <c r="D8" s="9" t="s">
        <v>113</v>
      </c>
      <c r="E8" s="9" t="s">
        <v>165</v>
      </c>
      <c r="G8" t="str">
        <f t="shared" si="0"/>
        <v>31003197729710011539096900000001</v>
      </c>
    </row>
    <row r="9" spans="2:7" x14ac:dyDescent="0.3">
      <c r="B9" s="9" t="s">
        <v>115</v>
      </c>
      <c r="C9" s="9" t="s">
        <v>76</v>
      </c>
      <c r="D9" s="9" t="s">
        <v>113</v>
      </c>
      <c r="E9" s="9"/>
      <c r="G9" t="str">
        <f t="shared" si="0"/>
        <v>31005128846250011691894900000001</v>
      </c>
    </row>
    <row r="10" spans="2:7" x14ac:dyDescent="0.3">
      <c r="B10" s="9" t="s">
        <v>115</v>
      </c>
      <c r="C10" s="9" t="s">
        <v>32</v>
      </c>
      <c r="D10" s="9" t="s">
        <v>113</v>
      </c>
      <c r="E10" s="9"/>
      <c r="G10" t="str">
        <f t="shared" si="0"/>
        <v>31005128846250011691894900000001</v>
      </c>
    </row>
    <row r="11" spans="2:7" x14ac:dyDescent="0.3">
      <c r="B11" s="9" t="s">
        <v>116</v>
      </c>
      <c r="C11" s="9" t="s">
        <v>76</v>
      </c>
      <c r="D11" s="9" t="s">
        <v>113</v>
      </c>
      <c r="E11" s="9"/>
      <c r="G11" t="str">
        <f t="shared" si="0"/>
        <v>31003188956020011667925200000001</v>
      </c>
    </row>
    <row r="12" spans="2:7" x14ac:dyDescent="0.3">
      <c r="B12" s="9" t="s">
        <v>116</v>
      </c>
      <c r="C12" s="9" t="s">
        <v>32</v>
      </c>
      <c r="D12" s="9" t="s">
        <v>113</v>
      </c>
      <c r="E12" s="9"/>
      <c r="G12" t="str">
        <f t="shared" si="0"/>
        <v>31003188956020011667925200000001</v>
      </c>
    </row>
    <row r="13" spans="2:7" x14ac:dyDescent="0.3">
      <c r="B13" s="9" t="s">
        <v>117</v>
      </c>
      <c r="C13" s="9" t="s">
        <v>76</v>
      </c>
      <c r="D13" s="9" t="s">
        <v>113</v>
      </c>
      <c r="E13" s="9"/>
      <c r="G13" t="str">
        <f t="shared" si="0"/>
        <v>31003199832130011589103900000001</v>
      </c>
    </row>
    <row r="14" spans="2:7" x14ac:dyDescent="0.3">
      <c r="B14" s="9" t="s">
        <v>117</v>
      </c>
      <c r="C14" s="9" t="s">
        <v>32</v>
      </c>
      <c r="D14" s="9" t="s">
        <v>113</v>
      </c>
      <c r="E14" s="9"/>
      <c r="G14" t="str">
        <f t="shared" si="0"/>
        <v>31003199832130011589103900000001</v>
      </c>
    </row>
    <row r="15" spans="2:7" x14ac:dyDescent="0.3">
      <c r="B15" s="9" t="s">
        <v>118</v>
      </c>
      <c r="C15" s="9" t="s">
        <v>32</v>
      </c>
      <c r="D15" s="9" t="s">
        <v>113</v>
      </c>
      <c r="E15" s="9"/>
    </row>
    <row r="16" spans="2:7" x14ac:dyDescent="0.3">
      <c r="B16" s="9" t="s">
        <v>119</v>
      </c>
      <c r="C16" s="9" t="s">
        <v>32</v>
      </c>
      <c r="D16" s="9" t="s">
        <v>113</v>
      </c>
      <c r="E16" s="9"/>
    </row>
    <row r="17" spans="2:7" x14ac:dyDescent="0.3">
      <c r="B17" s="9" t="s">
        <v>120</v>
      </c>
      <c r="C17" s="9" t="s">
        <v>32</v>
      </c>
      <c r="D17" s="9" t="s">
        <v>113</v>
      </c>
      <c r="E17" s="9"/>
    </row>
    <row r="18" spans="2:7" x14ac:dyDescent="0.3">
      <c r="B18" s="9" t="s">
        <v>121</v>
      </c>
      <c r="C18" s="9" t="s">
        <v>32</v>
      </c>
      <c r="D18" s="9" t="s">
        <v>113</v>
      </c>
      <c r="E18" s="9"/>
    </row>
    <row r="19" spans="2:7" x14ac:dyDescent="0.3">
      <c r="B19" s="9" t="s">
        <v>122</v>
      </c>
      <c r="C19" s="9" t="s">
        <v>32</v>
      </c>
      <c r="D19" s="9" t="s">
        <v>113</v>
      </c>
      <c r="E19" s="9"/>
    </row>
    <row r="20" spans="2:7" x14ac:dyDescent="0.3">
      <c r="B20" s="9" t="s">
        <v>123</v>
      </c>
      <c r="C20" s="9" t="s">
        <v>124</v>
      </c>
      <c r="D20" s="9" t="s">
        <v>113</v>
      </c>
      <c r="E20" s="9"/>
      <c r="G20" t="str">
        <f t="shared" ref="G20:G25" si="1">MID(B20,13,32)</f>
        <v>31003143192770011102756500000001</v>
      </c>
    </row>
    <row r="21" spans="2:7" x14ac:dyDescent="0.3">
      <c r="B21" s="9" t="s">
        <v>123</v>
      </c>
      <c r="C21" s="9" t="s">
        <v>76</v>
      </c>
      <c r="D21" s="9" t="s">
        <v>113</v>
      </c>
      <c r="E21" s="9"/>
      <c r="G21" t="str">
        <f t="shared" si="1"/>
        <v>31003143192770011102756500000001</v>
      </c>
    </row>
    <row r="22" spans="2:7" x14ac:dyDescent="0.3">
      <c r="B22" s="9" t="s">
        <v>125</v>
      </c>
      <c r="C22" s="9" t="s">
        <v>76</v>
      </c>
      <c r="D22" s="9" t="s">
        <v>113</v>
      </c>
      <c r="E22" s="9"/>
      <c r="G22" t="str">
        <f t="shared" si="1"/>
        <v>31005121447700011633409500000001</v>
      </c>
    </row>
    <row r="23" spans="2:7" x14ac:dyDescent="0.3">
      <c r="B23" s="9" t="s">
        <v>125</v>
      </c>
      <c r="C23" s="9" t="s">
        <v>32</v>
      </c>
      <c r="D23" s="9" t="s">
        <v>113</v>
      </c>
      <c r="E23" s="9"/>
      <c r="G23" t="str">
        <f t="shared" si="1"/>
        <v>31005121447700011633409500000001</v>
      </c>
    </row>
    <row r="24" spans="2:7" x14ac:dyDescent="0.3">
      <c r="B24" s="9" t="s">
        <v>126</v>
      </c>
      <c r="C24" s="9" t="s">
        <v>32</v>
      </c>
      <c r="D24" s="9" t="s">
        <v>113</v>
      </c>
      <c r="E24" s="9"/>
      <c r="G24" t="str">
        <f t="shared" si="1"/>
        <v>31003188274630011627959700000001</v>
      </c>
    </row>
    <row r="25" spans="2:7" x14ac:dyDescent="0.3">
      <c r="B25" s="9" t="s">
        <v>126</v>
      </c>
      <c r="C25" s="9" t="s">
        <v>76</v>
      </c>
      <c r="D25" s="9" t="s">
        <v>113</v>
      </c>
      <c r="E25" s="9"/>
      <c r="G25" t="str">
        <f t="shared" si="1"/>
        <v>31003188274630011627959700000001</v>
      </c>
    </row>
    <row r="26" spans="2:7" x14ac:dyDescent="0.3">
      <c r="B26" s="9" t="s">
        <v>127</v>
      </c>
      <c r="C26" s="9" t="s">
        <v>32</v>
      </c>
      <c r="D26" s="9" t="s">
        <v>113</v>
      </c>
      <c r="E26" s="9"/>
    </row>
    <row r="27" spans="2:7" x14ac:dyDescent="0.3">
      <c r="B27" s="9" t="s">
        <v>128</v>
      </c>
      <c r="C27" s="9" t="s">
        <v>32</v>
      </c>
      <c r="D27" s="9" t="s">
        <v>113</v>
      </c>
      <c r="E27" s="9"/>
    </row>
    <row r="28" spans="2:7" x14ac:dyDescent="0.3">
      <c r="B28" s="9" t="s">
        <v>20</v>
      </c>
      <c r="C28" s="9" t="s">
        <v>32</v>
      </c>
      <c r="D28" s="9" t="s">
        <v>113</v>
      </c>
      <c r="E28" s="9"/>
    </row>
    <row r="29" spans="2:7" x14ac:dyDescent="0.3">
      <c r="B29" s="9" t="s">
        <v>129</v>
      </c>
      <c r="C29" s="9" t="s">
        <v>32</v>
      </c>
      <c r="D29" s="9" t="s">
        <v>113</v>
      </c>
      <c r="E29" s="9"/>
    </row>
    <row r="30" spans="2:7" x14ac:dyDescent="0.3">
      <c r="B30" s="9" t="s">
        <v>23</v>
      </c>
      <c r="C30" s="9" t="s">
        <v>32</v>
      </c>
      <c r="D30" s="9" t="s">
        <v>113</v>
      </c>
      <c r="E30" s="9"/>
    </row>
    <row r="31" spans="2:7" x14ac:dyDescent="0.3">
      <c r="B31" s="9" t="s">
        <v>130</v>
      </c>
      <c r="C31" s="9" t="s">
        <v>32</v>
      </c>
      <c r="D31" s="9" t="s">
        <v>113</v>
      </c>
      <c r="E31" s="9"/>
    </row>
    <row r="32" spans="2:7" x14ac:dyDescent="0.3">
      <c r="B32" s="9" t="s">
        <v>131</v>
      </c>
      <c r="C32" s="9" t="s">
        <v>32</v>
      </c>
      <c r="D32" s="9" t="s">
        <v>113</v>
      </c>
      <c r="E32" s="9"/>
    </row>
    <row r="33" spans="2:7" x14ac:dyDescent="0.3">
      <c r="B33" s="9" t="s">
        <v>21</v>
      </c>
      <c r="C33" s="9" t="s">
        <v>32</v>
      </c>
      <c r="D33" s="9" t="s">
        <v>113</v>
      </c>
      <c r="E33" s="9"/>
    </row>
    <row r="34" spans="2:7" x14ac:dyDescent="0.3">
      <c r="B34" s="9" t="s">
        <v>132</v>
      </c>
      <c r="C34" s="9" t="s">
        <v>32</v>
      </c>
      <c r="D34" s="9" t="s">
        <v>113</v>
      </c>
      <c r="E34" s="9"/>
      <c r="G34" t="str">
        <f t="shared" ref="G34:G35" si="2">MID(B34,13,32)</f>
        <v>31003194066610011645843300000001</v>
      </c>
    </row>
    <row r="35" spans="2:7" x14ac:dyDescent="0.3">
      <c r="B35" s="9" t="s">
        <v>132</v>
      </c>
      <c r="C35" s="9" t="s">
        <v>76</v>
      </c>
      <c r="D35" s="9" t="s">
        <v>113</v>
      </c>
      <c r="E35" s="9"/>
      <c r="G35" t="str">
        <f t="shared" si="2"/>
        <v>31003194066610011645843300000001</v>
      </c>
    </row>
    <row r="36" spans="2:7" x14ac:dyDescent="0.3">
      <c r="B36" s="9" t="s">
        <v>133</v>
      </c>
      <c r="C36" s="9" t="s">
        <v>32</v>
      </c>
      <c r="D36" s="9" t="s">
        <v>113</v>
      </c>
      <c r="E36" s="9"/>
    </row>
    <row r="37" spans="2:7" x14ac:dyDescent="0.3">
      <c r="B37" s="9" t="s">
        <v>134</v>
      </c>
      <c r="C37" s="9" t="s">
        <v>32</v>
      </c>
      <c r="D37" s="9" t="s">
        <v>113</v>
      </c>
      <c r="E37" s="9"/>
      <c r="G37" t="str">
        <f t="shared" ref="G37:G40" si="3">MID(B37,13,32)</f>
        <v>31005133068040011714639900000001</v>
      </c>
    </row>
    <row r="38" spans="2:7" x14ac:dyDescent="0.3">
      <c r="B38" s="9" t="s">
        <v>134</v>
      </c>
      <c r="C38" s="9" t="s">
        <v>76</v>
      </c>
      <c r="D38" s="9" t="s">
        <v>113</v>
      </c>
      <c r="E38" s="9"/>
      <c r="G38" t="str">
        <f t="shared" si="3"/>
        <v>31005133068040011714639900000001</v>
      </c>
    </row>
    <row r="39" spans="2:7" x14ac:dyDescent="0.3">
      <c r="B39" s="9" t="s">
        <v>135</v>
      </c>
      <c r="C39" s="9" t="s">
        <v>76</v>
      </c>
      <c r="D39" s="9" t="s">
        <v>113</v>
      </c>
      <c r="E39" s="9"/>
      <c r="G39" t="str">
        <f t="shared" si="3"/>
        <v>31003180693500011007751700000001</v>
      </c>
    </row>
    <row r="40" spans="2:7" x14ac:dyDescent="0.3">
      <c r="B40" s="9" t="s">
        <v>135</v>
      </c>
      <c r="C40" s="9" t="s">
        <v>32</v>
      </c>
      <c r="D40" s="9" t="s">
        <v>113</v>
      </c>
      <c r="E40" s="9"/>
      <c r="G40" t="str">
        <f t="shared" si="3"/>
        <v>31003180693500011007751700000001</v>
      </c>
    </row>
    <row r="41" spans="2:7" x14ac:dyDescent="0.3">
      <c r="B41" s="9" t="s">
        <v>136</v>
      </c>
      <c r="C41" s="9" t="s">
        <v>32</v>
      </c>
      <c r="D41" s="9" t="s">
        <v>113</v>
      </c>
      <c r="E41" s="9"/>
    </row>
    <row r="42" spans="2:7" x14ac:dyDescent="0.3">
      <c r="B42" s="9" t="s">
        <v>137</v>
      </c>
      <c r="C42" s="9" t="s">
        <v>32</v>
      </c>
      <c r="D42" s="9" t="s">
        <v>113</v>
      </c>
      <c r="E42" s="9"/>
      <c r="G42" t="str">
        <f t="shared" ref="G42:G45" si="4">MID(B42,13,32)</f>
        <v>31005120993090011697274600000001</v>
      </c>
    </row>
    <row r="43" spans="2:7" x14ac:dyDescent="0.3">
      <c r="B43" s="9" t="s">
        <v>137</v>
      </c>
      <c r="C43" s="9" t="s">
        <v>76</v>
      </c>
      <c r="D43" s="9" t="s">
        <v>113</v>
      </c>
      <c r="E43" s="9"/>
      <c r="G43" t="str">
        <f t="shared" si="4"/>
        <v>31005120993090011697274600000001</v>
      </c>
    </row>
    <row r="44" spans="2:7" x14ac:dyDescent="0.3">
      <c r="B44" s="9" t="s">
        <v>138</v>
      </c>
      <c r="C44" s="9" t="s">
        <v>32</v>
      </c>
      <c r="D44" s="9" t="s">
        <v>113</v>
      </c>
      <c r="E44" s="9"/>
      <c r="G44" t="str">
        <f t="shared" si="4"/>
        <v>31003164039660011105293800000001</v>
      </c>
    </row>
    <row r="45" spans="2:7" x14ac:dyDescent="0.3">
      <c r="B45" s="9" t="s">
        <v>138</v>
      </c>
      <c r="C45" s="9" t="s">
        <v>76</v>
      </c>
      <c r="D45" s="9" t="s">
        <v>113</v>
      </c>
      <c r="E45" s="9"/>
      <c r="G45" t="str">
        <f t="shared" si="4"/>
        <v>31003164039660011105293800000001</v>
      </c>
    </row>
    <row r="46" spans="2:7" x14ac:dyDescent="0.3">
      <c r="B46" s="9" t="s">
        <v>139</v>
      </c>
      <c r="C46" s="9" t="s">
        <v>32</v>
      </c>
      <c r="D46" s="9" t="s">
        <v>113</v>
      </c>
      <c r="E46" s="9"/>
    </row>
    <row r="47" spans="2:7" x14ac:dyDescent="0.3">
      <c r="B47" s="9" t="s">
        <v>140</v>
      </c>
      <c r="C47" s="9" t="s">
        <v>76</v>
      </c>
      <c r="D47" s="9" t="s">
        <v>113</v>
      </c>
      <c r="E47" s="9"/>
      <c r="G47" t="str">
        <f t="shared" ref="G47:G48" si="5">MID(B47,13,32)</f>
        <v>31005123201900011686326900000001</v>
      </c>
    </row>
    <row r="48" spans="2:7" x14ac:dyDescent="0.3">
      <c r="B48" s="9" t="s">
        <v>140</v>
      </c>
      <c r="C48" s="9" t="s">
        <v>32</v>
      </c>
      <c r="D48" s="9" t="s">
        <v>113</v>
      </c>
      <c r="E48" s="9"/>
      <c r="G48" t="str">
        <f t="shared" si="5"/>
        <v>31005123201900011686326900000001</v>
      </c>
    </row>
    <row r="49" spans="2:7" x14ac:dyDescent="0.3">
      <c r="B49" s="9" t="s">
        <v>141</v>
      </c>
      <c r="C49" s="9" t="s">
        <v>32</v>
      </c>
      <c r="D49" s="9" t="s">
        <v>113</v>
      </c>
      <c r="E49" s="9"/>
    </row>
    <row r="50" spans="2:7" x14ac:dyDescent="0.3">
      <c r="B50" s="9" t="s">
        <v>142</v>
      </c>
      <c r="C50" s="9" t="s">
        <v>32</v>
      </c>
      <c r="D50" s="9" t="s">
        <v>113</v>
      </c>
      <c r="E50" s="9"/>
    </row>
    <row r="51" spans="2:7" x14ac:dyDescent="0.3">
      <c r="B51" s="9" t="s">
        <v>143</v>
      </c>
      <c r="C51" s="9" t="s">
        <v>32</v>
      </c>
      <c r="D51" s="9" t="s">
        <v>113</v>
      </c>
      <c r="E51" s="9"/>
    </row>
    <row r="52" spans="2:7" x14ac:dyDescent="0.3">
      <c r="B52" s="9" t="s">
        <v>22</v>
      </c>
      <c r="C52" s="9" t="s">
        <v>76</v>
      </c>
      <c r="D52" s="9" t="s">
        <v>113</v>
      </c>
      <c r="E52" s="9"/>
    </row>
    <row r="53" spans="2:7" x14ac:dyDescent="0.3">
      <c r="B53" s="9" t="s">
        <v>144</v>
      </c>
      <c r="C53" s="9" t="s">
        <v>32</v>
      </c>
      <c r="D53" s="9" t="s">
        <v>113</v>
      </c>
      <c r="E53" s="9"/>
    </row>
    <row r="54" spans="2:7" x14ac:dyDescent="0.3">
      <c r="B54" s="9" t="s">
        <v>145</v>
      </c>
      <c r="C54" s="9" t="s">
        <v>76</v>
      </c>
      <c r="D54" s="9" t="s">
        <v>113</v>
      </c>
      <c r="E54" s="9"/>
      <c r="G54" t="str">
        <f t="shared" ref="G54:G55" si="6">MID(B54,13,32)</f>
        <v>31003173418880011678684600000001</v>
      </c>
    </row>
    <row r="55" spans="2:7" x14ac:dyDescent="0.3">
      <c r="B55" s="9" t="s">
        <v>145</v>
      </c>
      <c r="C55" s="9" t="s">
        <v>32</v>
      </c>
      <c r="D55" s="9" t="s">
        <v>113</v>
      </c>
      <c r="E55" s="9"/>
      <c r="G55" t="str">
        <f t="shared" si="6"/>
        <v>31003173418880011678684600000001</v>
      </c>
    </row>
    <row r="56" spans="2:7" x14ac:dyDescent="0.3">
      <c r="B56" s="9" t="s">
        <v>146</v>
      </c>
      <c r="C56" s="9" t="s">
        <v>32</v>
      </c>
      <c r="D56" s="9" t="s">
        <v>113</v>
      </c>
      <c r="E56" s="9" t="s">
        <v>168</v>
      </c>
    </row>
    <row r="57" spans="2:7" x14ac:dyDescent="0.3">
      <c r="B57" s="9" t="s">
        <v>147</v>
      </c>
      <c r="C57" s="9" t="s">
        <v>148</v>
      </c>
      <c r="D57" s="9" t="s">
        <v>149</v>
      </c>
      <c r="E57" s="9"/>
    </row>
    <row r="58" spans="2:7" x14ac:dyDescent="0.3">
      <c r="B58" s="9" t="s">
        <v>150</v>
      </c>
      <c r="C58" s="9" t="s">
        <v>32</v>
      </c>
      <c r="D58" s="9" t="s">
        <v>113</v>
      </c>
      <c r="E58" s="9"/>
    </row>
    <row r="59" spans="2:7" x14ac:dyDescent="0.3">
      <c r="B59" s="9" t="s">
        <v>151</v>
      </c>
      <c r="C59" s="9" t="s">
        <v>152</v>
      </c>
      <c r="D59" s="9" t="s">
        <v>113</v>
      </c>
      <c r="E59" s="9" t="s">
        <v>171</v>
      </c>
      <c r="G59" t="str">
        <f t="shared" ref="G59:G64" si="7">MID(B59,13,32)</f>
        <v>31000345575362020000000000000000</v>
      </c>
    </row>
    <row r="60" spans="2:7" x14ac:dyDescent="0.3">
      <c r="B60" s="9" t="s">
        <v>151</v>
      </c>
      <c r="C60" s="9" t="s">
        <v>107</v>
      </c>
      <c r="D60" s="9" t="s">
        <v>113</v>
      </c>
      <c r="E60" s="9" t="s">
        <v>171</v>
      </c>
      <c r="G60" t="str">
        <f t="shared" si="7"/>
        <v>31000345575362020000000000000000</v>
      </c>
    </row>
    <row r="61" spans="2:7" x14ac:dyDescent="0.3">
      <c r="B61" s="9" t="s">
        <v>153</v>
      </c>
      <c r="C61" s="9" t="s">
        <v>76</v>
      </c>
      <c r="D61" s="9" t="s">
        <v>113</v>
      </c>
      <c r="E61" s="9"/>
      <c r="G61" t="str">
        <f t="shared" si="7"/>
        <v>31005122404100011719347000000001</v>
      </c>
    </row>
    <row r="62" spans="2:7" x14ac:dyDescent="0.3">
      <c r="B62" s="9" t="s">
        <v>153</v>
      </c>
      <c r="C62" s="9" t="s">
        <v>32</v>
      </c>
      <c r="D62" s="9" t="s">
        <v>113</v>
      </c>
      <c r="E62" s="9"/>
      <c r="G62" t="str">
        <f t="shared" si="7"/>
        <v>31005122404100011719347000000001</v>
      </c>
    </row>
    <row r="63" spans="2:7" x14ac:dyDescent="0.3">
      <c r="B63" s="9" t="s">
        <v>154</v>
      </c>
      <c r="C63" s="9" t="s">
        <v>32</v>
      </c>
      <c r="D63" s="9" t="s">
        <v>113</v>
      </c>
      <c r="E63" s="9"/>
      <c r="G63" t="str">
        <f t="shared" si="7"/>
        <v>31005120287300011716229700000001</v>
      </c>
    </row>
    <row r="64" spans="2:7" x14ac:dyDescent="0.3">
      <c r="B64" s="9" t="s">
        <v>154</v>
      </c>
      <c r="C64" s="9" t="s">
        <v>76</v>
      </c>
      <c r="D64" s="9" t="s">
        <v>113</v>
      </c>
      <c r="E64" s="9"/>
      <c r="G64" t="str">
        <f t="shared" si="7"/>
        <v>31005120287300011716229700000001</v>
      </c>
    </row>
  </sheetData>
  <autoFilter ref="B4:D64" xr:uid="{F500F07A-E169-40E6-92B4-6193865F1F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071E-55AC-4FA0-B7EC-B2C3CD8C54A0}">
  <dimension ref="B2:H63"/>
  <sheetViews>
    <sheetView showGridLines="0" tabSelected="1" workbookViewId="0">
      <selection activeCell="F5" sqref="F5"/>
    </sheetView>
  </sheetViews>
  <sheetFormatPr defaultRowHeight="14.4" x14ac:dyDescent="0.3"/>
  <cols>
    <col min="1" max="1" width="3.77734375" customWidth="1"/>
    <col min="2" max="2" width="12.33203125" bestFit="1" customWidth="1"/>
    <col min="3" max="3" width="51" bestFit="1" customWidth="1"/>
    <col min="4" max="4" width="14.5546875" bestFit="1" customWidth="1"/>
    <col min="5" max="5" width="16.77734375" bestFit="1" customWidth="1"/>
    <col min="6" max="6" width="21" bestFit="1" customWidth="1"/>
    <col min="7" max="7" width="19.33203125" customWidth="1"/>
  </cols>
  <sheetData>
    <row r="2" spans="2:8" x14ac:dyDescent="0.3">
      <c r="B2" s="10" t="s">
        <v>10</v>
      </c>
      <c r="C2" s="10"/>
      <c r="D2" s="10"/>
      <c r="E2" s="10"/>
      <c r="F2" s="10"/>
      <c r="G2" s="10"/>
    </row>
    <row r="3" spans="2:8" x14ac:dyDescent="0.3">
      <c r="B3" s="26"/>
    </row>
    <row r="4" spans="2:8" x14ac:dyDescent="0.3">
      <c r="B4" s="2" t="s">
        <v>0</v>
      </c>
      <c r="C4" s="2" t="s">
        <v>7</v>
      </c>
      <c r="D4" s="2" t="s">
        <v>172</v>
      </c>
      <c r="E4" s="2" t="s">
        <v>173</v>
      </c>
      <c r="F4" s="2" t="s">
        <v>111</v>
      </c>
      <c r="G4" s="25" t="s">
        <v>155</v>
      </c>
    </row>
    <row r="5" spans="2:8" x14ac:dyDescent="0.3">
      <c r="B5" s="9" t="s">
        <v>1</v>
      </c>
      <c r="C5" s="9" t="s">
        <v>116</v>
      </c>
      <c r="D5" s="9" t="s">
        <v>174</v>
      </c>
      <c r="E5" s="9" t="s">
        <v>76</v>
      </c>
      <c r="F5" s="9" t="s">
        <v>113</v>
      </c>
      <c r="G5" s="9"/>
      <c r="H5" t="str">
        <f>MID(C5,13,32)</f>
        <v>31003188956020011667925200000001</v>
      </c>
    </row>
    <row r="6" spans="2:8" x14ac:dyDescent="0.3">
      <c r="B6" s="9" t="s">
        <v>1</v>
      </c>
      <c r="C6" s="9" t="s">
        <v>116</v>
      </c>
      <c r="D6" s="9" t="s">
        <v>174</v>
      </c>
      <c r="E6" s="9" t="s">
        <v>32</v>
      </c>
      <c r="F6" s="9" t="s">
        <v>113</v>
      </c>
      <c r="G6" s="9"/>
      <c r="H6" t="str">
        <f t="shared" ref="H6:H60" si="0">MID(C6,13,32)</f>
        <v>31003188956020011667925200000001</v>
      </c>
    </row>
    <row r="7" spans="2:8" x14ac:dyDescent="0.3">
      <c r="B7" s="9" t="s">
        <v>1</v>
      </c>
      <c r="C7" s="9" t="s">
        <v>112</v>
      </c>
      <c r="D7" s="9" t="s">
        <v>174</v>
      </c>
      <c r="E7" s="9" t="s">
        <v>32</v>
      </c>
      <c r="F7" s="9" t="s">
        <v>113</v>
      </c>
      <c r="G7" s="9" t="s">
        <v>177</v>
      </c>
    </row>
    <row r="8" spans="2:8" x14ac:dyDescent="0.3">
      <c r="B8" s="9" t="s">
        <v>1</v>
      </c>
      <c r="C8" s="9" t="s">
        <v>112</v>
      </c>
      <c r="D8" s="9" t="s">
        <v>174</v>
      </c>
      <c r="E8" s="9" t="s">
        <v>76</v>
      </c>
      <c r="F8" s="9" t="s">
        <v>113</v>
      </c>
      <c r="G8" s="9" t="s">
        <v>177</v>
      </c>
    </row>
    <row r="9" spans="2:8" x14ac:dyDescent="0.3">
      <c r="B9" s="9" t="s">
        <v>1</v>
      </c>
      <c r="C9" s="9" t="s">
        <v>130</v>
      </c>
      <c r="D9" s="9" t="s">
        <v>174</v>
      </c>
      <c r="E9" s="9" t="s">
        <v>32</v>
      </c>
      <c r="F9" s="9" t="s">
        <v>113</v>
      </c>
      <c r="G9" s="9"/>
    </row>
    <row r="10" spans="2:8" x14ac:dyDescent="0.3">
      <c r="B10" s="9" t="s">
        <v>1</v>
      </c>
      <c r="C10" s="9" t="s">
        <v>131</v>
      </c>
      <c r="D10" s="9" t="s">
        <v>174</v>
      </c>
      <c r="E10" s="9" t="s">
        <v>32</v>
      </c>
      <c r="F10" s="9" t="s">
        <v>113</v>
      </c>
      <c r="G10" s="9"/>
    </row>
    <row r="11" spans="2:8" x14ac:dyDescent="0.3">
      <c r="B11" s="9" t="s">
        <v>1</v>
      </c>
      <c r="C11" s="9" t="s">
        <v>117</v>
      </c>
      <c r="D11" s="9" t="s">
        <v>174</v>
      </c>
      <c r="E11" s="9" t="s">
        <v>76</v>
      </c>
      <c r="F11" s="9" t="s">
        <v>113</v>
      </c>
      <c r="G11" s="9"/>
      <c r="H11" t="str">
        <f t="shared" si="0"/>
        <v>31003199832130011589103900000001</v>
      </c>
    </row>
    <row r="12" spans="2:8" x14ac:dyDescent="0.3">
      <c r="B12" s="9" t="s">
        <v>1</v>
      </c>
      <c r="C12" s="9" t="s">
        <v>117</v>
      </c>
      <c r="D12" s="9" t="s">
        <v>174</v>
      </c>
      <c r="E12" s="9" t="s">
        <v>32</v>
      </c>
      <c r="F12" s="9" t="s">
        <v>113</v>
      </c>
      <c r="G12" s="9"/>
      <c r="H12" t="str">
        <f t="shared" si="0"/>
        <v>31003199832130011589103900000001</v>
      </c>
    </row>
    <row r="13" spans="2:8" x14ac:dyDescent="0.3">
      <c r="B13" s="9" t="s">
        <v>1</v>
      </c>
      <c r="C13" s="9" t="s">
        <v>133</v>
      </c>
      <c r="D13" s="9" t="s">
        <v>174</v>
      </c>
      <c r="E13" s="9" t="s">
        <v>32</v>
      </c>
      <c r="F13" s="9" t="s">
        <v>113</v>
      </c>
      <c r="G13" s="9"/>
    </row>
    <row r="14" spans="2:8" x14ac:dyDescent="0.3">
      <c r="B14" s="9" t="s">
        <v>1</v>
      </c>
      <c r="C14" s="27" t="s">
        <v>114</v>
      </c>
      <c r="D14" s="9" t="s">
        <v>174</v>
      </c>
      <c r="E14" s="9" t="s">
        <v>76</v>
      </c>
      <c r="F14" s="9" t="s">
        <v>113</v>
      </c>
      <c r="G14" s="9" t="s">
        <v>177</v>
      </c>
    </row>
    <row r="15" spans="2:8" x14ac:dyDescent="0.3">
      <c r="B15" s="9" t="s">
        <v>1</v>
      </c>
      <c r="C15" s="27" t="s">
        <v>114</v>
      </c>
      <c r="D15" s="9" t="s">
        <v>174</v>
      </c>
      <c r="E15" s="9" t="s">
        <v>32</v>
      </c>
      <c r="F15" s="9" t="s">
        <v>113</v>
      </c>
      <c r="G15" s="9" t="s">
        <v>177</v>
      </c>
    </row>
    <row r="16" spans="2:8" x14ac:dyDescent="0.3">
      <c r="B16" s="9" t="s">
        <v>1</v>
      </c>
      <c r="C16" s="27" t="s">
        <v>118</v>
      </c>
      <c r="D16" s="9" t="s">
        <v>174</v>
      </c>
      <c r="E16" s="9" t="s">
        <v>32</v>
      </c>
      <c r="F16" s="9" t="s">
        <v>113</v>
      </c>
      <c r="G16" s="9"/>
    </row>
    <row r="17" spans="2:8" x14ac:dyDescent="0.3">
      <c r="B17" s="9" t="s">
        <v>1</v>
      </c>
      <c r="C17" s="9" t="s">
        <v>143</v>
      </c>
      <c r="D17" s="9" t="s">
        <v>174</v>
      </c>
      <c r="E17" s="9" t="s">
        <v>32</v>
      </c>
      <c r="F17" s="9" t="s">
        <v>113</v>
      </c>
      <c r="G17" s="9"/>
    </row>
    <row r="18" spans="2:8" x14ac:dyDescent="0.3">
      <c r="B18" s="9" t="s">
        <v>1</v>
      </c>
      <c r="C18" s="9" t="s">
        <v>22</v>
      </c>
      <c r="D18" s="9" t="s">
        <v>174</v>
      </c>
      <c r="E18" s="9" t="s">
        <v>76</v>
      </c>
      <c r="F18" s="9" t="s">
        <v>113</v>
      </c>
      <c r="G18" s="9"/>
    </row>
    <row r="19" spans="2:8" x14ac:dyDescent="0.3">
      <c r="B19" s="9" t="s">
        <v>1</v>
      </c>
      <c r="C19" s="9" t="s">
        <v>125</v>
      </c>
      <c r="D19" s="9" t="s">
        <v>174</v>
      </c>
      <c r="E19" s="9" t="s">
        <v>32</v>
      </c>
      <c r="F19" s="9" t="s">
        <v>113</v>
      </c>
      <c r="G19" s="9"/>
      <c r="H19" t="str">
        <f t="shared" si="0"/>
        <v>31005121447700011633409500000001</v>
      </c>
    </row>
    <row r="20" spans="2:8" x14ac:dyDescent="0.3">
      <c r="B20" s="9" t="s">
        <v>1</v>
      </c>
      <c r="C20" s="9" t="s">
        <v>125</v>
      </c>
      <c r="D20" s="9" t="s">
        <v>174</v>
      </c>
      <c r="E20" s="9" t="s">
        <v>76</v>
      </c>
      <c r="F20" s="9" t="s">
        <v>113</v>
      </c>
      <c r="G20" s="9"/>
      <c r="H20" t="str">
        <f t="shared" si="0"/>
        <v>31005121447700011633409500000001</v>
      </c>
    </row>
    <row r="21" spans="2:8" x14ac:dyDescent="0.3">
      <c r="B21" s="9" t="s">
        <v>1</v>
      </c>
      <c r="C21" s="9" t="s">
        <v>21</v>
      </c>
      <c r="D21" s="9" t="s">
        <v>174</v>
      </c>
      <c r="E21" s="9" t="s">
        <v>32</v>
      </c>
      <c r="F21" s="9" t="s">
        <v>113</v>
      </c>
      <c r="G21" s="9"/>
    </row>
    <row r="22" spans="2:8" x14ac:dyDescent="0.3">
      <c r="B22" s="9" t="s">
        <v>1</v>
      </c>
      <c r="C22" s="9" t="s">
        <v>127</v>
      </c>
      <c r="D22" s="9" t="s">
        <v>174</v>
      </c>
      <c r="E22" s="9" t="s">
        <v>32</v>
      </c>
      <c r="F22" s="9" t="s">
        <v>113</v>
      </c>
      <c r="G22" s="9"/>
    </row>
    <row r="23" spans="2:8" x14ac:dyDescent="0.3">
      <c r="B23" s="9" t="s">
        <v>1</v>
      </c>
      <c r="C23" s="9" t="s">
        <v>135</v>
      </c>
      <c r="D23" s="9" t="s">
        <v>174</v>
      </c>
      <c r="E23" s="9" t="s">
        <v>32</v>
      </c>
      <c r="F23" s="9" t="s">
        <v>113</v>
      </c>
      <c r="G23" s="9"/>
      <c r="H23" t="str">
        <f t="shared" si="0"/>
        <v>31003180693500011007751700000001</v>
      </c>
    </row>
    <row r="24" spans="2:8" x14ac:dyDescent="0.3">
      <c r="B24" s="9" t="s">
        <v>1</v>
      </c>
      <c r="C24" s="9" t="s">
        <v>135</v>
      </c>
      <c r="D24" s="9" t="s">
        <v>174</v>
      </c>
      <c r="E24" s="9" t="s">
        <v>76</v>
      </c>
      <c r="F24" s="9" t="s">
        <v>113</v>
      </c>
      <c r="G24" s="9"/>
      <c r="H24" t="str">
        <f t="shared" si="0"/>
        <v>31003180693500011007751700000001</v>
      </c>
    </row>
    <row r="25" spans="2:8" x14ac:dyDescent="0.3">
      <c r="B25" s="9" t="s">
        <v>1</v>
      </c>
      <c r="C25" s="9" t="s">
        <v>137</v>
      </c>
      <c r="D25" s="9" t="s">
        <v>174</v>
      </c>
      <c r="E25" s="9" t="s">
        <v>32</v>
      </c>
      <c r="F25" s="9" t="s">
        <v>113</v>
      </c>
      <c r="G25" s="9"/>
      <c r="H25" t="str">
        <f t="shared" si="0"/>
        <v>31005120993090011697274600000001</v>
      </c>
    </row>
    <row r="26" spans="2:8" x14ac:dyDescent="0.3">
      <c r="B26" s="9" t="s">
        <v>1</v>
      </c>
      <c r="C26" s="9" t="s">
        <v>137</v>
      </c>
      <c r="D26" s="9" t="s">
        <v>174</v>
      </c>
      <c r="E26" s="9" t="s">
        <v>76</v>
      </c>
      <c r="F26" s="9" t="s">
        <v>113</v>
      </c>
      <c r="G26" s="9"/>
      <c r="H26" t="str">
        <f t="shared" si="0"/>
        <v>31005120993090011697274600000001</v>
      </c>
    </row>
    <row r="27" spans="2:8" x14ac:dyDescent="0.3">
      <c r="B27" s="9" t="s">
        <v>1</v>
      </c>
      <c r="C27" s="9" t="s">
        <v>115</v>
      </c>
      <c r="D27" s="9" t="s">
        <v>174</v>
      </c>
      <c r="E27" s="9" t="s">
        <v>32</v>
      </c>
      <c r="F27" s="9" t="s">
        <v>113</v>
      </c>
      <c r="G27" s="9" t="e">
        <v>#N/A</v>
      </c>
      <c r="H27" t="str">
        <f t="shared" si="0"/>
        <v>31005128846250011691894900000001</v>
      </c>
    </row>
    <row r="28" spans="2:8" x14ac:dyDescent="0.3">
      <c r="B28" s="9" t="s">
        <v>1</v>
      </c>
      <c r="C28" s="9" t="s">
        <v>115</v>
      </c>
      <c r="D28" s="9" t="s">
        <v>174</v>
      </c>
      <c r="E28" s="9" t="s">
        <v>76</v>
      </c>
      <c r="F28" s="9" t="s">
        <v>113</v>
      </c>
      <c r="G28" s="9" t="e">
        <v>#N/A</v>
      </c>
      <c r="H28" t="str">
        <f t="shared" si="0"/>
        <v>31005128846250011691894900000001</v>
      </c>
    </row>
    <row r="29" spans="2:8" x14ac:dyDescent="0.3">
      <c r="B29" s="9" t="s">
        <v>1</v>
      </c>
      <c r="C29" s="9" t="s">
        <v>132</v>
      </c>
      <c r="D29" s="9" t="s">
        <v>174</v>
      </c>
      <c r="E29" s="9" t="s">
        <v>76</v>
      </c>
      <c r="F29" s="9" t="s">
        <v>113</v>
      </c>
      <c r="G29" s="9"/>
      <c r="H29" t="str">
        <f t="shared" si="0"/>
        <v>31003194066610011645843300000001</v>
      </c>
    </row>
    <row r="30" spans="2:8" x14ac:dyDescent="0.3">
      <c r="B30" s="9" t="s">
        <v>1</v>
      </c>
      <c r="C30" s="9" t="s">
        <v>132</v>
      </c>
      <c r="D30" s="9" t="s">
        <v>174</v>
      </c>
      <c r="E30" s="9" t="s">
        <v>32</v>
      </c>
      <c r="F30" s="9" t="s">
        <v>113</v>
      </c>
      <c r="G30" s="9"/>
      <c r="H30" t="str">
        <f t="shared" si="0"/>
        <v>31003194066610011645843300000001</v>
      </c>
    </row>
    <row r="31" spans="2:8" x14ac:dyDescent="0.3">
      <c r="B31" s="9" t="s">
        <v>1</v>
      </c>
      <c r="C31" s="9" t="s">
        <v>150</v>
      </c>
      <c r="D31" s="9" t="s">
        <v>174</v>
      </c>
      <c r="E31" s="9" t="s">
        <v>32</v>
      </c>
      <c r="F31" s="9" t="s">
        <v>113</v>
      </c>
      <c r="G31" s="9"/>
    </row>
    <row r="32" spans="2:8" x14ac:dyDescent="0.3">
      <c r="B32" s="9" t="s">
        <v>1</v>
      </c>
      <c r="C32" s="27" t="s">
        <v>20</v>
      </c>
      <c r="D32" s="9" t="s">
        <v>174</v>
      </c>
      <c r="E32" s="9" t="s">
        <v>32</v>
      </c>
      <c r="F32" s="9" t="s">
        <v>113</v>
      </c>
      <c r="G32" s="9" t="s">
        <v>168</v>
      </c>
    </row>
    <row r="33" spans="2:8" x14ac:dyDescent="0.3">
      <c r="B33" s="9" t="s">
        <v>1</v>
      </c>
      <c r="C33" s="9" t="s">
        <v>138</v>
      </c>
      <c r="D33" s="9" t="s">
        <v>174</v>
      </c>
      <c r="E33" s="9" t="s">
        <v>32</v>
      </c>
      <c r="F33" s="9" t="s">
        <v>113</v>
      </c>
      <c r="G33" s="9"/>
      <c r="H33" t="str">
        <f t="shared" si="0"/>
        <v>31003164039660011105293800000001</v>
      </c>
    </row>
    <row r="34" spans="2:8" x14ac:dyDescent="0.3">
      <c r="B34" s="9" t="s">
        <v>1</v>
      </c>
      <c r="C34" s="9" t="s">
        <v>138</v>
      </c>
      <c r="D34" s="9" t="s">
        <v>174</v>
      </c>
      <c r="E34" s="9" t="s">
        <v>76</v>
      </c>
      <c r="F34" s="9" t="s">
        <v>113</v>
      </c>
      <c r="G34" s="9"/>
      <c r="H34" t="str">
        <f t="shared" si="0"/>
        <v>31003164039660011105293800000001</v>
      </c>
    </row>
    <row r="35" spans="2:8" x14ac:dyDescent="0.3">
      <c r="B35" s="9" t="s">
        <v>1</v>
      </c>
      <c r="C35" s="9" t="s">
        <v>139</v>
      </c>
      <c r="D35" s="9" t="s">
        <v>174</v>
      </c>
      <c r="E35" s="9" t="s">
        <v>32</v>
      </c>
      <c r="F35" s="9" t="s">
        <v>113</v>
      </c>
      <c r="G35" s="9"/>
    </row>
    <row r="36" spans="2:8" x14ac:dyDescent="0.3">
      <c r="B36" s="9" t="s">
        <v>1</v>
      </c>
      <c r="C36" s="9" t="s">
        <v>134</v>
      </c>
      <c r="D36" s="9" t="s">
        <v>174</v>
      </c>
      <c r="E36" s="9" t="s">
        <v>32</v>
      </c>
      <c r="F36" s="9" t="s">
        <v>113</v>
      </c>
      <c r="G36" s="9"/>
      <c r="H36" t="str">
        <f t="shared" si="0"/>
        <v>31005133068040011714639900000001</v>
      </c>
    </row>
    <row r="37" spans="2:8" x14ac:dyDescent="0.3">
      <c r="B37" s="9" t="s">
        <v>1</v>
      </c>
      <c r="C37" s="9" t="s">
        <v>134</v>
      </c>
      <c r="D37" s="9" t="s">
        <v>174</v>
      </c>
      <c r="E37" s="9" t="s">
        <v>76</v>
      </c>
      <c r="F37" s="9" t="s">
        <v>113</v>
      </c>
      <c r="G37" s="9"/>
      <c r="H37" t="str">
        <f t="shared" si="0"/>
        <v>31005133068040011714639900000001</v>
      </c>
    </row>
    <row r="38" spans="2:8" x14ac:dyDescent="0.3">
      <c r="B38" s="9" t="s">
        <v>1</v>
      </c>
      <c r="C38" s="9" t="s">
        <v>119</v>
      </c>
      <c r="D38" s="9" t="s">
        <v>174</v>
      </c>
      <c r="E38" s="9" t="s">
        <v>32</v>
      </c>
      <c r="F38" s="9" t="s">
        <v>113</v>
      </c>
      <c r="G38" s="9" t="s">
        <v>168</v>
      </c>
    </row>
    <row r="39" spans="2:8" x14ac:dyDescent="0.3">
      <c r="B39" s="9" t="s">
        <v>1</v>
      </c>
      <c r="C39" s="9" t="s">
        <v>120</v>
      </c>
      <c r="D39" s="9" t="s">
        <v>174</v>
      </c>
      <c r="E39" s="9" t="s">
        <v>32</v>
      </c>
      <c r="F39" s="9" t="s">
        <v>113</v>
      </c>
      <c r="G39" s="9" t="s">
        <v>168</v>
      </c>
    </row>
    <row r="40" spans="2:8" x14ac:dyDescent="0.3">
      <c r="B40" s="9" t="s">
        <v>1</v>
      </c>
      <c r="C40" s="9" t="s">
        <v>136</v>
      </c>
      <c r="D40" s="9" t="s">
        <v>174</v>
      </c>
      <c r="E40" s="9" t="s">
        <v>32</v>
      </c>
      <c r="F40" s="9" t="s">
        <v>113</v>
      </c>
      <c r="G40" s="9"/>
    </row>
    <row r="41" spans="2:8" x14ac:dyDescent="0.3">
      <c r="B41" s="9" t="s">
        <v>1</v>
      </c>
      <c r="C41" s="9" t="s">
        <v>151</v>
      </c>
      <c r="D41" s="9" t="s">
        <v>174</v>
      </c>
      <c r="E41" s="9" t="s">
        <v>152</v>
      </c>
      <c r="F41" s="9" t="s">
        <v>113</v>
      </c>
      <c r="G41" s="9" t="s">
        <v>171</v>
      </c>
    </row>
    <row r="42" spans="2:8" x14ac:dyDescent="0.3">
      <c r="B42" s="9" t="s">
        <v>1</v>
      </c>
      <c r="C42" s="9" t="s">
        <v>151</v>
      </c>
      <c r="D42" s="9" t="s">
        <v>174</v>
      </c>
      <c r="E42" s="9" t="s">
        <v>107</v>
      </c>
      <c r="F42" s="9" t="s">
        <v>113</v>
      </c>
      <c r="G42" s="9" t="s">
        <v>171</v>
      </c>
    </row>
    <row r="43" spans="2:8" x14ac:dyDescent="0.3">
      <c r="B43" s="9" t="s">
        <v>1</v>
      </c>
      <c r="C43" s="9" t="s">
        <v>153</v>
      </c>
      <c r="D43" s="9" t="s">
        <v>174</v>
      </c>
      <c r="E43" s="9" t="s">
        <v>76</v>
      </c>
      <c r="F43" s="9" t="s">
        <v>113</v>
      </c>
      <c r="G43" s="9"/>
      <c r="H43" t="str">
        <f t="shared" si="0"/>
        <v>31005122404100011719347000000001</v>
      </c>
    </row>
    <row r="44" spans="2:8" x14ac:dyDescent="0.3">
      <c r="B44" s="9" t="s">
        <v>1</v>
      </c>
      <c r="C44" s="9" t="s">
        <v>153</v>
      </c>
      <c r="D44" s="9" t="s">
        <v>174</v>
      </c>
      <c r="E44" s="9" t="s">
        <v>32</v>
      </c>
      <c r="F44" s="9" t="s">
        <v>113</v>
      </c>
      <c r="G44" s="9"/>
      <c r="H44" t="str">
        <f t="shared" si="0"/>
        <v>31005122404100011719347000000001</v>
      </c>
    </row>
    <row r="45" spans="2:8" x14ac:dyDescent="0.3">
      <c r="B45" s="9" t="s">
        <v>1</v>
      </c>
      <c r="C45" s="9" t="s">
        <v>140</v>
      </c>
      <c r="D45" s="9" t="s">
        <v>174</v>
      </c>
      <c r="E45" s="9" t="s">
        <v>76</v>
      </c>
      <c r="F45" s="9" t="s">
        <v>113</v>
      </c>
      <c r="G45" s="9"/>
      <c r="H45" t="str">
        <f t="shared" si="0"/>
        <v>31005123201900011686326900000001</v>
      </c>
    </row>
    <row r="46" spans="2:8" x14ac:dyDescent="0.3">
      <c r="B46" s="9" t="s">
        <v>1</v>
      </c>
      <c r="C46" s="9" t="s">
        <v>140</v>
      </c>
      <c r="D46" s="9" t="s">
        <v>174</v>
      </c>
      <c r="E46" s="9" t="s">
        <v>32</v>
      </c>
      <c r="F46" s="9" t="s">
        <v>113</v>
      </c>
      <c r="G46" s="9"/>
      <c r="H46" t="str">
        <f t="shared" si="0"/>
        <v>31005123201900011686326900000001</v>
      </c>
    </row>
    <row r="47" spans="2:8" x14ac:dyDescent="0.3">
      <c r="B47" s="9" t="s">
        <v>1</v>
      </c>
      <c r="C47" s="9" t="s">
        <v>154</v>
      </c>
      <c r="D47" s="9" t="s">
        <v>174</v>
      </c>
      <c r="E47" s="9" t="s">
        <v>32</v>
      </c>
      <c r="F47" s="9" t="s">
        <v>113</v>
      </c>
      <c r="G47" s="9"/>
      <c r="H47" t="str">
        <f t="shared" si="0"/>
        <v>31005120287300011716229700000001</v>
      </c>
    </row>
    <row r="48" spans="2:8" x14ac:dyDescent="0.3">
      <c r="B48" s="9" t="s">
        <v>1</v>
      </c>
      <c r="C48" s="9" t="s">
        <v>154</v>
      </c>
      <c r="D48" s="9" t="s">
        <v>174</v>
      </c>
      <c r="E48" s="9" t="s">
        <v>76</v>
      </c>
      <c r="F48" s="9" t="s">
        <v>113</v>
      </c>
      <c r="G48" s="9"/>
      <c r="H48" t="str">
        <f t="shared" si="0"/>
        <v>31005120287300011716229700000001</v>
      </c>
    </row>
    <row r="49" spans="2:8" x14ac:dyDescent="0.3">
      <c r="B49" s="9" t="s">
        <v>1</v>
      </c>
      <c r="C49" s="9" t="s">
        <v>141</v>
      </c>
      <c r="D49" s="9" t="s">
        <v>174</v>
      </c>
      <c r="E49" s="9" t="s">
        <v>32</v>
      </c>
      <c r="F49" s="9" t="s">
        <v>113</v>
      </c>
      <c r="G49" s="9"/>
    </row>
    <row r="50" spans="2:8" x14ac:dyDescent="0.3">
      <c r="B50" s="28" t="s">
        <v>1</v>
      </c>
      <c r="C50" s="28" t="s">
        <v>121</v>
      </c>
      <c r="D50" s="28" t="s">
        <v>174</v>
      </c>
      <c r="E50" s="28" t="s">
        <v>32</v>
      </c>
      <c r="F50" s="28" t="s">
        <v>113</v>
      </c>
      <c r="G50" s="28" t="s">
        <v>175</v>
      </c>
    </row>
    <row r="51" spans="2:8" x14ac:dyDescent="0.3">
      <c r="B51" s="9" t="s">
        <v>1</v>
      </c>
      <c r="C51" s="9" t="s">
        <v>142</v>
      </c>
      <c r="D51" s="9" t="s">
        <v>174</v>
      </c>
      <c r="E51" s="9" t="s">
        <v>32</v>
      </c>
      <c r="F51" s="9" t="s">
        <v>113</v>
      </c>
      <c r="G51" s="9"/>
    </row>
    <row r="52" spans="2:8" x14ac:dyDescent="0.3">
      <c r="B52" s="28" t="s">
        <v>1</v>
      </c>
      <c r="C52" s="28" t="s">
        <v>122</v>
      </c>
      <c r="D52" s="28" t="s">
        <v>174</v>
      </c>
      <c r="E52" s="28" t="s">
        <v>32</v>
      </c>
      <c r="F52" s="28" t="s">
        <v>113</v>
      </c>
      <c r="G52" s="28" t="s">
        <v>176</v>
      </c>
    </row>
    <row r="53" spans="2:8" x14ac:dyDescent="0.3">
      <c r="B53" s="9" t="s">
        <v>1</v>
      </c>
      <c r="C53" s="9" t="s">
        <v>144</v>
      </c>
      <c r="D53" s="9" t="s">
        <v>174</v>
      </c>
      <c r="E53" s="9" t="s">
        <v>32</v>
      </c>
      <c r="F53" s="9" t="s">
        <v>113</v>
      </c>
      <c r="G53" s="9"/>
    </row>
    <row r="54" spans="2:8" x14ac:dyDescent="0.3">
      <c r="B54" s="9" t="s">
        <v>1</v>
      </c>
      <c r="C54" s="9" t="s">
        <v>145</v>
      </c>
      <c r="D54" s="9" t="s">
        <v>174</v>
      </c>
      <c r="E54" s="9" t="s">
        <v>32</v>
      </c>
      <c r="F54" s="9" t="s">
        <v>113</v>
      </c>
      <c r="G54" s="9"/>
      <c r="H54" t="str">
        <f t="shared" si="0"/>
        <v>31003173418880011678684600000001</v>
      </c>
    </row>
    <row r="55" spans="2:8" x14ac:dyDescent="0.3">
      <c r="B55" s="9" t="s">
        <v>1</v>
      </c>
      <c r="C55" s="9" t="s">
        <v>145</v>
      </c>
      <c r="D55" s="9" t="s">
        <v>174</v>
      </c>
      <c r="E55" s="9" t="s">
        <v>76</v>
      </c>
      <c r="F55" s="9" t="s">
        <v>113</v>
      </c>
      <c r="G55" s="9"/>
      <c r="H55" t="str">
        <f t="shared" si="0"/>
        <v>31003173418880011678684600000001</v>
      </c>
    </row>
    <row r="56" spans="2:8" x14ac:dyDescent="0.3">
      <c r="B56" s="9" t="s">
        <v>1</v>
      </c>
      <c r="C56" s="9" t="s">
        <v>146</v>
      </c>
      <c r="D56" s="9" t="s">
        <v>174</v>
      </c>
      <c r="E56" s="9" t="s">
        <v>32</v>
      </c>
      <c r="F56" s="9" t="s">
        <v>113</v>
      </c>
      <c r="G56" s="9" t="s">
        <v>168</v>
      </c>
    </row>
    <row r="57" spans="2:8" x14ac:dyDescent="0.3">
      <c r="B57" s="9" t="s">
        <v>1</v>
      </c>
      <c r="C57" s="27" t="s">
        <v>123</v>
      </c>
      <c r="D57" s="9" t="s">
        <v>174</v>
      </c>
      <c r="E57" s="9" t="s">
        <v>124</v>
      </c>
      <c r="F57" s="9" t="s">
        <v>113</v>
      </c>
      <c r="G57" s="9" t="s">
        <v>177</v>
      </c>
    </row>
    <row r="58" spans="2:8" x14ac:dyDescent="0.3">
      <c r="B58" s="9" t="s">
        <v>1</v>
      </c>
      <c r="C58" s="27" t="s">
        <v>123</v>
      </c>
      <c r="D58" s="9" t="s">
        <v>174</v>
      </c>
      <c r="E58" s="9" t="s">
        <v>76</v>
      </c>
      <c r="F58" s="9" t="s">
        <v>113</v>
      </c>
      <c r="G58" s="9" t="s">
        <v>177</v>
      </c>
    </row>
    <row r="59" spans="2:8" x14ac:dyDescent="0.3">
      <c r="B59" s="9" t="s">
        <v>1</v>
      </c>
      <c r="C59" s="9" t="s">
        <v>126</v>
      </c>
      <c r="D59" s="9" t="s">
        <v>174</v>
      </c>
      <c r="E59" s="9" t="s">
        <v>76</v>
      </c>
      <c r="F59" s="9" t="s">
        <v>113</v>
      </c>
      <c r="G59" s="9" t="e">
        <v>#N/A</v>
      </c>
      <c r="H59" t="str">
        <f t="shared" si="0"/>
        <v>31003188274630011627959700000001</v>
      </c>
    </row>
    <row r="60" spans="2:8" x14ac:dyDescent="0.3">
      <c r="B60" s="9" t="s">
        <v>1</v>
      </c>
      <c r="C60" s="9" t="s">
        <v>126</v>
      </c>
      <c r="D60" s="9" t="s">
        <v>174</v>
      </c>
      <c r="E60" s="9" t="s">
        <v>32</v>
      </c>
      <c r="F60" s="9" t="s">
        <v>113</v>
      </c>
      <c r="G60" s="9" t="e">
        <v>#N/A</v>
      </c>
      <c r="H60" t="str">
        <f t="shared" si="0"/>
        <v>31003188274630011627959700000001</v>
      </c>
    </row>
    <row r="61" spans="2:8" x14ac:dyDescent="0.3">
      <c r="B61" s="28" t="s">
        <v>1</v>
      </c>
      <c r="C61" s="28" t="s">
        <v>128</v>
      </c>
      <c r="D61" s="28" t="s">
        <v>174</v>
      </c>
      <c r="E61" s="28" t="s">
        <v>32</v>
      </c>
      <c r="F61" s="28" t="s">
        <v>113</v>
      </c>
      <c r="G61" s="28" t="s">
        <v>176</v>
      </c>
    </row>
    <row r="62" spans="2:8" x14ac:dyDescent="0.3">
      <c r="B62" s="9" t="s">
        <v>1</v>
      </c>
      <c r="C62" s="9" t="s">
        <v>129</v>
      </c>
      <c r="D62" s="9" t="s">
        <v>174</v>
      </c>
      <c r="E62" s="9" t="s">
        <v>32</v>
      </c>
      <c r="F62" s="9" t="s">
        <v>113</v>
      </c>
      <c r="G62" s="9" t="s">
        <v>168</v>
      </c>
    </row>
    <row r="63" spans="2:8" x14ac:dyDescent="0.3">
      <c r="B63" s="9" t="s">
        <v>1</v>
      </c>
      <c r="C63" s="9" t="s">
        <v>23</v>
      </c>
      <c r="D63" s="9" t="s">
        <v>174</v>
      </c>
      <c r="E63" s="9" t="s">
        <v>32</v>
      </c>
      <c r="F63" s="9" t="s">
        <v>113</v>
      </c>
      <c r="G63" s="9" t="s">
        <v>168</v>
      </c>
    </row>
  </sheetData>
  <autoFilter ref="B4:G63" xr:uid="{101E071E-55AC-4FA0-B7EC-B2C3CD8C54A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808C-02F2-42A5-AA7E-79372CD5A74F}">
  <dimension ref="B2:G33"/>
  <sheetViews>
    <sheetView topLeftCell="A13" workbookViewId="0">
      <selection activeCell="F30" sqref="F30"/>
    </sheetView>
  </sheetViews>
  <sheetFormatPr defaultRowHeight="14.4" x14ac:dyDescent="0.3"/>
  <cols>
    <col min="2" max="2" width="10.33203125" style="6" bestFit="1" customWidth="1"/>
    <col min="3" max="3" width="6.77734375" style="6" bestFit="1" customWidth="1"/>
    <col min="4" max="4" width="9" style="6" bestFit="1" customWidth="1"/>
    <col min="5" max="5" width="8.109375" style="6" bestFit="1" customWidth="1"/>
    <col min="6" max="6" width="10" style="6" bestFit="1" customWidth="1"/>
    <col min="7" max="7" width="49.88671875" style="6" bestFit="1" customWidth="1"/>
  </cols>
  <sheetData>
    <row r="2" spans="2:7" x14ac:dyDescent="0.3">
      <c r="B2" s="6" t="s">
        <v>156</v>
      </c>
      <c r="C2" s="6" t="s">
        <v>157</v>
      </c>
      <c r="D2" s="6" t="s">
        <v>158</v>
      </c>
      <c r="E2" s="6" t="s">
        <v>159</v>
      </c>
      <c r="F2" s="6" t="s">
        <v>19</v>
      </c>
      <c r="G2" s="6" t="s">
        <v>7</v>
      </c>
    </row>
    <row r="3" spans="2:7" x14ac:dyDescent="0.3">
      <c r="B3" s="6" t="s">
        <v>160</v>
      </c>
      <c r="C3" s="6" t="s">
        <v>161</v>
      </c>
      <c r="D3" s="6" t="s">
        <v>162</v>
      </c>
      <c r="E3" s="6" t="s">
        <v>163</v>
      </c>
      <c r="F3" s="6" t="s">
        <v>32</v>
      </c>
      <c r="G3" s="6" t="s">
        <v>164</v>
      </c>
    </row>
    <row r="4" spans="2:7" x14ac:dyDescent="0.3">
      <c r="B4" s="6" t="s">
        <v>160</v>
      </c>
      <c r="C4" s="6" t="s">
        <v>161</v>
      </c>
      <c r="D4" s="6" t="s">
        <v>162</v>
      </c>
      <c r="E4" s="6" t="s">
        <v>163</v>
      </c>
      <c r="F4" s="6" t="s">
        <v>76</v>
      </c>
      <c r="G4" s="6" t="s">
        <v>164</v>
      </c>
    </row>
    <row r="5" spans="2:7" x14ac:dyDescent="0.3">
      <c r="B5" s="6" t="s">
        <v>160</v>
      </c>
      <c r="C5" s="6" t="s">
        <v>161</v>
      </c>
      <c r="D5" s="6" t="s">
        <v>162</v>
      </c>
      <c r="E5" s="6" t="s">
        <v>163</v>
      </c>
      <c r="F5" s="6" t="s">
        <v>32</v>
      </c>
      <c r="G5" s="6" t="s">
        <v>112</v>
      </c>
    </row>
    <row r="6" spans="2:7" x14ac:dyDescent="0.3">
      <c r="B6" s="6" t="s">
        <v>160</v>
      </c>
      <c r="C6" s="6" t="s">
        <v>161</v>
      </c>
      <c r="D6" s="6" t="s">
        <v>162</v>
      </c>
      <c r="E6" s="6" t="s">
        <v>163</v>
      </c>
      <c r="F6" s="6" t="s">
        <v>76</v>
      </c>
      <c r="G6" s="6" t="s">
        <v>112</v>
      </c>
    </row>
    <row r="9" spans="2:7" x14ac:dyDescent="0.3">
      <c r="B9" s="6" t="s">
        <v>156</v>
      </c>
      <c r="C9" s="6" t="s">
        <v>157</v>
      </c>
      <c r="D9" s="6" t="s">
        <v>158</v>
      </c>
      <c r="E9" s="6" t="s">
        <v>159</v>
      </c>
      <c r="F9" s="6" t="s">
        <v>19</v>
      </c>
      <c r="G9" s="6" t="s">
        <v>7</v>
      </c>
    </row>
    <row r="10" spans="2:7" x14ac:dyDescent="0.3">
      <c r="B10" s="6" t="s">
        <v>160</v>
      </c>
      <c r="C10" s="6" t="s">
        <v>161</v>
      </c>
      <c r="D10" s="6" t="s">
        <v>162</v>
      </c>
      <c r="E10" s="6" t="s">
        <v>163</v>
      </c>
      <c r="F10" s="6" t="s">
        <v>32</v>
      </c>
      <c r="G10" s="6" t="s">
        <v>166</v>
      </c>
    </row>
    <row r="11" spans="2:7" x14ac:dyDescent="0.3">
      <c r="B11" s="6" t="s">
        <v>160</v>
      </c>
      <c r="C11" s="6" t="s">
        <v>161</v>
      </c>
      <c r="D11" s="6" t="s">
        <v>162</v>
      </c>
      <c r="E11" s="6" t="s">
        <v>163</v>
      </c>
      <c r="F11" s="6" t="s">
        <v>76</v>
      </c>
      <c r="G11" s="6" t="s">
        <v>166</v>
      </c>
    </row>
    <row r="12" spans="2:7" x14ac:dyDescent="0.3">
      <c r="B12" s="6" t="s">
        <v>160</v>
      </c>
      <c r="C12" s="6" t="s">
        <v>161</v>
      </c>
      <c r="D12" s="6" t="s">
        <v>162</v>
      </c>
      <c r="E12" s="6" t="s">
        <v>163</v>
      </c>
      <c r="F12" s="6" t="s">
        <v>76</v>
      </c>
      <c r="G12" s="6" t="s">
        <v>114</v>
      </c>
    </row>
    <row r="13" spans="2:7" x14ac:dyDescent="0.3">
      <c r="B13" s="6" t="s">
        <v>160</v>
      </c>
      <c r="C13" s="6" t="s">
        <v>161</v>
      </c>
      <c r="D13" s="6" t="s">
        <v>162</v>
      </c>
      <c r="E13" s="6" t="s">
        <v>163</v>
      </c>
      <c r="F13" s="6" t="s">
        <v>32</v>
      </c>
      <c r="G13" s="6" t="s">
        <v>114</v>
      </c>
    </row>
    <row r="16" spans="2:7" x14ac:dyDescent="0.3">
      <c r="B16" s="6" t="s">
        <v>156</v>
      </c>
      <c r="C16" s="6" t="s">
        <v>157</v>
      </c>
      <c r="D16" s="6" t="s">
        <v>158</v>
      </c>
      <c r="E16" s="6" t="s">
        <v>159</v>
      </c>
      <c r="F16" s="6" t="s">
        <v>19</v>
      </c>
      <c r="G16" s="6" t="s">
        <v>7</v>
      </c>
    </row>
    <row r="17" spans="2:7" x14ac:dyDescent="0.3">
      <c r="B17" s="6" t="s">
        <v>160</v>
      </c>
      <c r="C17" s="6" t="s">
        <v>161</v>
      </c>
      <c r="D17" s="6" t="s">
        <v>162</v>
      </c>
      <c r="E17" s="6" t="s">
        <v>163</v>
      </c>
      <c r="F17" s="6" t="s">
        <v>152</v>
      </c>
      <c r="G17" s="6" t="s">
        <v>167</v>
      </c>
    </row>
    <row r="18" spans="2:7" x14ac:dyDescent="0.3">
      <c r="B18" s="6" t="s">
        <v>160</v>
      </c>
      <c r="C18" s="6" t="s">
        <v>161</v>
      </c>
      <c r="D18" s="6" t="s">
        <v>162</v>
      </c>
      <c r="E18" s="6" t="s">
        <v>163</v>
      </c>
      <c r="F18" s="6" t="s">
        <v>107</v>
      </c>
      <c r="G18" s="6" t="s">
        <v>167</v>
      </c>
    </row>
    <row r="19" spans="2:7" x14ac:dyDescent="0.3">
      <c r="B19" s="6" t="s">
        <v>160</v>
      </c>
      <c r="C19" s="6" t="s">
        <v>161</v>
      </c>
      <c r="D19" s="6" t="s">
        <v>162</v>
      </c>
      <c r="E19" s="6" t="s">
        <v>163</v>
      </c>
      <c r="F19" s="6" t="s">
        <v>152</v>
      </c>
      <c r="G19" s="6" t="s">
        <v>151</v>
      </c>
    </row>
    <row r="20" spans="2:7" x14ac:dyDescent="0.3">
      <c r="B20" s="6" t="s">
        <v>160</v>
      </c>
      <c r="C20" s="6" t="s">
        <v>161</v>
      </c>
      <c r="D20" s="6" t="s">
        <v>162</v>
      </c>
      <c r="E20" s="6" t="s">
        <v>163</v>
      </c>
      <c r="F20" s="6" t="s">
        <v>107</v>
      </c>
      <c r="G20" s="6" t="s">
        <v>151</v>
      </c>
    </row>
    <row r="22" spans="2:7" x14ac:dyDescent="0.3">
      <c r="B22" s="6" t="s">
        <v>156</v>
      </c>
      <c r="C22" s="6" t="s">
        <v>157</v>
      </c>
      <c r="D22" s="6" t="s">
        <v>158</v>
      </c>
      <c r="E22" s="6" t="s">
        <v>159</v>
      </c>
      <c r="F22" s="6" t="s">
        <v>19</v>
      </c>
      <c r="G22" s="6" t="s">
        <v>7</v>
      </c>
    </row>
    <row r="23" spans="2:7" x14ac:dyDescent="0.3">
      <c r="B23" s="6" t="s">
        <v>160</v>
      </c>
      <c r="C23" s="6" t="s">
        <v>161</v>
      </c>
      <c r="D23" s="6" t="s">
        <v>162</v>
      </c>
      <c r="E23" s="6" t="s">
        <v>163</v>
      </c>
      <c r="F23" s="6" t="s">
        <v>76</v>
      </c>
      <c r="G23" s="6" t="s">
        <v>166</v>
      </c>
    </row>
    <row r="24" spans="2:7" x14ac:dyDescent="0.3">
      <c r="B24" s="6" t="s">
        <v>160</v>
      </c>
      <c r="C24" s="6" t="s">
        <v>161</v>
      </c>
      <c r="D24" s="6" t="s">
        <v>162</v>
      </c>
      <c r="E24" s="6" t="s">
        <v>163</v>
      </c>
      <c r="F24" s="6" t="s">
        <v>32</v>
      </c>
      <c r="G24" s="6" t="s">
        <v>166</v>
      </c>
    </row>
    <row r="25" spans="2:7" x14ac:dyDescent="0.3">
      <c r="B25" s="6" t="s">
        <v>160</v>
      </c>
      <c r="C25" s="6" t="s">
        <v>161</v>
      </c>
      <c r="D25" s="6" t="s">
        <v>162</v>
      </c>
      <c r="E25" s="6" t="s">
        <v>163</v>
      </c>
      <c r="F25" s="6" t="s">
        <v>32</v>
      </c>
      <c r="G25" s="6" t="s">
        <v>114</v>
      </c>
    </row>
    <row r="26" spans="2:7" x14ac:dyDescent="0.3">
      <c r="B26" s="6" t="s">
        <v>160</v>
      </c>
      <c r="C26" s="6" t="s">
        <v>161</v>
      </c>
      <c r="D26" s="6" t="s">
        <v>162</v>
      </c>
      <c r="E26" s="6" t="s">
        <v>163</v>
      </c>
      <c r="F26" s="6" t="s">
        <v>76</v>
      </c>
      <c r="G26" s="6" t="s">
        <v>114</v>
      </c>
    </row>
    <row r="29" spans="2:7" x14ac:dyDescent="0.3">
      <c r="B29" s="6" t="s">
        <v>156</v>
      </c>
      <c r="C29" s="6" t="s">
        <v>157</v>
      </c>
      <c r="D29" s="6" t="s">
        <v>158</v>
      </c>
      <c r="E29" s="6" t="s">
        <v>159</v>
      </c>
      <c r="F29" s="6" t="s">
        <v>19</v>
      </c>
      <c r="G29" s="6" t="s">
        <v>7</v>
      </c>
    </row>
    <row r="30" spans="2:7" x14ac:dyDescent="0.3">
      <c r="B30" s="6" t="s">
        <v>160</v>
      </c>
      <c r="C30" s="6" t="s">
        <v>161</v>
      </c>
      <c r="D30" s="6" t="s">
        <v>162</v>
      </c>
      <c r="E30" s="6" t="s">
        <v>163</v>
      </c>
      <c r="F30" s="6" t="s">
        <v>76</v>
      </c>
      <c r="G30" s="6" t="s">
        <v>178</v>
      </c>
    </row>
    <row r="31" spans="2:7" x14ac:dyDescent="0.3">
      <c r="B31" s="6" t="s">
        <v>160</v>
      </c>
      <c r="C31" s="6" t="s">
        <v>161</v>
      </c>
      <c r="D31" s="6" t="s">
        <v>162</v>
      </c>
      <c r="E31" s="6" t="s">
        <v>163</v>
      </c>
      <c r="F31" s="6" t="s">
        <v>124</v>
      </c>
      <c r="G31" s="6" t="s">
        <v>178</v>
      </c>
    </row>
    <row r="32" spans="2:7" x14ac:dyDescent="0.3">
      <c r="B32" s="6" t="s">
        <v>160</v>
      </c>
      <c r="C32" s="6" t="s">
        <v>161</v>
      </c>
      <c r="D32" s="6" t="s">
        <v>162</v>
      </c>
      <c r="E32" s="6" t="s">
        <v>163</v>
      </c>
      <c r="F32" s="6" t="s">
        <v>124</v>
      </c>
      <c r="G32" s="6" t="s">
        <v>123</v>
      </c>
    </row>
    <row r="33" spans="2:7" x14ac:dyDescent="0.3">
      <c r="B33" s="6" t="s">
        <v>160</v>
      </c>
      <c r="C33" s="6" t="s">
        <v>161</v>
      </c>
      <c r="D33" s="6" t="s">
        <v>162</v>
      </c>
      <c r="E33" s="6" t="s">
        <v>163</v>
      </c>
      <c r="F33" s="6" t="s">
        <v>76</v>
      </c>
      <c r="G33" s="6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33A9-AA39-4CB7-8720-79903847DF82}">
  <dimension ref="A2:N16"/>
  <sheetViews>
    <sheetView showGridLines="0" workbookViewId="0">
      <selection activeCell="G19" sqref="G19"/>
    </sheetView>
  </sheetViews>
  <sheetFormatPr defaultRowHeight="14.4" x14ac:dyDescent="0.3"/>
  <cols>
    <col min="1" max="1" width="3.6640625" style="1" customWidth="1"/>
    <col min="2" max="2" width="16.6640625" style="1" bestFit="1" customWidth="1"/>
    <col min="3" max="3" width="26.6640625" style="1" bestFit="1" customWidth="1"/>
    <col min="4" max="4" width="13.88671875" style="1" bestFit="1" customWidth="1"/>
    <col min="5" max="5" width="51" style="1" bestFit="1" customWidth="1"/>
    <col min="6" max="6" width="13.88671875" style="1" customWidth="1"/>
    <col min="7" max="7" width="33.6640625" style="1" bestFit="1" customWidth="1"/>
    <col min="8" max="8" width="12.6640625" style="1" bestFit="1" customWidth="1"/>
    <col min="9" max="9" width="12.88671875" style="1" bestFit="1" customWidth="1"/>
    <col min="10" max="10" width="13.6640625" style="1" bestFit="1" customWidth="1"/>
    <col min="11" max="11" width="16.33203125" style="1" bestFit="1" customWidth="1"/>
    <col min="12" max="12" width="14.6640625" style="1" bestFit="1" customWidth="1"/>
    <col min="13" max="13" width="59.33203125" style="1" customWidth="1"/>
  </cols>
  <sheetData>
    <row r="2" spans="2:14" x14ac:dyDescent="0.3">
      <c r="B2" s="14" t="s">
        <v>25</v>
      </c>
      <c r="C2" s="15"/>
      <c r="D2" s="16"/>
      <c r="E2" s="16"/>
      <c r="F2" s="16"/>
      <c r="G2" s="16"/>
    </row>
    <row r="4" spans="2:14" x14ac:dyDescent="0.3">
      <c r="B4" s="5" t="s">
        <v>89</v>
      </c>
    </row>
    <row r="5" spans="2:14" ht="7.2" customHeight="1" x14ac:dyDescent="0.3"/>
    <row r="6" spans="2:14" x14ac:dyDescent="0.3">
      <c r="B6" s="2" t="s">
        <v>5</v>
      </c>
      <c r="C6" s="2" t="s">
        <v>6</v>
      </c>
      <c r="D6" s="2" t="s">
        <v>0</v>
      </c>
      <c r="E6" s="2" t="s">
        <v>7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12" t="s">
        <v>24</v>
      </c>
    </row>
    <row r="7" spans="2:14" ht="28.8" x14ac:dyDescent="0.3">
      <c r="B7" s="17" t="s">
        <v>90</v>
      </c>
      <c r="C7" s="17" t="s">
        <v>91</v>
      </c>
      <c r="D7" s="17" t="s">
        <v>3</v>
      </c>
      <c r="E7" s="17" t="s">
        <v>94</v>
      </c>
      <c r="F7" s="17" t="s">
        <v>85</v>
      </c>
      <c r="G7" s="17" t="s">
        <v>95</v>
      </c>
      <c r="H7" s="17" t="s">
        <v>28</v>
      </c>
      <c r="I7" s="17" t="s">
        <v>54</v>
      </c>
      <c r="J7" s="17" t="s">
        <v>92</v>
      </c>
      <c r="K7" s="17" t="s">
        <v>96</v>
      </c>
      <c r="L7" s="17" t="s">
        <v>93</v>
      </c>
      <c r="M7" s="13" t="s">
        <v>97</v>
      </c>
      <c r="N7" s="22" t="s">
        <v>102</v>
      </c>
    </row>
    <row r="8" spans="2:14" ht="28.8" x14ac:dyDescent="0.3">
      <c r="B8" s="17" t="s">
        <v>90</v>
      </c>
      <c r="C8" s="17" t="s">
        <v>91</v>
      </c>
      <c r="D8" s="17" t="s">
        <v>3</v>
      </c>
      <c r="E8" s="17" t="s">
        <v>98</v>
      </c>
      <c r="F8" s="17" t="s">
        <v>85</v>
      </c>
      <c r="G8" s="17" t="s">
        <v>99</v>
      </c>
      <c r="H8" s="17" t="s">
        <v>28</v>
      </c>
      <c r="I8" s="17" t="s">
        <v>54</v>
      </c>
      <c r="J8" s="17" t="s">
        <v>100</v>
      </c>
      <c r="K8" s="17" t="s">
        <v>101</v>
      </c>
      <c r="L8" s="17" t="s">
        <v>76</v>
      </c>
      <c r="M8" s="13" t="s">
        <v>103</v>
      </c>
      <c r="N8" s="22" t="s">
        <v>102</v>
      </c>
    </row>
    <row r="9" spans="2:14" x14ac:dyDescent="0.3">
      <c r="B9" s="17" t="s">
        <v>90</v>
      </c>
      <c r="C9" s="17" t="s">
        <v>91</v>
      </c>
      <c r="D9" s="17" t="s">
        <v>3</v>
      </c>
      <c r="E9" s="17" t="s">
        <v>104</v>
      </c>
      <c r="F9" s="17" t="s">
        <v>85</v>
      </c>
      <c r="G9" s="17" t="s">
        <v>105</v>
      </c>
      <c r="H9" s="17" t="s">
        <v>28</v>
      </c>
      <c r="I9" s="17" t="s">
        <v>29</v>
      </c>
      <c r="J9" s="17" t="s">
        <v>106</v>
      </c>
      <c r="K9" s="17" t="s">
        <v>31</v>
      </c>
      <c r="L9" s="17" t="s">
        <v>107</v>
      </c>
      <c r="M9" s="18"/>
    </row>
    <row r="13" spans="2:14" x14ac:dyDescent="0.3">
      <c r="G13"/>
      <c r="H13"/>
    </row>
    <row r="14" spans="2:14" x14ac:dyDescent="0.3">
      <c r="G14"/>
      <c r="H14"/>
    </row>
    <row r="15" spans="2:14" x14ac:dyDescent="0.3">
      <c r="G15"/>
      <c r="H15"/>
    </row>
    <row r="16" spans="2:14" x14ac:dyDescent="0.3">
      <c r="G16"/>
      <c r="H16"/>
    </row>
  </sheetData>
  <autoFilter ref="B6:M9" xr:uid="{299133A9-AA39-4CB7-8720-79903847DF8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33DA-7D88-45F1-A31D-E0C5E5916104}">
  <dimension ref="A2:M25"/>
  <sheetViews>
    <sheetView showGridLines="0" workbookViewId="0">
      <selection activeCell="M7" sqref="M7"/>
    </sheetView>
  </sheetViews>
  <sheetFormatPr defaultRowHeight="14.4" x14ac:dyDescent="0.3"/>
  <cols>
    <col min="1" max="1" width="3.6640625" style="1" customWidth="1"/>
    <col min="2" max="2" width="17" style="1" bestFit="1" customWidth="1"/>
    <col min="3" max="3" width="11.44140625" style="1" bestFit="1" customWidth="1"/>
    <col min="4" max="4" width="13.88671875" style="1" bestFit="1" customWidth="1"/>
    <col min="5" max="5" width="33.6640625" style="1" bestFit="1" customWidth="1"/>
    <col min="6" max="6" width="13.88671875" style="1" customWidth="1"/>
    <col min="7" max="7" width="33.6640625" style="1" bestFit="1" customWidth="1"/>
    <col min="8" max="8" width="8" style="1" bestFit="1" customWidth="1"/>
    <col min="9" max="9" width="8.33203125" style="1" bestFit="1" customWidth="1"/>
    <col min="10" max="10" width="12" style="1" bestFit="1" customWidth="1"/>
    <col min="11" max="11" width="16.109375" style="1" bestFit="1" customWidth="1"/>
    <col min="12" max="12" width="10" style="1" bestFit="1" customWidth="1"/>
    <col min="13" max="13" width="59.33203125" style="1" customWidth="1"/>
  </cols>
  <sheetData>
    <row r="2" spans="2:13" x14ac:dyDescent="0.3">
      <c r="B2" s="14" t="s">
        <v>25</v>
      </c>
      <c r="C2" s="15"/>
      <c r="D2" s="16"/>
      <c r="E2" s="16"/>
      <c r="F2" s="16"/>
      <c r="G2" s="16"/>
    </row>
    <row r="4" spans="2:13" x14ac:dyDescent="0.3">
      <c r="B4" s="5" t="s">
        <v>88</v>
      </c>
    </row>
    <row r="5" spans="2:13" ht="7.2" customHeight="1" x14ac:dyDescent="0.3"/>
    <row r="6" spans="2:13" x14ac:dyDescent="0.3">
      <c r="B6" s="2" t="s">
        <v>5</v>
      </c>
      <c r="C6" s="2" t="s">
        <v>6</v>
      </c>
      <c r="D6" s="2" t="s">
        <v>0</v>
      </c>
      <c r="E6" s="2" t="s">
        <v>7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12" t="s">
        <v>24</v>
      </c>
    </row>
    <row r="7" spans="2:13" ht="28.8" x14ac:dyDescent="0.3">
      <c r="B7" s="17" t="s">
        <v>8</v>
      </c>
      <c r="C7" s="17" t="s">
        <v>9</v>
      </c>
      <c r="D7" s="17" t="s">
        <v>3</v>
      </c>
      <c r="E7" s="17" t="s">
        <v>26</v>
      </c>
      <c r="F7" s="17" t="s">
        <v>27</v>
      </c>
      <c r="G7" s="17" t="s">
        <v>26</v>
      </c>
      <c r="H7" s="17" t="s">
        <v>28</v>
      </c>
      <c r="I7" s="17" t="s">
        <v>29</v>
      </c>
      <c r="J7" s="17" t="s">
        <v>30</v>
      </c>
      <c r="K7" s="17" t="s">
        <v>31</v>
      </c>
      <c r="L7" s="17" t="s">
        <v>32</v>
      </c>
      <c r="M7" s="18" t="s">
        <v>82</v>
      </c>
    </row>
    <row r="8" spans="2:13" ht="28.8" x14ac:dyDescent="0.3">
      <c r="B8" s="17" t="s">
        <v>8</v>
      </c>
      <c r="C8" s="17" t="s">
        <v>9</v>
      </c>
      <c r="D8" s="17" t="s">
        <v>3</v>
      </c>
      <c r="E8" s="17" t="s">
        <v>33</v>
      </c>
      <c r="F8" s="17" t="s">
        <v>27</v>
      </c>
      <c r="G8" s="17" t="s">
        <v>33</v>
      </c>
      <c r="H8" s="17" t="s">
        <v>28</v>
      </c>
      <c r="I8" s="17" t="s">
        <v>34</v>
      </c>
      <c r="J8" s="17" t="s">
        <v>35</v>
      </c>
      <c r="K8" s="17" t="s">
        <v>31</v>
      </c>
      <c r="L8" s="17" t="s">
        <v>32</v>
      </c>
      <c r="M8" s="13" t="s">
        <v>83</v>
      </c>
    </row>
    <row r="9" spans="2:13" x14ac:dyDescent="0.3">
      <c r="B9" s="17" t="s">
        <v>8</v>
      </c>
      <c r="C9" s="17" t="s">
        <v>9</v>
      </c>
      <c r="D9" s="17" t="s">
        <v>3</v>
      </c>
      <c r="E9" s="17" t="s">
        <v>36</v>
      </c>
      <c r="F9" s="17" t="s">
        <v>27</v>
      </c>
      <c r="G9" s="17" t="s">
        <v>36</v>
      </c>
      <c r="H9" s="17" t="s">
        <v>28</v>
      </c>
      <c r="I9" s="17" t="s">
        <v>29</v>
      </c>
      <c r="J9" s="17" t="s">
        <v>37</v>
      </c>
      <c r="K9" s="17" t="s">
        <v>31</v>
      </c>
      <c r="L9" s="17" t="s">
        <v>32</v>
      </c>
      <c r="M9" s="9" t="s">
        <v>84</v>
      </c>
    </row>
    <row r="10" spans="2:13" x14ac:dyDescent="0.3">
      <c r="B10" s="17" t="s">
        <v>8</v>
      </c>
      <c r="C10" s="17" t="s">
        <v>9</v>
      </c>
      <c r="D10" s="17" t="s">
        <v>3</v>
      </c>
      <c r="E10" s="17" t="s">
        <v>38</v>
      </c>
      <c r="F10" s="17" t="s">
        <v>27</v>
      </c>
      <c r="G10" s="17" t="s">
        <v>38</v>
      </c>
      <c r="H10" s="17" t="s">
        <v>28</v>
      </c>
      <c r="I10" s="17" t="s">
        <v>29</v>
      </c>
      <c r="J10" s="17" t="s">
        <v>39</v>
      </c>
      <c r="K10" s="17" t="s">
        <v>31</v>
      </c>
      <c r="L10" s="17" t="s">
        <v>32</v>
      </c>
      <c r="M10" s="9" t="s">
        <v>84</v>
      </c>
    </row>
    <row r="11" spans="2:13" ht="28.8" x14ac:dyDescent="0.3">
      <c r="B11" s="17" t="s">
        <v>8</v>
      </c>
      <c r="C11" s="17" t="s">
        <v>9</v>
      </c>
      <c r="D11" s="17" t="s">
        <v>3</v>
      </c>
      <c r="E11" s="17" t="s">
        <v>40</v>
      </c>
      <c r="F11" s="17" t="s">
        <v>27</v>
      </c>
      <c r="G11" s="17" t="s">
        <v>40</v>
      </c>
      <c r="H11" s="17" t="s">
        <v>28</v>
      </c>
      <c r="I11" s="17" t="s">
        <v>34</v>
      </c>
      <c r="J11" s="17" t="s">
        <v>41</v>
      </c>
      <c r="K11" s="17" t="s">
        <v>31</v>
      </c>
      <c r="L11" s="17" t="s">
        <v>32</v>
      </c>
      <c r="M11" s="18" t="s">
        <v>82</v>
      </c>
    </row>
    <row r="12" spans="2:13" x14ac:dyDescent="0.3">
      <c r="B12" s="17" t="s">
        <v>8</v>
      </c>
      <c r="C12" s="17" t="s">
        <v>9</v>
      </c>
      <c r="D12" s="17" t="s">
        <v>3</v>
      </c>
      <c r="E12" s="17" t="s">
        <v>42</v>
      </c>
      <c r="F12" s="17" t="s">
        <v>27</v>
      </c>
      <c r="G12" s="17" t="s">
        <v>42</v>
      </c>
      <c r="H12" s="17" t="s">
        <v>28</v>
      </c>
      <c r="I12" s="17" t="s">
        <v>29</v>
      </c>
      <c r="J12" s="17" t="s">
        <v>43</v>
      </c>
      <c r="K12" s="17" t="s">
        <v>31</v>
      </c>
      <c r="L12" s="17" t="s">
        <v>32</v>
      </c>
      <c r="M12" s="9" t="s">
        <v>81</v>
      </c>
    </row>
    <row r="13" spans="2:13" x14ac:dyDescent="0.3">
      <c r="B13" s="17" t="s">
        <v>8</v>
      </c>
      <c r="C13" s="17" t="s">
        <v>9</v>
      </c>
      <c r="D13" s="17" t="s">
        <v>3</v>
      </c>
      <c r="E13" s="17" t="s">
        <v>44</v>
      </c>
      <c r="F13" s="17" t="s">
        <v>27</v>
      </c>
      <c r="G13" s="17" t="s">
        <v>44</v>
      </c>
      <c r="H13" s="17" t="s">
        <v>28</v>
      </c>
      <c r="I13" s="17" t="s">
        <v>34</v>
      </c>
      <c r="J13" s="17" t="s">
        <v>45</v>
      </c>
      <c r="K13" s="17" t="s">
        <v>31</v>
      </c>
      <c r="L13" s="17" t="s">
        <v>32</v>
      </c>
      <c r="M13" s="17" t="s">
        <v>80</v>
      </c>
    </row>
    <row r="14" spans="2:13" x14ac:dyDescent="0.3">
      <c r="B14" s="17" t="s">
        <v>8</v>
      </c>
      <c r="C14" s="17" t="s">
        <v>9</v>
      </c>
      <c r="D14" s="17" t="s">
        <v>3</v>
      </c>
      <c r="E14" s="17" t="s">
        <v>46</v>
      </c>
      <c r="F14" s="17" t="s">
        <v>27</v>
      </c>
      <c r="G14" s="17" t="s">
        <v>46</v>
      </c>
      <c r="H14" s="17" t="s">
        <v>28</v>
      </c>
      <c r="I14" s="17" t="s">
        <v>47</v>
      </c>
      <c r="J14" s="17" t="s">
        <v>48</v>
      </c>
      <c r="K14" s="17" t="s">
        <v>49</v>
      </c>
      <c r="L14" s="17" t="s">
        <v>50</v>
      </c>
      <c r="M14" s="9" t="s">
        <v>84</v>
      </c>
    </row>
    <row r="15" spans="2:13" x14ac:dyDescent="0.3">
      <c r="B15" s="17" t="s">
        <v>8</v>
      </c>
      <c r="C15" s="17" t="s">
        <v>9</v>
      </c>
      <c r="D15" s="17" t="s">
        <v>3</v>
      </c>
      <c r="E15" s="17" t="s">
        <v>51</v>
      </c>
      <c r="F15" s="17" t="s">
        <v>27</v>
      </c>
      <c r="G15" s="17" t="s">
        <v>51</v>
      </c>
      <c r="H15" s="17" t="s">
        <v>28</v>
      </c>
      <c r="I15" s="17" t="s">
        <v>29</v>
      </c>
      <c r="J15" s="17" t="s">
        <v>52</v>
      </c>
      <c r="K15" s="17" t="s">
        <v>31</v>
      </c>
      <c r="L15" s="17" t="s">
        <v>32</v>
      </c>
      <c r="M15" s="17" t="s">
        <v>80</v>
      </c>
    </row>
    <row r="16" spans="2:13" x14ac:dyDescent="0.3">
      <c r="B16" s="17" t="s">
        <v>8</v>
      </c>
      <c r="C16" s="17" t="s">
        <v>9</v>
      </c>
      <c r="D16" s="17" t="s">
        <v>3</v>
      </c>
      <c r="E16" s="17" t="s">
        <v>53</v>
      </c>
      <c r="F16" s="17" t="s">
        <v>27</v>
      </c>
      <c r="G16" s="17" t="s">
        <v>53</v>
      </c>
      <c r="H16" s="17" t="s">
        <v>28</v>
      </c>
      <c r="I16" s="17" t="s">
        <v>54</v>
      </c>
      <c r="J16" s="17" t="s">
        <v>55</v>
      </c>
      <c r="K16" s="17" t="s">
        <v>56</v>
      </c>
      <c r="L16" s="17" t="s">
        <v>57</v>
      </c>
      <c r="M16" s="9" t="s">
        <v>81</v>
      </c>
    </row>
    <row r="17" spans="2:13" x14ac:dyDescent="0.3">
      <c r="B17" s="17" t="s">
        <v>8</v>
      </c>
      <c r="C17" s="17" t="s">
        <v>9</v>
      </c>
      <c r="D17" s="17" t="s">
        <v>3</v>
      </c>
      <c r="E17" s="17" t="s">
        <v>58</v>
      </c>
      <c r="F17" s="17" t="s">
        <v>27</v>
      </c>
      <c r="G17" s="17" t="s">
        <v>58</v>
      </c>
      <c r="H17" s="17" t="s">
        <v>28</v>
      </c>
      <c r="I17" s="17" t="s">
        <v>54</v>
      </c>
      <c r="J17" s="17" t="s">
        <v>59</v>
      </c>
      <c r="K17" s="17" t="s">
        <v>60</v>
      </c>
      <c r="L17" s="17" t="s">
        <v>57</v>
      </c>
      <c r="M17" s="17" t="s">
        <v>80</v>
      </c>
    </row>
    <row r="18" spans="2:13" x14ac:dyDescent="0.3">
      <c r="B18" s="17" t="s">
        <v>8</v>
      </c>
      <c r="C18" s="17" t="s">
        <v>9</v>
      </c>
      <c r="D18" s="17" t="s">
        <v>3</v>
      </c>
      <c r="E18" s="17" t="s">
        <v>61</v>
      </c>
      <c r="F18" s="17" t="s">
        <v>27</v>
      </c>
      <c r="G18" s="17" t="s">
        <v>61</v>
      </c>
      <c r="H18" s="17" t="s">
        <v>28</v>
      </c>
      <c r="I18" s="17" t="s">
        <v>34</v>
      </c>
      <c r="J18" s="17" t="s">
        <v>62</v>
      </c>
      <c r="K18" s="17" t="s">
        <v>31</v>
      </c>
      <c r="L18" s="17" t="s">
        <v>32</v>
      </c>
      <c r="M18" s="17" t="s">
        <v>80</v>
      </c>
    </row>
    <row r="19" spans="2:13" x14ac:dyDescent="0.3">
      <c r="B19" s="17" t="s">
        <v>8</v>
      </c>
      <c r="C19" s="17" t="s">
        <v>9</v>
      </c>
      <c r="D19" s="17" t="s">
        <v>3</v>
      </c>
      <c r="E19" s="17" t="s">
        <v>63</v>
      </c>
      <c r="F19" s="17" t="s">
        <v>27</v>
      </c>
      <c r="G19" s="17" t="s">
        <v>63</v>
      </c>
      <c r="H19" s="17" t="s">
        <v>28</v>
      </c>
      <c r="I19" s="17" t="s">
        <v>29</v>
      </c>
      <c r="J19" s="17" t="s">
        <v>64</v>
      </c>
      <c r="K19" s="17" t="s">
        <v>31</v>
      </c>
      <c r="L19" s="17" t="s">
        <v>32</v>
      </c>
      <c r="M19" s="9" t="s">
        <v>81</v>
      </c>
    </row>
    <row r="20" spans="2:13" x14ac:dyDescent="0.3">
      <c r="B20" s="17" t="s">
        <v>8</v>
      </c>
      <c r="C20" s="17" t="s">
        <v>9</v>
      </c>
      <c r="D20" s="17" t="s">
        <v>3</v>
      </c>
      <c r="E20" s="17" t="s">
        <v>65</v>
      </c>
      <c r="F20" s="17" t="s">
        <v>27</v>
      </c>
      <c r="G20" s="17" t="s">
        <v>65</v>
      </c>
      <c r="H20" s="17" t="s">
        <v>28</v>
      </c>
      <c r="I20" s="17" t="s">
        <v>29</v>
      </c>
      <c r="J20" s="17" t="s">
        <v>66</v>
      </c>
      <c r="K20" s="17" t="s">
        <v>31</v>
      </c>
      <c r="L20" s="17" t="s">
        <v>32</v>
      </c>
      <c r="M20" s="17" t="s">
        <v>80</v>
      </c>
    </row>
    <row r="21" spans="2:13" x14ac:dyDescent="0.3">
      <c r="B21" s="17" t="s">
        <v>8</v>
      </c>
      <c r="C21" s="17" t="s">
        <v>9</v>
      </c>
      <c r="D21" s="17" t="s">
        <v>3</v>
      </c>
      <c r="E21" s="17" t="s">
        <v>67</v>
      </c>
      <c r="F21" s="17" t="s">
        <v>27</v>
      </c>
      <c r="G21" s="17" t="s">
        <v>67</v>
      </c>
      <c r="H21" s="17" t="s">
        <v>28</v>
      </c>
      <c r="I21" s="17" t="s">
        <v>54</v>
      </c>
      <c r="J21" s="17" t="s">
        <v>68</v>
      </c>
      <c r="K21" s="17" t="s">
        <v>69</v>
      </c>
      <c r="L21" s="17" t="s">
        <v>57</v>
      </c>
      <c r="M21" s="9" t="s">
        <v>84</v>
      </c>
    </row>
    <row r="22" spans="2:13" x14ac:dyDescent="0.3">
      <c r="B22" s="17" t="s">
        <v>8</v>
      </c>
      <c r="C22" s="17" t="s">
        <v>9</v>
      </c>
      <c r="D22" s="17" t="s">
        <v>3</v>
      </c>
      <c r="E22" s="17" t="s">
        <v>70</v>
      </c>
      <c r="F22" s="17" t="s">
        <v>27</v>
      </c>
      <c r="G22" s="17" t="s">
        <v>70</v>
      </c>
      <c r="H22" s="17" t="s">
        <v>28</v>
      </c>
      <c r="I22" s="17" t="s">
        <v>29</v>
      </c>
      <c r="J22" s="17" t="s">
        <v>71</v>
      </c>
      <c r="K22" s="17" t="s">
        <v>31</v>
      </c>
      <c r="L22" s="17" t="s">
        <v>32</v>
      </c>
      <c r="M22" s="17" t="s">
        <v>80</v>
      </c>
    </row>
    <row r="23" spans="2:13" x14ac:dyDescent="0.3">
      <c r="B23" s="17" t="s">
        <v>8</v>
      </c>
      <c r="C23" s="17" t="s">
        <v>9</v>
      </c>
      <c r="D23" s="17" t="s">
        <v>3</v>
      </c>
      <c r="E23" s="17" t="s">
        <v>72</v>
      </c>
      <c r="F23" s="17" t="s">
        <v>27</v>
      </c>
      <c r="G23" s="17" t="s">
        <v>72</v>
      </c>
      <c r="H23" s="17" t="s">
        <v>28</v>
      </c>
      <c r="I23" s="17" t="s">
        <v>34</v>
      </c>
      <c r="J23" s="17" t="s">
        <v>73</v>
      </c>
      <c r="K23" s="17" t="s">
        <v>31</v>
      </c>
      <c r="L23" s="17" t="s">
        <v>32</v>
      </c>
      <c r="M23" s="17" t="s">
        <v>80</v>
      </c>
    </row>
    <row r="24" spans="2:13" x14ac:dyDescent="0.3">
      <c r="B24" s="17" t="s">
        <v>8</v>
      </c>
      <c r="C24" s="17" t="s">
        <v>9</v>
      </c>
      <c r="D24" s="17" t="s">
        <v>3</v>
      </c>
      <c r="E24" s="17" t="s">
        <v>74</v>
      </c>
      <c r="F24" s="17" t="s">
        <v>27</v>
      </c>
      <c r="G24" s="17" t="s">
        <v>74</v>
      </c>
      <c r="H24" s="17" t="s">
        <v>28</v>
      </c>
      <c r="I24" s="17" t="s">
        <v>47</v>
      </c>
      <c r="J24" s="17" t="s">
        <v>48</v>
      </c>
      <c r="K24" s="17" t="s">
        <v>75</v>
      </c>
      <c r="L24" s="17" t="s">
        <v>76</v>
      </c>
      <c r="M24" s="9" t="s">
        <v>84</v>
      </c>
    </row>
    <row r="25" spans="2:13" x14ac:dyDescent="0.3">
      <c r="B25" s="17" t="s">
        <v>8</v>
      </c>
      <c r="C25" s="17" t="s">
        <v>9</v>
      </c>
      <c r="D25" s="17" t="s">
        <v>3</v>
      </c>
      <c r="E25" s="17" t="s">
        <v>77</v>
      </c>
      <c r="F25" s="17" t="s">
        <v>27</v>
      </c>
      <c r="G25" s="17" t="s">
        <v>77</v>
      </c>
      <c r="H25" s="17" t="s">
        <v>28</v>
      </c>
      <c r="I25" s="17" t="s">
        <v>78</v>
      </c>
      <c r="J25" s="17" t="s">
        <v>79</v>
      </c>
      <c r="K25" s="17" t="s">
        <v>31</v>
      </c>
      <c r="L25" s="17" t="s">
        <v>32</v>
      </c>
      <c r="M25" s="9" t="s">
        <v>84</v>
      </c>
    </row>
  </sheetData>
  <autoFilter ref="B6:M25" xr:uid="{299133A9-AA39-4CB7-8720-79903847DF8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04D8F4-68F9-4DE8-819A-364017A124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06A8BEC-7B04-4AD3-97AE-94C1F973A273}"/>
</file>

<file path=customXml/itemProps3.xml><?xml version="1.0" encoding="utf-8"?>
<ds:datastoreItem xmlns:ds="http://schemas.openxmlformats.org/officeDocument/2006/customXml" ds:itemID="{4CE5A440-6712-4342-BFF0-DD2F50ADA5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Exclusivo IT</vt:lpstr>
      <vt:lpstr>Sheet1</vt:lpstr>
      <vt:lpstr>Exclusivo IT - Detalhe</vt:lpstr>
      <vt:lpstr>Exclusivo SIM (comum PM)</vt:lpstr>
      <vt:lpstr>Exclusivo SIM (cancelados)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2025-07-14T18:15:14Z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2025-05-21T11:30:20Z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60180d48-2948-4534-9c39-5bb8ef8a1965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