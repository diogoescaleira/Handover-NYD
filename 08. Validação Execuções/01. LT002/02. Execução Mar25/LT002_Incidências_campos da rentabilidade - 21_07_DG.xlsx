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26" documentId="8_{58544404-F95F-456C-80BC-3C993EFCB1C0}" xr6:coauthVersionLast="47" xr6:coauthVersionMax="47" xr10:uidLastSave="{93456485-7AAC-427C-B616-346B8AB65E4A}"/>
  <bookViews>
    <workbookView xWindow="30" yWindow="-16320" windowWidth="29040" windowHeight="15720" tabRatio="945" activeTab="8" xr2:uid="{00000000-000D-0000-FFFF-FFFF00000000}"/>
  </bookViews>
  <sheets>
    <sheet name="All Fields" sheetId="16" r:id="rId1"/>
    <sheet name="avrg_blnc" sheetId="7" r:id="rId2"/>
    <sheet name="avrg_blnc_off_blnc" sheetId="12" r:id="rId3"/>
    <sheet name="grss_intrst_incm" sheetId="13" r:id="rId4"/>
    <sheet name="grss_cmmssn_incm" sheetId="15" r:id="rId5"/>
    <sheet name="grss_cmmssn_expns" sheetId="25" r:id="rId6"/>
    <sheet name="nt_ln_lss_prvsn" sheetId="26" r:id="rId7"/>
    <sheet name="nt_ln_lss_prvsn_off_blnc" sheetId="27" r:id="rId8"/>
    <sheet name="grss_cmmssn_incm_off_blnc" sheetId="28" r:id="rId9"/>
  </sheets>
  <definedNames>
    <definedName name="_xlnm._FilterDatabase" localSheetId="0" hidden="1">'All Fields'!#REF!</definedName>
    <definedName name="_xlnm._FilterDatabase" localSheetId="1" hidden="1">avrg_blnc!$B$18:$E$18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12" l="1"/>
  <c r="D88" i="12" s="1"/>
  <c r="C55" i="12"/>
  <c r="D55" i="12" s="1"/>
</calcChain>
</file>

<file path=xl/sharedStrings.xml><?xml version="1.0" encoding="utf-8"?>
<sst xmlns="http://schemas.openxmlformats.org/spreadsheetml/2006/main" count="921" uniqueCount="194">
  <si>
    <t>Query</t>
  </si>
  <si>
    <t>instrmnt_id_sim</t>
  </si>
  <si>
    <t>nok</t>
  </si>
  <si>
    <t>0.00</t>
  </si>
  <si>
    <t/>
  </si>
  <si>
    <t>val_instrmnt</t>
  </si>
  <si>
    <t>count(*)</t>
  </si>
  <si>
    <t>ok</t>
  </si>
  <si>
    <t>exclusivo CDG</t>
  </si>
  <si>
    <t>exclusivo IT</t>
  </si>
  <si>
    <t>ver</t>
  </si>
  <si>
    <t>val_grss_cmmssn_incm</t>
  </si>
  <si>
    <t>val_grss_cmmssn_expns</t>
  </si>
  <si>
    <t>val_grss_cmmssn_incm_off_blnc</t>
  </si>
  <si>
    <t>grss_cmmssn_incm_it</t>
  </si>
  <si>
    <t>82000000000232975000420000731454</t>
  </si>
  <si>
    <t>26.64</t>
  </si>
  <si>
    <t>Diferenças no campo GRSS_CMMSSN_INCM da lt002_instrument</t>
  </si>
  <si>
    <t>A coluna "GRSS_CMMSSN_INCM_it" indica o valor na execução da equipa de IT enquanto que a coluna "GRSS_CMMSSN_INCM_sim" indica o valor obtido na simulação da equipa de testes.</t>
  </si>
  <si>
    <t>grss_cmmssn_expns_it</t>
  </si>
  <si>
    <t>grss_cmmssn_incm_off_blnc_it</t>
  </si>
  <si>
    <t>val_avrg_blnc</t>
  </si>
  <si>
    <t>val_avrg_blnc_off_blnc</t>
  </si>
  <si>
    <t>val_grss_intrst_incm</t>
  </si>
  <si>
    <t>val_nt_ln_lss_prvsn</t>
  </si>
  <si>
    <t>val_nt_ln_lss_prvsn_off_blnc</t>
  </si>
  <si>
    <t>Diferenças no campo avrg_blnc da lt002_instrument</t>
  </si>
  <si>
    <t>A coluna "avrg_blnc_it" indica o valor na execução da equipa de IT enquanto que a coluna "avrg_blnc_sim" indica o valor obtido na simulação da equipa de testes.</t>
  </si>
  <si>
    <t>avrg_blnc_sim</t>
  </si>
  <si>
    <t>avrg_blnc_it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</si>
  <si>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BU_CAPTOOLS_WORK.UNIV_LT_GD_PARTE3_AUX13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distinct 
    instrmnt_id_sim,
    val_avrg_blnc,
    avrg_blnc_sim, 
    avrg_blnc_it
    -- count(*)
from dg 
where val_avrg_blnc = 'nok'
limit 6
-- group by 1
;</t>
  </si>
  <si>
    <t>val_instrmnt_id</t>
  </si>
  <si>
    <t>avrg_blnc_off_blnc_sim</t>
  </si>
  <si>
    <t>avrg_blnc_off_blnc_it</t>
  </si>
  <si>
    <t>Diferenças no campo avrg_blnc_off_blnc da lt002_instrument</t>
  </si>
  <si>
    <t>A coluna "avrg_blnc_off_blnc_it" indica o valor na execução da equipa de IT enquanto que a coluna "avrg_blnc_off_blnc_sim" indica o valor obtido na simulação da equipa de testes.</t>
  </si>
  <si>
    <t>Diferenças no campo grss_intrst_incm da lt002_instrument</t>
  </si>
  <si>
    <t>A coluna "grss_intrst_incm_it" indica o valor na execução da equipa de IT enquanto que a coluna "grss_intrst_incm_sim" indica o valor obtido na simulação da equipa de testes.</t>
  </si>
  <si>
    <t>grss_intrst_incm_sim</t>
  </si>
  <si>
    <t>grss_intrst_incm_it</t>
  </si>
  <si>
    <t>99999999999</t>
  </si>
  <si>
    <t>grss_cmmssn_incm_sim</t>
  </si>
  <si>
    <t>31000355693758020000000000000000</t>
  </si>
  <si>
    <t>17.5</t>
  </si>
  <si>
    <t>31000318855618096000000000000000</t>
  </si>
  <si>
    <t>6.66</t>
  </si>
  <si>
    <t>31226300164218020000000000000000</t>
  </si>
  <si>
    <t>104.48</t>
  </si>
  <si>
    <t>31000300205218007100089442660000</t>
  </si>
  <si>
    <t>0.64</t>
  </si>
  <si>
    <t>31000300230638007100089487660000</t>
  </si>
  <si>
    <t>27.71</t>
  </si>
  <si>
    <t>Diferenças no campo grss_cmmssn_expns da lt002_instrument</t>
  </si>
  <si>
    <t>A coluna "grss_cmmssn_expns_it" indica o valor na execução da equipa de IT enquanto que a coluna "grss_cmmssn_expns_sim" indica o valor obtido na simulação da equipa de testes.</t>
  </si>
  <si>
    <t>grss_cmmssn_expns_sim</t>
  </si>
  <si>
    <t>Diferenças no campo nt_ln_lss_prvsn da lt002_instrument</t>
  </si>
  <si>
    <t>A coluna "nt_ln_lss_prvsn_it" indica o valor na execução da equipa de IT enquanto que a coluna "nt_ln_lss_prvsn_sim" indica o valor obtido na simulação da equipa de testes.</t>
  </si>
  <si>
    <t>nt_ln_lss_prvsn_sim</t>
  </si>
  <si>
    <t>nt_ln_lss_prvsn_it</t>
  </si>
  <si>
    <t>31000314736887096000000000000000</t>
  </si>
  <si>
    <t>18.55</t>
  </si>
  <si>
    <t>31000320441746096000000000000000</t>
  </si>
  <si>
    <t>-4.01</t>
  </si>
  <si>
    <t>-1.35</t>
  </si>
  <si>
    <t>31000313372106096000000000000000</t>
  </si>
  <si>
    <t>-2423.09</t>
  </si>
  <si>
    <t>-1901.47</t>
  </si>
  <si>
    <t>31005119691290011530345900000001</t>
  </si>
  <si>
    <t>-1.38</t>
  </si>
  <si>
    <t>-0.74</t>
  </si>
  <si>
    <t>82000000005118520000510000573298</t>
  </si>
  <si>
    <t>12.8</t>
  </si>
  <si>
    <t>-0.15</t>
  </si>
  <si>
    <t>31000357625493020000000000000000</t>
  </si>
  <si>
    <t>8.5</t>
  </si>
  <si>
    <t>-0.02</t>
  </si>
  <si>
    <t>A coluna "nt_ln_lss_prvsn_off_blnc_it" indica o valor na execução da equipa de IT enquanto que a coluna "nt_ln_lss_prvsn_off_blnc_sim" indica o valor obtido na simulação da equipa de testes.</t>
  </si>
  <si>
    <t>Diferenças no campo nt_ln_lss_prvsn_off_blnc da lt002_instrument</t>
  </si>
  <si>
    <t>nt_ln_lss_prvsn_off_blnc_sim</t>
  </si>
  <si>
    <t>nt_ln_lss_prvsn_off_blnc_it</t>
  </si>
  <si>
    <t>grss_cmmssn_incm_off_blnc_sim</t>
  </si>
  <si>
    <t>31000053303232020000000000000000</t>
  </si>
  <si>
    <t>-1775.37</t>
  </si>
  <si>
    <t>-991.82</t>
  </si>
  <si>
    <t>instrmnt_id</t>
  </si>
  <si>
    <t>82000020200000181001520200192709</t>
  </si>
  <si>
    <t>COMUM PM</t>
  </si>
  <si>
    <t>BA2</t>
  </si>
  <si>
    <t>82000020210000269001520240434775</t>
  </si>
  <si>
    <t>31000801144953096000000000000000</t>
  </si>
  <si>
    <t>31000301777159096000000000000000</t>
  </si>
  <si>
    <t>31000038029777001000000000000000</t>
  </si>
  <si>
    <t>31003133165820011614174200000001</t>
  </si>
  <si>
    <t>31000352940897020000000000000000</t>
  </si>
  <si>
    <t>31000352576121020000000000000000</t>
  </si>
  <si>
    <t>31000353164166020000000000000000</t>
  </si>
  <si>
    <t>31000349959828020000000000000000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</si>
  <si>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abs(AVRG_BLNC_sim - AVRG_BLNC_it) &lt;= 0.5 then 'ok' 
        when abs(AVRG_BLNC_sim - AVRG_BLNC_it)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 - AVRG_BLNC_OFF_BLNC_it) &lt;= 0.5 then 'ok'
        when abs(AVRG_BLNC_OFF_BLNC_sim - 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 - GRSS_INTRST_INCM_it) &lt;= 0.5 then 'ok'
        when abs(GRSS_INTRST_INCM_sim - 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 - GRSS_CMMSSN_INCM_it) &lt;= 0.5 then 'ok'
        when abs(GRSS_CMMSSN_INCM_sim - 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 - GRSS_CMMSSN_EXPNS_it) &lt;= 0.5 then 'ok'
        when abs(GRSS_CMMSSN_EXPNS_sim - 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 - NT_LN_LSS_PRVSN_it) &lt;= 0.5 then 'ok'
        when abs(NT_LN_LSS_PRVSN_sim - 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 - NT_LN_LSS_PRVSN_OFF_BLNC_it) &lt;= 0.5 then 'ok'
        when abs(NT_LN_LSS_PRVSN_OFF_BLNC_sim - 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 - GRSS_CMMSSN_INCM_OFF_BLNC_it) &lt;= 0.5 then 'ok'
        when abs(GRSS_CMMSSN_INCM_OFF_BLNC_sim - 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BU_CAPTOOLS_WORK.UNIV_LT_GD_PARTE3_AUX13_v2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distinct 
    -- val_instrmnt_id,
    instrmnt_id_sim,
    val_avrg_blnc_off_blnc,
    avrg_blnc_off_blnc_sim, 
    avrg_blnc_off_blnc_it
    -- count(*)
from dg 
where val_avrg_blnc_off_blnc = 'nok'
limit 6
-- group by 1,2
-- order by 3 desc
;</t>
  </si>
  <si>
    <t>1</t>
  </si>
  <si>
    <t>ID 1</t>
  </si>
  <si>
    <t>univ</t>
  </si>
  <si>
    <t>ref_date</t>
  </si>
  <si>
    <t>ambito</t>
  </si>
  <si>
    <t>segmento</t>
  </si>
  <si>
    <t>cempcta</t>
  </si>
  <si>
    <t>ckbalcao</t>
  </si>
  <si>
    <t>cknumcta</t>
  </si>
  <si>
    <t>zdeposit_mis</t>
  </si>
  <si>
    <t>ckarea</t>
  </si>
  <si>
    <t>bsnss_area</t>
  </si>
  <si>
    <t>cnclld_instrmnt_stts</t>
  </si>
  <si>
    <t>last_ref_date</t>
  </si>
  <si>
    <t>msaldo_final</t>
  </si>
  <si>
    <t>msaldo_mis</t>
  </si>
  <si>
    <t>count_chave</t>
  </si>
  <si>
    <t>ponderador</t>
  </si>
  <si>
    <t>GD</t>
  </si>
  <si>
    <t>ESTR</t>
  </si>
  <si>
    <t>AN01010500</t>
  </si>
  <si>
    <t>N</t>
  </si>
  <si>
    <t>0.000000</t>
  </si>
  <si>
    <t>2025-03-31</t>
  </si>
  <si>
    <t>31</t>
  </si>
  <si>
    <t>0000</t>
  </si>
  <si>
    <t>38029777001</t>
  </si>
  <si>
    <t>000000000000000</t>
  </si>
  <si>
    <t>select 
    univ, ref_date,	ambito,	segmento, instrmnt_id, cempcta,	ckbalcao, cknumcta,	zdeposit_mis, ckarea, bsnss_area, cnclld_instrmnt_stts,	
    last_ref_date,	msaldo_final, msaldo_mis, count_chave, ponderador
from BU_CAPTOOLS_WORK.UNIV_LT_GD_PARTE3_AUX12_V2
where instrmnt_id = '31000038029777001000000000000000'</t>
  </si>
  <si>
    <t>c134_extrap_lc</t>
  </si>
  <si>
    <t>c224_extrap_lc</t>
  </si>
  <si>
    <t>c295_extrap_lc</t>
  </si>
  <si>
    <t xml:space="preserve">
    SELECT
        CEMPCTA,
        CKBALCAO,
        CKNUMCTA,
        ZDEPOSIT,
        SUM(C134_PATRM) AS C134_PATRM,
        SUM(C134_EXTRAP_CA) AS C134_EXTRAP_CA,
        SUM(C134_EXTRAP_LC) AS C134_EXTRAP_LC,
        SUM(C224_PATRM) AS C224_PATRM,
        SUM(C224_EXTRAP_CA) AS C224_EXTRAP_CA,
        SUM(C224_EXTRAP_LC) AS C224_EXTRAP_LC,
        SUM(C295_PATRM) AS C295_PATRM,
        SUM(C295_EXTRAP_CA) AS C295_EXTRAP_CA,
        SUM(C295_EXTRAP_LC) AS C295_EXTRAP_LC,
        SUM(C298_PATRM) AS C298_PATRM,
        SUM(C298_EXTRAP) AS C298_EXTRAP,
        SUM(C299_PATRM) AS C299_PATRM,
        SUM(C299_EXTRAP) AS C299_EXTRAP,
        SUM(C300_PATRM) AS C300_PATRM,
        SUM(C300_EXTRAP) AS C300_EXTRAP,
        SUM(AC310_PATRM) AS AC310_PATRM,
        SUM(AC310_EXTRAP) AS AC310_EXTRAP,
        SUM(C457_PATRM) AS C457_PATRM,
        SUM(C457_EXTRAP) AS C457_EXTRAP,
        SUM(C458_PATRM) AS C458_PATRM,
        SUM(C458_EXTRAP) AS C458_EXTRAP,
        SUM(C459_PATRM) AS C459_PATRM,
        SUM(C459_EXTRAP) AS C459_EXTRAP,
        SUM(C460_PATRM) AS C460_PATRM,
        SUM(C460_EXTRAP) AS C460_EXTRAP
    FROM BU_CAPTOOLS_WORK.UNIV_RENTAB_MAR25
    WHERE CKMETAMIS NOT IN ('SO0711','SO0721','SO0722', 'SO0712', 'SO0701')
    GROUP BY 1,2,3,4
    HAVING CONCAT(CEMPCTA, CKBALCAO,CKNUMCTA,ZDEPOSIT) = '31000038029777001000000000000000'	
    -- HAVING ZDEPOSIT = '962304880464870'
    </t>
  </si>
  <si>
    <t>Março</t>
  </si>
  <si>
    <t>Fevereiro</t>
  </si>
  <si>
    <t xml:space="preserve">
    SELECT
        CEMPCTA,
        CKBALCAO,
        CKNUMCTA,
        ZDEPOSIT,
        SUM(C134_PATRM) AS C134_PATRM,
        SUM(C134_EXTRAP_CA) AS C134_EXTRAP_CA,
        SUM(C134_EXTRAP_LC) AS C134_EXTRAP_LC,
        SUM(C224_PATRM) AS C224_PATRM,
        SUM(C224_EXTRAP_CA) AS C224_EXTRAP_CA,
        SUM(C224_EXTRAP_LC) AS C224_EXTRAP_LC,
        SUM(C295_PATRM) AS C295_PATRM,
        SUM(C295_EXTRAP_CA) AS C295_EXTRAP_CA,
        SUM(C295_EXTRAP_LC) AS C295_EXTRAP_LC,
        SUM(C298_PATRM) AS C298_PATRM,
        SUM(C298_EXTRAP) AS C298_EXTRAP,
        SUM(C299_PATRM) AS C299_PATRM,
        SUM(C299_EXTRAP) AS C299_EXTRAP,
        SUM(C300_PATRM) AS C300_PATRM,
        SUM(C300_EXTRAP) AS C300_EXTRAP,
        SUM(AC310_PATRM) AS AC310_PATRM,
        SUM(AC310_EXTRAP) AS AC310_EXTRAP,
        SUM(C457_PATRM) AS C457_PATRM,
        SUM(C457_EXTRAP) AS C457_EXTRAP,
        SUM(C458_PATRM) AS C458_PATRM,
        SUM(C458_EXTRAP) AS C458_EXTRAP,
        SUM(C459_PATRM) AS C459_PATRM,
        SUM(C459_EXTRAP) AS C459_EXTRAP,
        SUM(C460_PATRM) AS C460_PATRM,
        SUM(C460_EXTRAP) AS C460_EXTRAP
    FROM BU_CAPTOOLS_WORK.UNIV_RENTAB_FEV25
    WHERE CKMETAMIS NOT IN ('SO0711','SO0721','SO0722', 'SO0712', 'SO0701')
    GROUP BY 1,2,3,4
    HAVING CONCAT(CEMPCTA, CKBALCAO,CKNUMCTA,ZDEPOSIT) = '31000038029777001000000000000000'
    -- HAVING ZDEPOSIT = '962304880464870'
    </t>
  </si>
  <si>
    <t>Janeiro</t>
  </si>
  <si>
    <t xml:space="preserve">
    SELECT
        CEMPCTA,
        CKBALCAO,
        CKNUMCTA,
        ZDEPOSIT,
        SUM(C134_PATRM) AS C134_PATRM,
        SUM(C134_EXTRAP_CA) AS C134_EXTRAP_CA,
        SUM(C134_EXTRAP_LC) AS C134_EXTRAP_LC,
        SUM(C224_PATRM) AS C224_PATRM,
        SUM(C224_EXTRAP_CA) AS C224_EXTRAP_CA,
        SUM(C224_EXTRAP_LC) AS C224_EXTRAP_LC,
        SUM(C295_PATRM) AS C295_PATRM,
        SUM(C295_EXTRAP_CA) AS C295_EXTRAP_CA,
        SUM(C295_EXTRAP_LC) AS C295_EXTRAP_LC,
        SUM(C298_PATRM) AS C298_PATRM,
        SUM(C298_EXTRAP) AS C298_EXTRAP,
        SUM(C299_PATRM) AS C299_PATRM,
        SUM(C299_EXTRAP) AS C299_EXTRAP,
        SUM(C300_PATRM) AS C300_PATRM,
        SUM(C300_EXTRAP) AS C300_EXTRAP,
        SUM(AC310_PATRM) AS AC310_PATRM,
        SUM(AC310_EXTRAP) AS AC310_EXTRAP,
        SUM(C457_PATRM) AS C457_PATRM,
        SUM(C457_EXTRAP) AS C457_EXTRAP,
        SUM(C458_PATRM) AS C458_PATRM,
        SUM(C458_EXTRAP) AS C458_EXTRAP,
        SUM(C459_PATRM) AS C459_PATRM,
        SUM(C459_EXTRAP) AS C459_EXTRAP,
        SUM(C460_PATRM) AS C460_PATRM,
        SUM(C460_EXTRAP) AS C460_EXTRAP
    FROM BU_CAPTOOLS_WORK.UNIV_RENTAB_JAN25
    WHERE CKMETAMIS NOT IN ('SO0711','SO0721','SO0722', 'SO0712', 'SO0701')
    GROUP BY 1,2,3,4
    HAVING CONCAT(CEMPCTA, CKBALCAO,CKNUMCTA,ZDEPOSIT) = '31000038029777001000000000000000'
    -- HAVING ZDEPOSIT = '962304880464870'
    </t>
  </si>
  <si>
    <t>Dezembro</t>
  </si>
  <si>
    <t xml:space="preserve">
    SELECT
        CEMPCTA,
        CKBALCAO,
        CKNUMCTA,
        ZDEPOSIT,
        SUM(C134_PATRM) AS C134_PATRM,
        SUM(C134_EXTRAP_CA) AS C134_EXTRAP_CA,
        SUM(C134_EXTRAP_LC) AS C134_EXTRAP_LC,
        SUM(C224_PATRM) AS C224_PATRM,
        SUM(C224_EXTRAP_CA) AS C224_EXTRAP_CA,
        SUM(C224_EXTRAP_LC) AS C224_EXTRAP_LC,
        SUM(C295_PATRM) AS C295_PATRM,
        SUM(C295_EXTRAP_CA) AS C295_EXTRAP_CA,
        SUM(C295_EXTRAP_LC) AS C295_EXTRAP_LC,
        SUM(C298_PATRM) AS C298_PATRM,
        SUM(C298_EXTRAP) AS C298_EXTRAP,
        SUM(C299_PATRM) AS C299_PATRM,
        SUM(C299_EXTRAP) AS C299_EXTRAP,
        SUM(C300_PATRM) AS C300_PATRM,
        SUM(C300_EXTRAP) AS C300_EXTRAP,
        SUM(AC310_PATRM) AS AC310_PATRM,
        SUM(AC310_EXTRAP) AS AC310_EXTRAP,
        SUM(C457_PATRM) AS C457_PATRM,
        SUM(C457_EXTRAP) AS C457_EXTRAP,
        SUM(C458_PATRM) AS C458_PATRM,
        SUM(C458_EXTRAP) AS C458_EXTRAP,
        SUM(C459_PATRM) AS C459_PATRM,
        SUM(C459_EXTRAP) AS C459_EXTRAP,
        SUM(C460_PATRM) AS C460_PATRM,
        SUM(C460_EXTRAP) AS C460_EXTRAP
    FROM BU_CAPTOOLS_WORK.UNIV_RENTAB_DEZ24
    WHERE CKMETAMIS NOT IN ('SO0711','SO0721','SO0722', 'SO0712', 'SO0701')
    GROUP BY 1,2,3,4
    HAVING CONCAT(CEMPCTA, CKBALCAO,CKNUMCTA,ZDEPOSIT) = '31000038029777001000000000000000'	
    -- HAVING ZDEPOSIT = '962304880464870'
    </t>
  </si>
  <si>
    <t>Cálculo</t>
  </si>
  <si>
    <t>ID 3</t>
  </si>
  <si>
    <t>0003</t>
  </si>
  <si>
    <t>52940897020</t>
  </si>
  <si>
    <t>select 
    univ, ref_date,	ambito,	segmento, instrmnt_id, cempcta,	ckbalcao, cknumcta,	zdeposit_mis, ckarea, bsnss_area, cnclld_instrmnt_stts,	
    last_ref_date,	msaldo_final, msaldo_mis, count_chave, ponderador
from BU_CAPTOOLS_WORK.UNIV_LT_GD_PARTE3_AUX11
where instrmnt_id = '31000352940897020000000000000000'
;</t>
  </si>
  <si>
    <t>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 
        when instrmnt_id_sim is null and instrmnt_id_it is not null then 'exclusivo IT'
        when instrmnt_id_sim is not null and instrmnt_id_it is null then 'exclusivo CDG'
        when abs(AVRG_BLNC_sim - AVRG_BLNC_it) &lt;= 0.5 then 'ok' 
        when abs(AVRG_BLNC_sim - AVRG_BLNC_it)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 - AVRG_BLNC_OFF_BLNC_it) &lt;= 0.5 then 'ok'
        when abs(AVRG_BLNC_OFF_BLNC_sim - 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 - GRSS_INTRST_INCM_it) &lt;= 0.5 then 'ok'
        when abs(GRSS_INTRST_INCM_sim - 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 - GRSS_CMMSSN_INCM_it) &lt;= 0.5 then 'ok'
        when abs(GRSS_CMMSSN_INCM_sim - 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 - GRSS_CMMSSN_EXPNS_it) &lt;= 0.5 then 'ok'
        when abs(GRSS_CMMSSN_EXPNS_sim - 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 - NT_LN_LSS_PRVSN_it) &lt;= 0.5 then 'ok'
        when abs(NT_LN_LSS_PRVSN_sim - 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 - NT_LN_LSS_PRVSN_OFF_BLNC_it) &lt;= 0.5 then 'ok'
        when abs(NT_LN_LSS_PRVSN_OFF_BLNC_sim - 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 - GRSS_CMMSSN_INCM_OFF_BLNC_it) &lt;= 0.5 then 'ok'
        when abs(GRSS_CMMSSN_INCM_OFF_BLNC_sim - GRSS_CMMSSN_INCM_OFF_BLNC_it) &gt; 0.5 then 'nok'  
        else 'ver' 
    end as val_GRSS_CMMSSN_INCM_OFF_BLNC,
    count(*)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group by 1,2,3,4,5,6,7,8,9
order by 10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</si>
  <si>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abs(AVRG_BLNC_sim - AVRG_BLNC_it) &lt;= 0.5 then 'ok' 
        when abs(AVRG_BLNC_sim - AVRG_BLNC_it)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 - AVRG_BLNC_OFF_BLNC_it) &lt;= 0.5 then 'ok'
        when abs(AVRG_BLNC_OFF_BLNC_sim - 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 - GRSS_INTRST_INCM_it) &lt;= 0.5 then 'ok'
        when abs(GRSS_INTRST_INCM_sim - 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 - GRSS_CMMSSN_INCM_it) &lt;= 0.5 then 'ok'
        when abs(GRSS_CMMSSN_INCM_sim - 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 - GRSS_CMMSSN_EXPNS_it) &lt;= 0.5 then 'ok'
        when abs(GRSS_CMMSSN_EXPNS_sim - 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 - NT_LN_LSS_PRVSN_it) &lt;= 0.5 then 'ok'
        when abs(NT_LN_LSS_PRVSN_sim - 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 - NT_LN_LSS_PRVSN_OFF_BLNC_it) &lt;= 0.5 then 'ok'
        when abs(NT_LN_LSS_PRVSN_OFF_BLNC_sim - 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 - GRSS_CMMSSN_INCM_OFF_BLNC_it) &lt;= 0.5 then 'ok'
        when abs(GRSS_CMMSSN_INCM_OFF_BLNC_sim - 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-- distinct 
    val_instrmnt_id,
    -- instrmnt_id_sim,
    val_avrg_blnc,
    -- avrg_blnc_sim, 
    -- avrg_blnc_it
    count(*)
from dg 
-- where val_avrg_blnc = 'nok'
-- limit 6
group by 1,2
order by 3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</si>
  <si>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abs(AVRG_BLNC_sim - AVRG_BLNC_it) &lt;= 0.5 then 'ok' 
        when abs(AVRG_BLNC_sim - AVRG_BLNC_it)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 - AVRG_BLNC_OFF_BLNC_it) &lt;= 0.5 then 'ok'
        when abs(AVRG_BLNC_OFF_BLNC_sim - 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 - GRSS_INTRST_INCM_it) &lt;= 0.5 then 'ok'
        when abs(GRSS_INTRST_INCM_sim - 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 - GRSS_CMMSSN_INCM_it) &lt;= 0.5 then 'ok'
        when abs(GRSS_CMMSSN_INCM_sim - 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 - GRSS_CMMSSN_EXPNS_it) &lt;= 0.5 then 'ok'
        when abs(GRSS_CMMSSN_EXPNS_sim - 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 - NT_LN_LSS_PRVSN_it) &lt;= 0.5 then 'ok'
        when abs(NT_LN_LSS_PRVSN_sim - 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 - NT_LN_LSS_PRVSN_OFF_BLNC_it) &lt;= 0.5 then 'ok'
        when abs(NT_LN_LSS_PRVSN_OFF_BLNC_sim - 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 - GRSS_CMMSSN_INCM_OFF_BLNC_it) &lt;= 0.5 then 'ok'
        when abs(GRSS_CMMSSN_INCM_OFF_BLNC_sim - 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-- distinct 
    val_instrmnt_id,
    -- instrmnt_id_sim,
    val_avrg_blnc_off_blnc,
    -- avrg_blnc_off_blnc_sim, 
    -- avrg_blnc_off_blnc_it
    count(*)
from dg 
-- where val_avrg_blnc_off_blnc = 'nok'
-- limit 6
group by 1,2
order by 3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</si>
  <si>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-- distinct 
    val_instrmnt_id,
    -- instrmnt_id_sim,
    val_grss_intrst_incm,
    -- grss_intrst_incm_sim, 
    -- grss_intrst_incm_it
    count(*)
from dg 
-- where val_grss_intrst_incm = 'nok'
-- limit 6
group by 1,2
order by 3 desc
;</t>
  </si>
  <si>
    <t>82000020240000422001520240560795</t>
  </si>
  <si>
    <t>811.575</t>
  </si>
  <si>
    <t>558.09</t>
  </si>
  <si>
    <t>31000314791784020000000000000000</t>
  </si>
  <si>
    <t>4.99</t>
  </si>
  <si>
    <t>566.67400284</t>
  </si>
  <si>
    <t>284.79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</si>
  <si>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distinct 
    -- val_instrmnt_id,
    instrmnt_id_sim,
    val_grss_intrst_incm,
    grss_intrst_incm_sim,
    grss_intrst_incm_it
    -- count(*)
from dg 
where val_grss_intrst_incm = 'nok'
and cast(grss_intrst_incm_sim as string) not like '9999%'
and cast(grss_intrst_incm_it as string) not like '1111%'
and substring(instrmnt_id_sim,15,3) &lt;&gt; '011'
limit 6
-- group by 1,2
-- order by 3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</si>
  <si>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-- distinct 
    val_instrmnt_id,
    -- instrmnt_id_sim,
    val_grss_cmmssn_incm,
    -- grss_cmmssn_incm_sim, 
    -- grss_cmmssn_incm_it
    count(*)
from dg 
-- where val_grss_cmmssn_incm = 'nok'
-- limit 6
group by 1,2
order by 3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</si>
  <si>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distinct 
    -- val_instrmnt_id,
    instrmnt_id_sim,
    val_grss_cmmssn_incm,
    grss_cmmssn_incm_sim, 
    grss_cmmssn_incm_it
    -- count(*)
from dg 
where val_grss_cmmssn_incm = 'nok'
limit 6
-- group by 1,2
-- order by 3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</si>
  <si>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-- distinct 
    val_instrmnt_id,
    -- instrmnt_id_sim,
    val_grss_cmmssn_expns,
    -- grss_cmmssn_expns_sim, 
    -- grss_cmmssn_expns_it
    count(*)
from dg 
-- where val_grss_cmmssn_expns = 'nok'
-- limit 6
group by 1,2
order by 3 desc
;</t>
  </si>
  <si>
    <t>31000320366935096000000000000000</t>
  </si>
  <si>
    <t>53.96</t>
  </si>
  <si>
    <t>31000315197121096000000000000000</t>
  </si>
  <si>
    <t>11.26</t>
  </si>
  <si>
    <t>31000303731162096000000000000000</t>
  </si>
  <si>
    <t>7.92</t>
  </si>
  <si>
    <t>31000313176044096000000000000000</t>
  </si>
  <si>
    <t>9.85</t>
  </si>
  <si>
    <t>31000316773722096000000000000000</t>
  </si>
  <si>
    <t>137.91</t>
  </si>
  <si>
    <t>31000319797603096000000000000000</t>
  </si>
  <si>
    <t>20.23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</si>
  <si>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distinct 
    -- val_instrmnt_id,
    instrmnt_id_sim,
    val_grss_cmmssn_expns,
    grss_cmmssn_expns_sim, 
    grss_cmmssn_expns_it
    -- count(*)
from dg 
where val_grss_cmmssn_expns = 'nok'
limit 6
-- group by 1,2
-- order by 3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</si>
  <si>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-- distinct 
    val_instrmnt_id,
    -- instrmnt_id_sim,
    val_nt_ln_lss_prvsn,
    -- nt_ln_lss_prvsn_sim, 
    -- nt_ln_lss_prvsn_it
    count(*)
from dg 
-- where val_nt_ln_lss_prvsn = 'nok'
-- limit 6
group by 1,2
order by 3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</si>
  <si>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distinct 
    -- val_instrmnt_id,
    instrmnt_id_sim,
    val_nt_ln_lss_prvsn,
    nt_ln_lss_prvsn_sim, 
    nt_ln_lss_prvsn_it
    -- count(*)
from dg 
where val_nt_ln_lss_prvsn = 'nok'
limit 6
-- group by 1,2
-- order by 3 desc
;</t>
  </si>
  <si>
    <t>31663600380009821390103800098210</t>
  </si>
  <si>
    <t>-17.02</t>
  </si>
  <si>
    <t>31663600380019622363603800196220</t>
  </si>
  <si>
    <t>-362.92</t>
  </si>
  <si>
    <t>31663600380009353390103800093530</t>
  </si>
  <si>
    <t>-157</t>
  </si>
  <si>
    <t>31663600380009475390103800094759</t>
  </si>
  <si>
    <t>-1.45</t>
  </si>
  <si>
    <t>31663600380009538390103800095389</t>
  </si>
  <si>
    <t>-2.22</t>
  </si>
  <si>
    <t>31887800380000021387803800000210</t>
  </si>
  <si>
    <t>-16369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</si>
  <si>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distinct 
    -- val_instrmnt_id,
    instrmnt_id_sim,
    val_nt_ln_lss_prvsn_off_blnc,
    nt_ln_lss_prvsn_off_blnc_sim, 
    nt_ln_lss_prvsn_off_blnc_it
    -- count(*)
from dg 
where val_nt_ln_lss_prvsn_off_blnc = 'nok'
limit 6
-- group by 1,2
-- order by 3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</si>
  <si>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-- distinct 
    val_instrmnt_id,
    -- instrmnt_id_sim,
    val_nt_ln_lss_prvsn_off_blnc,
    -- nt_ln_lss_prvsn_off_blnc_sim, 
    -- nt_ln_lss_prvsn_off_blnc_it
    count(*)
from dg 
-- where val_nt_ln_lss_prvsn_off_blnc = 'nok'
-- limit 6
group by 1,2
order by 3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</si>
  <si>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GRSS_CMMSSN_INCM_OFF_BLNC_sim is not null and GRSS_CMMSSN_INCM_OFF_BLNC_it is null then 'nok'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-- distinct 
    val_instrmnt_id,
    -- instrmnt_id_sim,
    val_grss_cmmssn_incm_off_blnc,
    -- grss_cmmssn_incm_off_blnc_sim, 
    -- grss_cmmssn_incm_off_blnc_it
    count(*)
from dg 
-- where val_grss_cmmssn_incm_off_blnc = 'nok'
-- limit 6
group by 1,2
order by 3 desc
;</t>
  </si>
  <si>
    <t>SNCN00004701</t>
  </si>
  <si>
    <t>NULL</t>
  </si>
  <si>
    <t>SNCN00000367</t>
  </si>
  <si>
    <t>SNCN00004736</t>
  </si>
  <si>
    <t>SNCN00000757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</si>
  <si>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GRSS_CMMSSN_INCM_OFF_BLNC_sim is not null and GRSS_CMMSSN_INCM_OFF_BLNC_it is null then 'nok'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BU_CAPTOOLS_WORK.UNIV_LT_GD_PARTE3_AUX13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distinct 
    -- val_instrmnt_id,
    instrmnt_id_sim,
    val_grss_cmmssn_incm_off_blnc,
    grss_cmmssn_incm_off_blnc_sim, 
    grss_cmmssn_incm_off_blnc_it
    -- count(*)
from dg 
where val_grss_cmmssn_incm_off_blnc = 'nok'
and cast(grss_cmmssn_incm_off_blnc_sim as string) not like '999%'
limit 4
-- group by 1,2
-- order by 3 desc
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</si>
</sst>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3" borderId="0" xfId="1" applyFont="1" applyFill="1" applyProtection="1">
      <protection hidden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49" fontId="0" fillId="0" borderId="1" xfId="0" quotePrefix="1" applyNumberFormat="1" applyBorder="1"/>
    <xf numFmtId="0" fontId="0" fillId="0" borderId="0" xfId="0" quotePrefix="1"/>
    <xf numFmtId="0" fontId="6" fillId="0" borderId="0" xfId="0" applyFont="1"/>
    <xf numFmtId="0" fontId="6" fillId="0" borderId="0" xfId="1" applyFont="1" applyProtection="1">
      <protection hidden="1"/>
    </xf>
    <xf numFmtId="0" fontId="7" fillId="0" borderId="0" xfId="1" applyFont="1" applyAlignment="1" applyProtection="1">
      <alignment horizontal="left"/>
      <protection hidden="1"/>
    </xf>
    <xf numFmtId="49" fontId="2" fillId="2" borderId="4" xfId="0" applyNumberFormat="1" applyFont="1" applyFill="1" applyBorder="1" applyAlignment="1">
      <alignment horizontal="center" vertical="center"/>
    </xf>
    <xf numFmtId="0" fontId="0" fillId="0" borderId="3" xfId="0" applyBorder="1"/>
    <xf numFmtId="3" fontId="0" fillId="0" borderId="3" xfId="0" applyNumberFormat="1" applyBorder="1"/>
    <xf numFmtId="49" fontId="0" fillId="0" borderId="5" xfId="0" applyNumberFormat="1" applyBorder="1"/>
    <xf numFmtId="0" fontId="0" fillId="4" borderId="3" xfId="0" applyFill="1" applyBorder="1"/>
    <xf numFmtId="0" fontId="0" fillId="4" borderId="0" xfId="0" applyFill="1"/>
    <xf numFmtId="4" fontId="0" fillId="0" borderId="0" xfId="0" applyNumberFormat="1"/>
    <xf numFmtId="4" fontId="0" fillId="0" borderId="1" xfId="0" applyNumberFormat="1" applyBorder="1"/>
    <xf numFmtId="4" fontId="0" fillId="0" borderId="5" xfId="0" applyNumberFormat="1" applyBorder="1"/>
    <xf numFmtId="49" fontId="3" fillId="0" borderId="0" xfId="0" applyNumberFormat="1" applyFont="1"/>
    <xf numFmtId="49" fontId="0" fillId="0" borderId="3" xfId="0" applyNumberFormat="1" applyBorder="1"/>
    <xf numFmtId="49" fontId="0" fillId="4" borderId="3" xfId="0" applyNumberFormat="1" applyFill="1" applyBorder="1"/>
    <xf numFmtId="0" fontId="3" fillId="0" borderId="0" xfId="0" applyFont="1"/>
    <xf numFmtId="0" fontId="3" fillId="0" borderId="3" xfId="0" applyFont="1" applyBorder="1"/>
    <xf numFmtId="49" fontId="3" fillId="0" borderId="3" xfId="0" applyNumberFormat="1" applyFont="1" applyBorder="1"/>
    <xf numFmtId="49" fontId="2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Normal 3" xfId="1" xr:uid="{B34F77E9-209E-4CE7-8E8F-370AD7685EDE}"/>
  </cellStyles>
  <dxfs count="2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5617B29-A6C6-4A5B-982E-0E158C239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B40AA50-8DFD-441F-9DC3-8EAEE523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35" name="Gráfico 10">
          <a:extLst>
            <a:ext uri="{FF2B5EF4-FFF2-40B4-BE49-F238E27FC236}">
              <a16:creationId xmlns:a16="http://schemas.microsoft.com/office/drawing/2014/main" id="{98EBA34F-9DE9-45A3-9F30-C6D8B87E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9" name="Gráfico 10">
          <a:extLst>
            <a:ext uri="{FF2B5EF4-FFF2-40B4-BE49-F238E27FC236}">
              <a16:creationId xmlns:a16="http://schemas.microsoft.com/office/drawing/2014/main" id="{225996F6-2C06-41AE-8D51-670200552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EBFEAEF8-9BEE-480C-B966-86F8CCB9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8ABA3AE-01FB-4C77-B215-BB17C8B3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E4DD5DE-271F-4573-B19E-112B6A2C6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2F35F610-2EBC-463F-AABB-36D09BAF8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B9C4E55-2751-44A2-9389-3F86FF653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E0CB-C8DC-4715-8E02-B363268B3F64}">
  <dimension ref="A1:M58"/>
  <sheetViews>
    <sheetView showGridLines="0" workbookViewId="0"/>
  </sheetViews>
  <sheetFormatPr defaultRowHeight="15" x14ac:dyDescent="0.25"/>
  <cols>
    <col min="1" max="1" width="3.7109375" customWidth="1"/>
    <col min="2" max="2" width="16.28515625" bestFit="1" customWidth="1"/>
    <col min="3" max="3" width="19.7109375" bestFit="1" customWidth="1"/>
    <col min="4" max="4" width="21.85546875" bestFit="1" customWidth="1"/>
    <col min="5" max="5" width="22.85546875" bestFit="1" customWidth="1"/>
    <col min="6" max="7" width="32" bestFit="1" customWidth="1"/>
    <col min="8" max="8" width="31.42578125" bestFit="1" customWidth="1"/>
    <col min="9" max="9" width="27.140625" bestFit="1" customWidth="1"/>
    <col min="10" max="10" width="30.42578125" bestFit="1" customWidth="1"/>
    <col min="11" max="11" width="11.42578125" bestFit="1" customWidth="1"/>
  </cols>
  <sheetData>
    <row r="1" spans="1:13" x14ac:dyDescent="0.25">
      <c r="A1" s="1"/>
      <c r="B1" s="1"/>
      <c r="C1" s="1"/>
      <c r="D1" s="1"/>
      <c r="E1" s="1"/>
      <c r="F1" s="1"/>
    </row>
    <row r="2" spans="1:13" x14ac:dyDescent="0.25">
      <c r="A2" s="2"/>
      <c r="B2" s="2"/>
      <c r="C2" s="2"/>
      <c r="D2" s="2"/>
      <c r="E2" s="2"/>
      <c r="F2" s="2"/>
    </row>
    <row r="3" spans="1:13" x14ac:dyDescent="0.25">
      <c r="A3" s="3"/>
      <c r="B3" s="3"/>
      <c r="C3" s="3"/>
      <c r="D3" s="3"/>
      <c r="E3" s="3"/>
      <c r="F3" s="3"/>
    </row>
    <row r="4" spans="1:13" x14ac:dyDescent="0.25">
      <c r="A4" s="2"/>
      <c r="B4" s="2"/>
      <c r="C4" s="2"/>
      <c r="D4" s="2"/>
      <c r="E4" s="2"/>
      <c r="F4" s="2"/>
      <c r="G4" s="2"/>
      <c r="H4" s="2"/>
    </row>
    <row r="5" spans="1:13" ht="3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7" spans="1:13" x14ac:dyDescent="0.25">
      <c r="B7" s="16" t="s">
        <v>5</v>
      </c>
      <c r="C7" s="16" t="s">
        <v>21</v>
      </c>
      <c r="D7" s="16" t="s">
        <v>22</v>
      </c>
      <c r="E7" s="16" t="s">
        <v>23</v>
      </c>
      <c r="F7" s="16" t="s">
        <v>11</v>
      </c>
      <c r="G7" s="16" t="s">
        <v>12</v>
      </c>
      <c r="H7" s="16" t="s">
        <v>24</v>
      </c>
      <c r="I7" s="16" t="s">
        <v>25</v>
      </c>
      <c r="J7" s="16" t="s">
        <v>13</v>
      </c>
      <c r="K7" s="16" t="s">
        <v>6</v>
      </c>
      <c r="L7" s="16" t="s">
        <v>0</v>
      </c>
    </row>
    <row r="8" spans="1:13" x14ac:dyDescent="0.25">
      <c r="B8" s="17" t="s">
        <v>7</v>
      </c>
      <c r="C8" s="17" t="s">
        <v>7</v>
      </c>
      <c r="D8" s="17" t="s">
        <v>7</v>
      </c>
      <c r="E8" s="17" t="s">
        <v>7</v>
      </c>
      <c r="F8" s="17" t="s">
        <v>7</v>
      </c>
      <c r="G8" s="17" t="s">
        <v>7</v>
      </c>
      <c r="H8" s="17" t="s">
        <v>7</v>
      </c>
      <c r="I8" s="17" t="s">
        <v>7</v>
      </c>
      <c r="J8" s="17" t="s">
        <v>7</v>
      </c>
      <c r="K8" s="18">
        <v>908345</v>
      </c>
      <c r="L8" s="20" t="s">
        <v>143</v>
      </c>
      <c r="M8" s="12" t="s">
        <v>4</v>
      </c>
    </row>
    <row r="9" spans="1:13" x14ac:dyDescent="0.25">
      <c r="B9" s="17" t="s">
        <v>7</v>
      </c>
      <c r="C9" s="17" t="s">
        <v>7</v>
      </c>
      <c r="D9" s="17" t="s">
        <v>7</v>
      </c>
      <c r="E9" s="17" t="s">
        <v>7</v>
      </c>
      <c r="F9" s="17" t="s">
        <v>7</v>
      </c>
      <c r="G9" s="17" t="s">
        <v>7</v>
      </c>
      <c r="H9" s="17" t="s">
        <v>2</v>
      </c>
      <c r="I9" s="17" t="s">
        <v>7</v>
      </c>
      <c r="J9" s="17" t="s">
        <v>7</v>
      </c>
      <c r="K9" s="18">
        <v>600608</v>
      </c>
    </row>
    <row r="10" spans="1:13" x14ac:dyDescent="0.25">
      <c r="B10" s="17" t="s">
        <v>7</v>
      </c>
      <c r="C10" s="17" t="s">
        <v>7</v>
      </c>
      <c r="D10" s="17" t="s">
        <v>7</v>
      </c>
      <c r="E10" s="17" t="s">
        <v>7</v>
      </c>
      <c r="F10" s="17" t="s">
        <v>2</v>
      </c>
      <c r="G10" s="17" t="s">
        <v>7</v>
      </c>
      <c r="H10" s="17" t="s">
        <v>2</v>
      </c>
      <c r="I10" s="17" t="s">
        <v>7</v>
      </c>
      <c r="J10" s="17" t="s">
        <v>7</v>
      </c>
      <c r="K10" s="18">
        <v>297594</v>
      </c>
    </row>
    <row r="11" spans="1:13" x14ac:dyDescent="0.25">
      <c r="B11" s="17" t="s">
        <v>7</v>
      </c>
      <c r="C11" s="17" t="s">
        <v>7</v>
      </c>
      <c r="D11" s="17" t="s">
        <v>7</v>
      </c>
      <c r="E11" s="17" t="s">
        <v>7</v>
      </c>
      <c r="F11" s="17" t="s">
        <v>2</v>
      </c>
      <c r="G11" s="17" t="s">
        <v>7</v>
      </c>
      <c r="H11" s="17" t="s">
        <v>7</v>
      </c>
      <c r="I11" s="17" t="s">
        <v>7</v>
      </c>
      <c r="J11" s="17" t="s">
        <v>7</v>
      </c>
      <c r="K11" s="18">
        <v>197374</v>
      </c>
    </row>
    <row r="12" spans="1:13" x14ac:dyDescent="0.25">
      <c r="B12" s="17" t="s">
        <v>8</v>
      </c>
      <c r="C12" s="17" t="s">
        <v>8</v>
      </c>
      <c r="D12" s="17" t="s">
        <v>8</v>
      </c>
      <c r="E12" s="17" t="s">
        <v>8</v>
      </c>
      <c r="F12" s="17" t="s">
        <v>8</v>
      </c>
      <c r="G12" s="17" t="s">
        <v>8</v>
      </c>
      <c r="H12" s="17" t="s">
        <v>8</v>
      </c>
      <c r="I12" s="17" t="s">
        <v>8</v>
      </c>
      <c r="J12" s="17" t="s">
        <v>8</v>
      </c>
      <c r="K12" s="18">
        <v>105752</v>
      </c>
    </row>
    <row r="13" spans="1:13" x14ac:dyDescent="0.25">
      <c r="B13" s="17" t="s">
        <v>7</v>
      </c>
      <c r="C13" s="17" t="s">
        <v>7</v>
      </c>
      <c r="D13" s="17" t="s">
        <v>7</v>
      </c>
      <c r="E13" s="17" t="s">
        <v>7</v>
      </c>
      <c r="F13" s="17" t="s">
        <v>2</v>
      </c>
      <c r="G13" s="17" t="s">
        <v>2</v>
      </c>
      <c r="H13" s="17" t="s">
        <v>7</v>
      </c>
      <c r="I13" s="17" t="s">
        <v>7</v>
      </c>
      <c r="J13" s="17" t="s">
        <v>7</v>
      </c>
      <c r="K13" s="18">
        <v>90417</v>
      </c>
    </row>
    <row r="14" spans="1:13" x14ac:dyDescent="0.25">
      <c r="B14" s="17" t="s">
        <v>7</v>
      </c>
      <c r="C14" s="17" t="s">
        <v>7</v>
      </c>
      <c r="D14" s="17" t="s">
        <v>7</v>
      </c>
      <c r="E14" s="17" t="s">
        <v>7</v>
      </c>
      <c r="F14" s="17" t="s">
        <v>2</v>
      </c>
      <c r="G14" s="17" t="s">
        <v>2</v>
      </c>
      <c r="H14" s="17" t="s">
        <v>2</v>
      </c>
      <c r="I14" s="17" t="s">
        <v>7</v>
      </c>
      <c r="J14" s="17" t="s">
        <v>7</v>
      </c>
      <c r="K14" s="18">
        <v>40783</v>
      </c>
    </row>
    <row r="15" spans="1:13" x14ac:dyDescent="0.25">
      <c r="B15" s="17" t="s">
        <v>7</v>
      </c>
      <c r="C15" s="17" t="s">
        <v>2</v>
      </c>
      <c r="D15" s="17" t="s">
        <v>7</v>
      </c>
      <c r="E15" s="17" t="s">
        <v>7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18">
        <v>36677</v>
      </c>
    </row>
    <row r="16" spans="1:13" x14ac:dyDescent="0.25">
      <c r="B16" s="17" t="s">
        <v>7</v>
      </c>
      <c r="C16" s="17" t="s">
        <v>7</v>
      </c>
      <c r="D16" s="17" t="s">
        <v>7</v>
      </c>
      <c r="E16" s="17" t="s">
        <v>7</v>
      </c>
      <c r="F16" s="17" t="s">
        <v>7</v>
      </c>
      <c r="G16" s="17" t="s">
        <v>7</v>
      </c>
      <c r="H16" s="17" t="s">
        <v>7</v>
      </c>
      <c r="I16" s="17" t="s">
        <v>7</v>
      </c>
      <c r="J16" s="17" t="s">
        <v>2</v>
      </c>
      <c r="K16" s="18">
        <v>9613</v>
      </c>
    </row>
    <row r="17" spans="2:11" x14ac:dyDescent="0.25">
      <c r="B17" s="17" t="s">
        <v>7</v>
      </c>
      <c r="C17" s="17" t="s">
        <v>7</v>
      </c>
      <c r="D17" s="17" t="s">
        <v>7</v>
      </c>
      <c r="E17" s="17" t="s">
        <v>7</v>
      </c>
      <c r="F17" s="17" t="s">
        <v>2</v>
      </c>
      <c r="G17" s="17" t="s">
        <v>7</v>
      </c>
      <c r="H17" s="17" t="s">
        <v>2</v>
      </c>
      <c r="I17" s="17" t="s">
        <v>7</v>
      </c>
      <c r="J17" s="17" t="s">
        <v>2</v>
      </c>
      <c r="K17" s="18">
        <v>4797</v>
      </c>
    </row>
    <row r="18" spans="2:11" x14ac:dyDescent="0.25">
      <c r="B18" s="17" t="s">
        <v>7</v>
      </c>
      <c r="C18" s="17" t="s">
        <v>2</v>
      </c>
      <c r="D18" s="17" t="s">
        <v>7</v>
      </c>
      <c r="E18" s="17" t="s">
        <v>7</v>
      </c>
      <c r="F18" s="17" t="s">
        <v>7</v>
      </c>
      <c r="G18" s="17" t="s">
        <v>7</v>
      </c>
      <c r="H18" s="17" t="s">
        <v>2</v>
      </c>
      <c r="I18" s="17" t="s">
        <v>7</v>
      </c>
      <c r="J18" s="17" t="s">
        <v>7</v>
      </c>
      <c r="K18" s="18">
        <v>4559</v>
      </c>
    </row>
    <row r="19" spans="2:11" x14ac:dyDescent="0.25">
      <c r="B19" s="17" t="s">
        <v>7</v>
      </c>
      <c r="C19" s="17" t="s">
        <v>7</v>
      </c>
      <c r="D19" s="17" t="s">
        <v>7</v>
      </c>
      <c r="E19" s="17" t="s">
        <v>2</v>
      </c>
      <c r="F19" s="17" t="s">
        <v>7</v>
      </c>
      <c r="G19" s="17" t="s">
        <v>7</v>
      </c>
      <c r="H19" s="17" t="s">
        <v>2</v>
      </c>
      <c r="I19" s="17" t="s">
        <v>7</v>
      </c>
      <c r="J19" s="17" t="s">
        <v>7</v>
      </c>
      <c r="K19" s="18">
        <v>3651</v>
      </c>
    </row>
    <row r="20" spans="2:11" x14ac:dyDescent="0.25">
      <c r="B20" s="17" t="s">
        <v>7</v>
      </c>
      <c r="C20" s="17" t="s">
        <v>7</v>
      </c>
      <c r="D20" s="17" t="s">
        <v>7</v>
      </c>
      <c r="E20" s="17" t="s">
        <v>7</v>
      </c>
      <c r="F20" s="17" t="s">
        <v>7</v>
      </c>
      <c r="G20" s="17" t="s">
        <v>2</v>
      </c>
      <c r="H20" s="17" t="s">
        <v>7</v>
      </c>
      <c r="I20" s="17" t="s">
        <v>7</v>
      </c>
      <c r="J20" s="17" t="s">
        <v>7</v>
      </c>
      <c r="K20" s="18">
        <v>3336</v>
      </c>
    </row>
    <row r="21" spans="2:11" x14ac:dyDescent="0.25">
      <c r="B21" s="17" t="s">
        <v>7</v>
      </c>
      <c r="C21" s="17" t="s">
        <v>7</v>
      </c>
      <c r="D21" s="17" t="s">
        <v>7</v>
      </c>
      <c r="E21" s="17" t="s">
        <v>7</v>
      </c>
      <c r="F21" s="17" t="s">
        <v>2</v>
      </c>
      <c r="G21" s="17" t="s">
        <v>7</v>
      </c>
      <c r="H21" s="17" t="s">
        <v>7</v>
      </c>
      <c r="I21" s="17" t="s">
        <v>7</v>
      </c>
      <c r="J21" s="17" t="s">
        <v>2</v>
      </c>
      <c r="K21" s="18">
        <v>3174</v>
      </c>
    </row>
    <row r="22" spans="2:11" x14ac:dyDescent="0.25">
      <c r="B22" s="17" t="s">
        <v>7</v>
      </c>
      <c r="C22" s="17" t="s">
        <v>2</v>
      </c>
      <c r="D22" s="17" t="s">
        <v>7</v>
      </c>
      <c r="E22" s="17" t="s">
        <v>2</v>
      </c>
      <c r="F22" s="17" t="s">
        <v>7</v>
      </c>
      <c r="G22" s="17" t="s">
        <v>7</v>
      </c>
      <c r="H22" s="17" t="s">
        <v>7</v>
      </c>
      <c r="I22" s="17" t="s">
        <v>7</v>
      </c>
      <c r="J22" s="17" t="s">
        <v>7</v>
      </c>
      <c r="K22" s="18">
        <v>2620</v>
      </c>
    </row>
    <row r="23" spans="2:11" x14ac:dyDescent="0.25">
      <c r="B23" s="17" t="s">
        <v>7</v>
      </c>
      <c r="C23" s="17" t="s">
        <v>7</v>
      </c>
      <c r="D23" s="17" t="s">
        <v>7</v>
      </c>
      <c r="E23" s="17" t="s">
        <v>7</v>
      </c>
      <c r="F23" s="17" t="s">
        <v>7</v>
      </c>
      <c r="G23" s="17" t="s">
        <v>2</v>
      </c>
      <c r="H23" s="17" t="s">
        <v>2</v>
      </c>
      <c r="I23" s="17" t="s">
        <v>7</v>
      </c>
      <c r="J23" s="17" t="s">
        <v>7</v>
      </c>
      <c r="K23" s="18">
        <v>1953</v>
      </c>
    </row>
    <row r="24" spans="2:11" x14ac:dyDescent="0.25">
      <c r="B24" s="17" t="s">
        <v>7</v>
      </c>
      <c r="C24" s="17" t="s">
        <v>7</v>
      </c>
      <c r="D24" s="17" t="s">
        <v>7</v>
      </c>
      <c r="E24" s="17" t="s">
        <v>2</v>
      </c>
      <c r="F24" s="17" t="s">
        <v>7</v>
      </c>
      <c r="G24" s="17" t="s">
        <v>7</v>
      </c>
      <c r="H24" s="17" t="s">
        <v>7</v>
      </c>
      <c r="I24" s="17" t="s">
        <v>7</v>
      </c>
      <c r="J24" s="17" t="s">
        <v>7</v>
      </c>
      <c r="K24" s="18">
        <v>1233</v>
      </c>
    </row>
    <row r="25" spans="2:11" x14ac:dyDescent="0.25">
      <c r="B25" s="17" t="s">
        <v>7</v>
      </c>
      <c r="C25" s="17" t="s">
        <v>7</v>
      </c>
      <c r="D25" s="17" t="s">
        <v>7</v>
      </c>
      <c r="E25" s="17" t="s">
        <v>7</v>
      </c>
      <c r="F25" s="17" t="s">
        <v>7</v>
      </c>
      <c r="G25" s="17" t="s">
        <v>7</v>
      </c>
      <c r="H25" s="17" t="s">
        <v>7</v>
      </c>
      <c r="I25" s="17" t="s">
        <v>2</v>
      </c>
      <c r="J25" s="17" t="s">
        <v>7</v>
      </c>
      <c r="K25" s="18">
        <v>1062</v>
      </c>
    </row>
    <row r="26" spans="2:11" x14ac:dyDescent="0.25">
      <c r="B26" s="17" t="s">
        <v>7</v>
      </c>
      <c r="C26" s="17" t="s">
        <v>2</v>
      </c>
      <c r="D26" s="17" t="s">
        <v>7</v>
      </c>
      <c r="E26" s="17" t="s">
        <v>7</v>
      </c>
      <c r="F26" s="17" t="s">
        <v>2</v>
      </c>
      <c r="G26" s="17" t="s">
        <v>7</v>
      </c>
      <c r="H26" s="17" t="s">
        <v>2</v>
      </c>
      <c r="I26" s="17" t="s">
        <v>7</v>
      </c>
      <c r="J26" s="17" t="s">
        <v>7</v>
      </c>
      <c r="K26" s="18">
        <v>870</v>
      </c>
    </row>
    <row r="27" spans="2:11" x14ac:dyDescent="0.25">
      <c r="B27" s="17" t="s">
        <v>7</v>
      </c>
      <c r="C27" s="17" t="s">
        <v>7</v>
      </c>
      <c r="D27" s="17" t="s">
        <v>7</v>
      </c>
      <c r="E27" s="17" t="s">
        <v>2</v>
      </c>
      <c r="F27" s="17" t="s">
        <v>7</v>
      </c>
      <c r="G27" s="17" t="s">
        <v>7</v>
      </c>
      <c r="H27" s="17" t="s">
        <v>7</v>
      </c>
      <c r="I27" s="17" t="s">
        <v>7</v>
      </c>
      <c r="J27" s="17" t="s">
        <v>10</v>
      </c>
      <c r="K27" s="18">
        <v>769</v>
      </c>
    </row>
    <row r="28" spans="2:11" x14ac:dyDescent="0.25">
      <c r="B28" s="17" t="s">
        <v>7</v>
      </c>
      <c r="C28" s="17" t="s">
        <v>2</v>
      </c>
      <c r="D28" s="17" t="s">
        <v>7</v>
      </c>
      <c r="E28" s="17" t="s">
        <v>7</v>
      </c>
      <c r="F28" s="17" t="s">
        <v>2</v>
      </c>
      <c r="G28" s="17" t="s">
        <v>7</v>
      </c>
      <c r="H28" s="17" t="s">
        <v>7</v>
      </c>
      <c r="I28" s="17" t="s">
        <v>7</v>
      </c>
      <c r="J28" s="17" t="s">
        <v>7</v>
      </c>
      <c r="K28" s="18">
        <v>757</v>
      </c>
    </row>
    <row r="29" spans="2:11" x14ac:dyDescent="0.25">
      <c r="B29" s="17" t="s">
        <v>7</v>
      </c>
      <c r="C29" s="17" t="s">
        <v>7</v>
      </c>
      <c r="D29" s="17" t="s">
        <v>2</v>
      </c>
      <c r="E29" s="17" t="s">
        <v>7</v>
      </c>
      <c r="F29" s="17" t="s">
        <v>7</v>
      </c>
      <c r="G29" s="17" t="s">
        <v>7</v>
      </c>
      <c r="H29" s="17" t="s">
        <v>2</v>
      </c>
      <c r="I29" s="17" t="s">
        <v>7</v>
      </c>
      <c r="J29" s="17" t="s">
        <v>7</v>
      </c>
      <c r="K29" s="18">
        <v>419</v>
      </c>
    </row>
    <row r="30" spans="2:11" x14ac:dyDescent="0.25">
      <c r="B30" s="17" t="s">
        <v>7</v>
      </c>
      <c r="C30" s="17" t="s">
        <v>7</v>
      </c>
      <c r="D30" s="17" t="s">
        <v>2</v>
      </c>
      <c r="E30" s="17" t="s">
        <v>7</v>
      </c>
      <c r="F30" s="17" t="s">
        <v>7</v>
      </c>
      <c r="G30" s="17" t="s">
        <v>7</v>
      </c>
      <c r="H30" s="17" t="s">
        <v>7</v>
      </c>
      <c r="I30" s="17" t="s">
        <v>7</v>
      </c>
      <c r="J30" s="17" t="s">
        <v>7</v>
      </c>
      <c r="K30" s="18">
        <v>302</v>
      </c>
    </row>
    <row r="31" spans="2:11" x14ac:dyDescent="0.25">
      <c r="B31" s="17" t="s">
        <v>7</v>
      </c>
      <c r="C31" s="17" t="s">
        <v>2</v>
      </c>
      <c r="D31" s="17" t="s">
        <v>7</v>
      </c>
      <c r="E31" s="17" t="s">
        <v>7</v>
      </c>
      <c r="F31" s="17" t="s">
        <v>2</v>
      </c>
      <c r="G31" s="17" t="s">
        <v>7</v>
      </c>
      <c r="H31" s="17" t="s">
        <v>2</v>
      </c>
      <c r="I31" s="17" t="s">
        <v>7</v>
      </c>
      <c r="J31" s="17" t="s">
        <v>2</v>
      </c>
      <c r="K31" s="18">
        <v>155</v>
      </c>
    </row>
    <row r="32" spans="2:11" x14ac:dyDescent="0.25">
      <c r="B32" s="17" t="s">
        <v>7</v>
      </c>
      <c r="C32" s="17" t="s">
        <v>2</v>
      </c>
      <c r="D32" s="17" t="s">
        <v>7</v>
      </c>
      <c r="E32" s="17" t="s">
        <v>7</v>
      </c>
      <c r="F32" s="17" t="s">
        <v>2</v>
      </c>
      <c r="G32" s="17" t="s">
        <v>7</v>
      </c>
      <c r="H32" s="17" t="s">
        <v>7</v>
      </c>
      <c r="I32" s="17" t="s">
        <v>7</v>
      </c>
      <c r="J32" s="17" t="s">
        <v>2</v>
      </c>
      <c r="K32" s="18">
        <v>119</v>
      </c>
    </row>
    <row r="33" spans="2:11" x14ac:dyDescent="0.25">
      <c r="B33" s="17" t="s">
        <v>7</v>
      </c>
      <c r="C33" s="17" t="s">
        <v>7</v>
      </c>
      <c r="D33" s="17" t="s">
        <v>7</v>
      </c>
      <c r="E33" s="17" t="s">
        <v>2</v>
      </c>
      <c r="F33" s="17" t="s">
        <v>2</v>
      </c>
      <c r="G33" s="17" t="s">
        <v>7</v>
      </c>
      <c r="H33" s="17" t="s">
        <v>2</v>
      </c>
      <c r="I33" s="17" t="s">
        <v>7</v>
      </c>
      <c r="J33" s="17" t="s">
        <v>7</v>
      </c>
      <c r="K33" s="18">
        <v>104</v>
      </c>
    </row>
    <row r="34" spans="2:11" x14ac:dyDescent="0.25">
      <c r="B34" s="17" t="s">
        <v>7</v>
      </c>
      <c r="C34" s="17" t="s">
        <v>7</v>
      </c>
      <c r="D34" s="17" t="s">
        <v>7</v>
      </c>
      <c r="E34" s="17" t="s">
        <v>2</v>
      </c>
      <c r="F34" s="17" t="s">
        <v>2</v>
      </c>
      <c r="G34" s="17" t="s">
        <v>7</v>
      </c>
      <c r="H34" s="17" t="s">
        <v>7</v>
      </c>
      <c r="I34" s="17" t="s">
        <v>7</v>
      </c>
      <c r="J34" s="17" t="s">
        <v>7</v>
      </c>
      <c r="K34" s="18">
        <v>82</v>
      </c>
    </row>
    <row r="35" spans="2:11" x14ac:dyDescent="0.25">
      <c r="B35" s="17" t="s">
        <v>7</v>
      </c>
      <c r="C35" s="17" t="s">
        <v>2</v>
      </c>
      <c r="D35" s="17" t="s">
        <v>2</v>
      </c>
      <c r="E35" s="17" t="s">
        <v>7</v>
      </c>
      <c r="F35" s="17" t="s">
        <v>7</v>
      </c>
      <c r="G35" s="17" t="s">
        <v>7</v>
      </c>
      <c r="H35" s="17" t="s">
        <v>7</v>
      </c>
      <c r="I35" s="17" t="s">
        <v>7</v>
      </c>
      <c r="J35" s="17" t="s">
        <v>7</v>
      </c>
      <c r="K35" s="18">
        <v>57</v>
      </c>
    </row>
    <row r="36" spans="2:11" x14ac:dyDescent="0.25">
      <c r="B36" s="17" t="s">
        <v>7</v>
      </c>
      <c r="C36" s="17" t="s">
        <v>2</v>
      </c>
      <c r="D36" s="17" t="s">
        <v>2</v>
      </c>
      <c r="E36" s="17" t="s">
        <v>7</v>
      </c>
      <c r="F36" s="17" t="s">
        <v>7</v>
      </c>
      <c r="G36" s="17" t="s">
        <v>7</v>
      </c>
      <c r="H36" s="17" t="s">
        <v>2</v>
      </c>
      <c r="I36" s="17" t="s">
        <v>7</v>
      </c>
      <c r="J36" s="17" t="s">
        <v>7</v>
      </c>
      <c r="K36" s="18">
        <v>56</v>
      </c>
    </row>
    <row r="37" spans="2:11" x14ac:dyDescent="0.25">
      <c r="B37" s="17" t="s">
        <v>9</v>
      </c>
      <c r="C37" s="17" t="s">
        <v>9</v>
      </c>
      <c r="D37" s="17" t="s">
        <v>9</v>
      </c>
      <c r="E37" s="17" t="s">
        <v>9</v>
      </c>
      <c r="F37" s="17" t="s">
        <v>9</v>
      </c>
      <c r="G37" s="17" t="s">
        <v>9</v>
      </c>
      <c r="H37" s="17" t="s">
        <v>9</v>
      </c>
      <c r="I37" s="17" t="s">
        <v>9</v>
      </c>
      <c r="J37" s="17" t="s">
        <v>9</v>
      </c>
      <c r="K37" s="18">
        <v>40</v>
      </c>
    </row>
    <row r="38" spans="2:11" x14ac:dyDescent="0.25">
      <c r="B38" s="17" t="s">
        <v>7</v>
      </c>
      <c r="C38" s="17" t="s">
        <v>7</v>
      </c>
      <c r="D38" s="17" t="s">
        <v>2</v>
      </c>
      <c r="E38" s="17" t="s">
        <v>7</v>
      </c>
      <c r="F38" s="17" t="s">
        <v>2</v>
      </c>
      <c r="G38" s="17" t="s">
        <v>7</v>
      </c>
      <c r="H38" s="17" t="s">
        <v>2</v>
      </c>
      <c r="I38" s="17" t="s">
        <v>7</v>
      </c>
      <c r="J38" s="17" t="s">
        <v>7</v>
      </c>
      <c r="K38" s="18">
        <v>38</v>
      </c>
    </row>
    <row r="39" spans="2:11" x14ac:dyDescent="0.25">
      <c r="B39" s="17" t="s">
        <v>7</v>
      </c>
      <c r="C39" s="17" t="s">
        <v>7</v>
      </c>
      <c r="D39" s="17" t="s">
        <v>7</v>
      </c>
      <c r="E39" s="17" t="s">
        <v>7</v>
      </c>
      <c r="F39" s="17" t="s">
        <v>7</v>
      </c>
      <c r="G39" s="17" t="s">
        <v>7</v>
      </c>
      <c r="H39" s="17" t="s">
        <v>2</v>
      </c>
      <c r="I39" s="17" t="s">
        <v>7</v>
      </c>
      <c r="J39" s="17" t="s">
        <v>2</v>
      </c>
      <c r="K39" s="18">
        <v>37</v>
      </c>
    </row>
    <row r="40" spans="2:11" x14ac:dyDescent="0.25">
      <c r="B40" s="17" t="s">
        <v>7</v>
      </c>
      <c r="C40" s="17" t="s">
        <v>2</v>
      </c>
      <c r="D40" s="17" t="s">
        <v>2</v>
      </c>
      <c r="E40" s="17" t="s">
        <v>7</v>
      </c>
      <c r="F40" s="17" t="s">
        <v>7</v>
      </c>
      <c r="G40" s="17" t="s">
        <v>7</v>
      </c>
      <c r="H40" s="17" t="s">
        <v>2</v>
      </c>
      <c r="I40" s="17" t="s">
        <v>2</v>
      </c>
      <c r="J40" s="17" t="s">
        <v>7</v>
      </c>
      <c r="K40" s="18">
        <v>31</v>
      </c>
    </row>
    <row r="41" spans="2:11" x14ac:dyDescent="0.25">
      <c r="B41" s="17" t="s">
        <v>7</v>
      </c>
      <c r="C41" s="17" t="s">
        <v>2</v>
      </c>
      <c r="D41" s="17" t="s">
        <v>2</v>
      </c>
      <c r="E41" s="17" t="s">
        <v>2</v>
      </c>
      <c r="F41" s="17" t="s">
        <v>7</v>
      </c>
      <c r="G41" s="17" t="s">
        <v>7</v>
      </c>
      <c r="H41" s="17" t="s">
        <v>2</v>
      </c>
      <c r="I41" s="17" t="s">
        <v>7</v>
      </c>
      <c r="J41" s="17" t="s">
        <v>7</v>
      </c>
      <c r="K41" s="18">
        <v>30</v>
      </c>
    </row>
    <row r="42" spans="2:11" x14ac:dyDescent="0.25">
      <c r="B42" s="17" t="s">
        <v>7</v>
      </c>
      <c r="C42" s="17" t="s">
        <v>2</v>
      </c>
      <c r="D42" s="17" t="s">
        <v>7</v>
      </c>
      <c r="E42" s="17" t="s">
        <v>7</v>
      </c>
      <c r="F42" s="17" t="s">
        <v>7</v>
      </c>
      <c r="G42" s="17" t="s">
        <v>2</v>
      </c>
      <c r="H42" s="17" t="s">
        <v>2</v>
      </c>
      <c r="I42" s="17" t="s">
        <v>7</v>
      </c>
      <c r="J42" s="17" t="s">
        <v>7</v>
      </c>
      <c r="K42" s="18">
        <v>22</v>
      </c>
    </row>
    <row r="43" spans="2:11" x14ac:dyDescent="0.25">
      <c r="B43" s="17" t="s">
        <v>7</v>
      </c>
      <c r="C43" s="17" t="s">
        <v>2</v>
      </c>
      <c r="D43" s="17" t="s">
        <v>7</v>
      </c>
      <c r="E43" s="17" t="s">
        <v>7</v>
      </c>
      <c r="F43" s="17" t="s">
        <v>2</v>
      </c>
      <c r="G43" s="17" t="s">
        <v>2</v>
      </c>
      <c r="H43" s="17" t="s">
        <v>2</v>
      </c>
      <c r="I43" s="17" t="s">
        <v>7</v>
      </c>
      <c r="J43" s="17" t="s">
        <v>7</v>
      </c>
      <c r="K43" s="18">
        <v>18</v>
      </c>
    </row>
    <row r="44" spans="2:11" x14ac:dyDescent="0.25">
      <c r="B44" s="17" t="s">
        <v>7</v>
      </c>
      <c r="C44" s="17" t="s">
        <v>2</v>
      </c>
      <c r="D44" s="17" t="s">
        <v>7</v>
      </c>
      <c r="E44" s="17" t="s">
        <v>2</v>
      </c>
      <c r="F44" s="17" t="s">
        <v>7</v>
      </c>
      <c r="G44" s="17" t="s">
        <v>7</v>
      </c>
      <c r="H44" s="17" t="s">
        <v>2</v>
      </c>
      <c r="I44" s="17" t="s">
        <v>7</v>
      </c>
      <c r="J44" s="17" t="s">
        <v>7</v>
      </c>
      <c r="K44" s="18">
        <v>12</v>
      </c>
    </row>
    <row r="45" spans="2:11" x14ac:dyDescent="0.25">
      <c r="B45" s="17" t="s">
        <v>7</v>
      </c>
      <c r="C45" s="17" t="s">
        <v>7</v>
      </c>
      <c r="D45" s="17" t="s">
        <v>7</v>
      </c>
      <c r="E45" s="17" t="s">
        <v>2</v>
      </c>
      <c r="F45" s="17" t="s">
        <v>2</v>
      </c>
      <c r="G45" s="17" t="s">
        <v>2</v>
      </c>
      <c r="H45" s="17" t="s">
        <v>2</v>
      </c>
      <c r="I45" s="17" t="s">
        <v>7</v>
      </c>
      <c r="J45" s="17" t="s">
        <v>7</v>
      </c>
      <c r="K45" s="18">
        <v>9</v>
      </c>
    </row>
    <row r="46" spans="2:11" x14ac:dyDescent="0.25">
      <c r="B46" s="17" t="s">
        <v>7</v>
      </c>
      <c r="C46" s="17" t="s">
        <v>2</v>
      </c>
      <c r="D46" s="17" t="s">
        <v>7</v>
      </c>
      <c r="E46" s="17" t="s">
        <v>2</v>
      </c>
      <c r="F46" s="17" t="s">
        <v>2</v>
      </c>
      <c r="G46" s="17" t="s">
        <v>7</v>
      </c>
      <c r="H46" s="17" t="s">
        <v>7</v>
      </c>
      <c r="I46" s="17" t="s">
        <v>7</v>
      </c>
      <c r="J46" s="17" t="s">
        <v>7</v>
      </c>
      <c r="K46" s="18">
        <v>8</v>
      </c>
    </row>
    <row r="47" spans="2:11" x14ac:dyDescent="0.25">
      <c r="B47" s="17" t="s">
        <v>7</v>
      </c>
      <c r="C47" s="17" t="s">
        <v>7</v>
      </c>
      <c r="D47" s="17" t="s">
        <v>7</v>
      </c>
      <c r="E47" s="17" t="s">
        <v>2</v>
      </c>
      <c r="F47" s="17" t="s">
        <v>2</v>
      </c>
      <c r="G47" s="17" t="s">
        <v>2</v>
      </c>
      <c r="H47" s="17" t="s">
        <v>7</v>
      </c>
      <c r="I47" s="17" t="s">
        <v>7</v>
      </c>
      <c r="J47" s="17" t="s">
        <v>7</v>
      </c>
      <c r="K47" s="18">
        <v>8</v>
      </c>
    </row>
    <row r="48" spans="2:11" x14ac:dyDescent="0.25">
      <c r="B48" s="17" t="s">
        <v>7</v>
      </c>
      <c r="C48" s="17" t="s">
        <v>7</v>
      </c>
      <c r="D48" s="17" t="s">
        <v>2</v>
      </c>
      <c r="E48" s="17" t="s">
        <v>7</v>
      </c>
      <c r="F48" s="17" t="s">
        <v>2</v>
      </c>
      <c r="G48" s="17" t="s">
        <v>7</v>
      </c>
      <c r="H48" s="17" t="s">
        <v>7</v>
      </c>
      <c r="I48" s="17" t="s">
        <v>7</v>
      </c>
      <c r="J48" s="17" t="s">
        <v>7</v>
      </c>
      <c r="K48" s="18">
        <v>8</v>
      </c>
    </row>
    <row r="49" spans="2:11" x14ac:dyDescent="0.25">
      <c r="B49" s="17" t="s">
        <v>7</v>
      </c>
      <c r="C49" s="17" t="s">
        <v>2</v>
      </c>
      <c r="D49" s="17" t="s">
        <v>7</v>
      </c>
      <c r="E49" s="17" t="s">
        <v>2</v>
      </c>
      <c r="F49" s="17" t="s">
        <v>2</v>
      </c>
      <c r="G49" s="17" t="s">
        <v>7</v>
      </c>
      <c r="H49" s="17" t="s">
        <v>2</v>
      </c>
      <c r="I49" s="17" t="s">
        <v>7</v>
      </c>
      <c r="J49" s="17" t="s">
        <v>7</v>
      </c>
      <c r="K49" s="18">
        <v>7</v>
      </c>
    </row>
    <row r="50" spans="2:11" x14ac:dyDescent="0.25">
      <c r="B50" s="17" t="s">
        <v>7</v>
      </c>
      <c r="C50" s="17" t="s">
        <v>2</v>
      </c>
      <c r="D50" s="17" t="s">
        <v>7</v>
      </c>
      <c r="E50" s="17" t="s">
        <v>7</v>
      </c>
      <c r="F50" s="17" t="s">
        <v>7</v>
      </c>
      <c r="G50" s="17" t="s">
        <v>7</v>
      </c>
      <c r="H50" s="17" t="s">
        <v>7</v>
      </c>
      <c r="I50" s="17" t="s">
        <v>7</v>
      </c>
      <c r="J50" s="17" t="s">
        <v>2</v>
      </c>
      <c r="K50" s="18">
        <v>3</v>
      </c>
    </row>
    <row r="51" spans="2:11" x14ac:dyDescent="0.25">
      <c r="B51" s="17" t="s">
        <v>7</v>
      </c>
      <c r="C51" s="17" t="s">
        <v>2</v>
      </c>
      <c r="D51" s="17" t="s">
        <v>7</v>
      </c>
      <c r="E51" s="17" t="s">
        <v>7</v>
      </c>
      <c r="F51" s="17" t="s">
        <v>7</v>
      </c>
      <c r="G51" s="17" t="s">
        <v>7</v>
      </c>
      <c r="H51" s="17" t="s">
        <v>2</v>
      </c>
      <c r="I51" s="17" t="s">
        <v>7</v>
      </c>
      <c r="J51" s="17" t="s">
        <v>2</v>
      </c>
      <c r="K51" s="18">
        <v>2</v>
      </c>
    </row>
    <row r="52" spans="2:11" x14ac:dyDescent="0.25">
      <c r="B52" s="17" t="s">
        <v>7</v>
      </c>
      <c r="C52" s="17" t="s">
        <v>7</v>
      </c>
      <c r="D52" s="17" t="s">
        <v>7</v>
      </c>
      <c r="E52" s="17" t="s">
        <v>2</v>
      </c>
      <c r="F52" s="17" t="s">
        <v>2</v>
      </c>
      <c r="G52" s="17" t="s">
        <v>7</v>
      </c>
      <c r="H52" s="17" t="s">
        <v>2</v>
      </c>
      <c r="I52" s="17" t="s">
        <v>7</v>
      </c>
      <c r="J52" s="17" t="s">
        <v>2</v>
      </c>
      <c r="K52" s="18">
        <v>2</v>
      </c>
    </row>
    <row r="53" spans="2:11" x14ac:dyDescent="0.25">
      <c r="B53" s="17" t="s">
        <v>7</v>
      </c>
      <c r="C53" s="17" t="s">
        <v>7</v>
      </c>
      <c r="D53" s="17" t="s">
        <v>2</v>
      </c>
      <c r="E53" s="17" t="s">
        <v>7</v>
      </c>
      <c r="F53" s="17" t="s">
        <v>2</v>
      </c>
      <c r="G53" s="17" t="s">
        <v>7</v>
      </c>
      <c r="H53" s="17" t="s">
        <v>2</v>
      </c>
      <c r="I53" s="17" t="s">
        <v>7</v>
      </c>
      <c r="J53" s="17" t="s">
        <v>2</v>
      </c>
      <c r="K53" s="18">
        <v>1</v>
      </c>
    </row>
    <row r="54" spans="2:11" x14ac:dyDescent="0.25">
      <c r="B54" s="17" t="s">
        <v>7</v>
      </c>
      <c r="C54" s="17" t="s">
        <v>2</v>
      </c>
      <c r="D54" s="17" t="s">
        <v>7</v>
      </c>
      <c r="E54" s="17" t="s">
        <v>2</v>
      </c>
      <c r="F54" s="17" t="s">
        <v>2</v>
      </c>
      <c r="G54" s="17" t="s">
        <v>2</v>
      </c>
      <c r="H54" s="17" t="s">
        <v>2</v>
      </c>
      <c r="I54" s="17" t="s">
        <v>7</v>
      </c>
      <c r="J54" s="17" t="s">
        <v>7</v>
      </c>
      <c r="K54" s="18">
        <v>1</v>
      </c>
    </row>
    <row r="55" spans="2:11" x14ac:dyDescent="0.25">
      <c r="B55" s="17" t="s">
        <v>7</v>
      </c>
      <c r="C55" s="17" t="s">
        <v>7</v>
      </c>
      <c r="D55" s="17" t="s">
        <v>2</v>
      </c>
      <c r="E55" s="17" t="s">
        <v>2</v>
      </c>
      <c r="F55" s="17" t="s">
        <v>2</v>
      </c>
      <c r="G55" s="17" t="s">
        <v>2</v>
      </c>
      <c r="H55" s="17" t="s">
        <v>2</v>
      </c>
      <c r="I55" s="17" t="s">
        <v>7</v>
      </c>
      <c r="J55" s="17" t="s">
        <v>7</v>
      </c>
      <c r="K55" s="18">
        <v>1</v>
      </c>
    </row>
    <row r="56" spans="2:11" x14ac:dyDescent="0.25">
      <c r="B56" s="17" t="s">
        <v>7</v>
      </c>
      <c r="C56" s="17" t="s">
        <v>7</v>
      </c>
      <c r="D56" s="17" t="s">
        <v>2</v>
      </c>
      <c r="E56" s="17" t="s">
        <v>7</v>
      </c>
      <c r="F56" s="17" t="s">
        <v>2</v>
      </c>
      <c r="G56" s="17" t="s">
        <v>7</v>
      </c>
      <c r="H56" s="17" t="s">
        <v>7</v>
      </c>
      <c r="I56" s="17" t="s">
        <v>7</v>
      </c>
      <c r="J56" s="17" t="s">
        <v>2</v>
      </c>
      <c r="K56" s="18">
        <v>1</v>
      </c>
    </row>
    <row r="57" spans="2:11" x14ac:dyDescent="0.25">
      <c r="B57" s="17" t="s">
        <v>7</v>
      </c>
      <c r="C57" s="17" t="s">
        <v>7</v>
      </c>
      <c r="D57" s="17" t="s">
        <v>7</v>
      </c>
      <c r="E57" s="17" t="s">
        <v>2</v>
      </c>
      <c r="F57" s="17" t="s">
        <v>2</v>
      </c>
      <c r="G57" s="17" t="s">
        <v>7</v>
      </c>
      <c r="H57" s="17" t="s">
        <v>7</v>
      </c>
      <c r="I57" s="17" t="s">
        <v>7</v>
      </c>
      <c r="J57" s="17" t="s">
        <v>2</v>
      </c>
      <c r="K57" s="18">
        <v>1</v>
      </c>
    </row>
    <row r="58" spans="2:11" x14ac:dyDescent="0.25">
      <c r="B58" s="17" t="s">
        <v>7</v>
      </c>
      <c r="C58" s="17" t="s">
        <v>7</v>
      </c>
      <c r="D58" s="17" t="s">
        <v>2</v>
      </c>
      <c r="E58" s="17" t="s">
        <v>7</v>
      </c>
      <c r="F58" s="17" t="s">
        <v>2</v>
      </c>
      <c r="G58" s="17" t="s">
        <v>7</v>
      </c>
      <c r="H58" s="17" t="s">
        <v>7</v>
      </c>
      <c r="I58" s="17" t="s">
        <v>7</v>
      </c>
      <c r="J58" s="17" t="s">
        <v>2</v>
      </c>
      <c r="K58" s="18">
        <v>1</v>
      </c>
    </row>
  </sheetData>
  <conditionalFormatting sqref="B8:K58">
    <cfRule type="containsText" dxfId="1" priority="1" operator="containsText" text="exclusivo">
      <formula>NOT(ISERROR(SEARCH("exclusivo",B8)))</formula>
    </cfRule>
    <cfRule type="cellIs" dxfId="0" priority="3" operator="equal">
      <formula>"nok"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F239-B707-4E1B-859A-7CFE4F92D549}">
  <dimension ref="A1:J29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  <col min="9" max="10" width="10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26</v>
      </c>
      <c r="C7" s="6"/>
      <c r="D7" s="6"/>
      <c r="E7" s="6"/>
    </row>
    <row r="8" spans="1:6" ht="7.15" customHeight="1" x14ac:dyDescent="0.25"/>
    <row r="9" spans="1:6" x14ac:dyDescent="0.25">
      <c r="B9" s="16" t="s">
        <v>31</v>
      </c>
      <c r="C9" s="16" t="s">
        <v>21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2165722</v>
      </c>
      <c r="E10" s="20" t="s">
        <v>144</v>
      </c>
      <c r="F10" s="12" t="s">
        <v>4</v>
      </c>
    </row>
    <row r="11" spans="1:6" x14ac:dyDescent="0.25">
      <c r="B11" s="17" t="s">
        <v>8</v>
      </c>
      <c r="C11" s="17" t="s">
        <v>8</v>
      </c>
      <c r="D11" s="18">
        <v>105752</v>
      </c>
    </row>
    <row r="12" spans="1:6" x14ac:dyDescent="0.25">
      <c r="B12" s="17" t="s">
        <v>7</v>
      </c>
      <c r="C12" s="17" t="s">
        <v>2</v>
      </c>
      <c r="D12" s="18">
        <v>46004</v>
      </c>
    </row>
    <row r="13" spans="1:6" x14ac:dyDescent="0.25">
      <c r="B13" s="17" t="s">
        <v>9</v>
      </c>
      <c r="C13" s="17" t="s">
        <v>9</v>
      </c>
      <c r="D13" s="18">
        <v>40</v>
      </c>
    </row>
    <row r="15" spans="1:6" ht="14.45" customHeight="1" x14ac:dyDescent="0.25">
      <c r="B15" s="32" t="s">
        <v>27</v>
      </c>
      <c r="C15" s="32"/>
      <c r="D15" s="32"/>
      <c r="E15" s="32"/>
    </row>
    <row r="16" spans="1:6" x14ac:dyDescent="0.25">
      <c r="B16" s="32"/>
      <c r="C16" s="32"/>
      <c r="D16" s="32"/>
      <c r="E16" s="32"/>
    </row>
    <row r="17" spans="2:10" x14ac:dyDescent="0.25">
      <c r="B17" s="7"/>
      <c r="C17" s="7"/>
      <c r="D17" s="7"/>
      <c r="E17" s="7"/>
    </row>
    <row r="18" spans="2:10" x14ac:dyDescent="0.25">
      <c r="B18" s="8" t="s">
        <v>84</v>
      </c>
      <c r="C18" s="8" t="s">
        <v>21</v>
      </c>
      <c r="D18" s="8" t="s">
        <v>28</v>
      </c>
      <c r="E18" s="8" t="s">
        <v>29</v>
      </c>
      <c r="F18" s="16" t="s">
        <v>0</v>
      </c>
    </row>
    <row r="19" spans="2:10" x14ac:dyDescent="0.25">
      <c r="B19" s="9" t="s">
        <v>85</v>
      </c>
      <c r="C19" s="9" t="s">
        <v>2</v>
      </c>
      <c r="D19" s="23">
        <v>460709.64543152001</v>
      </c>
      <c r="E19" s="24">
        <v>231536.12</v>
      </c>
      <c r="F19" s="21" t="s">
        <v>30</v>
      </c>
      <c r="G19" s="12" t="s">
        <v>4</v>
      </c>
    </row>
    <row r="20" spans="2:10" x14ac:dyDescent="0.25">
      <c r="B20" s="9" t="s">
        <v>88</v>
      </c>
      <c r="C20" s="9" t="s">
        <v>2</v>
      </c>
      <c r="D20" s="23">
        <v>88567.85</v>
      </c>
      <c r="E20" s="23">
        <v>0</v>
      </c>
    </row>
    <row r="21" spans="2:10" x14ac:dyDescent="0.25">
      <c r="B21" s="9" t="s">
        <v>89</v>
      </c>
      <c r="C21" s="9" t="s">
        <v>2</v>
      </c>
      <c r="D21" s="23">
        <v>85279.695000000007</v>
      </c>
      <c r="E21" s="23">
        <v>19219.169999999998</v>
      </c>
    </row>
    <row r="22" spans="2:10" x14ac:dyDescent="0.25">
      <c r="B22" s="9" t="s">
        <v>90</v>
      </c>
      <c r="C22" s="9" t="s">
        <v>2</v>
      </c>
      <c r="D22" s="23">
        <v>97648.44</v>
      </c>
      <c r="E22" s="23">
        <v>61722.15</v>
      </c>
      <c r="F22" s="10"/>
    </row>
    <row r="26" spans="2:10" x14ac:dyDescent="0.25">
      <c r="H26" s="22"/>
      <c r="I26" s="22"/>
      <c r="J26" s="22"/>
    </row>
    <row r="27" spans="2:10" x14ac:dyDescent="0.25">
      <c r="H27" s="22"/>
      <c r="I27" s="22"/>
      <c r="J27" s="22"/>
    </row>
    <row r="28" spans="2:10" x14ac:dyDescent="0.25">
      <c r="H28" s="22"/>
      <c r="I28" s="22"/>
      <c r="J28" s="22"/>
    </row>
    <row r="29" spans="2:10" x14ac:dyDescent="0.25">
      <c r="H29" s="22"/>
      <c r="I29" s="22"/>
      <c r="J29" s="22"/>
    </row>
  </sheetData>
  <mergeCells count="1">
    <mergeCell ref="B15:E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C281-F235-4F15-992F-6AF6CFB92743}">
  <dimension ref="A1:S88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  <col min="9" max="9" width="12" bestFit="1" customWidth="1"/>
    <col min="10" max="10" width="16.140625" bestFit="1" customWidth="1"/>
    <col min="11" max="11" width="11.7109375" bestFit="1" customWidth="1"/>
    <col min="12" max="12" width="10.7109375" bestFit="1" customWidth="1"/>
    <col min="13" max="13" width="19.140625" bestFit="1" customWidth="1"/>
    <col min="14" max="14" width="12.7109375" bestFit="1" customWidth="1"/>
    <col min="15" max="15" width="12.42578125" bestFit="1" customWidth="1"/>
    <col min="16" max="16" width="11.5703125" bestFit="1" customWidth="1"/>
    <col min="17" max="17" width="12.140625" bestFit="1" customWidth="1"/>
    <col min="18" max="18" width="11.4257812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34</v>
      </c>
      <c r="C7" s="6"/>
      <c r="D7" s="6"/>
      <c r="E7" s="6"/>
    </row>
    <row r="8" spans="1:6" ht="7.15" customHeight="1" x14ac:dyDescent="0.25"/>
    <row r="9" spans="1:6" x14ac:dyDescent="0.25">
      <c r="B9" s="16" t="s">
        <v>31</v>
      </c>
      <c r="C9" s="16" t="s">
        <v>22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2210782</v>
      </c>
      <c r="E10" s="20" t="s">
        <v>145</v>
      </c>
      <c r="F10" s="12" t="s">
        <v>4</v>
      </c>
    </row>
    <row r="11" spans="1:6" x14ac:dyDescent="0.25">
      <c r="B11" s="17" t="s">
        <v>8</v>
      </c>
      <c r="C11" s="17" t="s">
        <v>8</v>
      </c>
      <c r="D11" s="18">
        <v>105752</v>
      </c>
    </row>
    <row r="12" spans="1:6" x14ac:dyDescent="0.25">
      <c r="B12" s="17" t="s">
        <v>7</v>
      </c>
      <c r="C12" s="17" t="s">
        <v>2</v>
      </c>
      <c r="D12" s="18">
        <v>944</v>
      </c>
    </row>
    <row r="13" spans="1:6" x14ac:dyDescent="0.25">
      <c r="B13" s="17" t="s">
        <v>9</v>
      </c>
      <c r="C13" s="17" t="s">
        <v>9</v>
      </c>
      <c r="D13" s="18">
        <v>40</v>
      </c>
    </row>
    <row r="15" spans="1:6" ht="14.45" customHeight="1" x14ac:dyDescent="0.25">
      <c r="B15" s="32" t="s">
        <v>35</v>
      </c>
      <c r="C15" s="32"/>
      <c r="D15" s="32"/>
      <c r="E15" s="32"/>
    </row>
    <row r="16" spans="1:6" x14ac:dyDescent="0.25">
      <c r="B16" s="32"/>
      <c r="C16" s="32"/>
      <c r="D16" s="32"/>
      <c r="E16" s="32"/>
    </row>
    <row r="17" spans="2:12" x14ac:dyDescent="0.25">
      <c r="B17" s="7"/>
      <c r="C17" s="7"/>
      <c r="D17" s="7"/>
      <c r="E17" s="7"/>
    </row>
    <row r="18" spans="2:12" x14ac:dyDescent="0.25">
      <c r="B18" s="8" t="s">
        <v>1</v>
      </c>
      <c r="C18" s="8" t="s">
        <v>22</v>
      </c>
      <c r="D18" s="8" t="s">
        <v>32</v>
      </c>
      <c r="E18" s="8" t="s">
        <v>33</v>
      </c>
      <c r="F18" s="16" t="s">
        <v>0</v>
      </c>
    </row>
    <row r="19" spans="2:12" x14ac:dyDescent="0.25">
      <c r="B19" s="9" t="s">
        <v>91</v>
      </c>
      <c r="C19" s="9" t="s">
        <v>2</v>
      </c>
      <c r="D19" s="23">
        <v>882.49749999999995</v>
      </c>
      <c r="E19" s="24">
        <v>422.1</v>
      </c>
      <c r="F19" s="21" t="s">
        <v>97</v>
      </c>
      <c r="G19" s="12" t="s">
        <v>4</v>
      </c>
    </row>
    <row r="20" spans="2:12" x14ac:dyDescent="0.25">
      <c r="B20" s="9" t="s">
        <v>92</v>
      </c>
      <c r="C20" s="9" t="s">
        <v>2</v>
      </c>
      <c r="D20" s="23">
        <v>365.89319205250001</v>
      </c>
      <c r="E20" s="23">
        <v>0</v>
      </c>
    </row>
    <row r="21" spans="2:12" x14ac:dyDescent="0.25">
      <c r="B21" s="11" t="s">
        <v>94</v>
      </c>
      <c r="C21" s="9" t="s">
        <v>2</v>
      </c>
      <c r="D21" s="23">
        <v>752.14499999999998</v>
      </c>
      <c r="E21" s="23">
        <v>143.41</v>
      </c>
      <c r="F21" s="10"/>
    </row>
    <row r="22" spans="2:12" x14ac:dyDescent="0.25">
      <c r="B22" s="11" t="s">
        <v>95</v>
      </c>
      <c r="C22" s="9" t="s">
        <v>2</v>
      </c>
      <c r="D22" s="23">
        <v>913.8125</v>
      </c>
      <c r="E22" s="23">
        <v>215.03</v>
      </c>
      <c r="F22" s="10"/>
    </row>
    <row r="23" spans="2:12" x14ac:dyDescent="0.25">
      <c r="B23" s="11" t="s">
        <v>96</v>
      </c>
      <c r="C23" s="9" t="s">
        <v>2</v>
      </c>
      <c r="D23" s="23">
        <v>2</v>
      </c>
      <c r="E23" s="23">
        <v>0.5</v>
      </c>
      <c r="F23" s="10"/>
    </row>
    <row r="25" spans="2:12" x14ac:dyDescent="0.25">
      <c r="B25" s="25" t="s">
        <v>99</v>
      </c>
    </row>
    <row r="26" spans="2:12" ht="6.95" customHeight="1" x14ac:dyDescent="0.25"/>
    <row r="27" spans="2:12" x14ac:dyDescent="0.25">
      <c r="B27" s="16" t="s">
        <v>100</v>
      </c>
      <c r="C27" s="16" t="s">
        <v>101</v>
      </c>
      <c r="D27" s="16" t="s">
        <v>102</v>
      </c>
      <c r="E27" s="16" t="s">
        <v>103</v>
      </c>
      <c r="F27" s="16" t="s">
        <v>84</v>
      </c>
      <c r="G27" s="16" t="s">
        <v>104</v>
      </c>
      <c r="H27" s="16" t="s">
        <v>105</v>
      </c>
      <c r="I27" s="16" t="s">
        <v>106</v>
      </c>
      <c r="J27" s="16" t="s">
        <v>107</v>
      </c>
      <c r="K27" s="16" t="s">
        <v>108</v>
      </c>
      <c r="L27" s="16" t="s">
        <v>109</v>
      </c>
    </row>
    <row r="28" spans="2:12" x14ac:dyDescent="0.25">
      <c r="B28" s="26" t="s">
        <v>86</v>
      </c>
      <c r="C28" s="26" t="s">
        <v>121</v>
      </c>
      <c r="D28" s="26" t="s">
        <v>116</v>
      </c>
      <c r="E28" s="26" t="s">
        <v>117</v>
      </c>
      <c r="F28" s="26" t="s">
        <v>91</v>
      </c>
      <c r="G28" s="26" t="s">
        <v>122</v>
      </c>
      <c r="H28" s="26" t="s">
        <v>123</v>
      </c>
      <c r="I28" s="26" t="s">
        <v>124</v>
      </c>
      <c r="J28" s="26" t="s">
        <v>125</v>
      </c>
      <c r="K28" s="26" t="s">
        <v>118</v>
      </c>
      <c r="L28" s="26" t="s">
        <v>87</v>
      </c>
    </row>
    <row r="29" spans="2:12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2:12" x14ac:dyDescent="0.25">
      <c r="B30" s="16" t="s">
        <v>110</v>
      </c>
      <c r="C30" s="16" t="s">
        <v>111</v>
      </c>
      <c r="D30" s="16" t="s">
        <v>112</v>
      </c>
      <c r="E30" s="16" t="s">
        <v>113</v>
      </c>
      <c r="F30" s="16" t="s">
        <v>114</v>
      </c>
      <c r="G30" s="16" t="s">
        <v>115</v>
      </c>
      <c r="H30" s="16" t="s">
        <v>0</v>
      </c>
    </row>
    <row r="31" spans="2:12" x14ac:dyDescent="0.25">
      <c r="B31" s="26" t="s">
        <v>119</v>
      </c>
      <c r="C31" s="26" t="s">
        <v>121</v>
      </c>
      <c r="D31" s="26" t="s">
        <v>120</v>
      </c>
      <c r="E31" s="26" t="s">
        <v>120</v>
      </c>
      <c r="F31" s="26" t="s">
        <v>98</v>
      </c>
      <c r="G31" s="26" t="s">
        <v>98</v>
      </c>
      <c r="H31" s="27" t="s">
        <v>126</v>
      </c>
      <c r="I31" s="12" t="s">
        <v>4</v>
      </c>
    </row>
    <row r="32" spans="2:12" x14ac:dyDescent="0.25">
      <c r="C32" s="10"/>
      <c r="D32" s="10"/>
      <c r="E32" s="10"/>
      <c r="F32" s="10"/>
      <c r="G32" s="10"/>
      <c r="H32" s="10"/>
      <c r="I32" s="12"/>
      <c r="J32" s="12"/>
    </row>
    <row r="33" spans="2:10" x14ac:dyDescent="0.25">
      <c r="C33" s="10"/>
      <c r="D33" s="10"/>
      <c r="E33" s="10"/>
      <c r="F33" s="10"/>
      <c r="G33" s="10"/>
      <c r="H33" s="10"/>
      <c r="I33" s="12"/>
      <c r="J33" s="12"/>
    </row>
    <row r="34" spans="2:10" x14ac:dyDescent="0.25">
      <c r="B34" s="28" t="s">
        <v>131</v>
      </c>
    </row>
    <row r="35" spans="2:10" ht="6.95" customHeight="1" x14ac:dyDescent="0.25"/>
    <row r="36" spans="2:10" x14ac:dyDescent="0.25">
      <c r="B36" s="16" t="s">
        <v>127</v>
      </c>
      <c r="C36" s="16" t="s">
        <v>128</v>
      </c>
      <c r="D36" s="16" t="s">
        <v>129</v>
      </c>
      <c r="E36" s="16" t="s">
        <v>0</v>
      </c>
    </row>
    <row r="37" spans="2:10" x14ac:dyDescent="0.25">
      <c r="B37" s="26">
        <v>844.2</v>
      </c>
      <c r="C37" s="26">
        <v>0</v>
      </c>
      <c r="D37" s="26">
        <v>0</v>
      </c>
      <c r="E37" s="27" t="s">
        <v>130</v>
      </c>
      <c r="F37" s="12" t="s">
        <v>4</v>
      </c>
    </row>
    <row r="39" spans="2:10" x14ac:dyDescent="0.25">
      <c r="B39" s="28" t="s">
        <v>132</v>
      </c>
    </row>
    <row r="40" spans="2:10" ht="6.95" customHeight="1" x14ac:dyDescent="0.25"/>
    <row r="41" spans="2:10" x14ac:dyDescent="0.25">
      <c r="B41" s="16" t="s">
        <v>127</v>
      </c>
      <c r="C41" s="16" t="s">
        <v>128</v>
      </c>
      <c r="D41" s="16" t="s">
        <v>129</v>
      </c>
      <c r="E41" s="16" t="s">
        <v>0</v>
      </c>
    </row>
    <row r="42" spans="2:10" x14ac:dyDescent="0.25">
      <c r="B42" s="26">
        <v>844.2</v>
      </c>
      <c r="C42" s="26">
        <v>0</v>
      </c>
      <c r="D42" s="26">
        <v>0</v>
      </c>
      <c r="E42" s="27" t="s">
        <v>133</v>
      </c>
      <c r="F42" s="12" t="s">
        <v>4</v>
      </c>
    </row>
    <row r="44" spans="2:10" x14ac:dyDescent="0.25">
      <c r="B44" s="28" t="s">
        <v>134</v>
      </c>
    </row>
    <row r="45" spans="2:10" ht="6.95" customHeight="1" x14ac:dyDescent="0.25"/>
    <row r="46" spans="2:10" x14ac:dyDescent="0.25">
      <c r="B46" s="16" t="s">
        <v>127</v>
      </c>
      <c r="C46" s="16" t="s">
        <v>128</v>
      </c>
      <c r="D46" s="16" t="s">
        <v>129</v>
      </c>
      <c r="E46" s="16" t="s">
        <v>0</v>
      </c>
    </row>
    <row r="47" spans="2:10" x14ac:dyDescent="0.25">
      <c r="B47" s="17">
        <v>814.18</v>
      </c>
      <c r="C47" s="17">
        <v>0</v>
      </c>
      <c r="D47" s="17">
        <v>0</v>
      </c>
      <c r="E47" s="27" t="s">
        <v>135</v>
      </c>
      <c r="F47" s="12" t="s">
        <v>4</v>
      </c>
    </row>
    <row r="49" spans="2:19" x14ac:dyDescent="0.25">
      <c r="B49" s="28" t="s">
        <v>136</v>
      </c>
    </row>
    <row r="50" spans="2:19" ht="6.95" customHeight="1" x14ac:dyDescent="0.25"/>
    <row r="51" spans="2:19" x14ac:dyDescent="0.25">
      <c r="B51" s="16" t="s">
        <v>127</v>
      </c>
      <c r="C51" s="16" t="s">
        <v>128</v>
      </c>
      <c r="D51" s="16" t="s">
        <v>129</v>
      </c>
      <c r="E51" s="16" t="s">
        <v>0</v>
      </c>
    </row>
    <row r="52" spans="2:19" x14ac:dyDescent="0.25">
      <c r="B52" s="17">
        <v>1027.4100000000001</v>
      </c>
      <c r="C52" s="17">
        <v>0</v>
      </c>
      <c r="D52" s="17">
        <v>0.17</v>
      </c>
      <c r="E52" s="27" t="s">
        <v>137</v>
      </c>
      <c r="F52" s="12" t="s">
        <v>4</v>
      </c>
    </row>
    <row r="55" spans="2:19" x14ac:dyDescent="0.25">
      <c r="B55" s="29" t="s">
        <v>138</v>
      </c>
      <c r="C55" s="30">
        <f>(B52+B47+B42+B37)/4</f>
        <v>882.49749999999995</v>
      </c>
      <c r="D55" s="29" t="b">
        <f>C55=D19</f>
        <v>1</v>
      </c>
    </row>
    <row r="58" spans="2:19" x14ac:dyDescent="0.25">
      <c r="B58" s="28" t="s">
        <v>139</v>
      </c>
    </row>
    <row r="59" spans="2:19" ht="6.95" customHeight="1" x14ac:dyDescent="0.25"/>
    <row r="60" spans="2:19" x14ac:dyDescent="0.25">
      <c r="B60" s="16" t="s">
        <v>100</v>
      </c>
      <c r="C60" s="16" t="s">
        <v>101</v>
      </c>
      <c r="D60" s="16" t="s">
        <v>102</v>
      </c>
      <c r="E60" s="16" t="s">
        <v>103</v>
      </c>
      <c r="F60" s="16" t="s">
        <v>84</v>
      </c>
      <c r="G60" s="16" t="s">
        <v>104</v>
      </c>
      <c r="H60" s="16" t="s">
        <v>105</v>
      </c>
      <c r="I60" s="16" t="s">
        <v>106</v>
      </c>
      <c r="J60" s="16" t="s">
        <v>107</v>
      </c>
      <c r="K60" s="16" t="s">
        <v>108</v>
      </c>
      <c r="L60" s="16" t="s">
        <v>109</v>
      </c>
      <c r="S60" s="10"/>
    </row>
    <row r="61" spans="2:19" x14ac:dyDescent="0.25">
      <c r="B61" s="26" t="s">
        <v>86</v>
      </c>
      <c r="C61" s="26" t="s">
        <v>121</v>
      </c>
      <c r="D61" s="26" t="s">
        <v>116</v>
      </c>
      <c r="E61" s="26" t="s">
        <v>117</v>
      </c>
      <c r="F61" s="26" t="s">
        <v>93</v>
      </c>
      <c r="G61" s="26" t="s">
        <v>122</v>
      </c>
      <c r="H61" s="26" t="s">
        <v>140</v>
      </c>
      <c r="I61" s="26" t="s">
        <v>141</v>
      </c>
      <c r="J61" s="26" t="s">
        <v>125</v>
      </c>
      <c r="K61" s="26" t="s">
        <v>118</v>
      </c>
      <c r="L61" s="26" t="s">
        <v>87</v>
      </c>
      <c r="S61" s="10"/>
    </row>
    <row r="63" spans="2:19" x14ac:dyDescent="0.25">
      <c r="B63" s="16" t="s">
        <v>110</v>
      </c>
      <c r="C63" s="16" t="s">
        <v>111</v>
      </c>
      <c r="D63" s="16" t="s">
        <v>112</v>
      </c>
      <c r="E63" s="16" t="s">
        <v>113</v>
      </c>
      <c r="F63" s="16" t="s">
        <v>114</v>
      </c>
      <c r="G63" s="16" t="s">
        <v>115</v>
      </c>
      <c r="H63" s="31" t="s">
        <v>0</v>
      </c>
    </row>
    <row r="64" spans="2:19" x14ac:dyDescent="0.25">
      <c r="B64" s="26" t="s">
        <v>119</v>
      </c>
      <c r="C64" s="26" t="s">
        <v>121</v>
      </c>
      <c r="D64" s="26" t="s">
        <v>120</v>
      </c>
      <c r="E64" s="26" t="s">
        <v>120</v>
      </c>
      <c r="F64" s="26" t="s">
        <v>98</v>
      </c>
      <c r="G64" s="26" t="s">
        <v>98</v>
      </c>
      <c r="H64" s="20" t="s">
        <v>142</v>
      </c>
      <c r="I64" s="12" t="s">
        <v>4</v>
      </c>
    </row>
    <row r="67" spans="2:4" x14ac:dyDescent="0.25">
      <c r="B67" s="28" t="s">
        <v>131</v>
      </c>
    </row>
    <row r="68" spans="2:4" ht="6.95" customHeight="1" x14ac:dyDescent="0.25"/>
    <row r="69" spans="2:4" x14ac:dyDescent="0.25">
      <c r="B69" s="16" t="s">
        <v>127</v>
      </c>
      <c r="C69" s="16" t="s">
        <v>128</v>
      </c>
      <c r="D69" s="16" t="s">
        <v>129</v>
      </c>
    </row>
    <row r="70" spans="2:4" x14ac:dyDescent="0.25">
      <c r="B70" s="17">
        <v>1343.59</v>
      </c>
      <c r="C70" s="17">
        <v>0</v>
      </c>
      <c r="D70" s="17">
        <v>0</v>
      </c>
    </row>
    <row r="72" spans="2:4" x14ac:dyDescent="0.25">
      <c r="B72" s="28" t="s">
        <v>132</v>
      </c>
    </row>
    <row r="73" spans="2:4" ht="6.95" customHeight="1" x14ac:dyDescent="0.25"/>
    <row r="74" spans="2:4" x14ac:dyDescent="0.25">
      <c r="B74" s="16" t="s">
        <v>127</v>
      </c>
      <c r="C74" s="16" t="s">
        <v>128</v>
      </c>
      <c r="D74" s="16" t="s">
        <v>129</v>
      </c>
    </row>
    <row r="75" spans="2:4" x14ac:dyDescent="0.25">
      <c r="B75" s="17">
        <v>1279.1600000000001</v>
      </c>
      <c r="C75" s="17">
        <v>0</v>
      </c>
      <c r="D75" s="17">
        <v>0</v>
      </c>
    </row>
    <row r="77" spans="2:4" x14ac:dyDescent="0.25">
      <c r="B77" s="28" t="s">
        <v>134</v>
      </c>
    </row>
    <row r="78" spans="2:4" ht="6.95" customHeight="1" x14ac:dyDescent="0.25"/>
    <row r="79" spans="2:4" x14ac:dyDescent="0.25">
      <c r="B79" s="16" t="s">
        <v>127</v>
      </c>
      <c r="C79" s="16" t="s">
        <v>128</v>
      </c>
      <c r="D79" s="16" t="s">
        <v>129</v>
      </c>
    </row>
    <row r="80" spans="2:4" x14ac:dyDescent="0.25">
      <c r="B80" s="17">
        <v>1176.6400000000001</v>
      </c>
      <c r="C80" s="17">
        <v>0</v>
      </c>
      <c r="D80" s="17">
        <v>0</v>
      </c>
    </row>
    <row r="82" spans="2:4" x14ac:dyDescent="0.25">
      <c r="B82" s="28" t="s">
        <v>136</v>
      </c>
    </row>
    <row r="83" spans="2:4" ht="6.95" customHeight="1" x14ac:dyDescent="0.25"/>
    <row r="84" spans="2:4" x14ac:dyDescent="0.25">
      <c r="B84" s="16" t="s">
        <v>127</v>
      </c>
      <c r="C84" s="16" t="s">
        <v>128</v>
      </c>
      <c r="D84" s="16" t="s">
        <v>129</v>
      </c>
    </row>
    <row r="85" spans="2:4" x14ac:dyDescent="0.25">
      <c r="B85" s="17">
        <v>2246.98</v>
      </c>
      <c r="C85" s="17">
        <v>0</v>
      </c>
      <c r="D85" s="17">
        <v>0</v>
      </c>
    </row>
    <row r="88" spans="2:4" x14ac:dyDescent="0.25">
      <c r="B88" s="29" t="s">
        <v>138</v>
      </c>
      <c r="C88" s="29">
        <f>(B85+B80+B75+B70)/4</f>
        <v>1511.5925</v>
      </c>
      <c r="D88" s="29" t="e">
        <f>C88=#REF!</f>
        <v>#REF!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A909-1788-4A67-8B91-761539AAA0CE}">
  <dimension ref="A1:G21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36</v>
      </c>
      <c r="C7" s="6"/>
      <c r="D7" s="6"/>
      <c r="E7" s="6"/>
    </row>
    <row r="8" spans="1:6" ht="7.15" customHeight="1" x14ac:dyDescent="0.25"/>
    <row r="9" spans="1:6" x14ac:dyDescent="0.25">
      <c r="B9" s="16" t="s">
        <v>31</v>
      </c>
      <c r="C9" s="16" t="s">
        <v>23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2210936</v>
      </c>
      <c r="E10" s="20" t="s">
        <v>146</v>
      </c>
      <c r="F10" s="12" t="s">
        <v>4</v>
      </c>
    </row>
    <row r="11" spans="1:6" x14ac:dyDescent="0.25">
      <c r="B11" s="17" t="s">
        <v>8</v>
      </c>
      <c r="C11" s="17" t="s">
        <v>8</v>
      </c>
      <c r="D11" s="18">
        <v>105752</v>
      </c>
    </row>
    <row r="12" spans="1:6" x14ac:dyDescent="0.25">
      <c r="B12" s="17" t="s">
        <v>7</v>
      </c>
      <c r="C12" s="17" t="s">
        <v>2</v>
      </c>
      <c r="D12" s="18">
        <v>790</v>
      </c>
    </row>
    <row r="13" spans="1:6" x14ac:dyDescent="0.25">
      <c r="B13" s="17" t="s">
        <v>9</v>
      </c>
      <c r="C13" s="17" t="s">
        <v>9</v>
      </c>
      <c r="D13" s="18">
        <v>40</v>
      </c>
    </row>
    <row r="15" spans="1:6" ht="14.45" customHeight="1" x14ac:dyDescent="0.25">
      <c r="B15" s="32" t="s">
        <v>37</v>
      </c>
      <c r="C15" s="32"/>
      <c r="D15" s="32"/>
      <c r="E15" s="32"/>
    </row>
    <row r="16" spans="1:6" x14ac:dyDescent="0.25">
      <c r="B16" s="32"/>
      <c r="C16" s="32"/>
      <c r="D16" s="32"/>
      <c r="E16" s="32"/>
    </row>
    <row r="17" spans="2:7" x14ac:dyDescent="0.25">
      <c r="B17" s="7"/>
      <c r="C17" s="7"/>
      <c r="D17" s="7"/>
      <c r="E17" s="7"/>
    </row>
    <row r="18" spans="2:7" x14ac:dyDescent="0.25">
      <c r="B18" s="8" t="s">
        <v>1</v>
      </c>
      <c r="C18" s="8" t="s">
        <v>23</v>
      </c>
      <c r="D18" s="8" t="s">
        <v>38</v>
      </c>
      <c r="E18" s="8" t="s">
        <v>39</v>
      </c>
      <c r="F18" s="16" t="s">
        <v>0</v>
      </c>
    </row>
    <row r="19" spans="2:7" x14ac:dyDescent="0.25">
      <c r="B19" s="9" t="s">
        <v>147</v>
      </c>
      <c r="C19" s="9" t="s">
        <v>2</v>
      </c>
      <c r="D19" s="9" t="s">
        <v>148</v>
      </c>
      <c r="E19" s="9" t="s">
        <v>149</v>
      </c>
      <c r="F19" s="21" t="s">
        <v>154</v>
      </c>
      <c r="G19" s="12" t="s">
        <v>4</v>
      </c>
    </row>
    <row r="20" spans="2:7" x14ac:dyDescent="0.25">
      <c r="B20" s="11" t="s">
        <v>150</v>
      </c>
      <c r="C20" s="9" t="s">
        <v>2</v>
      </c>
      <c r="D20" s="9" t="s">
        <v>151</v>
      </c>
      <c r="E20" s="9" t="s">
        <v>3</v>
      </c>
    </row>
    <row r="21" spans="2:7" x14ac:dyDescent="0.25">
      <c r="B21" s="11" t="s">
        <v>85</v>
      </c>
      <c r="C21" s="9" t="s">
        <v>2</v>
      </c>
      <c r="D21" s="9" t="s">
        <v>152</v>
      </c>
      <c r="E21" s="9" t="s">
        <v>153</v>
      </c>
      <c r="F21" s="10"/>
    </row>
  </sheetData>
  <mergeCells count="1">
    <mergeCell ref="B15:E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A15F-909C-4012-B2A3-813F18C58B2E}">
  <dimension ref="A1:G24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17</v>
      </c>
      <c r="C7" s="6"/>
      <c r="D7" s="6"/>
      <c r="E7" s="6"/>
    </row>
    <row r="8" spans="1:6" ht="7.15" customHeight="1" x14ac:dyDescent="0.25"/>
    <row r="9" spans="1:6" x14ac:dyDescent="0.25">
      <c r="B9" s="16" t="s">
        <v>31</v>
      </c>
      <c r="C9" s="16" t="s">
        <v>11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1575397</v>
      </c>
      <c r="E10" s="20" t="s">
        <v>155</v>
      </c>
      <c r="F10" s="12" t="s">
        <v>4</v>
      </c>
    </row>
    <row r="11" spans="1:6" x14ac:dyDescent="0.25">
      <c r="B11" s="17" t="s">
        <v>7</v>
      </c>
      <c r="C11" s="17" t="s">
        <v>2</v>
      </c>
      <c r="D11" s="18">
        <v>636329</v>
      </c>
    </row>
    <row r="12" spans="1:6" x14ac:dyDescent="0.25">
      <c r="B12" s="17" t="s">
        <v>8</v>
      </c>
      <c r="C12" s="17" t="s">
        <v>8</v>
      </c>
      <c r="D12" s="18">
        <v>105752</v>
      </c>
    </row>
    <row r="13" spans="1:6" x14ac:dyDescent="0.25">
      <c r="B13" s="17" t="s">
        <v>9</v>
      </c>
      <c r="C13" s="17" t="s">
        <v>9</v>
      </c>
      <c r="D13" s="18">
        <v>40</v>
      </c>
    </row>
    <row r="15" spans="1:6" ht="14.45" customHeight="1" x14ac:dyDescent="0.25">
      <c r="B15" s="32" t="s">
        <v>18</v>
      </c>
      <c r="C15" s="32"/>
      <c r="D15" s="32"/>
      <c r="E15" s="32"/>
    </row>
    <row r="16" spans="1:6" x14ac:dyDescent="0.25">
      <c r="B16" s="32"/>
      <c r="C16" s="32"/>
      <c r="D16" s="32"/>
      <c r="E16" s="32"/>
    </row>
    <row r="17" spans="2:7" x14ac:dyDescent="0.25">
      <c r="B17" s="7"/>
      <c r="C17" s="7"/>
      <c r="D17" s="7"/>
      <c r="E17" s="7"/>
    </row>
    <row r="18" spans="2:7" x14ac:dyDescent="0.25">
      <c r="B18" s="8" t="s">
        <v>1</v>
      </c>
      <c r="C18" s="8" t="s">
        <v>11</v>
      </c>
      <c r="D18" s="8" t="s">
        <v>41</v>
      </c>
      <c r="E18" s="8" t="s">
        <v>14</v>
      </c>
      <c r="F18" s="16" t="s">
        <v>0</v>
      </c>
    </row>
    <row r="19" spans="2:7" x14ac:dyDescent="0.25">
      <c r="B19" s="9" t="s">
        <v>42</v>
      </c>
      <c r="C19" s="9" t="s">
        <v>2</v>
      </c>
      <c r="D19" s="9" t="s">
        <v>43</v>
      </c>
      <c r="E19" s="19" t="s">
        <v>3</v>
      </c>
      <c r="F19" s="21" t="s">
        <v>156</v>
      </c>
      <c r="G19" s="12" t="s">
        <v>4</v>
      </c>
    </row>
    <row r="20" spans="2:7" x14ac:dyDescent="0.25">
      <c r="B20" s="9" t="s">
        <v>15</v>
      </c>
      <c r="C20" s="9" t="s">
        <v>2</v>
      </c>
      <c r="D20" s="9" t="s">
        <v>16</v>
      </c>
      <c r="E20" s="9" t="s">
        <v>3</v>
      </c>
    </row>
    <row r="21" spans="2:7" x14ac:dyDescent="0.25">
      <c r="B21" s="11" t="s">
        <v>44</v>
      </c>
      <c r="C21" s="9" t="s">
        <v>2</v>
      </c>
      <c r="D21" s="9" t="s">
        <v>45</v>
      </c>
      <c r="E21" s="9" t="s">
        <v>3</v>
      </c>
    </row>
    <row r="22" spans="2:7" x14ac:dyDescent="0.25">
      <c r="B22" s="11" t="s">
        <v>48</v>
      </c>
      <c r="C22" s="9" t="s">
        <v>2</v>
      </c>
      <c r="D22" s="9" t="s">
        <v>49</v>
      </c>
      <c r="E22" s="9" t="s">
        <v>3</v>
      </c>
      <c r="F22" s="10"/>
    </row>
    <row r="23" spans="2:7" x14ac:dyDescent="0.25">
      <c r="B23" s="11" t="s">
        <v>46</v>
      </c>
      <c r="C23" s="9" t="s">
        <v>2</v>
      </c>
      <c r="D23" s="9" t="s">
        <v>47</v>
      </c>
      <c r="E23" s="9" t="s">
        <v>3</v>
      </c>
      <c r="F23" s="10"/>
    </row>
    <row r="24" spans="2:7" x14ac:dyDescent="0.25">
      <c r="B24" s="11" t="s">
        <v>50</v>
      </c>
      <c r="C24" s="9" t="s">
        <v>2</v>
      </c>
      <c r="D24" s="9" t="s">
        <v>51</v>
      </c>
      <c r="E24" s="9" t="s">
        <v>3</v>
      </c>
      <c r="F24" s="10"/>
    </row>
  </sheetData>
  <mergeCells count="1">
    <mergeCell ref="B15:E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9124-A608-4A73-BEA8-19CFBD76797A}">
  <dimension ref="A1:G24"/>
  <sheetViews>
    <sheetView showGridLines="0" workbookViewId="0">
      <selection activeCell="B1" sqref="B1"/>
    </sheetView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52</v>
      </c>
      <c r="C7" s="6"/>
      <c r="D7" s="6"/>
      <c r="E7" s="6"/>
    </row>
    <row r="8" spans="1:6" ht="7.15" customHeight="1" x14ac:dyDescent="0.25"/>
    <row r="9" spans="1:6" x14ac:dyDescent="0.25">
      <c r="B9" s="16" t="s">
        <v>31</v>
      </c>
      <c r="C9" s="16" t="s">
        <v>12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2075178</v>
      </c>
      <c r="E10" s="20" t="s">
        <v>157</v>
      </c>
      <c r="F10" s="12" t="s">
        <v>4</v>
      </c>
    </row>
    <row r="11" spans="1:6" x14ac:dyDescent="0.25">
      <c r="B11" s="17" t="s">
        <v>7</v>
      </c>
      <c r="C11" s="17" t="s">
        <v>2</v>
      </c>
      <c r="D11" s="18">
        <v>136548</v>
      </c>
    </row>
    <row r="12" spans="1:6" x14ac:dyDescent="0.25">
      <c r="B12" s="17" t="s">
        <v>8</v>
      </c>
      <c r="C12" s="17" t="s">
        <v>8</v>
      </c>
      <c r="D12" s="18">
        <v>105752</v>
      </c>
    </row>
    <row r="13" spans="1:6" x14ac:dyDescent="0.25">
      <c r="B13" s="17" t="s">
        <v>9</v>
      </c>
      <c r="C13" s="17" t="s">
        <v>9</v>
      </c>
      <c r="D13" s="18">
        <v>40</v>
      </c>
    </row>
    <row r="15" spans="1:6" ht="14.45" customHeight="1" x14ac:dyDescent="0.25">
      <c r="B15" s="32" t="s">
        <v>53</v>
      </c>
      <c r="C15" s="32"/>
      <c r="D15" s="32"/>
      <c r="E15" s="32"/>
    </row>
    <row r="16" spans="1:6" x14ac:dyDescent="0.25">
      <c r="B16" s="32"/>
      <c r="C16" s="32"/>
      <c r="D16" s="32"/>
      <c r="E16" s="32"/>
    </row>
    <row r="17" spans="2:7" x14ac:dyDescent="0.25">
      <c r="B17" s="7"/>
      <c r="C17" s="7"/>
      <c r="D17" s="7"/>
      <c r="E17" s="7"/>
    </row>
    <row r="18" spans="2:7" x14ac:dyDescent="0.25">
      <c r="B18" s="8" t="s">
        <v>1</v>
      </c>
      <c r="C18" s="8" t="s">
        <v>12</v>
      </c>
      <c r="D18" s="8" t="s">
        <v>54</v>
      </c>
      <c r="E18" s="8" t="s">
        <v>19</v>
      </c>
      <c r="F18" s="16" t="s">
        <v>0</v>
      </c>
    </row>
    <row r="19" spans="2:7" x14ac:dyDescent="0.25">
      <c r="B19" s="9" t="s">
        <v>158</v>
      </c>
      <c r="C19" s="9" t="s">
        <v>2</v>
      </c>
      <c r="D19" s="9" t="s">
        <v>159</v>
      </c>
      <c r="E19" s="19" t="s">
        <v>3</v>
      </c>
      <c r="F19" s="21" t="s">
        <v>170</v>
      </c>
      <c r="G19" s="12" t="s">
        <v>4</v>
      </c>
    </row>
    <row r="20" spans="2:7" x14ac:dyDescent="0.25">
      <c r="B20" s="9" t="s">
        <v>160</v>
      </c>
      <c r="C20" s="9" t="s">
        <v>2</v>
      </c>
      <c r="D20" s="9" t="s">
        <v>161</v>
      </c>
      <c r="E20" s="9" t="s">
        <v>3</v>
      </c>
    </row>
    <row r="21" spans="2:7" x14ac:dyDescent="0.25">
      <c r="B21" s="11" t="s">
        <v>162</v>
      </c>
      <c r="C21" s="9" t="s">
        <v>2</v>
      </c>
      <c r="D21" s="9" t="s">
        <v>163</v>
      </c>
      <c r="E21" s="9" t="s">
        <v>3</v>
      </c>
    </row>
    <row r="22" spans="2:7" x14ac:dyDescent="0.25">
      <c r="B22" s="11" t="s">
        <v>164</v>
      </c>
      <c r="C22" s="9" t="s">
        <v>2</v>
      </c>
      <c r="D22" s="9" t="s">
        <v>165</v>
      </c>
      <c r="E22" s="9" t="s">
        <v>3</v>
      </c>
      <c r="F22" s="10"/>
    </row>
    <row r="23" spans="2:7" x14ac:dyDescent="0.25">
      <c r="B23" s="11" t="s">
        <v>166</v>
      </c>
      <c r="C23" s="9" t="s">
        <v>2</v>
      </c>
      <c r="D23" s="9" t="s">
        <v>167</v>
      </c>
      <c r="E23" s="9" t="s">
        <v>3</v>
      </c>
      <c r="F23" s="10"/>
    </row>
    <row r="24" spans="2:7" x14ac:dyDescent="0.25">
      <c r="B24" s="11" t="s">
        <v>168</v>
      </c>
      <c r="C24" s="9" t="s">
        <v>2</v>
      </c>
      <c r="D24" s="9" t="s">
        <v>169</v>
      </c>
      <c r="E24" s="9" t="s">
        <v>3</v>
      </c>
      <c r="F24" s="10"/>
    </row>
  </sheetData>
  <mergeCells count="1">
    <mergeCell ref="B15:E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0368-BBD0-4EDC-AACB-F3558815BC57}">
  <dimension ref="A1:G24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55</v>
      </c>
      <c r="C7" s="6"/>
      <c r="D7" s="6"/>
      <c r="E7" s="6"/>
    </row>
    <row r="8" spans="1:6" ht="7.15" customHeight="1" x14ac:dyDescent="0.25"/>
    <row r="9" spans="1:6" x14ac:dyDescent="0.25">
      <c r="B9" s="16" t="s">
        <v>31</v>
      </c>
      <c r="C9" s="16" t="s">
        <v>24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1486106</v>
      </c>
      <c r="E10" s="20" t="s">
        <v>171</v>
      </c>
      <c r="F10" s="12" t="s">
        <v>4</v>
      </c>
    </row>
    <row r="11" spans="1:6" x14ac:dyDescent="0.25">
      <c r="B11" s="17" t="s">
        <v>7</v>
      </c>
      <c r="C11" s="17" t="s">
        <v>2</v>
      </c>
      <c r="D11" s="18">
        <v>725620</v>
      </c>
    </row>
    <row r="12" spans="1:6" x14ac:dyDescent="0.25">
      <c r="B12" s="17" t="s">
        <v>8</v>
      </c>
      <c r="C12" s="17" t="s">
        <v>8</v>
      </c>
      <c r="D12" s="18">
        <v>105752</v>
      </c>
    </row>
    <row r="13" spans="1:6" x14ac:dyDescent="0.25">
      <c r="B13" s="17" t="s">
        <v>9</v>
      </c>
      <c r="C13" s="17" t="s">
        <v>9</v>
      </c>
      <c r="D13" s="18">
        <v>40</v>
      </c>
    </row>
    <row r="15" spans="1:6" ht="14.45" customHeight="1" x14ac:dyDescent="0.25">
      <c r="B15" s="32" t="s">
        <v>56</v>
      </c>
      <c r="C15" s="32"/>
      <c r="D15" s="32"/>
      <c r="E15" s="32"/>
    </row>
    <row r="16" spans="1:6" x14ac:dyDescent="0.25">
      <c r="B16" s="32"/>
      <c r="C16" s="32"/>
      <c r="D16" s="32"/>
      <c r="E16" s="32"/>
    </row>
    <row r="17" spans="2:7" x14ac:dyDescent="0.25">
      <c r="B17" s="7"/>
      <c r="C17" s="7"/>
      <c r="D17" s="7"/>
      <c r="E17" s="7"/>
    </row>
    <row r="18" spans="2:7" x14ac:dyDescent="0.25">
      <c r="B18" s="8" t="s">
        <v>1</v>
      </c>
      <c r="C18" s="8" t="s">
        <v>24</v>
      </c>
      <c r="D18" s="8" t="s">
        <v>57</v>
      </c>
      <c r="E18" s="8" t="s">
        <v>58</v>
      </c>
      <c r="F18" s="16" t="s">
        <v>0</v>
      </c>
    </row>
    <row r="19" spans="2:7" x14ac:dyDescent="0.25">
      <c r="B19" s="9" t="s">
        <v>64</v>
      </c>
      <c r="C19" s="9" t="s">
        <v>2</v>
      </c>
      <c r="D19" s="9" t="s">
        <v>65</v>
      </c>
      <c r="E19" s="19" t="s">
        <v>66</v>
      </c>
      <c r="F19" s="21" t="s">
        <v>172</v>
      </c>
      <c r="G19" s="12" t="s">
        <v>4</v>
      </c>
    </row>
    <row r="20" spans="2:7" x14ac:dyDescent="0.25">
      <c r="B20" s="9" t="s">
        <v>61</v>
      </c>
      <c r="C20" s="9" t="s">
        <v>2</v>
      </c>
      <c r="D20" s="9" t="s">
        <v>62</v>
      </c>
      <c r="E20" s="9" t="s">
        <v>63</v>
      </c>
    </row>
    <row r="21" spans="2:7" x14ac:dyDescent="0.25">
      <c r="B21" s="11" t="s">
        <v>59</v>
      </c>
      <c r="C21" s="9" t="s">
        <v>2</v>
      </c>
      <c r="D21" s="9" t="s">
        <v>60</v>
      </c>
      <c r="E21" s="9" t="s">
        <v>3</v>
      </c>
    </row>
    <row r="22" spans="2:7" x14ac:dyDescent="0.25">
      <c r="B22" s="11" t="s">
        <v>67</v>
      </c>
      <c r="C22" s="9" t="s">
        <v>2</v>
      </c>
      <c r="D22" s="9" t="s">
        <v>68</v>
      </c>
      <c r="E22" s="9" t="s">
        <v>69</v>
      </c>
      <c r="F22" s="10"/>
    </row>
    <row r="23" spans="2:7" x14ac:dyDescent="0.25">
      <c r="B23" s="11" t="s">
        <v>73</v>
      </c>
      <c r="C23" s="9" t="s">
        <v>2</v>
      </c>
      <c r="D23" s="9" t="s">
        <v>74</v>
      </c>
      <c r="E23" s="9" t="s">
        <v>75</v>
      </c>
      <c r="F23" s="10"/>
    </row>
    <row r="24" spans="2:7" x14ac:dyDescent="0.25">
      <c r="B24" s="11" t="s">
        <v>70</v>
      </c>
      <c r="C24" s="9" t="s">
        <v>2</v>
      </c>
      <c r="D24" s="9" t="s">
        <v>71</v>
      </c>
      <c r="E24" s="9" t="s">
        <v>72</v>
      </c>
      <c r="F24" s="10"/>
    </row>
  </sheetData>
  <mergeCells count="1">
    <mergeCell ref="B15:E1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1DE6-671A-4A6B-8847-58840BAB205E}">
  <dimension ref="A1:G24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77</v>
      </c>
      <c r="C7" s="6"/>
      <c r="D7" s="6"/>
      <c r="E7" s="6"/>
    </row>
    <row r="8" spans="1:6" ht="7.15" customHeight="1" x14ac:dyDescent="0.25"/>
    <row r="9" spans="1:6" x14ac:dyDescent="0.25">
      <c r="B9" s="16" t="s">
        <v>31</v>
      </c>
      <c r="C9" s="16" t="s">
        <v>25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2210669</v>
      </c>
      <c r="E10" s="20" t="s">
        <v>186</v>
      </c>
      <c r="F10" s="12" t="s">
        <v>4</v>
      </c>
    </row>
    <row r="11" spans="1:6" x14ac:dyDescent="0.25">
      <c r="B11" s="17" t="s">
        <v>8</v>
      </c>
      <c r="C11" s="17" t="s">
        <v>8</v>
      </c>
      <c r="D11" s="18">
        <v>105752</v>
      </c>
    </row>
    <row r="12" spans="1:6" x14ac:dyDescent="0.25">
      <c r="B12" s="17" t="s">
        <v>7</v>
      </c>
      <c r="C12" s="17" t="s">
        <v>2</v>
      </c>
      <c r="D12" s="18">
        <v>1057</v>
      </c>
    </row>
    <row r="13" spans="1:6" x14ac:dyDescent="0.25">
      <c r="B13" s="17" t="s">
        <v>9</v>
      </c>
      <c r="C13" s="17" t="s">
        <v>9</v>
      </c>
      <c r="D13" s="18">
        <v>40</v>
      </c>
    </row>
    <row r="15" spans="1:6" ht="14.45" customHeight="1" x14ac:dyDescent="0.25">
      <c r="B15" s="32" t="s">
        <v>76</v>
      </c>
      <c r="C15" s="32"/>
      <c r="D15" s="32"/>
      <c r="E15" s="32"/>
    </row>
    <row r="16" spans="1:6" x14ac:dyDescent="0.25">
      <c r="B16" s="32"/>
      <c r="C16" s="32"/>
      <c r="D16" s="32"/>
      <c r="E16" s="32"/>
    </row>
    <row r="17" spans="2:7" x14ac:dyDescent="0.25">
      <c r="B17" s="7"/>
      <c r="C17" s="7"/>
      <c r="D17" s="7"/>
      <c r="E17" s="7"/>
    </row>
    <row r="18" spans="2:7" x14ac:dyDescent="0.25">
      <c r="B18" s="8" t="s">
        <v>1</v>
      </c>
      <c r="C18" s="8" t="s">
        <v>25</v>
      </c>
      <c r="D18" s="8" t="s">
        <v>78</v>
      </c>
      <c r="E18" s="8" t="s">
        <v>79</v>
      </c>
      <c r="F18" s="16" t="s">
        <v>0</v>
      </c>
    </row>
    <row r="19" spans="2:7" x14ac:dyDescent="0.25">
      <c r="B19" s="9" t="s">
        <v>173</v>
      </c>
      <c r="C19" s="9" t="s">
        <v>2</v>
      </c>
      <c r="D19" s="9" t="s">
        <v>174</v>
      </c>
      <c r="E19" s="19" t="s">
        <v>3</v>
      </c>
      <c r="F19" s="21" t="s">
        <v>185</v>
      </c>
      <c r="G19" s="12" t="s">
        <v>4</v>
      </c>
    </row>
    <row r="20" spans="2:7" x14ac:dyDescent="0.25">
      <c r="B20" s="9" t="s">
        <v>175</v>
      </c>
      <c r="C20" s="9" t="s">
        <v>2</v>
      </c>
      <c r="D20" s="9" t="s">
        <v>176</v>
      </c>
      <c r="E20" s="9" t="s">
        <v>3</v>
      </c>
    </row>
    <row r="21" spans="2:7" x14ac:dyDescent="0.25">
      <c r="B21" s="11" t="s">
        <v>177</v>
      </c>
      <c r="C21" s="9" t="s">
        <v>2</v>
      </c>
      <c r="D21" s="9" t="s">
        <v>178</v>
      </c>
      <c r="E21" s="9" t="s">
        <v>3</v>
      </c>
    </row>
    <row r="22" spans="2:7" x14ac:dyDescent="0.25">
      <c r="B22" s="11" t="s">
        <v>179</v>
      </c>
      <c r="C22" s="9" t="s">
        <v>2</v>
      </c>
      <c r="D22" s="9" t="s">
        <v>180</v>
      </c>
      <c r="E22" s="9" t="s">
        <v>3</v>
      </c>
      <c r="F22" s="10"/>
    </row>
    <row r="23" spans="2:7" x14ac:dyDescent="0.25">
      <c r="B23" s="11" t="s">
        <v>181</v>
      </c>
      <c r="C23" s="9" t="s">
        <v>2</v>
      </c>
      <c r="D23" s="9" t="s">
        <v>182</v>
      </c>
      <c r="E23" s="9" t="s">
        <v>3</v>
      </c>
      <c r="F23" s="10"/>
    </row>
    <row r="24" spans="2:7" x14ac:dyDescent="0.25">
      <c r="B24" s="11" t="s">
        <v>183</v>
      </c>
      <c r="C24" s="9" t="s">
        <v>2</v>
      </c>
      <c r="D24" s="9" t="s">
        <v>184</v>
      </c>
      <c r="E24" s="9" t="s">
        <v>3</v>
      </c>
      <c r="F24" s="10"/>
    </row>
  </sheetData>
  <mergeCells count="1">
    <mergeCell ref="B15:E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F4AB-02A5-4E26-9453-1E9A00A5B00F}">
  <dimension ref="A1:G23"/>
  <sheetViews>
    <sheetView showGridLines="0" tabSelected="1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52</v>
      </c>
      <c r="C7" s="6"/>
      <c r="D7" s="6"/>
      <c r="E7" s="6"/>
    </row>
    <row r="8" spans="1:6" ht="7.15" customHeight="1" x14ac:dyDescent="0.25"/>
    <row r="9" spans="1:6" x14ac:dyDescent="0.25">
      <c r="B9" s="16" t="s">
        <v>31</v>
      </c>
      <c r="C9" s="16" t="s">
        <v>13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2210956</v>
      </c>
      <c r="E10" s="20" t="s">
        <v>187</v>
      </c>
      <c r="F10" s="12" t="s">
        <v>4</v>
      </c>
    </row>
    <row r="11" spans="1:6" x14ac:dyDescent="0.25">
      <c r="B11" s="17" t="s">
        <v>8</v>
      </c>
      <c r="C11" s="17" t="s">
        <v>8</v>
      </c>
      <c r="D11" s="18">
        <v>105752</v>
      </c>
    </row>
    <row r="12" spans="1:6" x14ac:dyDescent="0.25">
      <c r="B12" s="17" t="s">
        <v>7</v>
      </c>
      <c r="C12" s="17" t="s">
        <v>2</v>
      </c>
      <c r="D12" s="18">
        <v>770</v>
      </c>
    </row>
    <row r="13" spans="1:6" x14ac:dyDescent="0.25">
      <c r="B13" s="17" t="s">
        <v>9</v>
      </c>
      <c r="C13" s="17" t="s">
        <v>9</v>
      </c>
      <c r="D13" s="18">
        <v>40</v>
      </c>
    </row>
    <row r="15" spans="1:6" ht="14.45" customHeight="1" x14ac:dyDescent="0.25">
      <c r="B15" s="32" t="s">
        <v>53</v>
      </c>
      <c r="C15" s="32"/>
      <c r="D15" s="32"/>
      <c r="E15" s="32"/>
    </row>
    <row r="16" spans="1:6" x14ac:dyDescent="0.25">
      <c r="B16" s="32"/>
      <c r="C16" s="32"/>
      <c r="D16" s="32"/>
      <c r="E16" s="32"/>
    </row>
    <row r="17" spans="2:7" x14ac:dyDescent="0.25">
      <c r="B17" s="7"/>
      <c r="C17" s="7"/>
      <c r="D17" s="7"/>
      <c r="E17" s="7"/>
    </row>
    <row r="18" spans="2:7" x14ac:dyDescent="0.25">
      <c r="B18" s="8" t="s">
        <v>1</v>
      </c>
      <c r="C18" s="8" t="s">
        <v>13</v>
      </c>
      <c r="D18" s="8" t="s">
        <v>80</v>
      </c>
      <c r="E18" s="8" t="s">
        <v>20</v>
      </c>
      <c r="F18" s="16" t="s">
        <v>0</v>
      </c>
    </row>
    <row r="19" spans="2:7" x14ac:dyDescent="0.25">
      <c r="B19" s="9" t="s">
        <v>188</v>
      </c>
      <c r="C19" s="9" t="s">
        <v>2</v>
      </c>
      <c r="D19" s="9" t="s">
        <v>40</v>
      </c>
      <c r="E19" s="9" t="s">
        <v>189</v>
      </c>
      <c r="F19" s="21" t="s">
        <v>193</v>
      </c>
      <c r="G19" s="12" t="s">
        <v>4</v>
      </c>
    </row>
    <row r="20" spans="2:7" x14ac:dyDescent="0.25">
      <c r="B20" s="9" t="s">
        <v>190</v>
      </c>
      <c r="C20" s="9" t="s">
        <v>2</v>
      </c>
      <c r="D20" s="9">
        <v>99999999999</v>
      </c>
      <c r="E20" s="9" t="s">
        <v>189</v>
      </c>
    </row>
    <row r="21" spans="2:7" x14ac:dyDescent="0.25">
      <c r="B21" s="9" t="s">
        <v>191</v>
      </c>
      <c r="C21" s="9" t="s">
        <v>2</v>
      </c>
      <c r="D21" s="9">
        <v>99999999999</v>
      </c>
      <c r="E21" s="9" t="s">
        <v>189</v>
      </c>
    </row>
    <row r="22" spans="2:7" x14ac:dyDescent="0.25">
      <c r="B22" s="9" t="s">
        <v>192</v>
      </c>
      <c r="C22" s="9" t="s">
        <v>2</v>
      </c>
      <c r="D22" s="9">
        <v>99999999999</v>
      </c>
      <c r="E22" s="9" t="s">
        <v>189</v>
      </c>
    </row>
    <row r="23" spans="2:7" x14ac:dyDescent="0.25">
      <c r="B23" s="9" t="s">
        <v>81</v>
      </c>
      <c r="C23" s="9" t="s">
        <v>2</v>
      </c>
      <c r="D23" s="9" t="s">
        <v>82</v>
      </c>
      <c r="E23" s="9" t="s">
        <v>83</v>
      </c>
      <c r="F23" s="10"/>
    </row>
  </sheetData>
  <mergeCells count="1">
    <mergeCell ref="B15:E1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8AC68D-175B-415A-A3B2-7D9B414B5E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4042B5-906A-4847-9D46-64B14C804F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5C1FD3C2-5F8F-41ED-B91A-B184BDFB32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Fields</vt:lpstr>
      <vt:lpstr>avrg_blnc</vt:lpstr>
      <vt:lpstr>avrg_blnc_off_blnc</vt:lpstr>
      <vt:lpstr>grss_intrst_incm</vt:lpstr>
      <vt:lpstr>grss_cmmssn_incm</vt:lpstr>
      <vt:lpstr>grss_cmmssn_expns</vt:lpstr>
      <vt:lpstr>nt_ln_lss_prvsn</vt:lpstr>
      <vt:lpstr>nt_ln_lss_prvsn_off_blnc</vt:lpstr>
      <vt:lpstr>grss_cmmssn_incm_off_blnc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Duarte Manuel André Gomes</cp:lastModifiedBy>
  <cp:revision/>
  <dcterms:created xsi:type="dcterms:W3CDTF">2025-06-22T03:15:37Z</dcterms:created>
  <dcterms:modified xsi:type="dcterms:W3CDTF">2025-07-22T15:12:29Z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2025-07-02T15:03:49Z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70c1310e-57e5-4abf-9612-e50157aa89b7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