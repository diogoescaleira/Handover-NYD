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23" documentId="8_{6C526F02-7C03-4F27-8250-D0145F527A2B}" xr6:coauthVersionLast="47" xr6:coauthVersionMax="47" xr10:uidLastSave="{046FFD6E-2DB2-4AFD-9803-355F3A3AC54D}"/>
  <bookViews>
    <workbookView minimized="1" xWindow="2328" yWindow="1788" windowWidth="17280" windowHeight="8880" xr2:uid="{00000000-000D-0000-FFFF-FFFF00000000}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2" l="1"/>
  <c r="W17" i="2"/>
  <c r="W13" i="2"/>
  <c r="W12" i="2"/>
  <c r="W8" i="2"/>
  <c r="W7" i="2"/>
  <c r="W3" i="2"/>
  <c r="W2" i="2"/>
</calcChain>
</file>

<file path=xl/sharedStrings.xml><?xml version="1.0" encoding="utf-8"?>
<sst xmlns="http://schemas.openxmlformats.org/spreadsheetml/2006/main" count="270" uniqueCount="73">
  <si>
    <t>val_univ</t>
  </si>
  <si>
    <t>univ_simul</t>
  </si>
  <si>
    <t>instrmnt_id</t>
  </si>
  <si>
    <t>bsnss_area_sim</t>
  </si>
  <si>
    <t>bsnss_area_it</t>
  </si>
  <si>
    <t>val_bsnss_area</t>
  </si>
  <si>
    <t>avrg_blnc_sim</t>
  </si>
  <si>
    <t>avrg_blnc_it</t>
  </si>
  <si>
    <t>dif</t>
  </si>
  <si>
    <t>val_avrg_blnc</t>
  </si>
  <si>
    <t>COMUM</t>
  </si>
  <si>
    <t>CANCELADOS</t>
  </si>
  <si>
    <t>82000020200000181001520200192709</t>
  </si>
  <si>
    <t>BA10</t>
  </si>
  <si>
    <t>OK</t>
  </si>
  <si>
    <t>NOK</t>
  </si>
  <si>
    <t>COMUM PM</t>
  </si>
  <si>
    <t>31000304830062096000000000000000</t>
  </si>
  <si>
    <t>BA2</t>
  </si>
  <si>
    <t>82000020210000269001520240434775</t>
  </si>
  <si>
    <t>BA4</t>
  </si>
  <si>
    <t>31000801144953096000000000000000</t>
  </si>
  <si>
    <t>31000312205364096000000000000000</t>
  </si>
  <si>
    <t>31000301777159096000000000000000</t>
  </si>
  <si>
    <t>c295</t>
  </si>
  <si>
    <t>c224_jan</t>
  </si>
  <si>
    <t>c224_fev</t>
  </si>
  <si>
    <t>c224_mar</t>
  </si>
  <si>
    <t>c224_dez</t>
  </si>
  <si>
    <t>avrg_blcn</t>
  </si>
  <si>
    <t>univ</t>
  </si>
  <si>
    <t>ref_date</t>
  </si>
  <si>
    <t>ambito</t>
  </si>
  <si>
    <t>segmento</t>
  </si>
  <si>
    <t>cempcta</t>
  </si>
  <si>
    <t>ckbalcao</t>
  </si>
  <si>
    <t>cknumcta</t>
  </si>
  <si>
    <t>zdeposit_mis</t>
  </si>
  <si>
    <t>ckarea</t>
  </si>
  <si>
    <t>bsnss_area</t>
  </si>
  <si>
    <t>cnclld_instrmnt_stts</t>
  </si>
  <si>
    <t>last_ref_date</t>
  </si>
  <si>
    <t>msaldo_final</t>
  </si>
  <si>
    <t>msaldo_mis</t>
  </si>
  <si>
    <t>count_chave</t>
  </si>
  <si>
    <t>ponderador</t>
  </si>
  <si>
    <t>2025-03-31</t>
  </si>
  <si>
    <t>GD</t>
  </si>
  <si>
    <t>ESTR</t>
  </si>
  <si>
    <t>82000020200000181001520200242906</t>
  </si>
  <si>
    <t>31</t>
  </si>
  <si>
    <t>0000</t>
  </si>
  <si>
    <t>20200000181</t>
  </si>
  <si>
    <t>0007100C27934I1</t>
  </si>
  <si>
    <t>AN02030300</t>
  </si>
  <si>
    <t>C</t>
  </si>
  <si>
    <t>N</t>
  </si>
  <si>
    <t>AN01010201</t>
  </si>
  <si>
    <t>AN01010500</t>
  </si>
  <si>
    <t>0003</t>
  </si>
  <si>
    <t>04830062096</t>
  </si>
  <si>
    <t>000000000000000</t>
  </si>
  <si>
    <t>Problema IT</t>
  </si>
  <si>
    <t>Problema nosso, estamos a duplica valor por causa da ckarea</t>
  </si>
  <si>
    <t>20210000269</t>
  </si>
  <si>
    <t>000080C116332I1</t>
  </si>
  <si>
    <t>AN01020200</t>
  </si>
  <si>
    <t>82000020210000269001520240434776</t>
  </si>
  <si>
    <t>Problema IT - não estão a fazer o ponderador pelo número de chaves FINREP associadas à chave MIS</t>
  </si>
  <si>
    <t>0008</t>
  </si>
  <si>
    <t>01144953096</t>
  </si>
  <si>
    <t>01777159096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</si>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</sst>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G3" sqref="G3"/>
    </sheetView>
  </sheetViews>
  <sheetFormatPr defaultColWidth="11.5546875" defaultRowHeight="14.4" x14ac:dyDescent="0.3"/>
  <cols>
    <col min="1" max="1" width="8.109375" bestFit="1" customWidth="1"/>
    <col min="2" max="2" width="12.109375" bestFit="1" customWidth="1"/>
    <col min="3" max="3" width="33.6640625" bestFit="1" customWidth="1"/>
    <col min="4" max="4" width="13.88671875" bestFit="1" customWidth="1"/>
    <col min="5" max="5" width="12.109375" bestFit="1" customWidth="1"/>
    <col min="6" max="6" width="13.44140625" bestFit="1" customWidth="1"/>
    <col min="7" max="7" width="12.5546875" bestFit="1" customWidth="1"/>
    <col min="8" max="8" width="10.88671875" bestFit="1" customWidth="1"/>
    <col min="9" max="9" width="14.88671875" customWidth="1"/>
    <col min="10" max="10" width="12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s="1">
        <v>460709.64543152001</v>
      </c>
      <c r="H2" s="1">
        <v>231536.12</v>
      </c>
      <c r="I2" s="1">
        <v>229173.525431519</v>
      </c>
      <c r="J2" t="s">
        <v>15</v>
      </c>
      <c r="K2" s="5" t="s">
        <v>62</v>
      </c>
    </row>
    <row r="3" spans="1:13" x14ac:dyDescent="0.3">
      <c r="A3" t="s">
        <v>10</v>
      </c>
      <c r="B3" t="s">
        <v>16</v>
      </c>
      <c r="C3" t="s">
        <v>17</v>
      </c>
      <c r="D3" t="s">
        <v>18</v>
      </c>
      <c r="E3" t="s">
        <v>18</v>
      </c>
      <c r="F3" t="s">
        <v>14</v>
      </c>
      <c r="G3" s="1">
        <v>178942.34</v>
      </c>
      <c r="H3" s="1">
        <v>89471.17</v>
      </c>
      <c r="I3" s="1">
        <v>89471.169999999896</v>
      </c>
      <c r="J3" t="s">
        <v>15</v>
      </c>
      <c r="K3" t="s">
        <v>63</v>
      </c>
    </row>
    <row r="4" spans="1:13" x14ac:dyDescent="0.3">
      <c r="A4" t="s">
        <v>10</v>
      </c>
      <c r="B4" t="s">
        <v>11</v>
      </c>
      <c r="C4" t="s">
        <v>19</v>
      </c>
      <c r="D4" t="s">
        <v>20</v>
      </c>
      <c r="E4" t="s">
        <v>20</v>
      </c>
      <c r="F4" t="s">
        <v>14</v>
      </c>
      <c r="G4" s="1">
        <v>88567.85</v>
      </c>
      <c r="H4" s="1">
        <v>0</v>
      </c>
      <c r="I4" s="1">
        <v>88567.85</v>
      </c>
      <c r="J4" t="s">
        <v>15</v>
      </c>
      <c r="K4" s="5" t="s">
        <v>68</v>
      </c>
    </row>
    <row r="5" spans="1:13" x14ac:dyDescent="0.3">
      <c r="A5" t="s">
        <v>10</v>
      </c>
      <c r="B5" t="s">
        <v>16</v>
      </c>
      <c r="C5" t="s">
        <v>21</v>
      </c>
      <c r="D5" t="s">
        <v>18</v>
      </c>
      <c r="E5" t="s">
        <v>18</v>
      </c>
      <c r="F5" t="s">
        <v>14</v>
      </c>
      <c r="G5" s="1" t="s">
        <v>72</v>
      </c>
      <c r="H5" s="1">
        <v>19219.169999999998</v>
      </c>
      <c r="I5" s="1">
        <v>66060.524999999994</v>
      </c>
      <c r="J5" t="s">
        <v>15</v>
      </c>
      <c r="K5" s="5" t="s">
        <v>62</v>
      </c>
    </row>
    <row r="6" spans="1:13" x14ac:dyDescent="0.3">
      <c r="A6" t="s">
        <v>10</v>
      </c>
      <c r="B6" t="s">
        <v>16</v>
      </c>
      <c r="C6" t="s">
        <v>22</v>
      </c>
      <c r="D6" t="s">
        <v>18</v>
      </c>
      <c r="E6" t="s">
        <v>18</v>
      </c>
      <c r="F6" t="s">
        <v>14</v>
      </c>
      <c r="G6" s="1">
        <v>91459.86</v>
      </c>
      <c r="H6" s="1">
        <v>45729.93</v>
      </c>
      <c r="I6" s="1">
        <v>45729.93</v>
      </c>
      <c r="J6" t="s">
        <v>15</v>
      </c>
      <c r="K6" t="s">
        <v>63</v>
      </c>
    </row>
    <row r="7" spans="1:13" x14ac:dyDescent="0.3">
      <c r="A7" t="s">
        <v>10</v>
      </c>
      <c r="B7" t="s">
        <v>16</v>
      </c>
      <c r="C7" t="s">
        <v>23</v>
      </c>
      <c r="D7" t="s">
        <v>18</v>
      </c>
      <c r="E7" t="s">
        <v>18</v>
      </c>
      <c r="F7" t="s">
        <v>14</v>
      </c>
      <c r="G7" s="1">
        <v>97648.44</v>
      </c>
      <c r="H7" s="1">
        <v>61722.15</v>
      </c>
      <c r="I7" s="1">
        <v>35926.29</v>
      </c>
      <c r="J7" t="s">
        <v>15</v>
      </c>
      <c r="K7" s="5" t="s">
        <v>62</v>
      </c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D673-F648-4DD9-B692-D56290ABC902}">
  <dimension ref="A1:W21"/>
  <sheetViews>
    <sheetView topLeftCell="F1" workbookViewId="0">
      <selection activeCell="N12" sqref="N12:N13"/>
    </sheetView>
  </sheetViews>
  <sheetFormatPr defaultRowHeight="14.4" x14ac:dyDescent="0.3"/>
  <cols>
    <col min="1" max="1" width="12.88671875" style="2" bestFit="1" customWidth="1"/>
    <col min="2" max="2" width="10.44140625" style="2" bestFit="1" customWidth="1"/>
    <col min="3" max="3" width="7.33203125" style="2" bestFit="1" customWidth="1"/>
    <col min="4" max="4" width="9.88671875" style="2" bestFit="1" customWidth="1"/>
    <col min="5" max="5" width="33.88671875" style="2" bestFit="1" customWidth="1"/>
    <col min="6" max="6" width="8.44140625" style="2" bestFit="1" customWidth="1"/>
    <col min="7" max="7" width="8.5546875" style="2" bestFit="1" customWidth="1"/>
    <col min="8" max="8" width="12" style="2" bestFit="1" customWidth="1"/>
    <col min="9" max="9" width="16.109375" style="2" bestFit="1" customWidth="1"/>
    <col min="10" max="10" width="11.6640625" style="2" bestFit="1" customWidth="1"/>
    <col min="11" max="11" width="10.6640625" style="2" bestFit="1" customWidth="1"/>
    <col min="12" max="12" width="19.109375" style="2" bestFit="1" customWidth="1"/>
    <col min="13" max="13" width="12.6640625" bestFit="1" customWidth="1"/>
    <col min="14" max="14" width="12.44140625" bestFit="1" customWidth="1"/>
    <col min="15" max="15" width="11.5546875" bestFit="1" customWidth="1"/>
    <col min="16" max="16" width="12.109375" bestFit="1" customWidth="1"/>
    <col min="17" max="17" width="11.44140625" bestFit="1" customWidth="1"/>
    <col min="18" max="18" width="10" bestFit="1" customWidth="1"/>
    <col min="19" max="19" width="9" bestFit="1" customWidth="1"/>
    <col min="20" max="21" width="10" bestFit="1" customWidth="1"/>
    <col min="22" max="22" width="9.33203125" bestFit="1" customWidth="1"/>
    <col min="23" max="23" width="10" bestFit="1" customWidth="1"/>
  </cols>
  <sheetData>
    <row r="1" spans="1:23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2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24</v>
      </c>
      <c r="S1" t="s">
        <v>28</v>
      </c>
      <c r="T1" t="s">
        <v>25</v>
      </c>
      <c r="U1" t="s">
        <v>26</v>
      </c>
      <c r="V1" t="s">
        <v>27</v>
      </c>
      <c r="W1" t="s">
        <v>29</v>
      </c>
    </row>
    <row r="2" spans="1:23" x14ac:dyDescent="0.3">
      <c r="A2" s="2" t="s">
        <v>11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13</v>
      </c>
      <c r="L2" s="2" t="s">
        <v>55</v>
      </c>
      <c r="M2" s="3">
        <v>45657</v>
      </c>
      <c r="N2" s="1">
        <v>7875.01</v>
      </c>
      <c r="O2" s="1">
        <v>1543574.15</v>
      </c>
      <c r="P2" s="4">
        <v>2</v>
      </c>
      <c r="Q2" s="1">
        <v>5.1009999999999996E-3</v>
      </c>
      <c r="R2" s="1">
        <v>463072.24</v>
      </c>
      <c r="S2" s="1">
        <v>0</v>
      </c>
      <c r="T2" s="1">
        <v>0</v>
      </c>
      <c r="U2" s="1">
        <v>0</v>
      </c>
      <c r="V2" s="1">
        <v>0</v>
      </c>
      <c r="W2" s="1">
        <f>(R2+SUM(S2:V2)/4)*Q2</f>
        <v>2362.1314962399997</v>
      </c>
    </row>
    <row r="3" spans="1:23" x14ac:dyDescent="0.3">
      <c r="A3" s="2" t="s">
        <v>11</v>
      </c>
      <c r="B3" s="2" t="s">
        <v>46</v>
      </c>
      <c r="C3" s="2" t="s">
        <v>47</v>
      </c>
      <c r="D3" s="2" t="s">
        <v>48</v>
      </c>
      <c r="E3" s="2" t="s">
        <v>12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13</v>
      </c>
      <c r="L3" s="2" t="s">
        <v>55</v>
      </c>
      <c r="M3" s="3">
        <v>45657</v>
      </c>
      <c r="N3" s="1">
        <v>1535699.14</v>
      </c>
      <c r="O3" s="1">
        <v>1543574.15</v>
      </c>
      <c r="P3" s="4">
        <v>2</v>
      </c>
      <c r="Q3" s="1">
        <v>0.99489799999999995</v>
      </c>
      <c r="R3" s="1">
        <v>463072.24</v>
      </c>
      <c r="S3" s="1">
        <v>0</v>
      </c>
      <c r="T3" s="1">
        <v>0</v>
      </c>
      <c r="U3" s="1">
        <v>0</v>
      </c>
      <c r="V3" s="1">
        <v>0</v>
      </c>
      <c r="W3" s="1">
        <f>(R3+SUM(S3:V3)/4)*Q3</f>
        <v>460709.64543151995</v>
      </c>
    </row>
    <row r="4" spans="1:23" x14ac:dyDescent="0.3">
      <c r="A4"/>
      <c r="B4"/>
      <c r="C4"/>
      <c r="D4"/>
      <c r="E4"/>
      <c r="F4"/>
      <c r="G4"/>
      <c r="H4"/>
      <c r="I4"/>
      <c r="J4"/>
      <c r="K4"/>
      <c r="L4"/>
    </row>
    <row r="6" spans="1:23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2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39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24</v>
      </c>
      <c r="S6" t="s">
        <v>28</v>
      </c>
      <c r="T6" t="s">
        <v>25</v>
      </c>
      <c r="U6" t="s">
        <v>26</v>
      </c>
      <c r="V6" t="s">
        <v>27</v>
      </c>
      <c r="W6" t="s">
        <v>29</v>
      </c>
    </row>
    <row r="7" spans="1:23" x14ac:dyDescent="0.3">
      <c r="A7" s="2" t="s">
        <v>16</v>
      </c>
      <c r="B7" s="2" t="s">
        <v>46</v>
      </c>
      <c r="C7" s="2" t="s">
        <v>47</v>
      </c>
      <c r="D7" s="2" t="s">
        <v>48</v>
      </c>
      <c r="E7" s="2" t="s">
        <v>17</v>
      </c>
      <c r="F7" s="2" t="s">
        <v>50</v>
      </c>
      <c r="G7" s="2" t="s">
        <v>59</v>
      </c>
      <c r="H7" s="2" t="s">
        <v>60</v>
      </c>
      <c r="I7" s="2" t="s">
        <v>61</v>
      </c>
      <c r="J7" s="2" t="s">
        <v>57</v>
      </c>
      <c r="K7" s="2" t="s">
        <v>18</v>
      </c>
      <c r="L7" t="s">
        <v>56</v>
      </c>
      <c r="M7" s="3">
        <v>45747</v>
      </c>
      <c r="N7" s="1">
        <v>89516.59</v>
      </c>
      <c r="O7" s="1">
        <v>89516.59</v>
      </c>
      <c r="P7">
        <v>1</v>
      </c>
      <c r="Q7">
        <v>1</v>
      </c>
      <c r="R7" s="1">
        <v>89471.17</v>
      </c>
      <c r="S7" s="1">
        <v>0</v>
      </c>
      <c r="T7" s="1">
        <v>0</v>
      </c>
      <c r="U7" s="1">
        <v>0</v>
      </c>
      <c r="V7" s="1">
        <v>0</v>
      </c>
      <c r="W7" s="1">
        <f t="shared" ref="W7:W8" si="0">(R7+SUM(S7:V7)/4)*Q7</f>
        <v>89471.17</v>
      </c>
    </row>
    <row r="8" spans="1:23" x14ac:dyDescent="0.3">
      <c r="A8" s="2" t="s">
        <v>16</v>
      </c>
      <c r="B8" s="2" t="s">
        <v>46</v>
      </c>
      <c r="C8" s="2" t="s">
        <v>47</v>
      </c>
      <c r="D8" s="2" t="s">
        <v>48</v>
      </c>
      <c r="E8" s="2" t="s">
        <v>17</v>
      </c>
      <c r="F8" s="2" t="s">
        <v>50</v>
      </c>
      <c r="G8" s="2" t="s">
        <v>59</v>
      </c>
      <c r="H8" s="2" t="s">
        <v>60</v>
      </c>
      <c r="I8" s="2" t="s">
        <v>61</v>
      </c>
      <c r="J8" s="2" t="s">
        <v>58</v>
      </c>
      <c r="K8" s="2" t="s">
        <v>18</v>
      </c>
      <c r="L8" t="s">
        <v>56</v>
      </c>
      <c r="M8" s="3">
        <v>45747</v>
      </c>
      <c r="N8" s="1">
        <v>89516.59</v>
      </c>
      <c r="O8" s="1">
        <v>89516.59</v>
      </c>
      <c r="P8">
        <v>1</v>
      </c>
      <c r="Q8">
        <v>1</v>
      </c>
      <c r="R8" s="1">
        <v>89471.17</v>
      </c>
      <c r="S8" s="1">
        <v>0</v>
      </c>
      <c r="T8" s="1">
        <v>0</v>
      </c>
      <c r="U8" s="1">
        <v>0</v>
      </c>
      <c r="V8" s="1">
        <v>0</v>
      </c>
      <c r="W8" s="1">
        <f t="shared" si="0"/>
        <v>89471.17</v>
      </c>
    </row>
    <row r="11" spans="1:23" x14ac:dyDescent="0.3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2</v>
      </c>
      <c r="F11" s="2" t="s">
        <v>34</v>
      </c>
      <c r="G11" s="2" t="s">
        <v>35</v>
      </c>
      <c r="H11" s="2" t="s">
        <v>36</v>
      </c>
      <c r="I11" s="2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24</v>
      </c>
      <c r="S11" t="s">
        <v>28</v>
      </c>
      <c r="T11" t="s">
        <v>25</v>
      </c>
      <c r="U11" t="s">
        <v>26</v>
      </c>
      <c r="V11" t="s">
        <v>27</v>
      </c>
      <c r="W11" t="s">
        <v>29</v>
      </c>
    </row>
    <row r="12" spans="1:23" x14ac:dyDescent="0.3">
      <c r="A12" s="2" t="s">
        <v>11</v>
      </c>
      <c r="B12" s="2" t="s">
        <v>46</v>
      </c>
      <c r="C12" s="2" t="s">
        <v>47</v>
      </c>
      <c r="D12" s="2" t="s">
        <v>48</v>
      </c>
      <c r="E12" s="2" t="s">
        <v>19</v>
      </c>
      <c r="F12" s="2" t="s">
        <v>50</v>
      </c>
      <c r="G12" s="2" t="s">
        <v>51</v>
      </c>
      <c r="H12" s="2" t="s">
        <v>64</v>
      </c>
      <c r="I12" s="2" t="s">
        <v>65</v>
      </c>
      <c r="J12" t="s">
        <v>66</v>
      </c>
      <c r="K12" t="s">
        <v>20</v>
      </c>
      <c r="L12" t="s">
        <v>55</v>
      </c>
      <c r="M12" s="3">
        <v>45688</v>
      </c>
      <c r="N12" s="1">
        <v>0</v>
      </c>
      <c r="O12" s="1">
        <v>0</v>
      </c>
      <c r="P12">
        <v>2</v>
      </c>
      <c r="Q12">
        <v>0.5</v>
      </c>
      <c r="R12" s="1">
        <v>177135.7</v>
      </c>
      <c r="S12">
        <v>0</v>
      </c>
      <c r="T12">
        <v>0</v>
      </c>
      <c r="U12">
        <v>0</v>
      </c>
      <c r="V12">
        <v>0</v>
      </c>
      <c r="W12" s="1">
        <f t="shared" ref="W12:W13" si="1">(R12+SUM(S12:V12)/4)*Q12</f>
        <v>88567.85</v>
      </c>
    </row>
    <row r="13" spans="1:23" x14ac:dyDescent="0.3">
      <c r="A13" s="2" t="s">
        <v>11</v>
      </c>
      <c r="B13" s="2" t="s">
        <v>46</v>
      </c>
      <c r="C13" s="2" t="s">
        <v>47</v>
      </c>
      <c r="D13" s="2" t="s">
        <v>48</v>
      </c>
      <c r="E13" s="2" t="s">
        <v>67</v>
      </c>
      <c r="F13" s="2" t="s">
        <v>50</v>
      </c>
      <c r="G13" s="2" t="s">
        <v>51</v>
      </c>
      <c r="H13" s="2" t="s">
        <v>64</v>
      </c>
      <c r="I13" s="2" t="s">
        <v>65</v>
      </c>
      <c r="J13" t="s">
        <v>66</v>
      </c>
      <c r="K13" t="s">
        <v>20</v>
      </c>
      <c r="L13" t="s">
        <v>55</v>
      </c>
      <c r="M13" s="3">
        <v>45688</v>
      </c>
      <c r="N13" s="1">
        <v>0</v>
      </c>
      <c r="O13" s="1">
        <v>0</v>
      </c>
      <c r="P13">
        <v>2</v>
      </c>
      <c r="Q13">
        <v>0.5</v>
      </c>
      <c r="R13" s="1">
        <v>177135.7</v>
      </c>
      <c r="S13">
        <v>0</v>
      </c>
      <c r="T13">
        <v>0</v>
      </c>
      <c r="U13">
        <v>0</v>
      </c>
      <c r="V13">
        <v>0</v>
      </c>
      <c r="W13" s="1">
        <f t="shared" si="1"/>
        <v>88567.85</v>
      </c>
    </row>
    <row r="16" spans="1:23" x14ac:dyDescent="0.3">
      <c r="A16" s="2" t="s">
        <v>30</v>
      </c>
      <c r="B16" s="2" t="s">
        <v>31</v>
      </c>
      <c r="C16" s="2" t="s">
        <v>32</v>
      </c>
      <c r="D16" s="2" t="s">
        <v>33</v>
      </c>
      <c r="E16" s="2" t="s">
        <v>2</v>
      </c>
      <c r="F16" s="2" t="s">
        <v>34</v>
      </c>
      <c r="G16" s="2" t="s">
        <v>35</v>
      </c>
      <c r="H16" s="2" t="s">
        <v>36</v>
      </c>
      <c r="I16" s="2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24</v>
      </c>
      <c r="S16" t="s">
        <v>28</v>
      </c>
      <c r="T16" t="s">
        <v>25</v>
      </c>
      <c r="U16" t="s">
        <v>26</v>
      </c>
      <c r="V16" t="s">
        <v>27</v>
      </c>
      <c r="W16" t="s">
        <v>29</v>
      </c>
    </row>
    <row r="17" spans="1:23" x14ac:dyDescent="0.3">
      <c r="A17" s="2" t="s">
        <v>16</v>
      </c>
      <c r="B17" s="2" t="s">
        <v>46</v>
      </c>
      <c r="C17" s="2" t="s">
        <v>47</v>
      </c>
      <c r="D17" s="2" t="s">
        <v>48</v>
      </c>
      <c r="E17" s="2" t="s">
        <v>21</v>
      </c>
      <c r="F17" s="2" t="s">
        <v>50</v>
      </c>
      <c r="G17" s="2" t="s">
        <v>69</v>
      </c>
      <c r="H17" s="2" t="s">
        <v>70</v>
      </c>
      <c r="I17" s="2" t="s">
        <v>61</v>
      </c>
      <c r="J17" t="s">
        <v>58</v>
      </c>
      <c r="K17" t="s">
        <v>18</v>
      </c>
      <c r="L17" t="s">
        <v>56</v>
      </c>
      <c r="M17" s="3">
        <v>45747</v>
      </c>
      <c r="N17" s="1">
        <v>129486.64</v>
      </c>
      <c r="O17" s="1">
        <v>129486.64</v>
      </c>
      <c r="P17">
        <v>1</v>
      </c>
      <c r="Q17">
        <v>1</v>
      </c>
      <c r="R17" s="1">
        <v>18769.05</v>
      </c>
      <c r="S17" s="1">
        <v>1800.46</v>
      </c>
      <c r="T17" s="1">
        <v>132121.06</v>
      </c>
      <c r="U17" s="1">
        <v>132121.06</v>
      </c>
      <c r="V17" s="1">
        <v>0</v>
      </c>
      <c r="W17" s="1">
        <f t="shared" ref="W17" si="2">(R17+SUM(S17:V17)/4)*Q17</f>
        <v>85279.694999999992</v>
      </c>
    </row>
    <row r="20" spans="1:23" x14ac:dyDescent="0.3">
      <c r="A20" s="2" t="s">
        <v>30</v>
      </c>
      <c r="B20" s="2" t="s">
        <v>31</v>
      </c>
      <c r="C20" s="2" t="s">
        <v>32</v>
      </c>
      <c r="D20" s="2" t="s">
        <v>33</v>
      </c>
      <c r="E20" s="2" t="s">
        <v>2</v>
      </c>
      <c r="F20" s="2" t="s">
        <v>34</v>
      </c>
      <c r="G20" s="2" t="s">
        <v>35</v>
      </c>
      <c r="H20" s="2" t="s">
        <v>36</v>
      </c>
      <c r="I20" s="2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24</v>
      </c>
      <c r="S20" t="s">
        <v>28</v>
      </c>
      <c r="T20" t="s">
        <v>25</v>
      </c>
      <c r="U20" t="s">
        <v>26</v>
      </c>
      <c r="V20" t="s">
        <v>27</v>
      </c>
      <c r="W20" t="s">
        <v>29</v>
      </c>
    </row>
    <row r="21" spans="1:23" x14ac:dyDescent="0.3">
      <c r="A21" s="2" t="s">
        <v>16</v>
      </c>
      <c r="B21" s="2" t="s">
        <v>46</v>
      </c>
      <c r="C21" s="2" t="s">
        <v>47</v>
      </c>
      <c r="D21" s="2" t="s">
        <v>48</v>
      </c>
      <c r="E21" s="2" t="s">
        <v>23</v>
      </c>
      <c r="F21" s="2" t="s">
        <v>50</v>
      </c>
      <c r="G21" s="2" t="s">
        <v>59</v>
      </c>
      <c r="H21" s="2" t="s">
        <v>71</v>
      </c>
      <c r="I21" s="2" t="s">
        <v>61</v>
      </c>
      <c r="J21" t="s">
        <v>58</v>
      </c>
      <c r="K21" t="s">
        <v>18</v>
      </c>
      <c r="L21" t="s">
        <v>56</v>
      </c>
      <c r="M21" s="3">
        <v>45747</v>
      </c>
      <c r="N21" s="1">
        <v>142487.07999999999</v>
      </c>
      <c r="O21" s="1">
        <v>142487.07999999999</v>
      </c>
      <c r="P21">
        <v>1</v>
      </c>
      <c r="Q21">
        <v>1</v>
      </c>
      <c r="R21" s="1">
        <v>61268.89</v>
      </c>
      <c r="S21" s="1">
        <v>1484.44</v>
      </c>
      <c r="T21" s="1">
        <v>143705.16</v>
      </c>
      <c r="U21" s="1">
        <v>0</v>
      </c>
      <c r="V21" s="1">
        <v>328.6</v>
      </c>
      <c r="W21" s="1">
        <f t="shared" ref="W21" si="3">(R21+SUM(S21:V21)/4)*Q21</f>
        <v>97648.44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4B37A6F-195D-4AF4-8B07-333837FA4644}"/>
</file>

<file path=customXml/itemProps2.xml><?xml version="1.0" encoding="utf-8"?>
<ds:datastoreItem xmlns:ds="http://schemas.openxmlformats.org/officeDocument/2006/customXml" ds:itemID="{CA1B06BB-F14D-4D04-8B06-65F8353F09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171BE2-91D2-4A40-B161-144F1BC2BA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2025-06-22T03:15:38Z</dcterms:created>
  <dcterms:modified xsi:type="dcterms:W3CDTF">2025-07-22T17:13:01Z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2025-07-21T20:11:24Z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0904d005-143e-4764-ba91-d6e3ac9bc4a0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