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3759" documentId="8_{126693CF-5E4D-48B1-BC2D-B972DAF63CFC}" xr6:coauthVersionLast="47" xr6:coauthVersionMax="47" xr10:uidLastSave="{A67AF3FC-81E7-4D56-839C-8D943348B9FD}"/>
  <bookViews>
    <workbookView xWindow="-120" yWindow="-120" windowWidth="29040" windowHeight="15720" activeTab="1" xr2:uid="{09AA6B17-4C4E-4393-AA23-A762295D5459}"/>
  </bookViews>
  <sheets>
    <sheet name="LT002" sheetId="1" r:id="rId1"/>
    <sheet name="Campos a testar" sheetId="13" r:id="rId2"/>
    <sheet name="Campos vs IT" sheetId="4" r:id="rId3"/>
    <sheet name="NW_BSNSS" sheetId="9" r:id="rId4"/>
    <sheet name="CNCLLD_INSTRMNT_STTS" sheetId="10" r:id="rId5"/>
    <sheet name="CNCLLD (outros exemplos)" sheetId="11" r:id="rId6"/>
    <sheet name="1.2" sheetId="5" r:id="rId7"/>
    <sheet name="1.3" sheetId="8" r:id="rId8"/>
    <sheet name="1.4" sheetId="7" r:id="rId9"/>
    <sheet name="Logica" sheetId="6" r:id="rId10"/>
  </sheets>
  <definedNames>
    <definedName name="_xlnm._FilterDatabase" localSheetId="6" hidden="1">'1.2'!$B$27:$H$27</definedName>
    <definedName name="_xlnm._FilterDatabase" localSheetId="1" hidden="1">'Campos a testar'!$B$2:$F$2</definedName>
    <definedName name="_xlnm._FilterDatabase" localSheetId="2" hidden="1">'Campos vs IT'!$C$8:$D$8</definedName>
    <definedName name="_xlnm._FilterDatabase" localSheetId="4" hidden="1">CNCLLD_INSTRMNT_STTS!$B$20:$G$25</definedName>
    <definedName name="_xlnm._FilterDatabase" localSheetId="9" hidden="1">Logica!$B$22:$I$22</definedName>
    <definedName name="_xlnm._FilterDatabase" localSheetId="0" hidden="1">#REF!</definedName>
    <definedName name="_xlnm._FilterDatabase" localSheetId="3" hidden="1">NW_BSNSS!$B$76:$V$76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0" l="1"/>
  <c r="E25" i="9"/>
  <c r="I32" i="6"/>
  <c r="I31" i="6"/>
  <c r="I30" i="6"/>
  <c r="I29" i="6"/>
  <c r="I28" i="6"/>
  <c r="I27" i="6"/>
  <c r="I26" i="6"/>
  <c r="I25" i="6"/>
  <c r="I24" i="6"/>
  <c r="I23" i="6"/>
  <c r="H32" i="6"/>
  <c r="H30" i="6"/>
  <c r="H29" i="6"/>
  <c r="H28" i="6"/>
  <c r="H27" i="6"/>
  <c r="H26" i="6"/>
  <c r="H25" i="6"/>
  <c r="H24" i="6"/>
  <c r="H23" i="6"/>
  <c r="H31" i="6"/>
  <c r="H14" i="6"/>
  <c r="F14" i="6"/>
  <c r="F13" i="6"/>
  <c r="H13" i="6" s="1"/>
  <c r="F12" i="6"/>
  <c r="H12" i="6" s="1"/>
  <c r="H17" i="6" l="1"/>
</calcChain>
</file>

<file path=xl/sharedStrings.xml><?xml version="1.0" encoding="utf-8"?>
<sst xmlns="http://schemas.openxmlformats.org/spreadsheetml/2006/main" count="1487" uniqueCount="436">
  <si>
    <t>BU_CAPTOOLS_WORK.UNIV_RENTAB_FEV25</t>
  </si>
  <si>
    <t>Notas</t>
  </si>
  <si>
    <t>O universo da tabela lt004_protection para o Loan Tape / Green Dashboard é composto pelos seguintes universos:  
•	Universo comum com o Loan Tape âmbito PM
•	Universo de contratos cancelados durante o ano de reporte, que apresentem rentabilidade no mês de reporte</t>
  </si>
  <si>
    <t>Conteúdo</t>
  </si>
  <si>
    <t>Nome</t>
  </si>
  <si>
    <t>Query</t>
  </si>
  <si>
    <t/>
  </si>
  <si>
    <t>cempcta</t>
  </si>
  <si>
    <t>ckbalcao</t>
  </si>
  <si>
    <t>cknumcta</t>
  </si>
  <si>
    <t>zdeposit_mis</t>
  </si>
  <si>
    <t>ckarea</t>
  </si>
  <si>
    <t>bsnss_area</t>
  </si>
  <si>
    <t>instrmnt_id</t>
  </si>
  <si>
    <t>msaldo_final</t>
  </si>
  <si>
    <t>BA2</t>
  </si>
  <si>
    <t>31</t>
  </si>
  <si>
    <t>000000000000000</t>
  </si>
  <si>
    <t>NULL</t>
  </si>
  <si>
    <t>instrmnt_id_aux</t>
  </si>
  <si>
    <t>-</t>
  </si>
  <si>
    <t>AN01010500</t>
  </si>
  <si>
    <t>Tabela</t>
  </si>
  <si>
    <t>bu_captools_work.lt001_int_gd_dg</t>
  </si>
  <si>
    <t>with dg as (
select
    case when grss_intrst_incm_cgd=grss_intrst_incm_it then 'grss ok' when grss_intrst_incm_cgd&lt;&gt;grss_intrst_incm_it then 'grss nok' else 'ver' end as analise_grss_intrst_incm,
    -- case when grss_cmmssn_incm_cgd=grss_cmmssn_incm_it then 'grss ok' when grss_cmmssn_incm_cgd&lt;&gt;grss_cmmssn_incm_it then 'grss nok' else 'ver' end as analise_grss_cmmssn_incm,
    -- case when grss_cmmssn_incm_off_bln_cgd=grss_cmmssn_incm_off_blnc_it then 'grss ok' when grss_cmmssn_incm_off_bln_cgd&lt;&gt;grss_cmmssn_incm_off_blnc_it then 'grss nok' else 'ver' end as analise_grss_cmmssn_incm_off_bln,
    -- case when grss_cmmssn_expns_cgd=grss_cmmssn_expns_it then 'grss ok' when grss_cmmssn_expns_cgd&lt;&gt;grss_cmmssn_expns_it then 'grss nok' else 'ver' end as analise_grss_cmmssn_expns,
    -- case when grss_cmmssn_expns_off_blnc_cgd=grss_cmmssn_expns_off_blnc_it then 'grss ok' when grss_cmmssn_expns_off_blnc_cgd&lt;&gt;grss_cmmssn_expns_off_blnc_it then 'grss nok' else 'ver' end as analise_grss_cmmssn_expns_off_blnc,
    -- case when nt_ln_lss_prvsn_cgd=nt_ln_lss_prvsn_it then 'nt ok' when nt_ln_lss_prvsn_cgd&lt;&gt;nt_ln_lss_prvsn_it then 'nt nok' else 'ver' end as analise_nt_ln_lss_prvsn,
    -- case when nt_ln_lss_prvsn_off_blnc_cgd=gns_fnncl_trnsctn_exchng_dffrncs_it then 'nt ok' when nt_ln_lss_prvsn_off_blnc_cgd&lt;&gt;gns_fnncl_trnsctn_exchng_dffrncs_it then 'nt nok' else 'ver' end as analise_nt_ln_lss_prvsn_off_blnc,
    -- case when gns_fnncl_trnsctn_exchng_dffrncs_cgd=grss_intrst_expns_it then 'gns ok' when gns_fnncl_trnsctn_exchng_dffrncs_cgd&lt;&gt;grss_intrst_expns_it then 'gns nok' else 'ver' end as analise_gns_fnncl_trnsctn_exchng_dffrncs,
    -- case when grss_intrst_expns_cgd=nt_ln_lss_prvsn_off_blnc_it then 'grss ok' when grss_intrst_expns_cgd&lt;&gt;nt_ln_lss_prvsn_off_blnc_it then 'grss nok' else 'ver' end as analise_grss_intrst_expns,
    -- case when avrg_blnc_cgd=avrg_blnc_it then 'avrg ok' when avrg_blnc_cgd&lt;&gt;avrg_blnc_it then 'avrg nok' else 'ver' end as analise_avrg_blnc,
    -- case when avrg_blnc_off_blnc_cgd=avrg_blnc_off_blnc_it then 'avrg ok' when avrg_blnc_off_blnc_cgd&lt;&gt;avrg_blnc_off_blnc_it then 'avrg nok' else 'ver' end as analise_avrg_blnc_off_blnc,
    count(*)
    -- *
from
    (
    select 
        instrmnt_id as instrmnt_id_cgd,
        grss_intrst_incm as grss_intrst_incm_cgd,
        grss_cmmssn_incm as grss_cmmssn_incm_cgd,
        grss_cmmssn_incm_off_bln as grss_cmmssn_incm_off_bln_cgd,
        grss_cmmssn_expns as grss_cmmssn_expns_cgd,
        grss_cmmssn_expns_off_blnc as grss_cmmssn_expns_off_blnc_cgd,
        nt_ln_lss_prvsn as nt_ln_lss_prvsn_cgd,
        nt_ln_lss_prvsn_off_blnc as nt_ln_lss_prvsn_off_blnc_cgd,
        gns_fnncl_trnsctn_exchng_dffrncs as gns_fnncl_trnsctn_exchng_dffrncs_cgd,
        grss_intrst_expns as grss_intrst_expns_cgd,
        avrg_blnc as avrg_blnc_cgd,
        avrg_blnc_off_blnc as avrg_blnc_off_blnc_cgd
    from bu_captools_work.lt002_gd_fev25_dg
    ) a
inner join 
    (
    select 
        instrmnt_id as instrmnt_id_it,
        grss_intrst_incm as grss_intrst_incm_it,
        grss_cmmssn_incm as grss_cmmssn_incm_it,
        grss_cmmssn_incm_off_blnc as grss_cmmssn_incm_off_blnc_it,
        grss_cmmssn_expns as grss_cmmssn_expns_it,
        grss_cmmssn_expns_off_blnc as grss_cmmssn_expns_off_blnc_it,
        nt_ln_lss_prvsn as nt_ln_lss_prvsn_it,
        gns_fnncl_trnsctn_exchng_dffrncs as gns_fnncl_trnsctn_exchng_dffrncs_it,
        grss_intrst_expns as grss_intrst_expns_it,
        nt_ln_lss_prvsn_off_blnc as nt_ln_lss_prvsn_off_blnc_it,
        avrg_blnc as avrg_blnc_it,
        avrg_blnc_off_blnc as avrg_blnc_off_blnc_it
    from bu_loantape_work.lt002_instrument
    where ref_date = '2025-02-28'
    and ambito = 'GD'
    and segmento = 'ESTR'
    and nome_perimetro = 'Individual Corporativo'
    ) b
        on a.instrmnt_id_cgd = b.instrmnt_id_it
group by 1
-- ,2,3,4,5,6,7,8,9,10,11
)
select *
from dg
where analise_grss_intrst_incm = 'ver'</t>
  </si>
  <si>
    <t>Com a informação de fim do mês em Outubro 24 e Fevereiro 25, apenas com o registo mais recente</t>
  </si>
  <si>
    <t>analise_grss_intrst_incm</t>
  </si>
  <si>
    <t>count(*)</t>
  </si>
  <si>
    <t>nok</t>
  </si>
  <si>
    <t>ok</t>
  </si>
  <si>
    <t>IT tem o resulado a null</t>
  </si>
  <si>
    <t>IT ainda nao aplicou o default para ajustes manuais e cancelados</t>
  </si>
  <si>
    <t>with dg as (
select
    case 
        when grss_intrst_incm_cgd=grss_intrst_incm_it then 'ok'
        when grss_intrst_incm_cgd is null and msaldo_final_total is null and grss_intrst_incm_it is null then 'Não existe na LT001'
        when grss_intrst_incm_cgd is null and msaldo_final_total is null and grss_intrst_incm_it is not null then 'Não existe na LT001 mas IT atribui um valor'
        when (instrmnt_id_cgd like 'SNCN%' or instrmnt_id_cgd like 'SS%' or instrmnt_id_cgd like 'SN%' or instrmnt_id_cgd like 'NN%') and grss_intrst_incm_cgd is not null and grss_intrst_incm_it is null then 'IT ainda nao aplicou o default para ajustes manuais e cancelados'
        when grss_intrst_incm_cgd is not null and grss_intrst_incm_it is null and msaldo_final_total is not null then 'IT tem o resulado a null'
        when grss_intrst_incm_cgd&lt;&gt;grss_intrst_incm_it then 'nok'
        else 'ver'
    end as analise_grss_intrst_incm,
    count(*)
    -- *
from
    (
    select distinct
        instrmnt_id as instrmnt_id_cgd,
        grss_intrst_incm as grss_intrst_incm_cgd,
        msaldo_final_total
    from bu_captools_work.lt002_gd_fev25_dg
    ) a
inner join 
    (
    select distinct
        instrmnt_id as instrmnt_id_it,
        grss_intrst_incm as grss_intrst_incm_it
    from bu_loantape_work.lt002_instrument
    where ref_date = '2025-02-28'
    and ambito = 'GD'
    and segmento = 'ESTR'
    and nome_perimetro = 'Individual Corporativo'
    ) b
        on a.instrmnt_id_cgd = b.instrmnt_id_it
group by 1
)
select *
from dg
where analise_grss_intrst_incm = 'nok'</t>
  </si>
  <si>
    <t>instrmnt_id_cgd</t>
  </si>
  <si>
    <t>grss_intrst_incm_cgd</t>
  </si>
  <si>
    <t>msaldo_final_total</t>
  </si>
  <si>
    <t>instrmnt_id_it</t>
  </si>
  <si>
    <t>grss_intrst_incm_it</t>
  </si>
  <si>
    <t>20.36</t>
  </si>
  <si>
    <t>3500.440000</t>
  </si>
  <si>
    <t>40.72</t>
  </si>
  <si>
    <t>99999999999.00</t>
  </si>
  <si>
    <t>31000000037660541000000000000000</t>
  </si>
  <si>
    <t>with dg as (
select
    case 
        when grss_intrst_incm_cgd=grss_intrst_incm_it then 'ok'
        when grss_intrst_incm_cgd is null and msaldo_final_total is null and grss_intrst_incm_it is null then 'Não existe na LT001'
        when grss_intrst_incm_cgd is null and msaldo_final_total is null and grss_intrst_incm_it is not null then 'Não existe na LT001 mas IT atribui um valor'
        when (instrmnt_id_cgd like 'SNCN%' or instrmnt_id_cgd like 'SS%' or instrmnt_id_cgd like 'SN%' or instrmnt_id_cgd like 'NN%') and grss_intrst_incm_cgd is not null and grss_intrst_incm_it is null then 'IT ainda nao aplicou o default para ajustes manuais e cancelados'
        when grss_intrst_incm_cgd is not null and grss_intrst_incm_it is null and msaldo_final_total is not null then 'IT tem o resulado a null'
        when grss_intrst_incm_cgd&lt;&gt;grss_intrst_incm_it then 'nok'
        else 'ver'
    end as analise_grss_intrst_incm,
    -- count(*)
    *
from
    (
    select distinct
        instrmnt_id as instrmnt_id_cgd,
        grss_intrst_incm as grss_intrst_incm_cgd,
        msaldo_final_total
    from bu_captools_work.lt002_gd_fev25_dg
    ) a
inner join 
    (
    select distinct
        instrmnt_id as instrmnt_id_it,
        grss_intrst_incm as grss_intrst_incm_it
    from bu_loantape_work.lt002_instrument
    where ref_date = '2025-02-28'
    and ambito = 'GD'
    and segmento = 'ESTR'
    and nome_perimetro = 'Individual Corporativo'
    and entidade in ('00100','00280')
    ) b
        on a.instrmnt_id_cgd = b.instrmnt_id_it
-- group by 1
)
select *
from dg
where analise_grss_intrst_incm = 'nok'
and grss_intrst_incm_cgd &lt;&gt; 0
and instrmnt_id_it = '31000000037660541000000000000000'
order by instrmnt_id_cgd asc
;</t>
  </si>
  <si>
    <t>1. Tabela Resumo</t>
  </si>
  <si>
    <t>2. Chaves</t>
  </si>
  <si>
    <t>univ</t>
  </si>
  <si>
    <t>ref_date</t>
  </si>
  <si>
    <t>ambito</t>
  </si>
  <si>
    <t>segmento</t>
  </si>
  <si>
    <t>lcl_instrmnt_id</t>
  </si>
  <si>
    <t>cnclld_instrmnt_stts</t>
  </si>
  <si>
    <t>nw_bsnss</t>
  </si>
  <si>
    <t>CANCELADOS</t>
  </si>
  <si>
    <t>GD</t>
  </si>
  <si>
    <t>ESTR</t>
  </si>
  <si>
    <t>C</t>
  </si>
  <si>
    <t>N</t>
  </si>
  <si>
    <t>2025-02-28</t>
  </si>
  <si>
    <t>0000</t>
  </si>
  <si>
    <t>00037660541</t>
  </si>
  <si>
    <t xml:space="preserve">
select
    univ, ref_date, ambito, segmento, instrmnt_id_aux, instrmnt_id, lcl_instrmnt_id,
    cempcta, ckbalcao, cknumcta, zdeposit_mis, ckarea, bsnss_area, cnclld_instrmnt_stts, nw_bsnss
from BU_CAPTOOLS_WORK.UNIV_LT_GD_PARTE3_AUX4
where instrmnt_id_aux = '31000000037660541000000000000000'</t>
  </si>
  <si>
    <t>zdeposit</t>
  </si>
  <si>
    <t>c298_patrm</t>
  </si>
  <si>
    <t>20.3600</t>
  </si>
  <si>
    <t xml:space="preserve">select
    -- chave mis
    cempcta, ckbalcao, cknumcta, zdeposit, ckarea,
    -- campos
    c298_patrm
from BU_CAPTOOLS_WORK.UNIV_RENTAB_FEV25
where concat(cempcta, ckbalcao, cknumcta, zdeposit) in ('31000000037660541000000000000000')
    </t>
  </si>
  <si>
    <t>4. LT001 - Para ir buscar o msaldo</t>
  </si>
  <si>
    <t>3. Tabela de Rentabilidade - para ir buscar o campo correto</t>
  </si>
  <si>
    <t>cempresa</t>
  </si>
  <si>
    <t>cbalcao</t>
  </si>
  <si>
    <t>cnumecta</t>
  </si>
  <si>
    <t>max_ref_date</t>
  </si>
  <si>
    <t>2024-12-31</t>
  </si>
  <si>
    <t>select  
    -- chave finrep
    cempresa, cbalcao, cnumecta, zdeposit,
    -- campos
    sum(msaldo_final) as msaldo_final,
    ref_date, max_ref_date
from
    (
    select 
        -- chave finrep
        cempresa, cbalcao, cnumecta, zdeposit,
        -- campos
        abs(msaldo_final) as msaldo_final, 
        ref_date,
        max(ref_date) over (partition by cempresa, cbalcao, cnumecta, zdeposit) as max_ref_date
    from bu_loantape_work.lt001_univ_oper
    where ref_date &lt;= '2025-02-28'
    and msaldo_final is not null
    and nome_perimetro = 'Individual Corporativo'
    and ambito = 'PM'
    and segmento = 'ESTR'
    and concat(cempresa, cbalcao, cnumecta, zdeposit) = '31000000037660541000000000000000'
    ) a
-- where ref_date =  max_ref_date
group by 1,2,3,4,6,7
order by ref_date desc
;</t>
  </si>
  <si>
    <t>5. Tabela de IT</t>
  </si>
  <si>
    <t xml:space="preserve">
select distinct
    instrmnt_id as instrmnt_id_it,
    grss_intrst_incm as grss_intrst_incm_it,
    *
from bu_loantape_work.lt002_instrument
where ref_date = '2025-02-28'
and ambito = 'GD'
and segmento = 'ESTR'
and nome_perimetro = 'Individual Corporativo'
and instrmnt_id = '31000000037660541000000000000000'
and entidade in ('00100','00280')</t>
  </si>
  <si>
    <t>Chave Mis</t>
  </si>
  <si>
    <t>Chave Finrep</t>
  </si>
  <si>
    <t>A</t>
  </si>
  <si>
    <t>B</t>
  </si>
  <si>
    <t>X</t>
  </si>
  <si>
    <t>Campo da ct209</t>
  </si>
  <si>
    <t>Campo da LT002</t>
  </si>
  <si>
    <t>Msaldo na LT001</t>
  </si>
  <si>
    <t>D</t>
  </si>
  <si>
    <t>E</t>
  </si>
  <si>
    <t>Total do Msaldo</t>
  </si>
  <si>
    <t>Ponderador</t>
  </si>
  <si>
    <t>Total</t>
  </si>
  <si>
    <t>Y</t>
  </si>
  <si>
    <t>Z</t>
  </si>
  <si>
    <t>F</t>
  </si>
  <si>
    <t>W</t>
  </si>
  <si>
    <t>G</t>
  </si>
  <si>
    <t>M</t>
  </si>
  <si>
    <t>Count</t>
  </si>
  <si>
    <t>Exemplo</t>
  </si>
  <si>
    <t>Exemplo 1</t>
  </si>
  <si>
    <t>31663600380030585363603800305851</t>
  </si>
  <si>
    <t>0</t>
  </si>
  <si>
    <t>with dg as (
select
    case 
        when grss_intrst_incm_cgd=grss_intrst_incm_it then 'ok'
        when grss_intrst_incm_cgd is null and msaldo_final_total is null and grss_intrst_incm_it is null then 'Não existe na LT001'
        when grss_intrst_incm_cgd is null and msaldo_final_total is null and grss_intrst_incm_it is not null then 'Não existe na LT001 mas IT atribui um valor'
        when (instrmnt_id_cgd like 'SNCN%' or instrmnt_id_cgd like 'SS%' or instrmnt_id_cgd like 'SN%' or instrmnt_id_cgd like 'NN%') and grss_intrst_incm_cgd is not null and grss_intrst_incm_it is null then 'IT ainda nao aplicou o default para ajustes manuais e cancelados'
        when grss_intrst_incm_cgd is not null and grss_intrst_incm_it is null and msaldo_final_total is not null then 'IT tem o resulado a null'
        when grss_intrst_incm_cgd&lt;&gt;grss_intrst_incm_it then 'nok'
        else 'ver'
    end as analise_grss_intrst_incm,
    -- count(*)
    *
from
    (
    select distinct
        instrmnt_id as instrmnt_id_cgd,
        grss_intrst_incm as grss_intrst_incm_cgd,
        msaldo_final_total
    from bu_captools_work.lt002_gd_fev25_dg
    ) a
inner join 
    (
    select distinct
        instrmnt_id as instrmnt_id_it,
        grss_intrst_incm as grss_intrst_incm_it
    from bu_loantape_work.lt002_instrument
    where ref_date = '2025-02-28'
    and ambito = 'GD'
    and segmento = 'ESTR'
    and nome_perimetro = 'Individual Corporativo'
    ) b
        on a.instrmnt_id_cgd = b.instrmnt_id_it
-- group by 1
)
select *
from dg
where analise_grss_intrst_incm = 'IT tem o resulado a null'
order by instrmnt_id_cgd desc
limit 5</t>
  </si>
  <si>
    <t>6636</t>
  </si>
  <si>
    <t>00380030585</t>
  </si>
  <si>
    <t>363603800305851</t>
  </si>
  <si>
    <t>AN01020200</t>
  </si>
  <si>
    <t>BA4</t>
  </si>
  <si>
    <t xml:space="preserve">
select
    univ, ref_date, ambito, segmento, instrmnt_id_aux, instrmnt_id, lcl_instrmnt_id,
    cempcta, ckbalcao, cknumcta, zdeposit_mis, ckarea, bsnss_area, cnclld_instrmnt_stts, nw_bsnss
from BU_CAPTOOLS_WORK.UNIV_LT_GD_PARTE3_AUX4
where instrmnt_id_aux = '31663600380030585363603800305851'
;</t>
  </si>
  <si>
    <t>0.0000</t>
  </si>
  <si>
    <t>select
    -- chave mis
    cempcta, ckbalcao, cknumcta, zdeposit, ckarea,
    -- campos
    c298_patrm
from BU_CAPTOOLS_WORK.UNIV_RENTAB_FEV25
where concat(cempcta, ckbalcao, cknumcta, zdeposit) = '31663600380030585363603800305851'</t>
  </si>
  <si>
    <t>Não está</t>
  </si>
  <si>
    <t>31000020230000358000090C118700I1</t>
  </si>
  <si>
    <t>217.51</t>
  </si>
  <si>
    <t>0.000000</t>
  </si>
  <si>
    <t>with dg as (
select
    case 
        when grss_intrst_incm_cgd=grss_intrst_incm_it then 'ok'
        when grss_intrst_incm_cgd is null and msaldo_final_total is null and grss_intrst_incm_it is null then 'Não existe na LT001'
        when grss_intrst_incm_cgd is null and msaldo_final_total is null and grss_intrst_incm_it is not null then 'Não existe na LT001 mas IT atribui um valor'
        when (instrmnt_id_cgd like 'SNCN%' or instrmnt_id_cgd like 'SS%' or instrmnt_id_cgd like 'SN%' or instrmnt_id_cgd like 'NN%') and grss_intrst_incm_cgd is not null and grss_intrst_incm_it is null then 'IT ainda nao aplicou o default para ajustes manuais e cancelados'
        when grss_intrst_incm_cgd is not null and grss_intrst_incm_it is null and msaldo_final_total is not null then 'IT tem o resulado a null'
        when grss_intrst_incm_cgd&lt;&gt;grss_intrst_incm_it then 'nok'
        else 'ver'
    end as analise_grss_intrst_incm,
    -- count(*)
    *
from
    (
    select distinct
        instrmnt_id as instrmnt_id_cgd,
        grss_intrst_incm as grss_intrst_incm_cgd,
        msaldo_final_total
    from bu_captools_work.lt002_gd_fev25_dg
    ) a
inner join 
    (
    select distinct
        instrmnt_id as instrmnt_id_it,
        grss_intrst_incm as grss_intrst_incm_it
    from bu_loantape_work.lt002_instrument
    where ref_date = '2025-02-28'
    and ambito = 'GD'
    and segmento = 'ESTR'
    and nome_perimetro = 'Individual Corporativo'
    ) b
        on a.instrmnt_id_cgd = b.instrmnt_id_it
-- group by 1
)
select *
from dg
where analise_grss_intrst_incm = 'IT tem o resulado a null'
and grss_intrst_incm_cgd &lt;&gt; 0
order by instrmnt_id_cgd desc
limit 5</t>
  </si>
  <si>
    <t>20230000358</t>
  </si>
  <si>
    <t>000090C118700I1</t>
  </si>
  <si>
    <t>AN01020410</t>
  </si>
  <si>
    <t xml:space="preserve">
select
    univ, ref_date, ambito, segmento, instrmnt_id_aux, instrmnt_id, lcl_instrmnt_id,
    cempcta, ckbalcao, cknumcta, zdeposit_mis, ckarea, bsnss_area, cnclld_instrmnt_stts, nw_bsnss
from BU_CAPTOOLS_WORK.UNIV_LT_GD_PARTE3_AUX4
where instrmnt_id_aux = '31000020230000358000090C118700I1'
;</t>
  </si>
  <si>
    <t>217.5100</t>
  </si>
  <si>
    <t>select
    -- chave mis
    cempcta, ckbalcao, cknumcta, zdeposit, ckarea,
    -- campos
    c298_patrm
from BU_CAPTOOLS_WORK.UNIV_RENTAB_FEV25
where concat(cempcta, ckbalcao, cknumcta, zdeposit) = '31000020230000358000090C118700I1'</t>
  </si>
  <si>
    <t>Casuística</t>
  </si>
  <si>
    <t>Exemplo 2</t>
  </si>
  <si>
    <t>ID</t>
  </si>
  <si>
    <t>1</t>
  </si>
  <si>
    <t>2</t>
  </si>
  <si>
    <t>3</t>
  </si>
  <si>
    <t>4</t>
  </si>
  <si>
    <t>SS000000931300447OSFCAPRES1P</t>
  </si>
  <si>
    <t>SNCN00005042</t>
  </si>
  <si>
    <t>COMUM PM</t>
  </si>
  <si>
    <t>MISS</t>
  </si>
  <si>
    <t xml:space="preserve">
select
    univ, ref_date, ambito, segmento, instrmnt_id_aux, instrmnt_id, lcl_instrmnt_id,
    cempcta, ckbalcao, cknumcta, zdeposit_mis, ckarea, bsnss_area, cnclld_instrmnt_stts, nw_bsnss
from BU_CAPTOOLS_WORK.UNIV_LT_GD_PARTE3_AUX4
where instrmnt_id_aux = 'SS000000931300447OSFCAPRES1P'
;</t>
  </si>
  <si>
    <t>with dg as (
select
    case 
        when grss_intrst_incm_cgd=grss_intrst_incm_it then 'ok'
        when grss_intrst_incm_cgd is null and msaldo_final_total is null and grss_intrst_incm_it is null then 'Não existe na LT001'
        when grss_intrst_incm_cgd is null and msaldo_final_total is null and grss_intrst_incm_it is not null then 'Não existe na LT001 mas IT atribui um valor'
        when (instrmnt_id_cgd like 'SNCN%' or instrmnt_id_cgd like 'SS%' or instrmnt_id_cgd like 'SN%' or instrmnt_id_cgd like 'NN%') and grss_intrst_incm_cgd is not null and grss_intrst_incm_it is null then 'IT ainda nao aplicou o default para ajustes manuais e cancelados'
        when grss_intrst_incm_cgd is not null and grss_intrst_incm_it is null and msaldo_final_total is not null then 'IT tem o resulado a null'
        when grss_intrst_incm_cgd&lt;&gt;grss_intrst_incm_it then 'nok'
        else 'ver'
    end as analise_grss_intrst_incm,
    -- count(*)
    *
from
    (
    select distinct
        instrmnt_id as instrmnt_id_cgd,
        grss_intrst_incm as grss_intrst_incm_cgd,
        msaldo_final_total
    from bu_captools_work.lt002_gd_fev25_dg
    ) a
inner join 
    (
    select distinct
        instrmnt_id as instrmnt_id_it,
        grss_intrst_incm as grss_intrst_incm_it
    from bu_loantape_work.lt002_instrument
    where ref_date = '2025-02-28'
    and ambito = 'GD'
    and segmento = 'ESTR'
    and nome_perimetro = 'Individual Corporativo'
    ) b
        on a.instrmnt_id_cgd = b.instrmnt_id_it
-- group by 1
)
select *
from dg
where analise_grss_intrst_incm = 'IT ainda nao aplicou o default para ajustes manuais e cancelados'
-- and grss_intrst_incm_cgd &lt;&gt; 0
order by instrmnt_id_cgd desc
limit 5</t>
  </si>
  <si>
    <t>Sem chave</t>
  </si>
  <si>
    <t xml:space="preserve">
select
    univ, ref_date, ambito, segmento, instrmnt_id_aux, instrmnt_id, lcl_instrmnt_id,
    cempcta, ckbalcao, cknumcta, zdeposit_mis, ckarea, bsnss_area, cnclld_instrmnt_stts, nw_bsnss
from BU_CAPTOOLS_WORK.UNIV_LT_GD_PARTE3_AUX4
where instrmnt_id_aux = 'SNCN00005042'
;</t>
  </si>
  <si>
    <t>Nok</t>
  </si>
  <si>
    <t>Exemplo 1 - Com linhas e valores duplicados</t>
  </si>
  <si>
    <t>Não está na tabela de rentabilidade nem na LT001</t>
  </si>
  <si>
    <t>Não está na LT001</t>
  </si>
  <si>
    <t>Exemplo 2 - Com linhas e valores duplicados</t>
  </si>
  <si>
    <t>114.85</t>
  </si>
  <si>
    <t>1033.65</t>
  </si>
  <si>
    <t>229.70</t>
  </si>
  <si>
    <t>31663600357001899363603570018990</t>
  </si>
  <si>
    <t>00357001899</t>
  </si>
  <si>
    <t>363603570018999</t>
  </si>
  <si>
    <t>select
    univ, ref_date, ambito, segmento, instrmnt_id_aux, instrmnt_id, lcl_instrmnt_id,
    cempcta, ckbalcao, cknumcta, zdeposit_mis, ckarea, bsnss_area, cnclld_instrmnt_stts, nw_bsnss
from BU_CAPTOOLS_WORK.UNIV_LT_GD_PARTE3_AUX4
where instrmnt_id_aux = '31663600357001899363603570018990'
;</t>
  </si>
  <si>
    <t>114.8500</t>
  </si>
  <si>
    <t>select
    -- chave mis
    cempcta, ckbalcao, cknumcta, zdeposit, ckarea,
    -- campos
    c298_patrm
from BU_CAPTOOLS_WORK.UNIV_RENTAB_FEV25
where concat(cempcta, ckbalcao, cknumcta, zdeposit) in ('31663600357001899363603570018999')
;</t>
  </si>
  <si>
    <t>12.  FLG_INTRBSNSS</t>
  </si>
  <si>
    <t>1. GRSS_INTRST_INCM</t>
  </si>
  <si>
    <t>flg_intrbsnss</t>
  </si>
  <si>
    <t>count(distinct instrmnt_id)</t>
  </si>
  <si>
    <t>select
    flg_intrbsnss,
    count(distinct instrmnt_id)
from bu_loantape_work.lt002_instrument
where ref_date = '2025-02-28'
and ambito = 'GD'
and segmento = 'ESTR'
and nome_perimetro = 'Individual Corporativo'
group by 1</t>
  </si>
  <si>
    <t>13. INTRBSNSS_ADJ_COD</t>
  </si>
  <si>
    <t>intrbsnss_adj_cod</t>
  </si>
  <si>
    <t>N/A</t>
  </si>
  <si>
    <t>select
    intrbsnss_adj_cod,
    count(distinct instrmnt_id)
from bu_loantape_work.lt002_instrument
where ref_date = '2025-02-28'
and ambito = 'GD'
and segmento = 'ESTR'
and nome_perimetro = 'Individual Corporativo'
group by 1</t>
  </si>
  <si>
    <t>14. COD_SOC_DSTNTN</t>
  </si>
  <si>
    <t>cod_soc_dstntn</t>
  </si>
  <si>
    <t>select
    cod_soc_dstntn,
    count(distinct instrmnt_id)
from bu_loantape_work.lt002_instrument
where ref_date = '2025-02-28'
and ambito = 'GD'
and segmento = 'ESTR'
and nome_perimetro = 'Individual Corporativo'
group by 1</t>
  </si>
  <si>
    <t>15. BSNSS_AREA_DSTNTN</t>
  </si>
  <si>
    <t>bsnss_area_dstntn</t>
  </si>
  <si>
    <t>select
    bsnss_area_dstntn,
    count(distinct instrmnt_id)
from bu_loantape_work.lt002_instrument
where ref_date = '2025-02-28'
and ambito = 'GD'
and segmento = 'ESTR'
and nome_perimetro = 'Individual Corporativo'
group by 1</t>
  </si>
  <si>
    <t>16. INTRNL_TRNSFR_RT_OFF_BLNC</t>
  </si>
  <si>
    <t>intrnl_trnsfr_rt_off_blnc</t>
  </si>
  <si>
    <t>11111111111.00</t>
  </si>
  <si>
    <t>select
    intrnl_trnsfr_rt_off_blnc,
    count(distinct instrmnt_id)
from bu_loantape_work.lt002_instrument
where ref_date = '2025-02-28'
and ambito = 'GD'
and segmento = 'ESTR'
and nome_perimetro = 'Individual Corporativo'
group by 1</t>
  </si>
  <si>
    <t>17. INTRNL_TRNSFR_RT</t>
  </si>
  <si>
    <t>Tabela com os campos necessários para fevereiro</t>
  </si>
  <si>
    <t>Tabela com os campos necessários para janeiro</t>
  </si>
  <si>
    <t>Tabela com os campos necessários para dezembro</t>
  </si>
  <si>
    <t>BU_CAPTOOLS_WORK.UNIV_RENTAB_JAN25</t>
  </si>
  <si>
    <t>BU_CAPTOOLS_WORK.UNIV_RENTAB_DEZ25</t>
  </si>
  <si>
    <t xml:space="preserve">--criação de uma lt001 intermédia com todo o histórico trazendo apenas o registo com o msaldo mais recente (não nulo)
-- create table bu_captools_work.lt001_int_mar25_gd_dg as
select  
    -- chave finrep
    cempresa, cbalcao, cnumecta, zdeposit,
    -- campos
    sum(msaldo_final) as msaldo_final,
    ref_date
from
    (
    select 
        -- chave finrep
        cempresa, cbalcao, cnumecta, zdeposit,
        -- campos
        abs(msaldo_final) as msaldo_final, 
        ref_date,
        max(ref_date) over (partition by cempresa, cbalcao, cnumecta, zdeposit) as max_ref_date
    from bu_loantape_work.lt001_univ_oper
    where ref_date &lt;= '2025-03-31'
    and msaldo_final is not null
    and nome_perimetro = 'Individual Corporativo'
    and ambito = 'PM'
    and segmento = 'ESTR'
    and tipo_conta = 'A'
    and bruto_imparidade &lt;&gt; 'imparidade'
    ) a
where ref_date =  max_ref_date
group by 1,2,3,4,6
;
</t>
  </si>
  <si>
    <t>with dg as (
select
    *,
    case
        when instrmnt_id_cdg is not null and instrmnt_id_it is not null and nw_bsnss_cdg = nw_bsnss_it then 'ok'
        when instrmnt_id_cdg is not null and instrmnt_id_it is not null and nw_bsnss_cdg &lt;&gt; nw_bsnss_it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nw_bsnss as nw_bsnss_cdg
    from BU_CAPTOOLS_WORK.UNIV_LT_GD_PARTE3_AUX4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entidade = '00100'
    ) b
        on a.instrmnt_id_cdg = b.instrmnt_id_it
)
select 
    analise,
    *
    -- count(*)
from dg
where analise = 'nok'
-- group by 1
;</t>
  </si>
  <si>
    <t>17. Nw_Bsnss</t>
  </si>
  <si>
    <t>analise</t>
  </si>
  <si>
    <t>exclusivo it</t>
  </si>
  <si>
    <t>exclusivo cdg</t>
  </si>
  <si>
    <t>NOK</t>
  </si>
  <si>
    <t>nw_bsnss_cdg</t>
  </si>
  <si>
    <t>nw_bsnss_it</t>
  </si>
  <si>
    <t>Default value not allowed</t>
  </si>
  <si>
    <t>ID 1</t>
  </si>
  <si>
    <t>instrmnt_id_cdg</t>
  </si>
  <si>
    <t>nw_bsnss_aux</t>
  </si>
  <si>
    <t>ID 2</t>
  </si>
  <si>
    <t>ID 3</t>
  </si>
  <si>
    <t>ID 4</t>
  </si>
  <si>
    <t>with dg as (
select
    *,
    case
        when instrmnt_id_cdg is not null and instrmnt_id_it is not null and nw_bsnss_cdg = nw_bsnss_it then 'ok'
        when instrmnt_id_cdg is not null and instrmnt_id_it is not null and nw_bsnss_cdg &lt;&gt; nw_bsnss_it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nw_bsnss as nw_bsnss_cdg
    from BU_CAPTOOLS_WORK.UNIV_LT_GD_PARTE3_AUX4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entidade = '00100'
    ) b
        on a.instrmnt_id_cdg = b.instrmnt_id_it
)
select
    analise,
    -- *
    -- nw_bsnss_cdg,
    -- nw_bsnss_it,
    count(*)
from dg
-- where analise = 'nok'
-- and nw_bsnss_cdg = 'N'
-- and nw_bsnss_it = 'Y'
group by 1
order by 2 desc
-- limit 3
;</t>
  </si>
  <si>
    <t>with dg as (
select
    *,
    case
        when instrmnt_id_cdg is not null and instrmnt_id_it is not null and nw_bsnss_cdg = nw_bsnss_it then 'ok'
        when instrmnt_id_cdg is not null and instrmnt_id_it is not null and nw_bsnss_cdg &lt;&gt; nw_bsnss_it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nw_bsnss as nw_bsnss_cdg
    from BU_CAPTOOLS_WORK.UNIV_LT_GD_PARTE3_AUX4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entidade = '00100'
    ) b
        on a.instrmnt_id_cdg = b.instrmnt_id_it
)
select
    -- analise,
    -- *
    nw_bsnss_cdg,
    nw_bsnss_it,
    count(*)
from dg
where analise = 'nok'
-- and nw_bsnss_cdg = 'N'
-- and nw_bsnss_it = 'Y'
group by 1, 2
order by 3 desc
-- limit 3
;</t>
  </si>
  <si>
    <t>with dg as (
select
    *,
    case
        when instrmnt_id_cdg is not null and instrmnt_id_it is not null and nw_bsnss_cdg = nw_bsnss_it then 'ok'
        when instrmnt_id_cdg is not null and instrmnt_id_it is not null and nw_bsnss_cdg &lt;&gt; nw_bsnss_it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nw_bsnss as nw_bsnss_cdg
    from BU_CAPTOOLS_WORK.UNIV_LT_GD_PARTE3_AUX4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entidade = '00100'
    ) b
        on a.instrmnt_id_cdg = b.instrmnt_id_it
)
select
    -- analise,
    *
    -- nw_bsnss_cdg,
    -- nw_bsnss_it,
    -- count(*)
from dg
where analise = 'nok'
and nw_bsnss_cdg = 'N'
and nw_bsnss_it = 'Y'
-- group by 1, 2
-- order by 3 desc
limit 3
;</t>
  </si>
  <si>
    <t>c008_patrm_jan</t>
  </si>
  <si>
    <t>c011_patrm_jan</t>
  </si>
  <si>
    <t>c008_patrm_fev</t>
  </si>
  <si>
    <t>c011_patrm_fev</t>
  </si>
  <si>
    <t>c008_patrm_mar</t>
  </si>
  <si>
    <t>c011_patrm_mar</t>
  </si>
  <si>
    <t>c001_patrm_jan</t>
  </si>
  <si>
    <t>c134_patrm_jan</t>
  </si>
  <si>
    <t>c001_patrm_dez</t>
  </si>
  <si>
    <t>c134_patrm_dez</t>
  </si>
  <si>
    <t>c001_patrm_fev</t>
  </si>
  <si>
    <t>c134_patrm_fev</t>
  </si>
  <si>
    <t>c001_patrm_mar</t>
  </si>
  <si>
    <t>c134_patrm_mar</t>
  </si>
  <si>
    <t>31005121303630011636073700000001</t>
  </si>
  <si>
    <t>31000318413863096000000000000000</t>
  </si>
  <si>
    <t>31000300003308007100085902050000</t>
  </si>
  <si>
    <t>with dg as (
select
    *,
    case
        when instrmnt_id_cdg is not null and instrmnt_id_it is not null and nw_bsnss_cdg = nw_bsnss_it then 'ok'
        when instrmnt_id_cdg is not null and instrmnt_id_it is not null and nw_bsnss_cdg &lt;&gt; nw_bsnss_it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nw_bsnss as nw_bsnss_cdg
    from BU_CAPTOOLS_WORK.UNIV_LT_GD_PARTE3_AUX4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entidade = '00100'
    ) b
        on a.instrmnt_id_cdg = b.instrmnt_id_it
)
select
    -- analise,
    *
    -- nw_bsnss_cdg,
    -- nw_bsnss_it,
    -- count(*)
from dg
where analise = 'nok'
and nw_bsnss_cdg = 'N'
and nw_bsnss_it = 'Default value not allowed'
-- group by 1, 2
-- order by 3 desc
limit 3
;</t>
  </si>
  <si>
    <t>1000.0000</t>
  </si>
  <si>
    <t>SELECT DISTINCT 
    BASE.instrmnt_id,
    '1' as condição_1,
    NVL(RENT_JAN.C008_PATRM,0) as C008_PATRM_JAN, NVL(RENT_JAN.C011_PATRM,0) as C011_PATRM_JAN, 
    NVL(RENT_FEV.C008_PATRM,0) as C008_PATRM_FEV, NVL(RENT_FEV.C011_PATRM,0) as C011_PATRM_FEV,
    NVL(RENT_MAR.C008_PATRM,0) as C008_PATRM_MAR, NVL(RENT_MAR.C011_PATRM,0) as C011_PATRM_MAR,
    '2' as condição_2,
    NVL(RENT_JAN.C001_PATRM,0) as C001_PATRM_JAN, NVL(RENT_JAN.C134_PATRM,0) as C134_PATRM_JAN,
    NVL(RENT_DEZ.C001_PATRM,0) as C001_PATRM_DEZ, NVL(RENT_DEZ.C134_PATRM,0) as C134_PATRM_DEZ,
    '3' as condição_3,
    NVL(RENT_FEV.C001_PATRM,0) as C001_PATRM_FEV, NVL(RENT_FEV.C134_PATRM,0) as C134_PATRM_FEV,
    NVL(RENT_JAN.C001_PATRM,0) as C001_PATRM_JAN, NVL(RENT_JAN.C134_PATRM,0) as C134_PATRM_JAN,
    '4' as condição_4,
    NVL(RENT_MAR.C001_PATRM,0) as C001_PATRM_MAR, NVL(RENT_MAR.C134_PATRM,0) as C134_PATRM_MAR,
    NVL(RENT_FEV.C001_PATRM,0) as C001_PATRM_MAR, NVL(RENT_FEV.C134_PATRM,0) as C134_PATRM_FEV,
    CASE
        WHEN ((NVL(RENT_JAN.C008_PATRM,0) + NVL(RENT_JAN.C011_PATRM,0)) + (NVL(RENT_FEV.C008_PATRM,0) + NVL(RENT_FEV.C011_PATRM,0)) + (NVL(RENT_MAR.C008_PATRM,0) + NVL(RENT_MAR.C011_PATRM,0))) &gt; 0 OR
             ((NVL(RENT_JAN.C001_PATRM,0) + NVL(RENT_JAN.C134_PATRM,0)) - (NVL(RENT_DEZ.C001_PATRM,0) + NVL(RENT_DEZ.C134_PATRM,0))) &gt; 0 OR
             ((NVL(RENT_FEV.C001_PATRM,0) + NVL(RENT_FEV.C134_PATRM,0)) - (NVL(RENT_JAN.C001_PATRM,0) + NVL(RENT_JAN.C134_PATRM,0))) &gt; 0 OR
             ((NVL(RENT_MAR.C001_PATRM,0) + NVL(RENT_MAR.C134_PATRM,0)) - (NVL(RENT_FEV.C001_PATRM,0) + NVL(RENT_FEV.C134_PATRM,0))) &gt; 0
             THEN 1
        ELSE 0
    END AS NW_BSNSS_AUX
FROM BU_CAPTOOLS_WORK.UNIV_LT_GD_PARTE3_AUX3 BASE
LEFT JOIN BU_CAPTOOLS_WORK.UNIV_RENTAB_MAR25 RENT_MAR
ON BASE.CEMPCTA=RENT_MAR.CEMPCTA
AND BASE.CKBALCAO=RENT_MAR.CKBALCAO
AND BASE.CKNUMCTA=RENT_MAR.CKNUMCTA
AND BASE.ZDEPOSIT_MIS=RENT_MAR.ZDEPOSIT
AND BASE.CKAREA&lt;=&gt;RENT_MAR.CKAREA
LEFT JOIN BU_CAPTOOLS_WORK.UNIV_RENTAB_FEV25 RENT_FEV
ON BASE.CEMPCTA=RENT_FEV.CEMPCTA
AND BASE.CKBALCAO=RENT_FEV.CKBALCAO
AND BASE.CKNUMCTA=RENT_FEV.CKNUMCTA
AND BASE.ZDEPOSIT_MIS=RENT_FEV.ZDEPOSIT
AND BASE.CKAREA&lt;=&gt;RENT_FEV.CKAREA
LEFT JOIN BU_CAPTOOLS_WORK.UNIV_RENTAB_JAN25 RENT_JAN
ON BASE.CEMPCTA=RENT_JAN.CEMPCTA
AND BASE.CKBALCAO=RENT_JAN.CKBALCAO
AND BASE.CKNUMCTA=RENT_JAN.CKNUMCTA
AND BASE.ZDEPOSIT_MIS=RENT_JAN.ZDEPOSIT
AND BASE.CKAREA&lt;=&gt;RENT_JAN.CKAREA
LEFT JOIN BU_CAPTOOLS_WORK.UNIV_RENTAB_DEZ24 RENT_DEZ
ON BASE.CEMPCTA=RENT_DEZ.CEMPCTA
AND BASE.CKBALCAO=RENT_DEZ.CKBALCAO
AND BASE.CKNUMCTA=RENT_DEZ.CKNUMCTA
AND BASE.ZDEPOSIT_MIS=RENT_DEZ.ZDEPOSIT
AND BASE.CKAREA&lt;=&gt;RENT_DEZ.CKAREA
where instrmnt_id = '31005121303630011636073700000001'
;</t>
  </si>
  <si>
    <t>31000300003886007100088693120000</t>
  </si>
  <si>
    <t>31005131817520011561320800000001</t>
  </si>
  <si>
    <t>31005134223090011714860400000001</t>
  </si>
  <si>
    <t>with dg as (
select
    *,
    case
        when instrmnt_id_cdg is not null and instrmnt_id_it is not null and nw_bsnss_cdg = nw_bsnss_it then 'ok'
        when instrmnt_id_cdg is not null and instrmnt_id_it is not null and nw_bsnss_cdg &lt;&gt; nw_bsnss_it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nw_bsnss as nw_bsnss_cdg
    from BU_CAPTOOLS_WORK.UNIV_LT_GD_PARTE3_AUX4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entidade = '00100'
    ) b
        on a.instrmnt_id_cdg = b.instrmnt_id_it
)
select
    -- analise,
    *
    -- nw_bsnss_cdg,
    -- nw_bsnss_it,
    -- count(*)
from dg
where analise = 'nok'
and nw_bsnss_cdg = 'Y'
and nw_bsnss_it = 'Default value not allowed'
-- group by 1, 2
-- order by 3 desc
limit 3
;</t>
  </si>
  <si>
    <t>399.7500</t>
  </si>
  <si>
    <t>309.4800</t>
  </si>
  <si>
    <t>128.9500</t>
  </si>
  <si>
    <t>SELECT DISTINCT 
    BASE.instrmnt_id,
    '1' as condição_1,
    NVL(RENT_JAN.C008_PATRM,0) as C008_PATRM_JAN, NVL(RENT_JAN.C011_PATRM,0) as C011_PATRM_JAN, 
    NVL(RENT_FEV.C008_PATRM,0) as C008_PATRM_FEV, NVL(RENT_FEV.C011_PATRM,0) as C011_PATRM_FEV,
    NVL(RENT_MAR.C008_PATRM,0) as C008_PATRM_MAR, NVL(RENT_MAR.C011_PATRM,0) as C011_PATRM_MAR,
    '2' as condição_2,
    NVL(RENT_JAN.C001_PATRM,0) as C001_PATRM_JAN, NVL(RENT_JAN.C134_PATRM,0) as C134_PATRM_JAN,
    NVL(RENT_DEZ.C001_PATRM,0) as C001_PATRM_DEZ, NVL(RENT_DEZ.C134_PATRM,0) as C134_PATRM_DEZ,
    '3' as condição_3,
    NVL(RENT_FEV.C001_PATRM,0) as C001_PATRM_FEV, NVL(RENT_FEV.C134_PATRM,0) as C134_PATRM_FEV,
    NVL(RENT_JAN.C001_PATRM,0) as C001_PATRM_JAN, NVL(RENT_JAN.C134_PATRM,0) as C134_PATRM_JAN,
    '4' as condição_4,
    NVL(RENT_MAR.C001_PATRM,0) as C001_PATRM_MAR, NVL(RENT_MAR.C134_PATRM,0) as C134_PATRM_MAR,
    NVL(RENT_FEV.C001_PATRM,0) as C001_PATRM_MAR, NVL(RENT_FEV.C134_PATRM,0) as C134_PATRM_FEV,
    CASE
        WHEN ((NVL(RENT_JAN.C008_PATRM,0) + NVL(RENT_JAN.C011_PATRM,0)) + (NVL(RENT_FEV.C008_PATRM,0) + NVL(RENT_FEV.C011_PATRM,0)) + (NVL(RENT_MAR.C008_PATRM,0) + NVL(RENT_MAR.C011_PATRM,0))) &gt; 0 OR
             ((NVL(RENT_JAN.C001_PATRM,0) + NVL(RENT_JAN.C134_PATRM,0)) - (NVL(RENT_DEZ.C001_PATRM,0) + NVL(RENT_DEZ.C134_PATRM,0))) &gt; 0 OR
             ((NVL(RENT_FEV.C001_PATRM,0) + NVL(RENT_FEV.C134_PATRM,0)) - (NVL(RENT_JAN.C001_PATRM,0) + NVL(RENT_JAN.C134_PATRM,0))) &gt; 0 OR
             ((NVL(RENT_MAR.C001_PATRM,0) + NVL(RENT_MAR.C134_PATRM,0)) - (NVL(RENT_FEV.C001_PATRM,0) + NVL(RENT_FEV.C134_PATRM,0))) &gt; 0
             THEN 1
        ELSE 0
    END AS NW_BSNSS_AUX
FROM BU_CAPTOOLS_WORK.UNIV_LT_GD_PARTE3_AUX3 BASE
LEFT JOIN BU_CAPTOOLS_WORK.UNIV_RENTAB_MAR25 RENT_MAR
ON BASE.CEMPCTA=RENT_MAR.CEMPCTA
AND BASE.CKBALCAO=RENT_MAR.CKBALCAO
AND BASE.CKNUMCTA=RENT_MAR.CKNUMCTA
AND BASE.ZDEPOSIT_MIS=RENT_MAR.ZDEPOSIT
AND BASE.CKAREA&lt;=&gt;RENT_MAR.CKAREA
LEFT JOIN BU_CAPTOOLS_WORK.UNIV_RENTAB_FEV25 RENT_FEV
ON BASE.CEMPCTA=RENT_FEV.CEMPCTA
AND BASE.CKBALCAO=RENT_FEV.CKBALCAO
AND BASE.CKNUMCTA=RENT_FEV.CKNUMCTA
AND BASE.ZDEPOSIT_MIS=RENT_FEV.ZDEPOSIT
AND BASE.CKAREA&lt;=&gt;RENT_FEV.CKAREA
LEFT JOIN BU_CAPTOOLS_WORK.UNIV_RENTAB_JAN25 RENT_JAN
ON BASE.CEMPCTA=RENT_JAN.CEMPCTA
AND BASE.CKBALCAO=RENT_JAN.CKBALCAO
AND BASE.CKNUMCTA=RENT_JAN.CKNUMCTA
AND BASE.ZDEPOSIT_MIS=RENT_JAN.ZDEPOSIT
AND BASE.CKAREA&lt;=&gt;RENT_JAN.CKAREA
LEFT JOIN BU_CAPTOOLS_WORK.UNIV_RENTAB_DEZ24 RENT_DEZ
ON BASE.CEMPCTA=RENT_DEZ.CEMPCTA
AND BASE.CKBALCAO=RENT_DEZ.CKBALCAO
AND BASE.CKNUMCTA=RENT_DEZ.CKNUMCTA
AND BASE.ZDEPOSIT_MIS=RENT_DEZ.ZDEPOSIT
AND BASE.CKAREA&lt;=&gt;RENT_DEZ.CKAREA
where instrmnt_id = '31000300003886007100088693120000'
;</t>
  </si>
  <si>
    <t>31000000000000000962304880458300</t>
  </si>
  <si>
    <t>82000020210000198001520250148270</t>
  </si>
  <si>
    <t>82000020200000108001520250091476</t>
  </si>
  <si>
    <t>SELECT DISTINCT 
    BASE.instrmnt_id,
    '1' as condição_1,
    NVL(RENT_JAN.C008_PATRM,0) as C008_PATRM_JAN, NVL(RENT_JAN.C011_PATRM,0) as C011_PATRM_JAN, 
    NVL(RENT_FEV.C008_PATRM,0) as C008_PATRM_FEV, NVL(RENT_FEV.C011_PATRM,0) as C011_PATRM_FEV,
    NVL(RENT_MAR.C008_PATRM,0) as C008_PATRM_MAR, NVL(RENT_MAR.C011_PATRM,0) as C011_PATRM_MAR,
    '2' as condição_2,
    NVL(RENT_JAN.C001_PATRM,0) as C001_PATRM_JAN, NVL(RENT_JAN.C134_PATRM,0) as C134_PATRM_JAN,
    NVL(RENT_DEZ.C001_PATRM,0) as C001_PATRM_DEZ, NVL(RENT_DEZ.C134_PATRM,0) as C134_PATRM_DEZ,
    '3' as condição_3,
    NVL(RENT_FEV.C001_PATRM,0) as C001_PATRM_FEV, NVL(RENT_FEV.C134_PATRM,0) as C134_PATRM_FEV,
    NVL(RENT_JAN.C001_PATRM,0) as C001_PATRM_JAN, NVL(RENT_JAN.C134_PATRM,0) as C134_PATRM_JAN,
    '4' as condição_4,
    NVL(RENT_MAR.C001_PATRM,0) as C001_PATRM_MAR, NVL(RENT_MAR.C134_PATRM,0) as C134_PATRM_MAR,
    NVL(RENT_FEV.C001_PATRM,0) as C001_PATRM_MAR, NVL(RENT_FEV.C134_PATRM,0) as C134_PATRM_FEV,
    CASE
        WHEN ((NVL(RENT_JAN.C008_PATRM,0) + NVL(RENT_JAN.C011_PATRM,0)) + (NVL(RENT_FEV.C008_PATRM,0) + NVL(RENT_FEV.C011_PATRM,0)) + (NVL(RENT_MAR.C008_PATRM,0) + NVL(RENT_MAR.C011_PATRM,0))) &gt; 0 OR
             ((NVL(RENT_JAN.C001_PATRM,0) + NVL(RENT_JAN.C134_PATRM,0)) - (NVL(RENT_DEZ.C001_PATRM,0) + NVL(RENT_DEZ.C134_PATRM,0))) &gt; 0 OR
             ((NVL(RENT_FEV.C001_PATRM,0) + NVL(RENT_FEV.C134_PATRM,0)) - (NVL(RENT_JAN.C001_PATRM,0) + NVL(RENT_JAN.C134_PATRM,0))) &gt; 0 OR
             ((NVL(RENT_MAR.C001_PATRM,0) + NVL(RENT_MAR.C134_PATRM,0)) - (NVL(RENT_FEV.C001_PATRM,0) + NVL(RENT_FEV.C134_PATRM,0))) &gt; 0
             THEN 1
        ELSE 0
    END AS NW_BSNSS_AUX
FROM BU_CAPTOOLS_WORK.UNIV_LT_GD_PARTE3_AUX3 BASE
LEFT JOIN BU_CAPTOOLS_WORK.UNIV_RENTAB_MAR25 RENT_MAR
ON BASE.CEMPCTA=RENT_MAR.CEMPCTA
AND BASE.CKBALCAO=RENT_MAR.CKBALCAO
AND BASE.CKNUMCTA=RENT_MAR.CKNUMCTA
AND BASE.ZDEPOSIT_MIS=RENT_MAR.ZDEPOSIT
AND BASE.CKAREA&lt;=&gt;RENT_MAR.CKAREA
LEFT JOIN BU_CAPTOOLS_WORK.UNIV_RENTAB_FEV25 RENT_FEV
ON BASE.CEMPCTA=RENT_FEV.CEMPCTA
AND BASE.CKBALCAO=RENT_FEV.CKBALCAO
AND BASE.CKNUMCTA=RENT_FEV.CKNUMCTA
AND BASE.ZDEPOSIT_MIS=RENT_FEV.ZDEPOSIT
AND BASE.CKAREA&lt;=&gt;RENT_FEV.CKAREA
LEFT JOIN BU_CAPTOOLS_WORK.UNIV_RENTAB_JAN25 RENT_JAN
ON BASE.CEMPCTA=RENT_JAN.CEMPCTA
AND BASE.CKBALCAO=RENT_JAN.CKBALCAO
AND BASE.CKNUMCTA=RENT_JAN.CKNUMCTA
AND BASE.ZDEPOSIT_MIS=RENT_JAN.ZDEPOSIT
AND BASE.CKAREA&lt;=&gt;RENT_JAN.CKAREA
LEFT JOIN BU_CAPTOOLS_WORK.UNIV_RENTAB_DEZ24 RENT_DEZ
ON BASE.CEMPCTA=RENT_DEZ.CEMPCTA
AND BASE.CKBALCAO=RENT_DEZ.CKBALCAO
AND BASE.CKNUMCTA=RENT_DEZ.CKNUMCTA
AND BASE.ZDEPOSIT_MIS=RENT_DEZ.ZDEPOSIT
AND BASE.CKAREA&lt;=&gt;RENT_DEZ.CKAREA
where instrmnt_id = '31000000000000000962304880458300'
;</t>
  </si>
  <si>
    <t>Condição 1</t>
  </si>
  <si>
    <t>Condição 2</t>
  </si>
  <si>
    <t>Condição 3</t>
  </si>
  <si>
    <t>Condição 4</t>
  </si>
  <si>
    <t>with dg as (
select
    *,
    case
        when instrmnt_id_cdg is not null and instrmnt_id_it is not null and cnclld_instrmnt_stts_cdg = cnclld_instrmnt_stts_it then 'ok'
        when instrmnt_id_cdg is not null and instrmnt_id_it is not null and cnclld_instrmnt_stts_cdg &lt;&gt; cnclld_instrmnt_stts_it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cnclld_instrmnt_stts as cnclld_instrmnt_stts_cdg
    from BU_CAPTOOLS_WORK.UNIV_LT_GD_PARTE3_AUX4
    ) a
full join
    (
    select distinct
        instrmnt_id as instrmnt_id_it,
        cnclld_instrmnt_stts as cnclld_instrmnt_stts_it
    from bu_loantape_work.lt002_instrument
    where ref_date = '2025-03-31'
    and ambito = 'GD'
    and segmento = 'ESTR'
    and nome_perimetro = 'Individual Corporativo'
    and entidade = '00100'
    ) b
        on a.instrmnt_id_cdg = b.instrmnt_id_it
)
select
    analise,
    -- *
    -- cnclld_instrmnt_stts_cdg,
    -- cnclld_instrmnt_stts_it,
    count(*)
from dg
-- where analise = 'nok'
-- and cnclld_instrmnt_stts_cdg = 'N'
-- and cnclld_instrmnt_stts_it = 'Y'
group by 1
order by 2 desc
-- limit 3
;</t>
  </si>
  <si>
    <t>cnclld_instrmnt_stts_cdg</t>
  </si>
  <si>
    <t>cnclld_instrmnt_stts_it</t>
  </si>
  <si>
    <t>with dg as (
select
    *,
    case
        when instrmnt_id_cdg is not null and instrmnt_id_it is not null and cnclld_instrmnt_stts_cdg = cnclld_instrmnt_stts_it then 'ok'
        when instrmnt_id_cdg is not null and instrmnt_id_it is not null and cnclld_instrmnt_stts_cdg &lt;&gt; cnclld_instrmnt_stts_it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cnclld_instrmnt_stts as cnclld_instrmnt_stts_cdg
    from BU_CAPTOOLS_WORK.UNIV_LT_GD_PARTE3_AUX4
    ) a
full join
    (
    select distinct
        instrmnt_id as instrmnt_id_it,
        cnclld_instrmnt_stts as cnclld_instrmnt_stts_it
    from bu_loantape_work.lt002_instrument
    where ref_date = '2025-03-31'
    and ambito = 'GD'
    and segmento = 'ESTR'
    and nome_perimetro = 'Individual Corporativo'
    and entidade = '00100'
    ) b
        on a.instrmnt_id_cdg = b.instrmnt_id_it
)
select
    -- analise,
    -- *
    cnclld_instrmnt_stts_cdg,
    cnclld_instrmnt_stts_it,
    count(*)
from dg
where analise = 'nok'
-- and cnclld_instrmnt_stts_cdg = 'N'
-- and cnclld_instrmnt_stts_it = 'Y'
group by 1,2
order by 3 desc
-- limit 3
;</t>
  </si>
  <si>
    <t>Nw_Bsnss - Ponto 5.1.1.15 da especificação</t>
  </si>
  <si>
    <t>31000300000395007100088403780000</t>
  </si>
  <si>
    <t>82000000005104026000510000732659</t>
  </si>
  <si>
    <t>31000310194938091069872210100000</t>
  </si>
  <si>
    <t>with dg as (
select
    *,
    case
        when instrmnt_id_cdg is not null and instrmnt_id_it is not null and cnclld_instrmnt_stts_cdg = cnclld_instrmnt_stts_it then 'ok'
        when instrmnt_id_cdg is not null and instrmnt_id_it is not null and cnclld_instrmnt_stts_cdg &lt;&gt; cnclld_instrmnt_stts_it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cnclld_instrmnt_stts as cnclld_instrmnt_stts_cdg
    from BU_CAPTOOLS_WORK.UNIV_LT_GD_PARTE3_AUX4
    ) a
full join
    (
    select distinct
        instrmnt_id as instrmnt_id_it,
        cnclld_instrmnt_stts as cnclld_instrmnt_stts_it
    from bu_loantape_work.lt002_instrument
    where ref_date = '2025-03-31'
    and ambito = 'GD'
    and segmento = 'ESTR'
    and nome_perimetro = 'Individual Corporativo'
    and entidade = '00100'
    ) b
        on a.instrmnt_id_cdg = b.instrmnt_id_it
)
select
    -- analise,
    *
    -- cnclld_instrmnt_stts_cdg,
    -- cnclld_instrmnt_stts_it,
    -- count(*)
from dg
where analise = 'nok'
and cnclld_instrmnt_stts_cdg = 'C'
and cnclld_instrmnt_stts_it = 'N'
-- group by 1
-- order by 2 desc
limit 3
;</t>
  </si>
  <si>
    <t>2024-12-18</t>
  </si>
  <si>
    <t>Parametrização</t>
  </si>
  <si>
    <t>•	Quando o contrato existe na tabela fr001_univ_saldo então ‘N’
•	Quando o contrato não existe na tabela fr001_univ_saldo e apresenta data de início de operação (campo ‘dinioper’) no ano de referência então ‘M’
•	Quando o contrato não existe na tabela fr001_univ_saldo e apresenta data de início de operação (campo ‘dinioper’) anterior ao ano de referência então ‘C’</t>
  </si>
  <si>
    <t>ano_referencia</t>
  </si>
  <si>
    <t>data_inicio_operação</t>
  </si>
  <si>
    <t>fr001_field</t>
  </si>
  <si>
    <t>2025-03-31</t>
  </si>
  <si>
    <t>-- SIMULAÇÃO DO CAMPO CNCLLD_INSTRMNT_STTS
-- EXISTEM 91 CONTRATOS CANCELADOS SEM DINIOPER ASSOCIADA
SELECT DISTINCT
    INSTRMNT_ID,
    ref_date as ano_referencia,
    MIN_DINIOPER_AUX as data_inicio_operação,
    FR001.ZDEPOSIT as FR001_Field,
    CASE
        WHEN FR001.ZDEPOSIT IS NOT NULL THEN 'N'
        WHEN AUX.INSTRMNT_ID_AUX LIKE 'SS%' OR AUX.INSTRMNT_ID_AUX LIKE 'NN%' OR AUX.INSTRMNT_ID_AUX LIKE 'SN%' THEN 'N' -- CLASSIFICAR OS AJUSTES COMO NÃO SENDO CANCELADOS
        WHEN FR001.ZDEPOSIT IS NULL AND YEAR(AUX.MIN_DINIOPER_AUX)=YEAR(AUX.REF_DATE) THEN 'M'
        WHEN FR001.ZDEPOSIT IS NULL AND YEAR(AUX.MIN_DINIOPER_AUX)&lt;YEAR(AUX.REF_DATE) THEN 'C'
        ELSE 'C'
    END AS CNCLLD_INSTRMNT_STTS
FROM 
    (
    SELECT 
        BASE.*,
        DINIOPER_AUX,
        MIN(DINIOPER_AUX) OVER (PARTITION BY INSTRMNT_ID) AS MIN_DINIOPER_AUX
    FROM BU_CAPTOOLS_WORK.UNIV_LT_GD_PARTE3_AUX2 BASE
    LEFT JOIN
       -- SELEÇÃO DA DINIOPER PARA A DATA MAIS RECENTE (DESCONSIDERANDO OS MESES PARA OS QUAIS NÃO ENCONTRAMOS DINIOPER)
       (
        SELECT DISTINCT CEMPCTA, CKBALCAO, CKNUMCTA, ZDEPOSIT, CKAREA, DINIOPER_AUX, REF_DATE
        FROM
            (
            SELECT
                *,
                MAX(REF_DATE) OVER (PARTITION BY CEMPCTA, CKBALCAO, CKNUMCTA, ZDEPOSIT) AS MAX_REF_DATE
            FROM 
                (
                SELECT DISTINCT CEMPCTA, CKBALCAO, CKNUMCTA, ZDEPOSIT, CKAREA, REF_DATE, DINIOPER_AUX
                FROM BU_CAPTOOLS_WORK.UNIV_RENTAB_MAR25
                WHERE DINIOPER_AUX IS NOT NULL
                UNION ALL
                SELECT DISTINCT CEMPCTA, CKBALCAO, CKNUMCTA, ZDEPOSIT, CKAREA, REF_DATE, DINIOPER_AUX
                FROM BU_CAPTOOLS_WORK.UNIV_RENTAB_FEV25
                WHERE DINIOPER_AUX IS NOT NULL
                UNION ALL
                SELECT DISTINCT CEMPCTA, CKBALCAO, CKNUMCTA, ZDEPOSIT, CKAREA, REF_DATE, DINIOPER_AUX
                FROM BU_CAPTOOLS_WORK.UNIV_RENTAB_JAN25
                WHERE DINIOPER_AUX IS NOT NULL
                ) A
            ) B
        WHERE REF_DATE=MAX_REF_DATE
        ) UNIV_RENTAB
    ON BASE.CEMPCTA=UNIV_RENTAB.CEMPCTA
    AND BASE.CKBALCAO=UNIV_RENTAB.CKBALCAO
    AND BASE.CKNUMCTA=UNIV_RENTAB.CKNUMCTA
    AND TRIM(BASE.ZDEPOSIT_MIS)=TRIM(UNIV_RENTAB.ZDEPOSIT)
    ) AUX
LEFT JOIN
    (
    SELECT DISTINCT CEMPRESA, CBALCAO, CNUMECTA, ZDEPOSIT
    FROM CD_CAPTOOLS.FR001_UNIV_SALDO
    WHERE REF_DATE = '2025-03-31'
    ) FR001
ON AUX.INSTRMNT_ID_AUX = CONCAT(FR001.CEMPRESA, FR001.CBALCAO, FR001.CNUMECTA, FR001.ZDEPOSIT)
where instrmnt_id = '31000300000395007100088403780000'
;</t>
  </si>
  <si>
    <t>31000300052123007100089413780000</t>
  </si>
  <si>
    <t>31000300117215007100089111760000</t>
  </si>
  <si>
    <t>31000300000015007100088761150000</t>
  </si>
  <si>
    <t>with dg as (
select
    *,
    case
        when instrmnt_id_cdg is not null and instrmnt_id_it is not null and cnclld_instrmnt_stts_cdg = cnclld_instrmnt_stts_it then 'ok'
        when instrmnt_id_cdg is not null and instrmnt_id_it is not null and cnclld_instrmnt_stts_cdg &lt;&gt; cnclld_instrmnt_stts_it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cnclld_instrmnt_stts as cnclld_instrmnt_stts_cdg
    from BU_CAPTOOLS_WORK.UNIV_LT_GD_PARTE3_AUX4
    ) a
full join
    (
    select distinct
        instrmnt_id as instrmnt_id_it,
        cnclld_instrmnt_stts as cnclld_instrmnt_stts_it
    from bu_loantape_work.lt002_instrument
    where ref_date = '2025-03-31'
    and ambito = 'GD'
    and segmento = 'ESTR'
    and nome_perimetro = 'Individual Corporativo'
    and entidade = '00100'
    ) b
        on a.instrmnt_id_cdg = b.instrmnt_id_it
)
select
    -- analise,
    *
    -- cnclld_instrmnt_stts_cdg,
    -- cnclld_instrmnt_stts_it,
    -- count(*)
from dg
where analise = 'nok'
and cnclld_instrmnt_stts_cdg = 'M'
and cnclld_instrmnt_stts_it = 'N'
-- group by 1
-- order by 2 desc
limit 3
;</t>
  </si>
  <si>
    <t>2025-02-12</t>
  </si>
  <si>
    <t>-- SIMULAÇÃO DO CAMPO CNCLLD_INSTRMNT_STTS
-- EXISTEM 91 CONTRATOS CANCELADOS SEM DINIOPER ASSOCIADA
SELECT DISTINCT
    INSTRMNT_ID,
    ref_date as ano_referencia,
    MIN_DINIOPER_AUX as data_inicio_operação,
    FR001.ZDEPOSIT as FR001_Field,
    CASE
        WHEN FR001.ZDEPOSIT IS NOT NULL THEN 'N'
        WHEN AUX.INSTRMNT_ID_AUX LIKE 'SS%' OR AUX.INSTRMNT_ID_AUX LIKE 'NN%' OR AUX.INSTRMNT_ID_AUX LIKE 'SN%' THEN 'N' -- CLASSIFICAR OS AJUSTES COMO NÃO SENDO CANCELADOS
        WHEN FR001.ZDEPOSIT IS NULL AND YEAR(AUX.MIN_DINIOPER_AUX)=YEAR(AUX.REF_DATE) THEN 'M'
        WHEN FR001.ZDEPOSIT IS NULL AND YEAR(AUX.MIN_DINIOPER_AUX)&lt;YEAR(AUX.REF_DATE) THEN 'C'
        ELSE 'C'
    END AS CNCLLD_INSTRMNT_STTS
FROM 
    (
    SELECT 
        BASE.*,
        DINIOPER_AUX,
        MIN(DINIOPER_AUX) OVER (PARTITION BY INSTRMNT_ID) AS MIN_DINIOPER_AUX
    FROM BU_CAPTOOLS_WORK.UNIV_LT_GD_PARTE3_AUX2 BASE
    LEFT JOIN
       -- SELEÇÃO DA DINIOPER PARA A DATA MAIS RECENTE (DESCONSIDERANDO OS MESES PARA OS QUAIS NÃO ENCONTRAMOS DINIOPER)
       (
        SELECT DISTINCT CEMPCTA, CKBALCAO, CKNUMCTA, ZDEPOSIT, CKAREA, DINIOPER_AUX, REF_DATE
        FROM
            (
            SELECT
                *,
                MAX(REF_DATE) OVER (PARTITION BY CEMPCTA, CKBALCAO, CKNUMCTA, ZDEPOSIT) AS MAX_REF_DATE
            FROM 
                (
                SELECT DISTINCT CEMPCTA, CKBALCAO, CKNUMCTA, ZDEPOSIT, CKAREA, REF_DATE, DINIOPER_AUX
                FROM BU_CAPTOOLS_WORK.UNIV_RENTAB_MAR25
                WHERE DINIOPER_AUX IS NOT NULL
                UNION ALL
                SELECT DISTINCT CEMPCTA, CKBALCAO, CKNUMCTA, ZDEPOSIT, CKAREA, REF_DATE, DINIOPER_AUX
                FROM BU_CAPTOOLS_WORK.UNIV_RENTAB_FEV25
                WHERE DINIOPER_AUX IS NOT NULL
                UNION ALL
                SELECT DISTINCT CEMPCTA, CKBALCAO, CKNUMCTA, ZDEPOSIT, CKAREA, REF_DATE, DINIOPER_AUX
                FROM BU_CAPTOOLS_WORK.UNIV_RENTAB_JAN25
                WHERE DINIOPER_AUX IS NOT NULL
                ) A
            ) B
        WHERE REF_DATE=MAX_REF_DATE
        ) UNIV_RENTAB
    ON BASE.CEMPCTA=UNIV_RENTAB.CEMPCTA
    AND BASE.CKBALCAO=UNIV_RENTAB.CKBALCAO
    AND BASE.CKNUMCTA=UNIV_RENTAB.CKNUMCTA
    AND TRIM(BASE.ZDEPOSIT_MIS)=TRIM(UNIV_RENTAB.ZDEPOSIT)
    ) AUX
LEFT JOIN
    (
    SELECT DISTINCT CEMPRESA, CBALCAO, CNUMECTA, ZDEPOSIT
    FROM CD_CAPTOOLS.FR001_UNIV_SALDO
    WHERE REF_DATE = '2025-03-31'
    ) FR001
ON AUX.INSTRMNT_ID_AUX = CONCAT(FR001.CEMPRESA, FR001.CBALCAO, FR001.CNUMECTA, FR001.ZDEPOSIT)
where instrmnt_id = '31000300052123007100089413780000'
;</t>
  </si>
  <si>
    <t>31000321345095020000000000000000</t>
  </si>
  <si>
    <t>31000008752644001000000000000000</t>
  </si>
  <si>
    <t>31204400752925020000000000000000</t>
  </si>
  <si>
    <t>with dg as (
select
    *,
    case
        when instrmnt_id_cdg is not null and instrmnt_id_it is not null and cnclld_instrmnt_stts_cdg = cnclld_instrmnt_stts_it then 'ok'
        when instrmnt_id_cdg is not null and instrmnt_id_it is not null and cnclld_instrmnt_stts_cdg &lt;&gt; cnclld_instrmnt_stts_it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cnclld_instrmnt_stts as cnclld_instrmnt_stts_cdg
    from BU_CAPTOOLS_WORK.UNIV_LT_GD_PARTE3_AUX4
    ) a
full join
    (
    select distinct
        instrmnt_id as instrmnt_id_it,
        cnclld_instrmnt_stts as cnclld_instrmnt_stts_it
    from bu_loantape_work.lt002_instrument
    where ref_date = '2025-03-31'
    and ambito = 'GD'
    and segmento = 'ESTR'
    and nome_perimetro = 'Individual Corporativo'
    and entidade = '00100'
    ) b
        on a.instrmnt_id_cdg = b.instrmnt_id_it
)
select
    -- analise,
    *
    -- cnclld_instrmnt_stts_cdg,
    -- cnclld_instrmnt_stts_it,
    -- count(*)
from dg
where analise = 'nok'
and cnclld_instrmnt_stts_cdg = 'N'
and cnclld_instrmnt_stts_it = 'C'
-- group by 1
-- order by 2 desc
limit 3
;</t>
  </si>
  <si>
    <t>2009-07-15</t>
  </si>
  <si>
    <t>-- SIMULAÇÃO DO CAMPO CNCLLD_INSTRMNT_STTS
-- EXISTEM 91 CONTRATOS CANCELADOS SEM DINIOPER ASSOCIADA
SELECT DISTINCT
    INSTRMNT_ID,
    ref_date as ano_referencia,
    MIN_DINIOPER_AUX as data_inicio_operação,
    FR001.ZDEPOSIT as FR001_Field,
    CASE
        WHEN FR001.ZDEPOSIT IS NOT NULL THEN 'N'
        WHEN AUX.INSTRMNT_ID_AUX LIKE 'SS%' OR AUX.INSTRMNT_ID_AUX LIKE 'NN%' OR AUX.INSTRMNT_ID_AUX LIKE 'SN%' THEN 'N' -- CLASSIFICAR OS AJUSTES COMO NÃO SENDO CANCELADOS
        WHEN FR001.ZDEPOSIT IS NULL AND YEAR(AUX.MIN_DINIOPER_AUX)=YEAR(AUX.REF_DATE) THEN 'M'
        WHEN FR001.ZDEPOSIT IS NULL AND YEAR(AUX.MIN_DINIOPER_AUX)&lt;YEAR(AUX.REF_DATE) THEN 'C'
        ELSE 'C'
    END AS CNCLLD_INSTRMNT_STTS
FROM 
    (
    SELECT 
        BASE.*,
        DINIOPER_AUX,
        MIN(DINIOPER_AUX) OVER (PARTITION BY INSTRMNT_ID) AS MIN_DINIOPER_AUX
    FROM BU_CAPTOOLS_WORK.UNIV_LT_GD_PARTE3_AUX2 BASE
    LEFT JOIN
       -- SELEÇÃO DA DINIOPER PARA A DATA MAIS RECENTE (DESCONSIDERANDO OS MESES PARA OS QUAIS NÃO ENCONTRAMOS DINIOPER)
       (
        SELECT DISTINCT CEMPCTA, CKBALCAO, CKNUMCTA, ZDEPOSIT, CKAREA, DINIOPER_AUX, REF_DATE
        FROM
            (
            SELECT
                *,
                MAX(REF_DATE) OVER (PARTITION BY CEMPCTA, CKBALCAO, CKNUMCTA, ZDEPOSIT) AS MAX_REF_DATE
            FROM 
                (
                SELECT DISTINCT CEMPCTA, CKBALCAO, CKNUMCTA, ZDEPOSIT, CKAREA, REF_DATE, DINIOPER_AUX
                FROM BU_CAPTOOLS_WORK.UNIV_RENTAB_MAR25
                WHERE DINIOPER_AUX IS NOT NULL
                UNION ALL
                SELECT DISTINCT CEMPCTA, CKBALCAO, CKNUMCTA, ZDEPOSIT, CKAREA, REF_DATE, DINIOPER_AUX
                FROM BU_CAPTOOLS_WORK.UNIV_RENTAB_FEV25
                WHERE DINIOPER_AUX IS NOT NULL
                UNION ALL
                SELECT DISTINCT CEMPCTA, CKBALCAO, CKNUMCTA, ZDEPOSIT, CKAREA, REF_DATE, DINIOPER_AUX
                FROM BU_CAPTOOLS_WORK.UNIV_RENTAB_JAN25
                WHERE DINIOPER_AUX IS NOT NULL
                ) A
            ) B
        WHERE REF_DATE=MAX_REF_DATE
        ) UNIV_RENTAB
    ON BASE.CEMPCTA=UNIV_RENTAB.CEMPCTA
    AND BASE.CKBALCAO=UNIV_RENTAB.CKBALCAO
    AND BASE.CKNUMCTA=UNIV_RENTAB.CKNUMCTA
    AND TRIM(BASE.ZDEPOSIT_MIS)=TRIM(UNIV_RENTAB.ZDEPOSIT)
    ) AUX
LEFT JOIN
    (
    SELECT DISTINCT CEMPRESA, CBALCAO, CNUMECTA, ZDEPOSIT
    FROM CD_CAPTOOLS.FR001_UNIV_SALDO
    WHERE REF_DATE = '2025-03-31'
    ) FR001
ON AUX.INSTRMNT_ID_AUX = CONCAT(FR001.CEMPRESA, FR001.CBALCAO, FR001.CNUMECTA, FR001.ZDEPOSIT)
where instrmnt_id = '31000321345095020000000000000000'
;</t>
  </si>
  <si>
    <t>31000364783970020000000000000000</t>
  </si>
  <si>
    <t>31000364784937020000000000000000</t>
  </si>
  <si>
    <t>with dg as (
select
    *,
    case
        when instrmnt_id_cdg is not null and instrmnt_id_it is not null and cnclld_instrmnt_stts_cdg = cnclld_instrmnt_stts_it then 'ok'
        when instrmnt_id_cdg is not null and instrmnt_id_it is not null and cnclld_instrmnt_stts_cdg &lt;&gt; cnclld_instrmnt_stts_it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cnclld_instrmnt_stts as cnclld_instrmnt_stts_cdg
    from BU_CAPTOOLS_WORK.UNIV_LT_GD_PARTE3_AUX4
    ) a
full join
    (
    select distinct
        instrmnt_id as instrmnt_id_it,
        cnclld_instrmnt_stts as cnclld_instrmnt_stts_it
    from bu_loantape_work.lt002_instrument
    where ref_date = '2025-03-31'
    and ambito = 'GD'
    and segmento = 'ESTR'
    and nome_perimetro = 'Individual Corporativo'
    and entidade = '00100'
    ) b
        on a.instrmnt_id_cdg = b.instrmnt_id_it
)
select
    -- analise,
    *
    -- cnclld_instrmnt_stts_cdg,
    -- cnclld_instrmnt_stts_it,
    -- count(*)
from dg
where analise = 'nok'
and cnclld_instrmnt_stts_cdg = 'N'
and cnclld_instrmnt_stts_it = 'M'
-- group by 1
-- order by 2 desc
limit 3
;</t>
  </si>
  <si>
    <t>2025-01-10</t>
  </si>
  <si>
    <t>-- SIMULAÇÃO DO CAMPO CNCLLD_INSTRMNT_STTS
-- EXISTEM 91 CONTRATOS CANCELADOS SEM DINIOPER ASSOCIADA
SELECT DISTINCT
    INSTRMNT_ID,
    ref_date as ano_referencia,
    MIN_DINIOPER_AUX as data_inicio_operação,
    FR001.ZDEPOSIT as FR001_Field,
    CASE
        WHEN FR001.ZDEPOSIT IS NOT NULL THEN 'N'
        WHEN AUX.INSTRMNT_ID_AUX LIKE 'SS%' OR AUX.INSTRMNT_ID_AUX LIKE 'NN%' OR AUX.INSTRMNT_ID_AUX LIKE 'SN%' THEN 'N' -- CLASSIFICAR OS AJUSTES COMO NÃO SENDO CANCELADOS
        WHEN FR001.ZDEPOSIT IS NULL AND YEAR(AUX.MIN_DINIOPER_AUX)=YEAR(AUX.REF_DATE) THEN 'M'
        WHEN FR001.ZDEPOSIT IS NULL AND YEAR(AUX.MIN_DINIOPER_AUX)&lt;YEAR(AUX.REF_DATE) THEN 'C'
        ELSE 'C'
    END AS CNCLLD_INSTRMNT_STTS
FROM 
    (
    SELECT 
        BASE.*,
        DINIOPER_AUX,
        MIN(DINIOPER_AUX) OVER (PARTITION BY INSTRMNT_ID) AS MIN_DINIOPER_AUX
    FROM BU_CAPTOOLS_WORK.UNIV_LT_GD_PARTE3_AUX2 BASE
    LEFT JOIN
       -- SELEÇÃO DA DINIOPER PARA A DATA MAIS RECENTE (DESCONSIDERANDO OS MESES PARA OS QUAIS NÃO ENCONTRAMOS DINIOPER)
       (
        SELECT DISTINCT CEMPCTA, CKBALCAO, CKNUMCTA, ZDEPOSIT, CKAREA, DINIOPER_AUX, REF_DATE
        FROM
            (
            SELECT
                *,
                MAX(REF_DATE) OVER (PARTITION BY CEMPCTA, CKBALCAO, CKNUMCTA, ZDEPOSIT) AS MAX_REF_DATE
            FROM 
                (
                SELECT DISTINCT CEMPCTA, CKBALCAO, CKNUMCTA, ZDEPOSIT, CKAREA, REF_DATE, DINIOPER_AUX
                FROM BU_CAPTOOLS_WORK.UNIV_RENTAB_MAR25
                WHERE DINIOPER_AUX IS NOT NULL
                UNION ALL
                SELECT DISTINCT CEMPCTA, CKBALCAO, CKNUMCTA, ZDEPOSIT, CKAREA, REF_DATE, DINIOPER_AUX
                FROM BU_CAPTOOLS_WORK.UNIV_RENTAB_FEV25
                WHERE DINIOPER_AUX IS NOT NULL
                UNION ALL
                SELECT DISTINCT CEMPCTA, CKBALCAO, CKNUMCTA, ZDEPOSIT, CKAREA, REF_DATE, DINIOPER_AUX
                FROM BU_CAPTOOLS_WORK.UNIV_RENTAB_JAN25
                WHERE DINIOPER_AUX IS NOT NULL
                ) A
            ) B
        WHERE REF_DATE=MAX_REF_DATE
        ) UNIV_RENTAB
    ON BASE.CEMPCTA=UNIV_RENTAB.CEMPCTA
    AND BASE.CKBALCAO=UNIV_RENTAB.CKBALCAO
    AND BASE.CKNUMCTA=UNIV_RENTAB.CKNUMCTA
    AND TRIM(BASE.ZDEPOSIT_MIS)=TRIM(UNIV_RENTAB.ZDEPOSIT)
    ) AUX
LEFT JOIN
    (
    SELECT DISTINCT CEMPRESA, CBALCAO, CNUMECTA, ZDEPOSIT
    FROM CD_CAPTOOLS.FR001_UNIV_SALDO
    WHERE REF_DATE = '2025-03-31'
    ) FR001
ON AUX.INSTRMNT_ID_AUX = CONCAT(FR001.CEMPRESA, FR001.CBALCAO, FR001.CNUMECTA, FR001.ZDEPOSIT)
where instrmnt_id = '31000364783970020000000000000000'
;</t>
  </si>
  <si>
    <t>Cnclld_instrmnt_stts_cdg - Ponto 5.1.1.16 da especificação</t>
  </si>
  <si>
    <t>31005127552790011598001600000001</t>
  </si>
  <si>
    <t>82000020210000346001520250134757</t>
  </si>
  <si>
    <t>31000349108624020000000000000000</t>
  </si>
  <si>
    <t>with dg as (
select
    *,
    case
        when instrmnt_id_cdg is not null and instrmnt_id_it is not null and nw_bsnss_cdg = nw_bsnss_it then 'ok'
        when instrmnt_id_cdg is not null and instrmnt_id_it is not null and nw_bsnss_cdg &lt;&gt; nw_bsnss_it then 'nok'
        when instrmnt_id_cdg is not null and instrmnt_id_it is null then 'exclusivo cdg'
        when instrmnt_id_cdg is null and instrmnt_id_it is not null then 'exclusivo it'
        else 'ver'
    end as analise
from
    (
    select distinct
        instrmnt_id as instrmnt_id_cdg, 
        nw_bsnss as nw_bsnss_cdg
    from BU_CAPTOOLS_WORK.UNIV_LT_GD_PARTE3_AUX4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entidade = '00100'
    ) b
        on a.instrmnt_id_cdg = b.instrmnt_id_it
)
select
    -- analise,
    *
    -- nw_bsnss_cdg,
    -- nw_bsnss_it,
    -- count(*)
from dg
where analise = 'nok'
and nw_bsnss_cdg = 'Y'
and nw_bsnss_it = 'N'
-- group by 1, 2
-- order by 3 desc
limit 3
;</t>
  </si>
  <si>
    <t>143.0300</t>
  </si>
  <si>
    <t>0.1800</t>
  </si>
  <si>
    <t>1001.8600</t>
  </si>
  <si>
    <t>1002.6800</t>
  </si>
  <si>
    <t>0.6300</t>
  </si>
  <si>
    <t>1000.6900</t>
  </si>
  <si>
    <t>120.8100</t>
  </si>
  <si>
    <t>856.9700</t>
  </si>
  <si>
    <t>SELECT DISTINCT 
    BASE.instrmnt_id,
    '1' as condição_1,
    NVL(RENT_JAN.C008_PATRM,0) as C008_PATRM_JAN, NVL(RENT_JAN.C011_PATRM,0) as C011_PATRM_JAN, 
    NVL(RENT_FEV.C008_PATRM,0) as C008_PATRM_FEV, NVL(RENT_FEV.C011_PATRM,0) as C011_PATRM_FEV,
    NVL(RENT_MAR.C008_PATRM,0) as C008_PATRM_MAR, NVL(RENT_MAR.C011_PATRM,0) as C011_PATRM_MAR,
    '2' as condição_2,
    NVL(RENT_JAN.C001_PATRM,0) as C001_PATRM_JAN, NVL(RENT_JAN.C134_PATRM,0) as C134_PATRM_JAN,
    NVL(RENT_DEZ.C001_PATRM,0) as C001_PATRM_DEZ, NVL(RENT_DEZ.C134_PATRM,0) as C134_PATRM_DEZ,
    '3' as condição_3,
    NVL(RENT_FEV.C001_PATRM,0) as C001_PATRM_FEV, NVL(RENT_FEV.C134_PATRM,0) as C134_PATRM_FEV,
    NVL(RENT_JAN.C001_PATRM,0) as C001_PATRM_JAN, NVL(RENT_JAN.C134_PATRM,0) as C134_PATRM_JAN,
    '4' as condição_4,
    NVL(RENT_MAR.C001_PATRM,0) as C001_PATRM_MAR, NVL(RENT_MAR.C134_PATRM,0) as C134_PATRM_MAR,
    NVL(RENT_FEV.C001_PATRM,0) as C001_PATRM_MAR, NVL(RENT_FEV.C134_PATRM,0) as C134_PATRM_FEV,
    CASE
        WHEN ((NVL(RENT_JAN.C008_PATRM,0) + NVL(RENT_JAN.C011_PATRM,0)) + (NVL(RENT_FEV.C008_PATRM,0) + NVL(RENT_FEV.C011_PATRM,0)) + (NVL(RENT_MAR.C008_PATRM,0) + NVL(RENT_MAR.C011_PATRM,0))) &gt; 0 OR
             ((NVL(RENT_JAN.C001_PATRM,0) + NVL(RENT_JAN.C134_PATRM,0)) - (NVL(RENT_DEZ.C001_PATRM,0) + NVL(RENT_DEZ.C134_PATRM,0))) &gt; 0 OR
             ((NVL(RENT_FEV.C001_PATRM,0) + NVL(RENT_FEV.C134_PATRM,0)) - (NVL(RENT_JAN.C001_PATRM,0) + NVL(RENT_JAN.C134_PATRM,0))) &gt; 0 OR
             ((NVL(RENT_MAR.C001_PATRM,0) + NVL(RENT_MAR.C134_PATRM,0)) - (NVL(RENT_FEV.C001_PATRM,0) + NVL(RENT_FEV.C134_PATRM,0))) &gt; 0
             THEN 1
        ELSE 0
    END AS NW_BSNSS_AUX
FROM BU_CAPTOOLS_WORK.UNIV_LT_GD_PARTE3_AUX3 BASE
LEFT JOIN BU_CAPTOOLS_WORK.UNIV_RENTAB_MAR25 RENT_MAR
ON BASE.CEMPCTA=RENT_MAR.CEMPCTA
AND BASE.CKBALCAO=RENT_MAR.CKBALCAO
AND BASE.CKNUMCTA=RENT_MAR.CKNUMCTA
AND BASE.ZDEPOSIT_MIS=RENT_MAR.ZDEPOSIT
AND BASE.CKAREA&lt;=&gt;RENT_MAR.CKAREA
LEFT JOIN BU_CAPTOOLS_WORK.UNIV_RENTAB_FEV25 RENT_FEV
ON BASE.CEMPCTA=RENT_FEV.CEMPCTA
AND BASE.CKBALCAO=RENT_FEV.CKBALCAO
AND BASE.CKNUMCTA=RENT_FEV.CKNUMCTA
AND BASE.ZDEPOSIT_MIS=RENT_FEV.ZDEPOSIT
AND BASE.CKAREA&lt;=&gt;RENT_FEV.CKAREA
LEFT JOIN BU_CAPTOOLS_WORK.UNIV_RENTAB_JAN25 RENT_JAN
ON BASE.CEMPCTA=RENT_JAN.CEMPCTA
AND BASE.CKBALCAO=RENT_JAN.CKBALCAO
AND BASE.CKNUMCTA=RENT_JAN.CKNUMCTA
AND BASE.ZDEPOSIT_MIS=RENT_JAN.ZDEPOSIT
AND BASE.CKAREA&lt;=&gt;RENT_JAN.CKAREA
LEFT JOIN BU_CAPTOOLS_WORK.UNIV_RENTAB_DEZ24 RENT_DEZ
ON BASE.CEMPCTA=RENT_DEZ.CEMPCTA
AND BASE.CKBALCAO=RENT_DEZ.CKBALCAO
AND BASE.CKNUMCTA=RENT_DEZ.CKNUMCTA
AND BASE.ZDEPOSIT_MIS=RENT_DEZ.ZDEPOSIT
AND BASE.CKAREA&lt;=&gt;RENT_DEZ.CKAREA
where instrmnt_id = '31005127552790011598001600000001'</t>
  </si>
  <si>
    <t>CNCLLD_INSTRMNT_STTS</t>
  </si>
  <si>
    <t>val_cnclld_instrmnt_stts</t>
  </si>
  <si>
    <t>universo</t>
  </si>
  <si>
    <t>cnclld_instrmnt_stts_gd</t>
  </si>
  <si>
    <t>COMUM</t>
  </si>
  <si>
    <t>31000347936687020000000000000000</t>
  </si>
  <si>
    <t>0003</t>
  </si>
  <si>
    <t>47936687020</t>
  </si>
  <si>
    <t>contrato existe na FR001</t>
  </si>
  <si>
    <t>31000805612691020000000000000000</t>
  </si>
  <si>
    <t>0008</t>
  </si>
  <si>
    <t>05612691020</t>
  </si>
  <si>
    <t>31000361900734020000000000000000</t>
  </si>
  <si>
    <t>61900734020</t>
  </si>
  <si>
    <t>31000357362253020000000000000000</t>
  </si>
  <si>
    <t>57362253020</t>
  </si>
  <si>
    <t>31211305936021020000000000000000</t>
  </si>
  <si>
    <t>2113</t>
  </si>
  <si>
    <t>05936021020</t>
  </si>
  <si>
    <t>31000806829435020000000000000000</t>
  </si>
  <si>
    <t>06829435020</t>
  </si>
  <si>
    <t>31000352293263020000000000000000</t>
  </si>
  <si>
    <t>52293263020</t>
  </si>
  <si>
    <t>31000363011209020000000000000000</t>
  </si>
  <si>
    <t>63011209020</t>
  </si>
  <si>
    <t>31000343682756020000000000000000</t>
  </si>
  <si>
    <t>43682756020</t>
  </si>
  <si>
    <t>31000315499452020000000000000000</t>
  </si>
  <si>
    <t>15499452020</t>
  </si>
  <si>
    <t>31000306132632096000000000000000</t>
  </si>
  <si>
    <t>06132632096</t>
  </si>
  <si>
    <t>não existe na FR001 a mar/25 mas existe a jan/25</t>
  </si>
  <si>
    <t>31000300128485007100086958590000</t>
  </si>
  <si>
    <t>00128485007</t>
  </si>
  <si>
    <t>100086958590001</t>
  </si>
  <si>
    <t>não existe na FR001 a mar/25 mas existe a jan/25 e fev/25</t>
  </si>
  <si>
    <t>31000319746311096000000000000000</t>
  </si>
  <si>
    <t>19746311096</t>
  </si>
  <si>
    <t>31000317845263096000000000000000</t>
  </si>
  <si>
    <t>17845263096</t>
  </si>
  <si>
    <t>não existe na FR001 nem em jan, nem em fev nem em mar</t>
  </si>
  <si>
    <t>31005132638980011565631800000001</t>
  </si>
  <si>
    <t>0051</t>
  </si>
  <si>
    <t>32638980011</t>
  </si>
  <si>
    <t>31000310565989090069872180100000</t>
  </si>
  <si>
    <t>10565989090</t>
  </si>
  <si>
    <t>069872180100000</t>
  </si>
  <si>
    <t>31000300095015007100087134610000</t>
  </si>
  <si>
    <t>00095015007</t>
  </si>
  <si>
    <t>100087134610001</t>
  </si>
  <si>
    <t>BA17</t>
  </si>
  <si>
    <t>31000300095015007100086450790000</t>
  </si>
  <si>
    <t>100086450790001</t>
  </si>
  <si>
    <t>31000300233772007100086930770000</t>
  </si>
  <si>
    <t>00233772007</t>
  </si>
  <si>
    <t>100086930770001</t>
  </si>
  <si>
    <t>BA3</t>
  </si>
  <si>
    <t>31641600000000003PC0653597000000</t>
  </si>
  <si>
    <t>6416</t>
  </si>
  <si>
    <t>00000000003</t>
  </si>
  <si>
    <t>PC0653597000000</t>
  </si>
  <si>
    <t>BA16</t>
  </si>
  <si>
    <t>Notas equipa GD</t>
  </si>
  <si>
    <t>•	Contrato é considerado nova produção quando a soma dos saldos dos campos ‘c008’ e ‘c011’, para cada mês, para o ano de referência, é superior a 0; ou,
•	Contrato é considerado nova produção quando a diferença entre soma dos saldos de ‘c001’ e ‘c134’ do mês de referência e a soma dos saldos de ‘c001’ e ‘c134’ do mês anterior ao mês de referência é positiva.</t>
  </si>
  <si>
    <t>Tabela com os campos necessários para março</t>
  </si>
  <si>
    <t>0. LT002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</si>
  <si>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</si>
  <si>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</si>
  <si>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</si>
  <si>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</si>
  <si>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</si>
  <si>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</si>
  <si>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</si>
  <si>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</si>
  <si>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</si>
  <si>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</si>
  <si>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</si>
  <si>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</si>
  <si>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</si>
  <si>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</si>
  <si>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</si>
  <si>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</si>
  <si>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</si>
  <si>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</si>
  <si>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</si>
  <si>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INSTRMNT_ID</t>
  </si>
  <si>
    <t>UNIVERSO</t>
  </si>
  <si>
    <t>AVRG_BLNC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</si>
  <si>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</si>
  <si>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</si>
  <si>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</si>
  <si>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</si>
  <si>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</si>
  <si>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</si>
  <si>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</si>
  <si>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</si>
  <si>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</si>
  <si>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</si>
  <si>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</si>
  <si>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</si>
  <si>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</si>
  <si>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</si>
  <si>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</si>
  <si>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</si>
  <si>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</si>
  <si>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</si>
  <si>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</si>
  <si>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</si>
  <si>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</si>
  <si>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</si>
  <si>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</si>
  <si>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</si>
  <si>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</si>
  <si>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</si>
  <si>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</si>
  <si>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</si>
  <si>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IDCMB</t>
  </si>
  <si>
    <t>Campos</t>
  </si>
  <si>
    <t>Teste</t>
  </si>
  <si>
    <t>Campo comum com PM</t>
  </si>
  <si>
    <t>Grupo</t>
  </si>
  <si>
    <t>Validar com o Diogo</t>
  </si>
  <si>
    <t>Preencher com zero os cancelados</t>
  </si>
  <si>
    <t>Preencher com valor de default</t>
  </si>
  <si>
    <t>Preencher com 00411 ou 00421</t>
  </si>
  <si>
    <t>Preencher com o valor para a última data que aparece na fr001</t>
  </si>
  <si>
    <t>Preenchimento</t>
  </si>
  <si>
    <t>lt002</t>
  </si>
  <si>
    <t>Print</t>
  </si>
  <si>
    <t>c459-c460</t>
  </si>
  <si>
    <t>c457-c458</t>
  </si>
  <si>
    <t>c299</t>
  </si>
  <si>
    <t>c298</t>
  </si>
  <si>
    <t>atu.c300 - ant.c300</t>
  </si>
  <si>
    <t>m009</t>
  </si>
  <si>
    <t>1.2. LT001 Intermédia</t>
  </si>
  <si>
    <t>1. Criaçao da LT002 Simulada</t>
  </si>
  <si>
    <t>1.2. Universo</t>
  </si>
  <si>
    <t>bu_captools_work.lt002_universo_gd_mar25_dg</t>
  </si>
  <si>
    <t>Tabela com todos os campos necessários</t>
  </si>
  <si>
    <t>1.3 LT002 int</t>
  </si>
  <si>
    <t>1.4 Tabela Simulada</t>
  </si>
  <si>
    <t>bu_captools_work.lt002_gd_int_mar25_dg</t>
  </si>
  <si>
    <t>default</t>
  </si>
  <si>
    <t>aux</t>
  </si>
  <si>
    <t>-- criação do universo com os campos a analisar
create table bu_captools_work.lt002_universo_gd_mar25_dg as
select 
    --aux
    aux.*,
    --lt002
    CCF,
    EAD,
    COD_SOC,
    IMPRMNT_STTS,
    PRFRMNG_STTS,
    GRSS_CRRYNG_AMNT_INSTRMNT,
    ACCMLTD_CHNGS_FV_CR_INSTRMNT,
    OFF_BLNC_SHT_AMNT_INSTRMNT,
    PRVSNS_OFF_BLNC_SHT,
    RWA,
    ACCMLTD_IMPRMNT_INSTRMNT,
    GNS_FNNCL_TRNSCTN_EXCHNG_DFFRNCS,
    --lt001
    msaldo_final,
    -- tabela de março1
    mar1.c134_extrap_ca_mar,
    mar1.c134_extrap_lc_mar,
    mar1.c224_patrm_mar,
    mar1.c224_extrap_ca_mar,
    mar1.c224_extrap_lc_mar,
    mar1.c295_patrm_mar,
    mar1.c295_extrap_ca_mar,
    mar1.c295_extrap_lc_mar,
    mar1.c298_patrm, mar1.c299_patrm, mar1.ac310_patrm,
    mar1.c457_patrm, mar1.c457_extrap, mar1.c458_patrm, mar1.c458_extrap,
    mar1.c459_patrm, mar1.c459_extrap, mar1.c460_patrm, mar1.c460_extrap,
    -- tabela de março2
    mar2.m009_patrm_mar,
    mar2.m009_extrap_ca_mar,
    mar2.m009_serv_fact_mar,
    -- tabela fevereiro1
    fev1.c134_extrap_ca_fev,
    fev1.c134_extrap_lc_fev,
    fev1.c224_patrm_fev,
    fev1.c224_extrap_ca_fev,
    fev1.c224_extrap_lc_fev,
    -- tabela fevereiro2
    fev2.m009_patrm_fev,
    fev2.m009_extrap_ca_fev,
    fev2.m009_serv_fact_fev,
    -- tabela janeiro1    
    jan1.c134_extrap_ca_jan,
    jan1.c134_extrap_lc_jan,
    jan1.c224_patrm_jan,
    jan1.c224_extrap_ca_jan,
    jan1.c224_extrap_lc_jan,
    -- tabela janeiro2
    jan2.m009_patrm_jan,
    jan2.m009_extrap_ca_jan,
    jan2.m009_serv_fact_jan,
    -- tabela dezembro1     
    dez1.c134_extrap_ca_dez,
    dez1.c134_extrap_lc_dez,
    dez1.c224_patrm_dez,
    dez1.c224_extrap_ca_dez,
    dez1.c224_extrap_lc_dez
from
    (
    select *
    from BU_CAPTOOLS_WORK.UNIV_LT_GD_PARTE3_AUX9
    ) aux
left join 
    (
    select distinct 
        instrmnt_id,
        CCF,
        EAD,
        COD_SOC,
        IMPRMNT_STTS,
        PRFRMNG_STTS,
        GRSS_CRRYNG_AMNT_INSTRMNT,
        ACCMLTD_CHNGS_FV_CR_INSTRMNT,
        OFF_BLNC_SHT_AMNT_INSTRMNT,
        PRVSNS_OFF_BLNC_SHT,
        RWA,
        ACCMLTD_IMPRMNT_INSTRMNT,
        GNS_FNNCL_TRNSCTN_EXCHNG_DFFRNCS
    from bu_loantape_work.lt002_instrument
    where ref_date = '2025-03-31'
    and ambito = 'PM'
    and segmento = 'ESTR'
    and nome_perimetro = 'Individual Corporativo'
    and cod_visao = 1
    ) lt002
        on aux.instrmnt_id = lt002.instrmnt_id
left join
    (
    select distinct
        -- chave finrep
        cempresa, cbalcao, cnumecta, zdeposit,
        -- campos
        msaldo_final
    from bu_captools_work.lt001_int_mar25_gd_dg
    ) lt001
        on aux.instrmnt_id_aux = concat(lt001.cempresa, lt001.cbalcao, lt001.cnumecta, lt001.zdeposit)
left join
    (
    select
        -- chave mis
        cempcta, ckbalcao, cknumcta, zdeposit, ckarea, ckmetamis,
        -- campos
        c134_extrap_ca as c134_extrap_ca_mar,
        c134_extrap_lc as c134_extrap_lc_mar,
        c224_patrm as c224_patrm_mar,
        c224_extrap_ca as c224_extrap_ca_mar,
        c224_extrap_lc as c224_extrap_lc_mar,
        c295_patrm as c295_patrm_mar,
        c295_extrap_ca as c295_extrap_ca_mar,
        c295_extrap_lc as c295_extrap_lc_mar,
        c298_patrm, c299_patrm, ac310_patrm,
        c457_patrm, c457_extrap, c458_patrm, c458_extrap,
        c459_patrm, c459_extrap, c460_patrm, c460_extrap
    from BU_CAPTOOLS_WORK.UNIV_RENTAB_MAR25
    where ckmetamis not in ('SO0711','SO0721','SO0722')
    ) mar1
        on aux.cempcta = mar1.cempcta
        and aux.ckbalcao = mar1.ckbalcao
        and aux.cknumcta = mar1.cknumcta
        and aux.zdeposit_mis = mar1.zdeposit
        and aux.ckarea = mar1.ckarea
left join
    (
    select
        -- chave mis
        cempcta, ckbalcao, cknumcta, zdeposit, ckarea,
        -- campos
        m009_patrm as m009_patrm_mar,
        m009_extrap_ca as m009_extrap_ca_mar,
        m009_serv_fact as m009_serv_fact_mar
    from BU_CAPTOOLS_WORK.UNIV_RENTAB_MAR25
    where ckmetamis in ('SO0711','SO0721','SO0722')
    ) mar2
        on aux.cempcta = mar2.cempcta
        and aux.ckbalcao = mar2.ckbalcao
        and aux.cknumcta = mar2.cknumcta
        and aux.zdeposit_mis = mar2.zdeposit
        and aux.ckarea = mar2.ckarea
left join
    (
    select
        -- chave mis
        cempcta, ckbalcao, cknumcta, zdeposit, ckarea,
        -- campos
        c134_extrap_ca as c134_extrap_ca_fev,
        c134_extrap_lc as c134_extrap_lc_fev,
        c224_patrm as c224_patrm_fev,
        c224_extrap_ca as c224_extrap_ca_fev,
        c224_extrap_lc as c224_extrap_lc_fev
    from BU_CAPTOOLS_WORK.UNIV_RENTAB_FEV25
    where ckmetamis not in ('SO0711','SO0721','SO0722')
    ) fev1
        on aux.cempcta = fev1.cempcta
        and aux.ckbalcao = fev1.ckbalcao
        and aux.cknumcta = fev1.cknumcta
        and aux.zdeposit_mis = fev1.zdeposit
        and aux.ckarea = fev1.ckarea
left join
    (
    select
        -- chave mis
        cempcta, ckbalcao, cknumcta, zdeposit, ckarea,
        -- campos
        m009_patrm as m009_patrm_fev,
        m009_extrap_ca as m009_extrap_ca_fev,
        m009_serv_fact as m009_serv_fact_fev
    from BU_CAPTOOLS_WORK.UNIV_RENTAB_FEV25
    where ckmetamis in ('SO0711','SO0721','SO0722')
    ) fev2
        on aux.cempcta = fev2.cempcta
        and aux.ckbalcao = fev2.ckbalcao
        and aux.cknumcta = fev2.cknumcta
        and aux.zdeposit_mis = fev2.zdeposit
        and aux.ckarea = fev2.ckarea
left join
    (
    select
        -- chave mis
        cempcta, ckbalcao, cknumcta, zdeposit, ckarea,
        -- campos
        c134_extrap_ca as c134_extrap_ca_jan,
        c134_extrap_lc as c134_extrap_lc_jan,
        c224_patrm as c224_patrm_jan,
        c224_extrap_ca as c224_extrap_ca_jan,
        c224_extrap_lc as c224_extrap_lc_jan
    from BU_CAPTOOLS_WORK.UNIV_RENTAB_JAN25
    where ckmetamis not in ('SO0711','SO0721','SO0722')
    ) jan1
        on aux.cempcta = jan1.cempcta
        and aux.ckbalcao = jan1.ckbalcao
        and aux.cknumcta = jan1.cknumcta
        and aux.zdeposit_mis = jan1.zdeposit
        and aux.ckarea = jan1.ckarea
left join
    (
    select
        -- chave mis
        cempcta, ckbalcao, cknumcta, zdeposit, ckarea,
        -- campos
        m009_patrm as m009_patrm_jan,
        m009_extrap_ca as m009_extrap_ca_jan,
        m009_serv_fact as m009_serv_fact_jan
    from BU_CAPTOOLS_WORK.UNIV_RENTAB_JAN25
    where ckmetamis in ('SO0711','SO0721','SO0722')
    ) jan2
        on aux.cempcta = jan2.cempcta
        and aux.ckbalcao = jan2.ckbalcao
        and aux.cknumcta = jan2.cknumcta
        and aux.zdeposit_mis = jan2.zdeposit
        and aux.ckarea = jan2.ckarea
left join
    (
    select
        -- chave mis
        cempcta, ckbalcao, cknumcta, zdeposit, ckarea,
        -- campos
        c134_extrap_ca as c134_extrap_ca_dez,
        c134_extrap_lc as c134_extrap_lc_dez,
        c224_patrm as c224_patrm_dez,
        c224_extrap_ca as c224_extrap_ca_dez,
        c224_extrap_lc as c224_extrap_lc_dez
    from BU_CAPTOOLS_WORK.UNIV_RENTAB_DEZ24
    where ckmetamis not in ('SO0711','SO0721','SO0722')
    ) dez1
        on aux.cempcta = dez1.cempcta
        and aux.ckbalcao = dez1.ckbalcao
        and aux.cknumcta = dez1.cknumcta
        and aux.zdeposit_mis = dez1.zdeposit
        and aux.ckarea = dez1.ckarea
;</t>
  </si>
  <si>
    <t>-- criação do universo com os campos a analisar
create table bu_captools_work.lt002_int_gd_mar25_dg as
select
    univ, ref_date, ambito, segmento, instrmnt_id_aux, instrmnt_id, lcl_instrmnt_id,
    cempcta, ckbalcao, cknumcta, zdeposit_mis, ckarea,
    ACCMLTD_CHNGS_FV_CR_INSTRMNT,
    ACCMLTD_IMPRMNT_INSTRMNT,
    ACCNTNG_CLSSFCTN,
    c295_patrm_mar + ((c224_patrm_dez + c224_patrm_jan + c224_patrm_fev + c224_patrm_mar)/4) as avrg_blnc,
    case 
        when c224_extrap_ca_mar = 0 and  c224_extrap_lc_mar = 0 then 0
        when c224_extrap_ca_mar = 0 and  c224_extrap_lc_mar &lt;&gt; 0 then (c134_extrap_lc_mar + c134_extrap_lc_fev + c134_extrap_lc_jan + c134_extrap_lc_dez)/4
        when c224_extrap_ca_mar &lt;&gt; 0 and  c224_extrap_lc_mar = 0 then c295_extrap_ca_mar + (c224_extrap_ca_mar + c224_extrap_ca_fev + c224_extrap_ca_jan + c224_extrap_ca_dez)/4 
            + (c134_extrap_ca_mar + c134_extrap_ca_fev + c134_extrap_ca_jan + c134_extrap_ca_dez)/4
        else 0
    end as avrg_blnc_off_blnc,
    BSNSS_AREA,
    BSNSS_AREA_CCRR,
    BSNSS_AREA_DSTNTN,
    CCF,
    CNCLLD_INSTRMNT_STTS,
    COD_SOC,
    COD_SOC_DSTNTN,
    COD_SOC_INTRGRP,
    DFLT_STTS_INSTRMNT,
    '2025-03-31' as DT_RFRNC,
    EAD,
    FLG_INTRBSNSS,
    GNS_FNNCL_TRNSCTN_EXCHNG_CCRR,
    GNS_FNNCL_TRNSCTN_EXCHNG_DFFRNCS,
    (c459_patrm - c460_patrm) as GRSS_CMMSSN_EXPNS,
    (c459_extrap - c460_extrap) as GRSS_CMMSSN_EXPNS_OFF_BLNC,
    GRSS_CMMSSN_EXPNS_CCRR,
    GRSS_CMMSSN_EXPNS_OFF_BLNC_CCRR,
    (c457_patrm-c458_patrm) as GRSS_CMMSSN_INCM,
    (c457_extrap-c458_extrap) as GRSS_CMMSSN_INCM_OFF_BLNC,
    GRSS_CMMSSN_INCM_CCRR,
    GRSS_CMMSSN_INCM_OFF_BLNC_CCRR,
    GRSS_CRRYNG_AMNT_INSTRMNT,
    c299_patrm as GRSS_INTRST_EXPNS,
    GRSS_INTRST_EXPNS_CCRR,
    c298_patrm as GRSS_INTRST_INCM,
    GRSS_INTRST_INCM_CCRR,
    'por simular IDCMB' as IDCMB,
    IMPRMNT_STTS,
    INTRBSNSS_ADJ_COD,
    'por simular INTRNL_TRNSFR_RT' as INTRNL_TRNSFR_RT,
    INTRNL_TRNSFR_RT_OFF_BLNC,
    MNGMNT_PRDCT,
    (m009_patrm_mar + m009_patrm_fev + m009_patrm_jan + m009_serv_fact_mar + m009_serv_fact_fev + m009_serv_fact_jan) as NT_LN_LSS_PRVSN,
    (m009_extrap_ca_mar + m009_extrap_ca_fev + m009_extrap_ca_jan) as NT_LN_LSS_PRVSN_OFF_BLNC,
    NW_BSNSS,
    OFF_BLNC_SHT_AMNT_INSTRMNT,
    PRFRMNG_STTS,
    PRVSNS_OFF_BLNC_SHT,
    RWA,
    RWA_OFF_BLNC,
    SUBPORTFOLIO_ID,
    TYP_INSTRMNT,
    TYP_OFF_BLNC_PRDCT
from bu_captools_work.lt002_universo_gd_mar25_dg
;</t>
  </si>
  <si>
    <t xml:space="preserve">em correção </t>
  </si>
  <si>
    <t xml:space="preserve">em reteste </t>
  </si>
  <si>
    <t xml:space="preserve">por iniciar </t>
  </si>
  <si>
    <t xml:space="preserve">concluidos </t>
  </si>
  <si>
    <t xml:space="preserve">em teste </t>
  </si>
  <si>
    <t xml:space="preserve">abertas </t>
  </si>
  <si>
    <t>02</t>
  </si>
  <si>
    <t>04</t>
  </si>
  <si>
    <t>06</t>
  </si>
  <si>
    <t>07</t>
  </si>
  <si>
    <t>Status</t>
  </si>
  <si>
    <t>Pilar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</si>
</sst>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color rgb="FF424242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3" xfId="0" applyFont="1" applyBorder="1"/>
    <xf numFmtId="0" fontId="0" fillId="0" borderId="3" xfId="0" applyBorder="1"/>
    <xf numFmtId="0" fontId="2" fillId="0" borderId="4" xfId="0" applyFont="1" applyBorder="1"/>
    <xf numFmtId="0" fontId="0" fillId="0" borderId="4" xfId="0" applyBorder="1"/>
    <xf numFmtId="0" fontId="1" fillId="2" borderId="2" xfId="0" applyFont="1" applyFill="1" applyBorder="1" applyAlignment="1">
      <alignment horizontal="center"/>
    </xf>
    <xf numFmtId="0" fontId="0" fillId="0" borderId="0" xfId="0" quotePrefix="1"/>
    <xf numFmtId="0" fontId="0" fillId="5" borderId="1" xfId="0" applyFill="1" applyBorder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 applyAlignment="1">
      <alignment horizontal="right"/>
    </xf>
    <xf numFmtId="10" fontId="0" fillId="0" borderId="1" xfId="1" applyNumberFormat="1" applyFont="1" applyBorder="1"/>
    <xf numFmtId="49" fontId="1" fillId="2" borderId="5" xfId="0" applyNumberFormat="1" applyFont="1" applyFill="1" applyBorder="1" applyAlignment="1">
      <alignment horizontal="center"/>
    </xf>
    <xf numFmtId="0" fontId="3" fillId="0" borderId="1" xfId="0" applyFont="1" applyBorder="1"/>
    <xf numFmtId="0" fontId="0" fillId="5" borderId="1" xfId="0" quotePrefix="1" applyFill="1" applyBorder="1"/>
    <xf numFmtId="3" fontId="0" fillId="0" borderId="1" xfId="0" applyNumberFormat="1" applyBorder="1"/>
    <xf numFmtId="49" fontId="0" fillId="5" borderId="1" xfId="0" applyNumberFormat="1" applyFill="1" applyBorder="1"/>
    <xf numFmtId="0" fontId="2" fillId="0" borderId="1" xfId="0" applyFont="1" applyBorder="1"/>
    <xf numFmtId="49" fontId="2" fillId="0" borderId="0" xfId="0" applyNumberFormat="1" applyFont="1"/>
    <xf numFmtId="49" fontId="0" fillId="5" borderId="6" xfId="0" applyNumberFormat="1" applyFill="1" applyBorder="1"/>
    <xf numFmtId="0" fontId="0" fillId="5" borderId="6" xfId="0" applyFill="1" applyBorder="1"/>
    <xf numFmtId="49" fontId="2" fillId="0" borderId="3" xfId="0" applyNumberFormat="1" applyFont="1" applyBorder="1"/>
    <xf numFmtId="49" fontId="1" fillId="2" borderId="7" xfId="0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right"/>
    </xf>
    <xf numFmtId="49" fontId="0" fillId="0" borderId="11" xfId="0" applyNumberFormat="1" applyBorder="1"/>
    <xf numFmtId="0" fontId="0" fillId="0" borderId="11" xfId="0" applyBorder="1"/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right"/>
    </xf>
    <xf numFmtId="49" fontId="0" fillId="0" borderId="13" xfId="0" applyNumberFormat="1" applyBorder="1"/>
    <xf numFmtId="0" fontId="0" fillId="0" borderId="13" xfId="0" applyBorder="1"/>
    <xf numFmtId="0" fontId="0" fillId="0" borderId="13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vertical="center"/>
    </xf>
    <xf numFmtId="0" fontId="0" fillId="0" borderId="14" xfId="0" applyBorder="1"/>
    <xf numFmtId="0" fontId="0" fillId="0" borderId="14" xfId="0" applyBorder="1" applyAlignment="1">
      <alignment horizontal="right"/>
    </xf>
    <xf numFmtId="0" fontId="0" fillId="0" borderId="14" xfId="0" applyBorder="1" applyAlignment="1">
      <alignment vertical="center"/>
    </xf>
    <xf numFmtId="0" fontId="2" fillId="6" borderId="0" xfId="0" applyFont="1" applyFill="1"/>
    <xf numFmtId="49" fontId="1" fillId="2" borderId="1" xfId="0" applyNumberFormat="1" applyFont="1" applyFill="1" applyBorder="1" applyAlignment="1">
      <alignment horizontal="center"/>
    </xf>
    <xf numFmtId="0" fontId="2" fillId="6" borderId="1" xfId="0" applyFont="1" applyFill="1" applyBorder="1"/>
    <xf numFmtId="0" fontId="0" fillId="0" borderId="15" xfId="0" applyBorder="1"/>
    <xf numFmtId="0" fontId="5" fillId="0" borderId="0" xfId="0" quotePrefix="1" applyFont="1"/>
    <xf numFmtId="0" fontId="2" fillId="3" borderId="3" xfId="0" applyFont="1" applyFill="1" applyBorder="1"/>
    <xf numFmtId="49" fontId="2" fillId="0" borderId="4" xfId="0" applyNumberFormat="1" applyFont="1" applyBorder="1"/>
    <xf numFmtId="3" fontId="0" fillId="6" borderId="1" xfId="0" applyNumberFormat="1" applyFill="1" applyBorder="1"/>
    <xf numFmtId="3" fontId="0" fillId="6" borderId="10" xfId="0" applyNumberFormat="1" applyFill="1" applyBorder="1"/>
    <xf numFmtId="49" fontId="0" fillId="0" borderId="16" xfId="0" applyNumberFormat="1" applyBorder="1"/>
    <xf numFmtId="49" fontId="0" fillId="7" borderId="1" xfId="0" applyNumberFormat="1" applyFill="1" applyBorder="1"/>
    <xf numFmtId="0" fontId="0" fillId="0" borderId="0" xfId="0" applyAlignment="1">
      <alignment vertical="top"/>
    </xf>
    <xf numFmtId="0" fontId="6" fillId="0" borderId="0" xfId="0" applyFont="1"/>
    <xf numFmtId="0" fontId="7" fillId="2" borderId="11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0" xfId="0" applyFont="1" applyAlignment="1">
      <alignment vertical="center"/>
    </xf>
    <xf numFmtId="0" fontId="6" fillId="0" borderId="11" xfId="0" applyFont="1" applyBorder="1" applyAlignment="1">
      <alignment vertical="center"/>
    </xf>
    <xf numFmtId="0" fontId="8" fillId="0" borderId="3" xfId="0" applyFont="1" applyBorder="1"/>
    <xf numFmtId="0" fontId="7" fillId="10" borderId="1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1" xfId="0" quotePrefix="1" applyBorder="1"/>
    <xf numFmtId="0" fontId="6" fillId="0" borderId="10" xfId="0" applyFont="1" applyBorder="1" applyAlignment="1">
      <alignment vertical="center"/>
    </xf>
    <xf numFmtId="0" fontId="0" fillId="0" borderId="10" xfId="0" applyBorder="1"/>
    <xf numFmtId="0" fontId="0" fillId="0" borderId="18" xfId="0" applyBorder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left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9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" xfId="0" quotePrefix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4</xdr:row>
      <xdr:rowOff>180975</xdr:rowOff>
    </xdr:from>
    <xdr:to>
      <xdr:col>21</xdr:col>
      <xdr:colOff>107368</xdr:colOff>
      <xdr:row>13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B14235-A458-DD31-9556-ACA177DB0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7125" y="942975"/>
          <a:ext cx="8822743" cy="1562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285750</xdr:colOff>
      <xdr:row>1</xdr:row>
      <xdr:rowOff>171450</xdr:rowOff>
    </xdr:from>
    <xdr:to>
      <xdr:col>12</xdr:col>
      <xdr:colOff>105888</xdr:colOff>
      <xdr:row>17</xdr:row>
      <xdr:rowOff>126118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9BDDE58D-E31E-B255-CF05-89761F80D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0" y="361950"/>
          <a:ext cx="7973538" cy="2781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71EC-D552-47DD-B99A-6ED246CDF5E2}">
  <dimension ref="B2:H42"/>
  <sheetViews>
    <sheetView showGridLines="0" zoomScaleNormal="100" workbookViewId="0">
      <selection activeCell="D29" sqref="D29"/>
    </sheetView>
  </sheetViews>
  <sheetFormatPr defaultRowHeight="15" x14ac:dyDescent="0.25"/>
  <cols>
    <col min="1" max="1" width="3.7109375" customWidth="1"/>
    <col min="2" max="2" width="45.42578125" customWidth="1"/>
    <col min="3" max="3" width="74.7109375" bestFit="1" customWidth="1"/>
    <col min="4" max="4" width="20.42578125" customWidth="1"/>
    <col min="5" max="5" width="28.28515625" customWidth="1"/>
    <col min="6" max="6" width="16.140625" bestFit="1" customWidth="1"/>
    <col min="7" max="7" width="30.28515625" customWidth="1"/>
    <col min="8" max="8" width="34" bestFit="1" customWidth="1"/>
    <col min="9" max="9" width="19.7109375" customWidth="1"/>
    <col min="10" max="10" width="16" customWidth="1"/>
    <col min="11" max="11" width="18.7109375" bestFit="1" customWidth="1"/>
    <col min="12" max="12" width="16.28515625" bestFit="1" customWidth="1"/>
    <col min="13" max="13" width="12.5703125" bestFit="1" customWidth="1"/>
    <col min="14" max="14" width="27.140625" customWidth="1"/>
    <col min="15" max="15" width="12.5703125" bestFit="1" customWidth="1"/>
    <col min="16" max="16" width="15" bestFit="1" customWidth="1"/>
    <col min="17" max="17" width="16.7109375" customWidth="1"/>
    <col min="19" max="19" width="11" bestFit="1" customWidth="1"/>
  </cols>
  <sheetData>
    <row r="2" spans="2:8" x14ac:dyDescent="0.25">
      <c r="B2" s="3" t="s">
        <v>342</v>
      </c>
      <c r="C2" s="3"/>
      <c r="D2" s="3"/>
      <c r="E2" s="4"/>
      <c r="F2" s="4"/>
      <c r="G2" s="4"/>
      <c r="H2" s="4"/>
    </row>
    <row r="3" spans="2:8" ht="6.95" customHeight="1" x14ac:dyDescent="0.25"/>
    <row r="4" spans="2:8" x14ac:dyDescent="0.25">
      <c r="B4" s="63" t="s">
        <v>1</v>
      </c>
      <c r="C4" s="63"/>
      <c r="D4" s="63"/>
      <c r="E4" s="63"/>
      <c r="F4" s="63"/>
      <c r="G4" s="63"/>
      <c r="H4" s="63"/>
    </row>
    <row r="5" spans="2:8" ht="15" customHeight="1" x14ac:dyDescent="0.25">
      <c r="B5" s="64" t="s">
        <v>2</v>
      </c>
      <c r="C5" s="64"/>
      <c r="D5" s="64"/>
      <c r="E5" s="64"/>
      <c r="F5" s="64"/>
      <c r="G5" s="64"/>
      <c r="H5" s="64"/>
    </row>
    <row r="6" spans="2:8" x14ac:dyDescent="0.25">
      <c r="B6" s="64"/>
      <c r="C6" s="64"/>
      <c r="D6" s="64"/>
      <c r="E6" s="64"/>
      <c r="F6" s="64"/>
      <c r="G6" s="64"/>
      <c r="H6" s="64"/>
    </row>
    <row r="7" spans="2:8" x14ac:dyDescent="0.25">
      <c r="B7" s="64"/>
      <c r="C7" s="64"/>
      <c r="D7" s="64"/>
      <c r="E7" s="64"/>
      <c r="F7" s="64"/>
      <c r="G7" s="64"/>
      <c r="H7" s="64"/>
    </row>
    <row r="8" spans="2:8" x14ac:dyDescent="0.25">
      <c r="B8" s="64"/>
      <c r="C8" s="64"/>
      <c r="D8" s="64"/>
      <c r="E8" s="64"/>
      <c r="F8" s="64"/>
      <c r="G8" s="64"/>
      <c r="H8" s="64"/>
    </row>
    <row r="9" spans="2:8" x14ac:dyDescent="0.25">
      <c r="B9" s="64"/>
      <c r="C9" s="64"/>
      <c r="D9" s="64"/>
      <c r="E9" s="64"/>
      <c r="F9" s="64"/>
      <c r="G9" s="64"/>
      <c r="H9" s="64"/>
    </row>
    <row r="11" spans="2:8" x14ac:dyDescent="0.25">
      <c r="B11" s="3" t="s">
        <v>413</v>
      </c>
      <c r="C11" s="4"/>
    </row>
    <row r="12" spans="2:8" ht="6.95" customHeight="1" x14ac:dyDescent="0.25"/>
    <row r="13" spans="2:8" x14ac:dyDescent="0.25">
      <c r="B13" s="7" t="s">
        <v>3</v>
      </c>
      <c r="C13" s="7" t="s">
        <v>4</v>
      </c>
    </row>
    <row r="14" spans="2:8" x14ac:dyDescent="0.25">
      <c r="B14" s="2" t="s">
        <v>341</v>
      </c>
      <c r="C14" s="15" t="s">
        <v>0</v>
      </c>
      <c r="D14" s="8" t="s">
        <v>6</v>
      </c>
      <c r="E14" s="8" t="s">
        <v>6</v>
      </c>
    </row>
    <row r="15" spans="2:8" x14ac:dyDescent="0.25">
      <c r="B15" s="2" t="s">
        <v>169</v>
      </c>
      <c r="C15" s="15" t="s">
        <v>0</v>
      </c>
      <c r="D15" s="8" t="s">
        <v>6</v>
      </c>
    </row>
    <row r="16" spans="2:8" x14ac:dyDescent="0.25">
      <c r="B16" s="2" t="s">
        <v>170</v>
      </c>
      <c r="C16" s="15" t="s">
        <v>172</v>
      </c>
    </row>
    <row r="17" spans="2:7" x14ac:dyDescent="0.25">
      <c r="B17" s="2" t="s">
        <v>171</v>
      </c>
      <c r="C17" s="15" t="s">
        <v>173</v>
      </c>
    </row>
    <row r="20" spans="2:7" x14ac:dyDescent="0.25">
      <c r="B20" s="3" t="s">
        <v>412</v>
      </c>
      <c r="C20" s="4"/>
      <c r="D20" s="4"/>
    </row>
    <row r="21" spans="2:7" ht="6.95" customHeight="1" x14ac:dyDescent="0.25"/>
    <row r="22" spans="2:7" x14ac:dyDescent="0.25">
      <c r="B22" s="7" t="s">
        <v>3</v>
      </c>
      <c r="C22" s="7" t="s">
        <v>4</v>
      </c>
      <c r="D22" s="7" t="s">
        <v>5</v>
      </c>
    </row>
    <row r="23" spans="2:7" x14ac:dyDescent="0.25">
      <c r="B23" s="2" t="s">
        <v>25</v>
      </c>
      <c r="C23" s="15" t="s">
        <v>23</v>
      </c>
      <c r="D23" s="16" t="s">
        <v>174</v>
      </c>
      <c r="E23" s="8" t="s">
        <v>6</v>
      </c>
    </row>
    <row r="26" spans="2:7" x14ac:dyDescent="0.25">
      <c r="B26" s="3" t="s">
        <v>414</v>
      </c>
      <c r="C26" s="4"/>
      <c r="D26" s="4"/>
    </row>
    <row r="27" spans="2:7" ht="6.95" customHeight="1" x14ac:dyDescent="0.25"/>
    <row r="28" spans="2:7" x14ac:dyDescent="0.25">
      <c r="B28" s="7" t="s">
        <v>3</v>
      </c>
      <c r="C28" s="7" t="s">
        <v>4</v>
      </c>
      <c r="D28" s="7" t="s">
        <v>5</v>
      </c>
    </row>
    <row r="29" spans="2:7" x14ac:dyDescent="0.25">
      <c r="B29" s="2" t="s">
        <v>416</v>
      </c>
      <c r="C29" s="15" t="s">
        <v>415</v>
      </c>
      <c r="D29" s="16" t="s">
        <v>422</v>
      </c>
      <c r="E29" s="8" t="s">
        <v>6</v>
      </c>
      <c r="F29" s="8" t="s">
        <v>6</v>
      </c>
      <c r="G29" s="8" t="s">
        <v>6</v>
      </c>
    </row>
    <row r="30" spans="2:7" x14ac:dyDescent="0.25">
      <c r="B30" s="8"/>
      <c r="C30" s="8"/>
      <c r="D30" s="8"/>
      <c r="E30" s="8"/>
    </row>
    <row r="31" spans="2:7" x14ac:dyDescent="0.25">
      <c r="B31" s="8"/>
      <c r="C31" s="8"/>
      <c r="D31" s="8"/>
      <c r="E31" s="8"/>
    </row>
    <row r="32" spans="2:7" x14ac:dyDescent="0.25">
      <c r="B32" s="3" t="s">
        <v>417</v>
      </c>
      <c r="C32" s="4"/>
    </row>
    <row r="33" spans="2:7" ht="6.95" customHeight="1" x14ac:dyDescent="0.25"/>
    <row r="34" spans="2:7" x14ac:dyDescent="0.25">
      <c r="B34" s="7" t="s">
        <v>22</v>
      </c>
      <c r="C34" s="7" t="s">
        <v>5</v>
      </c>
    </row>
    <row r="35" spans="2:7" x14ac:dyDescent="0.25">
      <c r="B35" s="2" t="s">
        <v>419</v>
      </c>
      <c r="C35" s="16" t="s">
        <v>423</v>
      </c>
      <c r="D35" s="8" t="s">
        <v>6</v>
      </c>
    </row>
    <row r="38" spans="2:7" x14ac:dyDescent="0.25">
      <c r="B38" s="3" t="s">
        <v>418</v>
      </c>
      <c r="C38" s="4"/>
    </row>
    <row r="39" spans="2:7" ht="6.95" customHeight="1" x14ac:dyDescent="0.25"/>
    <row r="40" spans="2:7" x14ac:dyDescent="0.25">
      <c r="B40" s="7" t="s">
        <v>22</v>
      </c>
      <c r="C40" s="7" t="s">
        <v>5</v>
      </c>
    </row>
    <row r="41" spans="2:7" x14ac:dyDescent="0.25">
      <c r="B41" s="2"/>
      <c r="C41" s="16"/>
      <c r="D41" s="8" t="s">
        <v>6</v>
      </c>
    </row>
    <row r="42" spans="2:7" x14ac:dyDescent="0.25">
      <c r="E42" s="8"/>
      <c r="G42" s="8"/>
    </row>
  </sheetData>
  <mergeCells count="2">
    <mergeCell ref="B4:H4"/>
    <mergeCell ref="B5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E21B-1BB7-4B68-AD07-5A1C19E1A419}">
  <dimension ref="A2:H54"/>
  <sheetViews>
    <sheetView showGridLines="0" tabSelected="1" workbookViewId="0">
      <selection activeCell="F2" sqref="F2"/>
    </sheetView>
  </sheetViews>
  <sheetFormatPr defaultRowHeight="15" x14ac:dyDescent="0.25"/>
  <cols>
    <col min="1" max="1" width="3.7109375" customWidth="1"/>
    <col min="2" max="2" width="40.7109375" bestFit="1" customWidth="1"/>
    <col min="3" max="3" width="22.28515625" bestFit="1" customWidth="1"/>
    <col min="4" max="4" width="57.5703125" bestFit="1" customWidth="1"/>
    <col min="5" max="5" width="17.7109375" bestFit="1" customWidth="1"/>
  </cols>
  <sheetData>
    <row r="2" spans="2:8" x14ac:dyDescent="0.25">
      <c r="B2" s="14" t="s">
        <v>394</v>
      </c>
      <c r="C2" s="14" t="s">
        <v>395</v>
      </c>
      <c r="D2" s="14" t="s">
        <v>397</v>
      </c>
      <c r="E2" s="14" t="s">
        <v>403</v>
      </c>
      <c r="F2" s="14"/>
    </row>
    <row r="3" spans="2:8" x14ac:dyDescent="0.25">
      <c r="B3" s="58" t="s">
        <v>354</v>
      </c>
      <c r="C3" s="2" t="s">
        <v>396</v>
      </c>
      <c r="D3" s="2" t="s">
        <v>399</v>
      </c>
      <c r="E3" s="2" t="s">
        <v>404</v>
      </c>
      <c r="F3" s="2"/>
      <c r="G3" s="8" t="s">
        <v>6</v>
      </c>
      <c r="H3" s="8" t="s">
        <v>6</v>
      </c>
    </row>
    <row r="4" spans="2:8" x14ac:dyDescent="0.25">
      <c r="B4" s="58" t="s">
        <v>359</v>
      </c>
      <c r="C4" s="2" t="s">
        <v>396</v>
      </c>
      <c r="D4" s="2" t="s">
        <v>399</v>
      </c>
      <c r="E4" s="2" t="s">
        <v>404</v>
      </c>
      <c r="F4" s="2"/>
    </row>
    <row r="5" spans="2:8" x14ac:dyDescent="0.25">
      <c r="B5" s="58" t="s">
        <v>355</v>
      </c>
      <c r="C5" s="2" t="s">
        <v>396</v>
      </c>
      <c r="D5" s="2" t="s">
        <v>402</v>
      </c>
      <c r="E5" s="2" t="s">
        <v>421</v>
      </c>
      <c r="F5" s="2"/>
    </row>
    <row r="6" spans="2:8" x14ac:dyDescent="0.25">
      <c r="B6" s="58" t="s">
        <v>364</v>
      </c>
      <c r="C6" s="2"/>
      <c r="D6" s="2"/>
      <c r="E6" s="2" t="s">
        <v>405</v>
      </c>
      <c r="F6" s="2"/>
    </row>
    <row r="7" spans="2:8" x14ac:dyDescent="0.25">
      <c r="B7" s="58" t="s">
        <v>378</v>
      </c>
      <c r="C7" s="2"/>
      <c r="D7" s="2"/>
      <c r="E7" s="2" t="s">
        <v>405</v>
      </c>
      <c r="F7" s="2"/>
    </row>
    <row r="8" spans="2:8" x14ac:dyDescent="0.25">
      <c r="B8" s="58" t="s">
        <v>370</v>
      </c>
      <c r="C8" s="2"/>
      <c r="D8" s="2"/>
      <c r="E8" s="2" t="s">
        <v>421</v>
      </c>
      <c r="F8" s="2"/>
    </row>
    <row r="9" spans="2:8" x14ac:dyDescent="0.25">
      <c r="B9" s="58" t="s">
        <v>390</v>
      </c>
      <c r="C9" s="2"/>
      <c r="D9" s="2"/>
      <c r="E9" s="2" t="s">
        <v>421</v>
      </c>
      <c r="F9" s="2"/>
    </row>
    <row r="10" spans="2:8" x14ac:dyDescent="0.25">
      <c r="B10" s="58" t="s">
        <v>377</v>
      </c>
      <c r="C10" s="2"/>
      <c r="D10" s="2"/>
      <c r="E10" s="2" t="s">
        <v>421</v>
      </c>
      <c r="F10" s="2"/>
    </row>
    <row r="11" spans="2:8" x14ac:dyDescent="0.25">
      <c r="B11" s="58" t="s">
        <v>343</v>
      </c>
      <c r="C11" s="2" t="s">
        <v>396</v>
      </c>
      <c r="D11" s="2" t="s">
        <v>400</v>
      </c>
      <c r="E11" s="2" t="s">
        <v>404</v>
      </c>
      <c r="F11" s="2"/>
    </row>
    <row r="12" spans="2:8" x14ac:dyDescent="0.25">
      <c r="B12" s="58" t="s">
        <v>277</v>
      </c>
      <c r="C12" s="2"/>
      <c r="D12" s="2"/>
      <c r="E12" s="2" t="s">
        <v>421</v>
      </c>
      <c r="F12" s="2"/>
    </row>
    <row r="13" spans="2:8" x14ac:dyDescent="0.25">
      <c r="B13" s="58" t="s">
        <v>346</v>
      </c>
      <c r="C13" s="2" t="s">
        <v>396</v>
      </c>
      <c r="D13" s="2" t="s">
        <v>401</v>
      </c>
      <c r="E13" s="2" t="s">
        <v>420</v>
      </c>
      <c r="F13" s="2"/>
    </row>
    <row r="14" spans="2:8" x14ac:dyDescent="0.25">
      <c r="B14" s="58" t="s">
        <v>376</v>
      </c>
      <c r="C14" s="2"/>
      <c r="D14" s="2"/>
      <c r="E14" s="2" t="s">
        <v>421</v>
      </c>
      <c r="F14" s="2"/>
    </row>
    <row r="15" spans="2:8" x14ac:dyDescent="0.25">
      <c r="B15" s="58" t="s">
        <v>360</v>
      </c>
      <c r="C15" s="2" t="s">
        <v>396</v>
      </c>
      <c r="D15" s="2" t="s">
        <v>402</v>
      </c>
      <c r="E15" s="2" t="s">
        <v>421</v>
      </c>
      <c r="F15" s="2"/>
    </row>
    <row r="16" spans="2:8" x14ac:dyDescent="0.25">
      <c r="B16" s="58" t="s">
        <v>349</v>
      </c>
      <c r="C16" s="2" t="s">
        <v>396</v>
      </c>
      <c r="D16" s="2" t="s">
        <v>402</v>
      </c>
      <c r="E16" s="2" t="s">
        <v>421</v>
      </c>
      <c r="F16" s="2"/>
    </row>
    <row r="17" spans="1:6" x14ac:dyDescent="0.25">
      <c r="B17" s="58" t="s">
        <v>348</v>
      </c>
      <c r="C17" s="2"/>
      <c r="D17" s="2"/>
      <c r="E17" s="2" t="s">
        <v>20</v>
      </c>
      <c r="F17" s="2"/>
    </row>
    <row r="18" spans="1:6" x14ac:dyDescent="0.25">
      <c r="B18" s="58" t="s">
        <v>344</v>
      </c>
      <c r="C18" s="2" t="s">
        <v>396</v>
      </c>
      <c r="D18" s="2" t="s">
        <v>400</v>
      </c>
      <c r="E18" s="2" t="s">
        <v>404</v>
      </c>
      <c r="F18" s="2"/>
    </row>
    <row r="19" spans="1:6" x14ac:dyDescent="0.25">
      <c r="B19" s="58" t="s">
        <v>374</v>
      </c>
      <c r="C19" s="2"/>
      <c r="D19" s="2"/>
      <c r="E19" s="2" t="s">
        <v>421</v>
      </c>
      <c r="F19" s="2"/>
    </row>
    <row r="20" spans="1:6" x14ac:dyDescent="0.25">
      <c r="B20" s="58" t="s">
        <v>389</v>
      </c>
      <c r="C20" s="2"/>
      <c r="D20" s="2"/>
      <c r="E20" s="2" t="s">
        <v>421</v>
      </c>
      <c r="F20" s="2"/>
    </row>
    <row r="21" spans="1:6" x14ac:dyDescent="0.25">
      <c r="A21" s="62"/>
      <c r="B21" s="58" t="s">
        <v>373</v>
      </c>
      <c r="C21" s="2"/>
      <c r="D21" s="2"/>
      <c r="E21" s="2" t="s">
        <v>404</v>
      </c>
      <c r="F21" s="2"/>
    </row>
    <row r="22" spans="1:6" x14ac:dyDescent="0.25">
      <c r="A22" s="62"/>
      <c r="B22" s="60" t="s">
        <v>372</v>
      </c>
      <c r="C22" s="61"/>
      <c r="D22" s="61"/>
      <c r="E22" s="61" t="s">
        <v>406</v>
      </c>
      <c r="F22" s="61"/>
    </row>
    <row r="23" spans="1:6" x14ac:dyDescent="0.25">
      <c r="B23" s="58" t="s">
        <v>388</v>
      </c>
      <c r="C23" s="2"/>
      <c r="D23" s="2"/>
      <c r="E23" s="2" t="s">
        <v>421</v>
      </c>
      <c r="F23" s="2"/>
    </row>
    <row r="24" spans="1:6" x14ac:dyDescent="0.25">
      <c r="B24" s="58" t="s">
        <v>381</v>
      </c>
      <c r="C24" s="2"/>
      <c r="D24" s="2"/>
      <c r="E24" s="2" t="s">
        <v>406</v>
      </c>
      <c r="F24" s="2"/>
    </row>
    <row r="25" spans="1:6" x14ac:dyDescent="0.25">
      <c r="B25" s="58" t="s">
        <v>392</v>
      </c>
      <c r="C25" s="2"/>
      <c r="D25" s="2"/>
      <c r="E25" s="2" t="s">
        <v>421</v>
      </c>
      <c r="F25" s="2"/>
    </row>
    <row r="26" spans="1:6" x14ac:dyDescent="0.25">
      <c r="B26" s="58" t="s">
        <v>367</v>
      </c>
      <c r="C26" s="2"/>
      <c r="D26" s="2"/>
      <c r="E26" s="2" t="s">
        <v>407</v>
      </c>
      <c r="F26" s="2" t="s">
        <v>435</v>
      </c>
    </row>
    <row r="27" spans="1:6" x14ac:dyDescent="0.25">
      <c r="B27" s="58" t="s">
        <v>387</v>
      </c>
      <c r="C27" s="2"/>
      <c r="D27" s="2"/>
      <c r="E27" s="2" t="s">
        <v>421</v>
      </c>
      <c r="F27" s="2"/>
    </row>
    <row r="28" spans="1:6" x14ac:dyDescent="0.25">
      <c r="B28" s="58" t="s">
        <v>380</v>
      </c>
      <c r="C28" s="2"/>
      <c r="D28" s="2"/>
      <c r="E28" s="2" t="s">
        <v>407</v>
      </c>
      <c r="F28" s="2" t="s">
        <v>435</v>
      </c>
    </row>
    <row r="29" spans="1:6" x14ac:dyDescent="0.25">
      <c r="B29" s="58" t="s">
        <v>391</v>
      </c>
      <c r="C29" s="2"/>
      <c r="D29" s="2"/>
      <c r="E29" s="2" t="s">
        <v>421</v>
      </c>
      <c r="F29" s="2"/>
    </row>
    <row r="30" spans="1:6" x14ac:dyDescent="0.25">
      <c r="B30" s="58" t="s">
        <v>353</v>
      </c>
      <c r="C30" s="2" t="s">
        <v>396</v>
      </c>
      <c r="D30" s="2" t="s">
        <v>399</v>
      </c>
      <c r="E30" s="2" t="s">
        <v>404</v>
      </c>
      <c r="F30" s="2"/>
    </row>
    <row r="31" spans="1:6" x14ac:dyDescent="0.25">
      <c r="B31" s="58" t="s">
        <v>383</v>
      </c>
      <c r="C31" s="2"/>
      <c r="D31" s="2"/>
      <c r="E31" s="2" t="s">
        <v>408</v>
      </c>
      <c r="F31" s="2"/>
    </row>
    <row r="32" spans="1:6" x14ac:dyDescent="0.25">
      <c r="B32" s="58" t="s">
        <v>386</v>
      </c>
      <c r="C32" s="2"/>
      <c r="D32" s="2"/>
      <c r="E32" s="2" t="s">
        <v>421</v>
      </c>
      <c r="F32" s="2"/>
    </row>
    <row r="33" spans="2:6" x14ac:dyDescent="0.25">
      <c r="B33" s="58" t="s">
        <v>366</v>
      </c>
      <c r="C33" s="2"/>
      <c r="D33" s="2"/>
      <c r="E33" s="2" t="s">
        <v>409</v>
      </c>
      <c r="F33" s="2" t="s">
        <v>435</v>
      </c>
    </row>
    <row r="34" spans="2:6" x14ac:dyDescent="0.25">
      <c r="B34" s="58" t="s">
        <v>385</v>
      </c>
      <c r="C34" s="2"/>
      <c r="D34" s="2"/>
      <c r="E34" s="2" t="s">
        <v>421</v>
      </c>
      <c r="F34" s="2"/>
    </row>
    <row r="35" spans="2:6" x14ac:dyDescent="0.25">
      <c r="B35" s="58" t="s">
        <v>393</v>
      </c>
      <c r="C35" s="2" t="s">
        <v>396</v>
      </c>
      <c r="D35" s="2" t="s">
        <v>398</v>
      </c>
      <c r="E35" s="2" t="s">
        <v>404</v>
      </c>
      <c r="F35" s="2"/>
    </row>
    <row r="36" spans="2:6" x14ac:dyDescent="0.25">
      <c r="B36" s="58" t="s">
        <v>350</v>
      </c>
      <c r="C36" s="2" t="s">
        <v>396</v>
      </c>
      <c r="D36" s="2" t="s">
        <v>400</v>
      </c>
      <c r="E36" s="2" t="s">
        <v>404</v>
      </c>
      <c r="F36" s="2"/>
    </row>
    <row r="37" spans="2:6" x14ac:dyDescent="0.25">
      <c r="B37" s="58" t="s">
        <v>362</v>
      </c>
      <c r="C37" s="2"/>
      <c r="D37" s="2"/>
      <c r="E37" s="2" t="s">
        <v>421</v>
      </c>
      <c r="F37" s="2"/>
    </row>
    <row r="38" spans="2:6" x14ac:dyDescent="0.25">
      <c r="B38" s="58" t="s">
        <v>375</v>
      </c>
      <c r="C38" s="2"/>
      <c r="D38" s="2"/>
      <c r="E38" s="2" t="s">
        <v>421</v>
      </c>
      <c r="F38" s="2"/>
    </row>
    <row r="39" spans="2:6" x14ac:dyDescent="0.25">
      <c r="B39" s="58" t="s">
        <v>368</v>
      </c>
      <c r="C39" s="2"/>
      <c r="D39" s="2"/>
      <c r="E39" s="2" t="s">
        <v>410</v>
      </c>
      <c r="F39" s="2"/>
    </row>
    <row r="40" spans="2:6" x14ac:dyDescent="0.25">
      <c r="B40" s="58" t="s">
        <v>379</v>
      </c>
      <c r="C40" s="2"/>
      <c r="D40" s="2"/>
      <c r="E40" s="2" t="s">
        <v>421</v>
      </c>
      <c r="F40" s="2"/>
    </row>
    <row r="41" spans="2:6" x14ac:dyDescent="0.25">
      <c r="B41" s="58" t="s">
        <v>361</v>
      </c>
      <c r="C41" s="2"/>
      <c r="D41" s="2"/>
      <c r="E41" s="59" t="s">
        <v>421</v>
      </c>
      <c r="F41" s="59"/>
    </row>
    <row r="42" spans="2:6" x14ac:dyDescent="0.25">
      <c r="B42" s="58" t="s">
        <v>371</v>
      </c>
      <c r="C42" s="2"/>
      <c r="D42" s="2"/>
      <c r="E42" s="2" t="s">
        <v>421</v>
      </c>
      <c r="F42" s="2"/>
    </row>
    <row r="43" spans="2:6" x14ac:dyDescent="0.25">
      <c r="B43" s="58" t="s">
        <v>369</v>
      </c>
      <c r="C43" s="2"/>
      <c r="D43" s="2"/>
      <c r="E43" s="2" t="s">
        <v>411</v>
      </c>
      <c r="F43" s="2"/>
    </row>
    <row r="44" spans="2:6" x14ac:dyDescent="0.25">
      <c r="B44" s="58" t="s">
        <v>384</v>
      </c>
      <c r="C44" s="2"/>
      <c r="D44" s="2"/>
      <c r="E44" s="2" t="s">
        <v>411</v>
      </c>
      <c r="F44" s="2"/>
    </row>
    <row r="45" spans="2:6" x14ac:dyDescent="0.25">
      <c r="B45" s="58" t="s">
        <v>365</v>
      </c>
      <c r="C45" s="2"/>
      <c r="D45" s="2"/>
      <c r="E45" s="2" t="s">
        <v>421</v>
      </c>
      <c r="F45" s="2" t="s">
        <v>435</v>
      </c>
    </row>
    <row r="46" spans="2:6" x14ac:dyDescent="0.25">
      <c r="B46" s="58" t="s">
        <v>356</v>
      </c>
      <c r="C46" s="2" t="s">
        <v>396</v>
      </c>
      <c r="D46" s="2" t="s">
        <v>399</v>
      </c>
      <c r="E46" s="2" t="s">
        <v>404</v>
      </c>
      <c r="F46" s="2"/>
    </row>
    <row r="47" spans="2:6" x14ac:dyDescent="0.25">
      <c r="B47" s="58" t="s">
        <v>351</v>
      </c>
      <c r="C47" s="2" t="s">
        <v>396</v>
      </c>
      <c r="D47" s="2" t="s">
        <v>400</v>
      </c>
      <c r="E47" s="2" t="s">
        <v>404</v>
      </c>
      <c r="F47" s="2"/>
    </row>
    <row r="48" spans="2:6" x14ac:dyDescent="0.25">
      <c r="B48" s="58" t="s">
        <v>357</v>
      </c>
      <c r="C48" s="2" t="s">
        <v>396</v>
      </c>
      <c r="D48" s="2" t="s">
        <v>399</v>
      </c>
      <c r="E48" s="2" t="s">
        <v>404</v>
      </c>
      <c r="F48" s="2"/>
    </row>
    <row r="49" spans="2:6" x14ac:dyDescent="0.25">
      <c r="B49" s="58" t="s">
        <v>358</v>
      </c>
      <c r="C49" s="2" t="s">
        <v>396</v>
      </c>
      <c r="D49" s="2" t="s">
        <v>399</v>
      </c>
      <c r="E49" s="2" t="s">
        <v>404</v>
      </c>
      <c r="F49" s="2"/>
    </row>
    <row r="50" spans="2:6" x14ac:dyDescent="0.25">
      <c r="B50" s="58" t="s">
        <v>382</v>
      </c>
      <c r="C50" s="2"/>
      <c r="D50" s="2"/>
      <c r="E50" s="2" t="s">
        <v>421</v>
      </c>
      <c r="F50" s="2"/>
    </row>
    <row r="51" spans="2:6" x14ac:dyDescent="0.25">
      <c r="B51" s="58" t="s">
        <v>347</v>
      </c>
      <c r="C51" s="2" t="s">
        <v>396</v>
      </c>
      <c r="D51" s="2" t="s">
        <v>402</v>
      </c>
      <c r="E51" s="2" t="s">
        <v>421</v>
      </c>
      <c r="F51" s="2"/>
    </row>
    <row r="52" spans="2:6" x14ac:dyDescent="0.25">
      <c r="B52" s="58" t="s">
        <v>352</v>
      </c>
      <c r="C52" s="2" t="s">
        <v>396</v>
      </c>
      <c r="D52" s="2" t="s">
        <v>402</v>
      </c>
      <c r="E52" s="2" t="s">
        <v>421</v>
      </c>
      <c r="F52" s="2"/>
    </row>
    <row r="53" spans="2:6" x14ac:dyDescent="0.25">
      <c r="B53" s="58" t="s">
        <v>345</v>
      </c>
      <c r="C53" s="2" t="s">
        <v>396</v>
      </c>
      <c r="D53" s="2" t="s">
        <v>402</v>
      </c>
      <c r="E53" s="2" t="s">
        <v>421</v>
      </c>
      <c r="F53" s="2"/>
    </row>
    <row r="54" spans="2:6" x14ac:dyDescent="0.25">
      <c r="B54" s="58" t="s">
        <v>363</v>
      </c>
      <c r="C54" s="2"/>
      <c r="D54" s="2"/>
      <c r="E54" s="2" t="s">
        <v>20</v>
      </c>
      <c r="F54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EF6A-C4FF-441D-B9D5-D616BD18E902}">
  <dimension ref="B2:F56"/>
  <sheetViews>
    <sheetView showGridLines="0" workbookViewId="0"/>
  </sheetViews>
  <sheetFormatPr defaultRowHeight="15" x14ac:dyDescent="0.25"/>
  <cols>
    <col min="1" max="1" width="3.7109375" customWidth="1"/>
    <col min="2" max="2" width="29.28515625" customWidth="1"/>
    <col min="3" max="3" width="60.85546875" bestFit="1" customWidth="1"/>
  </cols>
  <sheetData>
    <row r="2" spans="2:6" x14ac:dyDescent="0.25">
      <c r="B2" s="14" t="s">
        <v>5</v>
      </c>
    </row>
    <row r="3" spans="2:6" x14ac:dyDescent="0.25">
      <c r="B3" s="9" t="s">
        <v>24</v>
      </c>
      <c r="C3" s="8" t="s">
        <v>6</v>
      </c>
    </row>
    <row r="6" spans="2:6" x14ac:dyDescent="0.25">
      <c r="B6" s="3" t="s">
        <v>150</v>
      </c>
      <c r="C6" s="4"/>
      <c r="D6" s="4"/>
      <c r="E6" s="4"/>
    </row>
    <row r="7" spans="2:6" ht="6.95" customHeight="1" x14ac:dyDescent="0.25"/>
    <row r="8" spans="2:6" x14ac:dyDescent="0.25">
      <c r="B8" s="14" t="s">
        <v>122</v>
      </c>
      <c r="C8" s="14" t="s">
        <v>26</v>
      </c>
      <c r="D8" s="14" t="s">
        <v>27</v>
      </c>
      <c r="E8" s="14" t="s">
        <v>5</v>
      </c>
      <c r="F8" s="8" t="s">
        <v>6</v>
      </c>
    </row>
    <row r="9" spans="2:6" x14ac:dyDescent="0.25">
      <c r="B9" s="11" t="s">
        <v>123</v>
      </c>
      <c r="C9" s="11" t="s">
        <v>29</v>
      </c>
      <c r="D9" s="17">
        <v>197740</v>
      </c>
      <c r="E9" s="18" t="s">
        <v>32</v>
      </c>
      <c r="F9" s="8" t="s">
        <v>6</v>
      </c>
    </row>
    <row r="10" spans="2:6" x14ac:dyDescent="0.25">
      <c r="B10" s="11" t="s">
        <v>124</v>
      </c>
      <c r="C10" s="11" t="s">
        <v>28</v>
      </c>
      <c r="D10" s="17">
        <v>41811</v>
      </c>
      <c r="E10" s="10"/>
    </row>
    <row r="11" spans="2:6" x14ac:dyDescent="0.25">
      <c r="B11" s="11" t="s">
        <v>125</v>
      </c>
      <c r="C11" s="11" t="s">
        <v>137</v>
      </c>
      <c r="D11" s="17">
        <v>433</v>
      </c>
      <c r="E11" s="10"/>
    </row>
    <row r="12" spans="2:6" x14ac:dyDescent="0.25">
      <c r="B12" s="11" t="s">
        <v>126</v>
      </c>
      <c r="C12" s="11" t="s">
        <v>138</v>
      </c>
      <c r="D12" s="17">
        <v>41</v>
      </c>
    </row>
    <row r="15" spans="2:6" x14ac:dyDescent="0.25">
      <c r="B15" s="20"/>
    </row>
    <row r="16" spans="2:6" x14ac:dyDescent="0.25">
      <c r="B16" s="3" t="s">
        <v>149</v>
      </c>
      <c r="C16" s="4"/>
      <c r="D16" s="4"/>
      <c r="E16" s="4"/>
    </row>
    <row r="17" spans="2:5" ht="6.95" customHeight="1" x14ac:dyDescent="0.25"/>
    <row r="18" spans="2:5" x14ac:dyDescent="0.25">
      <c r="B18" s="14" t="s">
        <v>151</v>
      </c>
      <c r="C18" s="14" t="s">
        <v>152</v>
      </c>
      <c r="D18" s="14" t="s">
        <v>5</v>
      </c>
    </row>
    <row r="19" spans="2:5" x14ac:dyDescent="0.25">
      <c r="B19" s="2" t="s">
        <v>130</v>
      </c>
      <c r="C19" s="17">
        <v>134115</v>
      </c>
      <c r="D19" s="9" t="s">
        <v>153</v>
      </c>
      <c r="E19" s="8" t="s">
        <v>6</v>
      </c>
    </row>
    <row r="20" spans="2:5" x14ac:dyDescent="0.25">
      <c r="B20" s="2" t="s">
        <v>57</v>
      </c>
      <c r="C20" s="17">
        <v>2118420</v>
      </c>
    </row>
    <row r="23" spans="2:5" x14ac:dyDescent="0.25">
      <c r="B23" s="3" t="s">
        <v>154</v>
      </c>
      <c r="C23" s="4"/>
      <c r="D23" s="4"/>
      <c r="E23" s="4"/>
    </row>
    <row r="24" spans="2:5" ht="6.95" customHeight="1" x14ac:dyDescent="0.25"/>
    <row r="25" spans="2:5" x14ac:dyDescent="0.25">
      <c r="B25" s="14" t="s">
        <v>155</v>
      </c>
      <c r="C25" s="14" t="s">
        <v>152</v>
      </c>
      <c r="D25" s="14" t="s">
        <v>5</v>
      </c>
    </row>
    <row r="26" spans="2:5" x14ac:dyDescent="0.25">
      <c r="B26" s="2" t="s">
        <v>156</v>
      </c>
      <c r="C26" s="17">
        <v>2179982</v>
      </c>
      <c r="D26" s="9" t="s">
        <v>157</v>
      </c>
      <c r="E26" s="8" t="s">
        <v>6</v>
      </c>
    </row>
    <row r="29" spans="2:5" x14ac:dyDescent="0.25">
      <c r="B29" s="3" t="s">
        <v>158</v>
      </c>
      <c r="C29" s="4"/>
      <c r="D29" s="4"/>
      <c r="E29" s="4"/>
    </row>
    <row r="30" spans="2:5" ht="6.95" customHeight="1" x14ac:dyDescent="0.25"/>
    <row r="31" spans="2:5" x14ac:dyDescent="0.25">
      <c r="B31" s="14" t="s">
        <v>159</v>
      </c>
      <c r="C31" s="14" t="s">
        <v>152</v>
      </c>
      <c r="D31" s="14" t="s">
        <v>5</v>
      </c>
    </row>
    <row r="32" spans="2:5" x14ac:dyDescent="0.25">
      <c r="B32" s="2">
        <v>0</v>
      </c>
      <c r="C32" s="17">
        <v>2179982</v>
      </c>
      <c r="D32" s="9" t="s">
        <v>160</v>
      </c>
      <c r="E32" s="8" t="s">
        <v>6</v>
      </c>
    </row>
    <row r="35" spans="2:5" x14ac:dyDescent="0.25">
      <c r="B35" s="3" t="s">
        <v>161</v>
      </c>
      <c r="C35" s="4"/>
      <c r="D35" s="4"/>
      <c r="E35" s="4"/>
    </row>
    <row r="36" spans="2:5" ht="6.95" customHeight="1" x14ac:dyDescent="0.25"/>
    <row r="37" spans="2:5" x14ac:dyDescent="0.25">
      <c r="B37" s="14" t="s">
        <v>162</v>
      </c>
      <c r="C37" s="14" t="s">
        <v>152</v>
      </c>
      <c r="D37" s="14" t="s">
        <v>5</v>
      </c>
    </row>
    <row r="38" spans="2:5" x14ac:dyDescent="0.25">
      <c r="B38" s="2" t="s">
        <v>156</v>
      </c>
      <c r="C38" s="17">
        <v>2179982</v>
      </c>
      <c r="D38" s="9" t="s">
        <v>163</v>
      </c>
      <c r="E38" s="8" t="s">
        <v>6</v>
      </c>
    </row>
    <row r="41" spans="2:5" x14ac:dyDescent="0.25">
      <c r="B41" s="3" t="s">
        <v>164</v>
      </c>
      <c r="C41" s="4"/>
      <c r="D41" s="4"/>
      <c r="E41" s="4"/>
    </row>
    <row r="42" spans="2:5" ht="6.95" customHeight="1" x14ac:dyDescent="0.25"/>
    <row r="43" spans="2:5" x14ac:dyDescent="0.25">
      <c r="B43" s="14" t="s">
        <v>165</v>
      </c>
      <c r="C43" s="14" t="s">
        <v>152</v>
      </c>
      <c r="D43" s="14" t="s">
        <v>5</v>
      </c>
    </row>
    <row r="44" spans="2:5" x14ac:dyDescent="0.25">
      <c r="B44" s="2" t="s">
        <v>166</v>
      </c>
      <c r="C44" s="17">
        <v>2179982</v>
      </c>
      <c r="D44" s="9" t="s">
        <v>167</v>
      </c>
      <c r="E44" s="8" t="s">
        <v>6</v>
      </c>
    </row>
    <row r="47" spans="2:5" x14ac:dyDescent="0.25">
      <c r="B47" s="44" t="s">
        <v>168</v>
      </c>
      <c r="C47" s="4"/>
      <c r="D47" s="4"/>
      <c r="E47" s="4"/>
    </row>
    <row r="48" spans="2:5" ht="6.95" customHeight="1" x14ac:dyDescent="0.25"/>
    <row r="49" spans="2:5" x14ac:dyDescent="0.25">
      <c r="B49" s="14" t="s">
        <v>165</v>
      </c>
      <c r="C49" s="14" t="s">
        <v>152</v>
      </c>
      <c r="D49" s="14" t="s">
        <v>5</v>
      </c>
    </row>
    <row r="50" spans="2:5" x14ac:dyDescent="0.25">
      <c r="B50" s="2" t="s">
        <v>166</v>
      </c>
      <c r="C50" s="17">
        <v>2179982</v>
      </c>
      <c r="D50" s="9" t="s">
        <v>167</v>
      </c>
      <c r="E50" s="8" t="s">
        <v>6</v>
      </c>
    </row>
    <row r="53" spans="2:5" x14ac:dyDescent="0.25">
      <c r="B53" s="3" t="s">
        <v>176</v>
      </c>
      <c r="C53" s="4"/>
      <c r="D53" s="4"/>
      <c r="E53" s="4"/>
    </row>
    <row r="54" spans="2:5" ht="6.95" customHeight="1" x14ac:dyDescent="0.25"/>
    <row r="55" spans="2:5" x14ac:dyDescent="0.25">
      <c r="B55" s="14" t="s">
        <v>165</v>
      </c>
      <c r="C55" s="14" t="s">
        <v>152</v>
      </c>
      <c r="D55" s="14" t="s">
        <v>5</v>
      </c>
    </row>
    <row r="56" spans="2:5" x14ac:dyDescent="0.25">
      <c r="B56" s="2"/>
      <c r="C56" s="17"/>
      <c r="D56" s="9" t="s">
        <v>175</v>
      </c>
      <c r="E56" s="8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26E6-B428-4E8E-9F18-7755B261E783}">
  <dimension ref="B2:W77"/>
  <sheetViews>
    <sheetView showGridLines="0" workbookViewId="0">
      <selection activeCell="C4" sqref="C4"/>
    </sheetView>
  </sheetViews>
  <sheetFormatPr defaultRowHeight="15" x14ac:dyDescent="0.25"/>
  <cols>
    <col min="1" max="1" width="3.7109375" customWidth="1"/>
    <col min="2" max="2" width="33.85546875" bestFit="1" customWidth="1"/>
    <col min="3" max="3" width="19.42578125" bestFit="1" customWidth="1"/>
    <col min="4" max="4" width="33.85546875" bestFit="1" customWidth="1"/>
    <col min="5" max="5" width="23.5703125" bestFit="1" customWidth="1"/>
    <col min="6" max="6" width="19.5703125" bestFit="1" customWidth="1"/>
    <col min="7" max="8" width="20.140625" bestFit="1" customWidth="1"/>
    <col min="9" max="10" width="19.42578125" bestFit="1" customWidth="1"/>
    <col min="11" max="12" width="19.85546875" bestFit="1" customWidth="1"/>
    <col min="13" max="14" width="19.5703125" bestFit="1" customWidth="1"/>
    <col min="15" max="16" width="19.42578125" bestFit="1" customWidth="1"/>
    <col min="17" max="19" width="20.140625" bestFit="1" customWidth="1"/>
    <col min="20" max="20" width="19.5703125" bestFit="1" customWidth="1"/>
    <col min="21" max="21" width="18.42578125" bestFit="1" customWidth="1"/>
    <col min="22" max="22" width="11" bestFit="1" customWidth="1"/>
    <col min="23" max="23" width="15.5703125" bestFit="1" customWidth="1"/>
    <col min="24" max="24" width="15" bestFit="1" customWidth="1"/>
    <col min="25" max="25" width="13.85546875" bestFit="1" customWidth="1"/>
    <col min="26" max="26" width="6.42578125" bestFit="1" customWidth="1"/>
  </cols>
  <sheetData>
    <row r="2" spans="2:6" x14ac:dyDescent="0.25">
      <c r="B2" s="3" t="s">
        <v>233</v>
      </c>
      <c r="C2" s="4"/>
      <c r="D2" s="4"/>
    </row>
    <row r="3" spans="2:6" ht="6.95" customHeight="1" x14ac:dyDescent="0.25"/>
    <row r="4" spans="2:6" x14ac:dyDescent="0.25">
      <c r="B4" s="14" t="s">
        <v>177</v>
      </c>
      <c r="C4" s="14" t="s">
        <v>27</v>
      </c>
      <c r="D4" s="14" t="s">
        <v>5</v>
      </c>
    </row>
    <row r="5" spans="2:6" x14ac:dyDescent="0.25">
      <c r="B5" s="11" t="s">
        <v>28</v>
      </c>
      <c r="C5" s="46">
        <v>1176736</v>
      </c>
      <c r="D5" s="18" t="s">
        <v>190</v>
      </c>
      <c r="E5" s="8" t="s">
        <v>6</v>
      </c>
    </row>
    <row r="6" spans="2:6" x14ac:dyDescent="0.25">
      <c r="B6" s="11" t="s">
        <v>29</v>
      </c>
      <c r="C6" s="17">
        <v>1157927</v>
      </c>
      <c r="D6" s="10"/>
    </row>
    <row r="7" spans="2:6" x14ac:dyDescent="0.25">
      <c r="B7" s="11" t="s">
        <v>179</v>
      </c>
      <c r="C7" s="17">
        <v>91501</v>
      </c>
      <c r="D7" s="10"/>
    </row>
    <row r="8" spans="2:6" x14ac:dyDescent="0.25">
      <c r="B8" s="11" t="s">
        <v>178</v>
      </c>
      <c r="C8" s="17">
        <v>326</v>
      </c>
    </row>
    <row r="11" spans="2:6" x14ac:dyDescent="0.25">
      <c r="B11" s="69" t="s">
        <v>239</v>
      </c>
      <c r="C11" s="69"/>
      <c r="D11" s="69"/>
      <c r="E11" s="69"/>
      <c r="F11" s="69"/>
    </row>
    <row r="12" spans="2:6" x14ac:dyDescent="0.25">
      <c r="B12" s="70" t="s">
        <v>340</v>
      </c>
      <c r="C12" s="70"/>
      <c r="D12" s="70"/>
      <c r="E12" s="70"/>
      <c r="F12" s="70"/>
    </row>
    <row r="13" spans="2:6" x14ac:dyDescent="0.25">
      <c r="B13" s="70"/>
      <c r="C13" s="70"/>
      <c r="D13" s="70"/>
      <c r="E13" s="70"/>
      <c r="F13" s="70"/>
    </row>
    <row r="14" spans="2:6" x14ac:dyDescent="0.25">
      <c r="B14" s="70"/>
      <c r="C14" s="70"/>
      <c r="D14" s="70"/>
      <c r="E14" s="70"/>
      <c r="F14" s="70"/>
    </row>
    <row r="15" spans="2:6" x14ac:dyDescent="0.25">
      <c r="B15" s="70"/>
      <c r="C15" s="70"/>
      <c r="D15" s="70"/>
      <c r="E15" s="70"/>
      <c r="F15" s="70"/>
    </row>
    <row r="18" spans="2:8" x14ac:dyDescent="0.25">
      <c r="B18" s="45" t="s">
        <v>180</v>
      </c>
      <c r="C18" s="6"/>
      <c r="D18" s="6"/>
      <c r="E18" s="6"/>
      <c r="F18" s="6"/>
    </row>
    <row r="19" spans="2:8" ht="6.95" customHeight="1" x14ac:dyDescent="0.25"/>
    <row r="20" spans="2:8" x14ac:dyDescent="0.25">
      <c r="B20" s="14" t="s">
        <v>122</v>
      </c>
      <c r="C20" s="14" t="s">
        <v>181</v>
      </c>
      <c r="D20" s="14" t="s">
        <v>182</v>
      </c>
      <c r="E20" s="14" t="s">
        <v>27</v>
      </c>
      <c r="F20" s="14" t="s">
        <v>5</v>
      </c>
    </row>
    <row r="21" spans="2:8" x14ac:dyDescent="0.25">
      <c r="B21" s="2">
        <v>1</v>
      </c>
      <c r="C21" s="2" t="s">
        <v>89</v>
      </c>
      <c r="D21" s="2" t="s">
        <v>57</v>
      </c>
      <c r="E21" s="17">
        <v>991157</v>
      </c>
      <c r="F21" s="9" t="s">
        <v>191</v>
      </c>
      <c r="G21" s="8" t="s">
        <v>6</v>
      </c>
    </row>
    <row r="22" spans="2:8" x14ac:dyDescent="0.25">
      <c r="B22" s="2">
        <v>2</v>
      </c>
      <c r="C22" s="2" t="s">
        <v>57</v>
      </c>
      <c r="D22" s="2" t="s">
        <v>183</v>
      </c>
      <c r="E22" s="17">
        <v>125441</v>
      </c>
    </row>
    <row r="23" spans="2:8" x14ac:dyDescent="0.25">
      <c r="B23" s="2">
        <v>3</v>
      </c>
      <c r="C23" s="2" t="s">
        <v>89</v>
      </c>
      <c r="D23" s="2" t="s">
        <v>183</v>
      </c>
      <c r="E23" s="17">
        <v>54625</v>
      </c>
    </row>
    <row r="24" spans="2:8" x14ac:dyDescent="0.25">
      <c r="B24" s="2">
        <v>4</v>
      </c>
      <c r="C24" s="2" t="s">
        <v>57</v>
      </c>
      <c r="D24" s="2" t="s">
        <v>89</v>
      </c>
      <c r="E24" s="17">
        <v>5513</v>
      </c>
    </row>
    <row r="25" spans="2:8" x14ac:dyDescent="0.25">
      <c r="B25" s="71" t="s">
        <v>88</v>
      </c>
      <c r="C25" s="71"/>
      <c r="D25" s="71"/>
      <c r="E25" s="47">
        <f>SUM(E21:E24)</f>
        <v>1176736</v>
      </c>
    </row>
    <row r="28" spans="2:8" x14ac:dyDescent="0.25">
      <c r="B28" s="5" t="s">
        <v>184</v>
      </c>
      <c r="C28" s="6"/>
      <c r="D28" s="6"/>
      <c r="E28" s="6"/>
      <c r="F28" s="6"/>
      <c r="G28" s="6"/>
    </row>
    <row r="29" spans="2:8" ht="6.95" customHeight="1" x14ac:dyDescent="0.25"/>
    <row r="30" spans="2:8" x14ac:dyDescent="0.25">
      <c r="B30" s="14" t="s">
        <v>185</v>
      </c>
      <c r="C30" s="14" t="s">
        <v>181</v>
      </c>
      <c r="D30" s="14" t="s">
        <v>36</v>
      </c>
      <c r="E30" s="14" t="s">
        <v>182</v>
      </c>
      <c r="F30" s="14" t="s">
        <v>177</v>
      </c>
      <c r="G30" s="14" t="s">
        <v>5</v>
      </c>
    </row>
    <row r="31" spans="2:8" x14ac:dyDescent="0.25">
      <c r="B31" s="49" t="s">
        <v>264</v>
      </c>
      <c r="C31" s="11" t="s">
        <v>89</v>
      </c>
      <c r="D31" s="11" t="s">
        <v>264</v>
      </c>
      <c r="E31" s="11" t="s">
        <v>57</v>
      </c>
      <c r="F31" s="48" t="s">
        <v>28</v>
      </c>
      <c r="G31" s="18" t="s">
        <v>267</v>
      </c>
      <c r="H31" s="8" t="s">
        <v>6</v>
      </c>
    </row>
    <row r="32" spans="2:8" x14ac:dyDescent="0.25">
      <c r="B32" s="11" t="s">
        <v>265</v>
      </c>
      <c r="C32" s="11" t="s">
        <v>89</v>
      </c>
      <c r="D32" s="11" t="s">
        <v>265</v>
      </c>
      <c r="E32" s="11" t="s">
        <v>57</v>
      </c>
      <c r="F32" s="11" t="s">
        <v>28</v>
      </c>
      <c r="G32" s="10"/>
    </row>
    <row r="33" spans="2:23" x14ac:dyDescent="0.25">
      <c r="B33" s="11" t="s">
        <v>266</v>
      </c>
      <c r="C33" s="11" t="s">
        <v>89</v>
      </c>
      <c r="D33" s="11" t="s">
        <v>266</v>
      </c>
      <c r="E33" s="11" t="s">
        <v>57</v>
      </c>
      <c r="F33" s="11" t="s">
        <v>28</v>
      </c>
      <c r="G33" s="10"/>
    </row>
    <row r="36" spans="2:23" x14ac:dyDescent="0.25">
      <c r="C36" s="68" t="s">
        <v>225</v>
      </c>
      <c r="D36" s="68"/>
      <c r="E36" s="68"/>
      <c r="F36" s="68"/>
      <c r="G36" s="68"/>
      <c r="H36" s="68"/>
      <c r="I36" s="68" t="s">
        <v>226</v>
      </c>
      <c r="J36" s="68"/>
      <c r="K36" s="68"/>
      <c r="L36" s="68"/>
      <c r="M36" s="68" t="s">
        <v>227</v>
      </c>
      <c r="N36" s="68"/>
      <c r="O36" s="68"/>
      <c r="P36" s="68"/>
      <c r="Q36" s="65" t="s">
        <v>228</v>
      </c>
      <c r="R36" s="66"/>
      <c r="S36" s="66"/>
      <c r="T36" s="67"/>
    </row>
    <row r="37" spans="2:23" x14ac:dyDescent="0.25">
      <c r="B37" s="14" t="s">
        <v>13</v>
      </c>
      <c r="C37" s="14" t="s">
        <v>193</v>
      </c>
      <c r="D37" s="14" t="s">
        <v>194</v>
      </c>
      <c r="E37" s="14" t="s">
        <v>195</v>
      </c>
      <c r="F37" s="14" t="s">
        <v>196</v>
      </c>
      <c r="G37" s="14" t="s">
        <v>197</v>
      </c>
      <c r="H37" s="14" t="s">
        <v>198</v>
      </c>
      <c r="I37" s="14" t="s">
        <v>199</v>
      </c>
      <c r="J37" s="14" t="s">
        <v>200</v>
      </c>
      <c r="K37" s="14" t="s">
        <v>201</v>
      </c>
      <c r="L37" s="14" t="s">
        <v>202</v>
      </c>
      <c r="M37" s="14" t="s">
        <v>203</v>
      </c>
      <c r="N37" s="14" t="s">
        <v>204</v>
      </c>
      <c r="O37" s="14" t="s">
        <v>199</v>
      </c>
      <c r="P37" s="14" t="s">
        <v>200</v>
      </c>
      <c r="Q37" s="14" t="s">
        <v>205</v>
      </c>
      <c r="R37" s="14" t="s">
        <v>206</v>
      </c>
      <c r="S37" s="14" t="s">
        <v>205</v>
      </c>
      <c r="T37" s="14" t="s">
        <v>204</v>
      </c>
      <c r="U37" s="14" t="s">
        <v>186</v>
      </c>
      <c r="V37" s="14" t="s">
        <v>5</v>
      </c>
    </row>
    <row r="38" spans="2:23" x14ac:dyDescent="0.25">
      <c r="B38" s="49" t="s">
        <v>264</v>
      </c>
      <c r="C38" s="11" t="s">
        <v>107</v>
      </c>
      <c r="D38" s="11" t="s">
        <v>107</v>
      </c>
      <c r="E38" s="11" t="s">
        <v>107</v>
      </c>
      <c r="F38" s="11" t="s">
        <v>107</v>
      </c>
      <c r="G38" s="11" t="s">
        <v>107</v>
      </c>
      <c r="H38" s="11" t="s">
        <v>268</v>
      </c>
      <c r="I38" s="11" t="s">
        <v>269</v>
      </c>
      <c r="J38" s="11" t="s">
        <v>270</v>
      </c>
      <c r="K38" s="11" t="s">
        <v>107</v>
      </c>
      <c r="L38" s="11" t="s">
        <v>271</v>
      </c>
      <c r="M38" s="11" t="s">
        <v>272</v>
      </c>
      <c r="N38" s="11" t="s">
        <v>273</v>
      </c>
      <c r="O38" s="11" t="s">
        <v>269</v>
      </c>
      <c r="P38" s="11" t="s">
        <v>270</v>
      </c>
      <c r="Q38" s="11" t="s">
        <v>274</v>
      </c>
      <c r="R38" s="11" t="s">
        <v>275</v>
      </c>
      <c r="S38" s="11" t="s">
        <v>272</v>
      </c>
      <c r="T38" s="11" t="s">
        <v>273</v>
      </c>
      <c r="U38" s="11">
        <v>1</v>
      </c>
      <c r="V38" s="9" t="s">
        <v>276</v>
      </c>
      <c r="W38" s="8" t="s">
        <v>6</v>
      </c>
    </row>
    <row r="41" spans="2:23" x14ac:dyDescent="0.25">
      <c r="B41" s="5" t="s">
        <v>187</v>
      </c>
      <c r="C41" s="6"/>
      <c r="D41" s="6"/>
      <c r="E41" s="6"/>
      <c r="F41" s="6"/>
      <c r="G41" s="6"/>
    </row>
    <row r="42" spans="2:23" ht="6.95" customHeight="1" x14ac:dyDescent="0.25"/>
    <row r="43" spans="2:23" x14ac:dyDescent="0.25">
      <c r="B43" s="40" t="s">
        <v>185</v>
      </c>
      <c r="C43" s="40" t="s">
        <v>181</v>
      </c>
      <c r="D43" s="40" t="s">
        <v>36</v>
      </c>
      <c r="E43" s="40" t="s">
        <v>182</v>
      </c>
      <c r="F43" s="40" t="s">
        <v>177</v>
      </c>
      <c r="G43" s="24" t="s">
        <v>5</v>
      </c>
    </row>
    <row r="44" spans="2:23" x14ac:dyDescent="0.25">
      <c r="B44" s="11" t="s">
        <v>207</v>
      </c>
      <c r="C44" s="11" t="s">
        <v>57</v>
      </c>
      <c r="D44" s="11" t="s">
        <v>207</v>
      </c>
      <c r="E44" s="11" t="s">
        <v>183</v>
      </c>
      <c r="F44" s="11" t="s">
        <v>28</v>
      </c>
      <c r="G44" s="18" t="s">
        <v>210</v>
      </c>
      <c r="H44" s="8" t="s">
        <v>6</v>
      </c>
    </row>
    <row r="45" spans="2:23" x14ac:dyDescent="0.25">
      <c r="B45" s="11" t="s">
        <v>208</v>
      </c>
      <c r="C45" s="11" t="s">
        <v>57</v>
      </c>
      <c r="D45" s="11" t="s">
        <v>208</v>
      </c>
      <c r="E45" s="11" t="s">
        <v>183</v>
      </c>
      <c r="F45" s="11" t="s">
        <v>28</v>
      </c>
      <c r="G45" s="10"/>
    </row>
    <row r="46" spans="2:23" x14ac:dyDescent="0.25">
      <c r="B46" s="11" t="s">
        <v>209</v>
      </c>
      <c r="C46" s="11" t="s">
        <v>57</v>
      </c>
      <c r="D46" s="11" t="s">
        <v>209</v>
      </c>
      <c r="E46" s="11" t="s">
        <v>183</v>
      </c>
      <c r="F46" s="11" t="s">
        <v>28</v>
      </c>
      <c r="G46" s="10"/>
    </row>
    <row r="47" spans="2:23" x14ac:dyDescent="0.25">
      <c r="B47" s="10"/>
      <c r="C47" s="10"/>
      <c r="D47" s="10"/>
      <c r="E47" s="10"/>
      <c r="F47" s="10"/>
      <c r="G47" s="10"/>
    </row>
    <row r="48" spans="2:23" x14ac:dyDescent="0.25">
      <c r="B48" s="10"/>
      <c r="C48" s="10"/>
      <c r="D48" s="10"/>
      <c r="E48" s="10"/>
      <c r="F48" s="10"/>
      <c r="G48" s="10"/>
    </row>
    <row r="49" spans="2:23" x14ac:dyDescent="0.25">
      <c r="C49" s="68" t="s">
        <v>225</v>
      </c>
      <c r="D49" s="68"/>
      <c r="E49" s="68"/>
      <c r="F49" s="68"/>
      <c r="G49" s="68"/>
      <c r="H49" s="68"/>
      <c r="I49" s="68" t="s">
        <v>226</v>
      </c>
      <c r="J49" s="68"/>
      <c r="K49" s="68"/>
      <c r="L49" s="68"/>
      <c r="M49" s="68" t="s">
        <v>227</v>
      </c>
      <c r="N49" s="68"/>
      <c r="O49" s="68"/>
      <c r="P49" s="68"/>
      <c r="Q49" s="65" t="s">
        <v>228</v>
      </c>
      <c r="R49" s="66"/>
      <c r="S49" s="66"/>
      <c r="T49" s="67"/>
    </row>
    <row r="50" spans="2:23" x14ac:dyDescent="0.25">
      <c r="B50" s="14" t="s">
        <v>13</v>
      </c>
      <c r="C50" s="14" t="s">
        <v>193</v>
      </c>
      <c r="D50" s="14" t="s">
        <v>194</v>
      </c>
      <c r="E50" s="14" t="s">
        <v>195</v>
      </c>
      <c r="F50" s="14" t="s">
        <v>196</v>
      </c>
      <c r="G50" s="14" t="s">
        <v>197</v>
      </c>
      <c r="H50" s="14" t="s">
        <v>198</v>
      </c>
      <c r="I50" s="14" t="s">
        <v>199</v>
      </c>
      <c r="J50" s="14" t="s">
        <v>200</v>
      </c>
      <c r="K50" s="14" t="s">
        <v>201</v>
      </c>
      <c r="L50" s="14" t="s">
        <v>202</v>
      </c>
      <c r="M50" s="14" t="s">
        <v>203</v>
      </c>
      <c r="N50" s="14" t="s">
        <v>204</v>
      </c>
      <c r="O50" s="14" t="s">
        <v>199</v>
      </c>
      <c r="P50" s="14" t="s">
        <v>200</v>
      </c>
      <c r="Q50" s="14" t="s">
        <v>205</v>
      </c>
      <c r="R50" s="14" t="s">
        <v>206</v>
      </c>
      <c r="S50" s="14" t="s">
        <v>205</v>
      </c>
      <c r="T50" s="14" t="s">
        <v>204</v>
      </c>
      <c r="U50" s="14" t="s">
        <v>186</v>
      </c>
      <c r="V50" s="14" t="s">
        <v>5</v>
      </c>
    </row>
    <row r="51" spans="2:23" x14ac:dyDescent="0.25">
      <c r="B51" s="49" t="s">
        <v>207</v>
      </c>
      <c r="C51" s="11" t="s">
        <v>107</v>
      </c>
      <c r="D51" s="11" t="s">
        <v>107</v>
      </c>
      <c r="E51" s="11" t="s">
        <v>107</v>
      </c>
      <c r="F51" s="11" t="s">
        <v>107</v>
      </c>
      <c r="G51" s="11" t="s">
        <v>107</v>
      </c>
      <c r="H51" s="11" t="s">
        <v>107</v>
      </c>
      <c r="I51" s="11" t="s">
        <v>107</v>
      </c>
      <c r="J51" s="11" t="s">
        <v>211</v>
      </c>
      <c r="K51" s="11" t="s">
        <v>107</v>
      </c>
      <c r="L51" s="11" t="s">
        <v>211</v>
      </c>
      <c r="M51" s="11" t="s">
        <v>107</v>
      </c>
      <c r="N51" s="11" t="s">
        <v>211</v>
      </c>
      <c r="O51" s="11" t="s">
        <v>107</v>
      </c>
      <c r="P51" s="11" t="s">
        <v>211</v>
      </c>
      <c r="Q51" s="11" t="s">
        <v>107</v>
      </c>
      <c r="R51" s="11" t="s">
        <v>211</v>
      </c>
      <c r="S51" s="11" t="s">
        <v>107</v>
      </c>
      <c r="T51" s="11" t="s">
        <v>211</v>
      </c>
      <c r="U51" s="11">
        <v>0</v>
      </c>
      <c r="V51" s="18" t="s">
        <v>212</v>
      </c>
      <c r="W51" s="8" t="s">
        <v>6</v>
      </c>
    </row>
    <row r="54" spans="2:23" x14ac:dyDescent="0.25">
      <c r="B54" s="5" t="s">
        <v>188</v>
      </c>
      <c r="C54" s="6"/>
      <c r="D54" s="6"/>
      <c r="E54" s="6"/>
      <c r="F54" s="6"/>
      <c r="G54" s="6"/>
    </row>
    <row r="55" spans="2:23" ht="6.95" customHeight="1" x14ac:dyDescent="0.25"/>
    <row r="56" spans="2:23" x14ac:dyDescent="0.25">
      <c r="B56" s="40" t="s">
        <v>185</v>
      </c>
      <c r="C56" s="40" t="s">
        <v>181</v>
      </c>
      <c r="D56" s="40" t="s">
        <v>36</v>
      </c>
      <c r="E56" s="40" t="s">
        <v>182</v>
      </c>
      <c r="F56" s="40" t="s">
        <v>177</v>
      </c>
      <c r="G56" s="24" t="s">
        <v>5</v>
      </c>
    </row>
    <row r="57" spans="2:23" x14ac:dyDescent="0.25">
      <c r="B57" s="11" t="s">
        <v>213</v>
      </c>
      <c r="C57" s="11" t="s">
        <v>89</v>
      </c>
      <c r="D57" s="11" t="s">
        <v>213</v>
      </c>
      <c r="E57" s="11" t="s">
        <v>183</v>
      </c>
      <c r="F57" s="11" t="s">
        <v>28</v>
      </c>
      <c r="G57" s="21" t="s">
        <v>216</v>
      </c>
      <c r="H57" s="8" t="s">
        <v>6</v>
      </c>
    </row>
    <row r="58" spans="2:23" x14ac:dyDescent="0.25">
      <c r="B58" s="11" t="s">
        <v>214</v>
      </c>
      <c r="C58" s="11" t="s">
        <v>89</v>
      </c>
      <c r="D58" s="11" t="s">
        <v>214</v>
      </c>
      <c r="E58" s="11" t="s">
        <v>183</v>
      </c>
      <c r="F58" s="11" t="s">
        <v>28</v>
      </c>
      <c r="G58" s="10"/>
    </row>
    <row r="59" spans="2:23" x14ac:dyDescent="0.25">
      <c r="B59" s="11" t="s">
        <v>215</v>
      </c>
      <c r="C59" s="11" t="s">
        <v>89</v>
      </c>
      <c r="D59" s="11" t="s">
        <v>215</v>
      </c>
      <c r="E59" s="11" t="s">
        <v>183</v>
      </c>
      <c r="F59" s="11" t="s">
        <v>28</v>
      </c>
      <c r="G59" s="10"/>
    </row>
    <row r="62" spans="2:23" x14ac:dyDescent="0.25">
      <c r="C62" s="68" t="s">
        <v>225</v>
      </c>
      <c r="D62" s="68"/>
      <c r="E62" s="68"/>
      <c r="F62" s="68"/>
      <c r="G62" s="68"/>
      <c r="H62" s="68"/>
      <c r="I62" s="68" t="s">
        <v>226</v>
      </c>
      <c r="J62" s="68"/>
      <c r="K62" s="68"/>
      <c r="L62" s="68"/>
      <c r="M62" s="68" t="s">
        <v>227</v>
      </c>
      <c r="N62" s="68"/>
      <c r="O62" s="68"/>
      <c r="P62" s="68"/>
      <c r="Q62" s="65" t="s">
        <v>228</v>
      </c>
      <c r="R62" s="66"/>
      <c r="S62" s="66"/>
      <c r="T62" s="67"/>
    </row>
    <row r="63" spans="2:23" x14ac:dyDescent="0.25">
      <c r="B63" s="14" t="s">
        <v>13</v>
      </c>
      <c r="C63" s="14" t="s">
        <v>193</v>
      </c>
      <c r="D63" s="14" t="s">
        <v>194</v>
      </c>
      <c r="E63" s="14" t="s">
        <v>195</v>
      </c>
      <c r="F63" s="14" t="s">
        <v>196</v>
      </c>
      <c r="G63" s="14" t="s">
        <v>197</v>
      </c>
      <c r="H63" s="14" t="s">
        <v>198</v>
      </c>
      <c r="I63" s="14" t="s">
        <v>199</v>
      </c>
      <c r="J63" s="14" t="s">
        <v>200</v>
      </c>
      <c r="K63" s="14" t="s">
        <v>201</v>
      </c>
      <c r="L63" s="14" t="s">
        <v>202</v>
      </c>
      <c r="M63" s="14" t="s">
        <v>203</v>
      </c>
      <c r="N63" s="14" t="s">
        <v>204</v>
      </c>
      <c r="O63" s="14" t="s">
        <v>199</v>
      </c>
      <c r="P63" s="14" t="s">
        <v>200</v>
      </c>
      <c r="Q63" s="14" t="s">
        <v>205</v>
      </c>
      <c r="R63" s="14" t="s">
        <v>206</v>
      </c>
      <c r="S63" s="14" t="s">
        <v>205</v>
      </c>
      <c r="T63" s="14" t="s">
        <v>204</v>
      </c>
      <c r="U63" s="14" t="s">
        <v>186</v>
      </c>
      <c r="V63" s="14" t="s">
        <v>5</v>
      </c>
    </row>
    <row r="64" spans="2:23" x14ac:dyDescent="0.25">
      <c r="B64" s="49" t="s">
        <v>213</v>
      </c>
      <c r="C64" s="11" t="s">
        <v>217</v>
      </c>
      <c r="D64" s="11" t="s">
        <v>107</v>
      </c>
      <c r="E64" s="11" t="s">
        <v>107</v>
      </c>
      <c r="F64" s="11" t="s">
        <v>107</v>
      </c>
      <c r="G64" s="11" t="s">
        <v>107</v>
      </c>
      <c r="H64" s="11" t="s">
        <v>107</v>
      </c>
      <c r="I64" s="11" t="s">
        <v>218</v>
      </c>
      <c r="J64" s="11" t="s">
        <v>107</v>
      </c>
      <c r="K64" s="11" t="s">
        <v>107</v>
      </c>
      <c r="L64" s="11" t="s">
        <v>107</v>
      </c>
      <c r="M64" s="11" t="s">
        <v>217</v>
      </c>
      <c r="N64" s="11" t="s">
        <v>107</v>
      </c>
      <c r="O64" s="11" t="s">
        <v>218</v>
      </c>
      <c r="P64" s="11" t="s">
        <v>107</v>
      </c>
      <c r="Q64" s="11" t="s">
        <v>219</v>
      </c>
      <c r="R64" s="11" t="s">
        <v>107</v>
      </c>
      <c r="S64" s="11" t="s">
        <v>217</v>
      </c>
      <c r="T64" s="11" t="s">
        <v>107</v>
      </c>
      <c r="U64" s="11">
        <v>1</v>
      </c>
      <c r="V64" s="18" t="s">
        <v>220</v>
      </c>
      <c r="W64" s="8" t="s">
        <v>6</v>
      </c>
    </row>
    <row r="67" spans="2:23" x14ac:dyDescent="0.25">
      <c r="B67" s="5" t="s">
        <v>189</v>
      </c>
      <c r="C67" s="6"/>
      <c r="D67" s="6"/>
      <c r="E67" s="6"/>
      <c r="F67" s="6"/>
      <c r="G67" s="6"/>
    </row>
    <row r="68" spans="2:23" ht="6.95" customHeight="1" x14ac:dyDescent="0.25"/>
    <row r="69" spans="2:23" x14ac:dyDescent="0.25">
      <c r="B69" s="40" t="s">
        <v>185</v>
      </c>
      <c r="C69" s="40" t="s">
        <v>181</v>
      </c>
      <c r="D69" s="40" t="s">
        <v>36</v>
      </c>
      <c r="E69" s="40" t="s">
        <v>182</v>
      </c>
      <c r="F69" s="40" t="s">
        <v>177</v>
      </c>
      <c r="G69" s="24" t="s">
        <v>5</v>
      </c>
    </row>
    <row r="70" spans="2:23" x14ac:dyDescent="0.25">
      <c r="B70" s="11" t="s">
        <v>221</v>
      </c>
      <c r="C70" s="11" t="s">
        <v>57</v>
      </c>
      <c r="D70" s="11" t="s">
        <v>221</v>
      </c>
      <c r="E70" s="11" t="s">
        <v>89</v>
      </c>
      <c r="F70" s="11" t="s">
        <v>28</v>
      </c>
      <c r="G70" s="18" t="s">
        <v>192</v>
      </c>
      <c r="H70" s="8" t="s">
        <v>6</v>
      </c>
    </row>
    <row r="71" spans="2:23" x14ac:dyDescent="0.25">
      <c r="B71" s="11" t="s">
        <v>222</v>
      </c>
      <c r="C71" s="11" t="s">
        <v>57</v>
      </c>
      <c r="D71" s="11" t="s">
        <v>222</v>
      </c>
      <c r="E71" s="11" t="s">
        <v>89</v>
      </c>
      <c r="F71" s="11" t="s">
        <v>28</v>
      </c>
      <c r="G71" s="10"/>
    </row>
    <row r="72" spans="2:23" x14ac:dyDescent="0.25">
      <c r="B72" s="11" t="s">
        <v>223</v>
      </c>
      <c r="C72" s="11" t="s">
        <v>57</v>
      </c>
      <c r="D72" s="11" t="s">
        <v>223</v>
      </c>
      <c r="E72" s="11" t="s">
        <v>89</v>
      </c>
      <c r="F72" s="11" t="s">
        <v>28</v>
      </c>
      <c r="G72" s="10"/>
    </row>
    <row r="75" spans="2:23" x14ac:dyDescent="0.25">
      <c r="C75" s="68" t="s">
        <v>225</v>
      </c>
      <c r="D75" s="68"/>
      <c r="E75" s="68"/>
      <c r="F75" s="68"/>
      <c r="G75" s="68"/>
      <c r="H75" s="68"/>
      <c r="I75" s="68" t="s">
        <v>226</v>
      </c>
      <c r="J75" s="68"/>
      <c r="K75" s="68"/>
      <c r="L75" s="68"/>
      <c r="M75" s="68" t="s">
        <v>227</v>
      </c>
      <c r="N75" s="68"/>
      <c r="O75" s="68"/>
      <c r="P75" s="68"/>
      <c r="Q75" s="65" t="s">
        <v>228</v>
      </c>
      <c r="R75" s="66"/>
      <c r="S75" s="66"/>
      <c r="T75" s="67"/>
    </row>
    <row r="76" spans="2:23" x14ac:dyDescent="0.25">
      <c r="B76" s="14" t="s">
        <v>13</v>
      </c>
      <c r="C76" s="14" t="s">
        <v>193</v>
      </c>
      <c r="D76" s="14" t="s">
        <v>194</v>
      </c>
      <c r="E76" s="14" t="s">
        <v>195</v>
      </c>
      <c r="F76" s="14" t="s">
        <v>196</v>
      </c>
      <c r="G76" s="14" t="s">
        <v>197</v>
      </c>
      <c r="H76" s="14" t="s">
        <v>198</v>
      </c>
      <c r="I76" s="14" t="s">
        <v>199</v>
      </c>
      <c r="J76" s="14" t="s">
        <v>200</v>
      </c>
      <c r="K76" s="14" t="s">
        <v>201</v>
      </c>
      <c r="L76" s="14" t="s">
        <v>202</v>
      </c>
      <c r="M76" s="14" t="s">
        <v>203</v>
      </c>
      <c r="N76" s="14" t="s">
        <v>204</v>
      </c>
      <c r="O76" s="14" t="s">
        <v>199</v>
      </c>
      <c r="P76" s="14" t="s">
        <v>200</v>
      </c>
      <c r="Q76" s="14" t="s">
        <v>205</v>
      </c>
      <c r="R76" s="14" t="s">
        <v>206</v>
      </c>
      <c r="S76" s="14" t="s">
        <v>205</v>
      </c>
      <c r="T76" s="14" t="s">
        <v>204</v>
      </c>
      <c r="U76" s="14" t="s">
        <v>186</v>
      </c>
      <c r="V76" s="14" t="s">
        <v>5</v>
      </c>
    </row>
    <row r="77" spans="2:23" x14ac:dyDescent="0.25">
      <c r="B77" s="49" t="s">
        <v>221</v>
      </c>
      <c r="C77" s="11" t="s">
        <v>107</v>
      </c>
      <c r="D77" s="11" t="s">
        <v>107</v>
      </c>
      <c r="E77" s="11" t="s">
        <v>107</v>
      </c>
      <c r="F77" s="11" t="s">
        <v>107</v>
      </c>
      <c r="G77" s="11" t="s">
        <v>107</v>
      </c>
      <c r="H77" s="11" t="s">
        <v>107</v>
      </c>
      <c r="I77" s="11" t="s">
        <v>107</v>
      </c>
      <c r="J77" s="11" t="s">
        <v>107</v>
      </c>
      <c r="K77" s="11" t="s">
        <v>107</v>
      </c>
      <c r="L77" s="11" t="s">
        <v>107</v>
      </c>
      <c r="M77" s="11" t="s">
        <v>107</v>
      </c>
      <c r="N77" s="11" t="s">
        <v>107</v>
      </c>
      <c r="O77" s="11" t="s">
        <v>107</v>
      </c>
      <c r="P77" s="11" t="s">
        <v>107</v>
      </c>
      <c r="Q77" s="11" t="s">
        <v>107</v>
      </c>
      <c r="R77" s="11" t="s">
        <v>107</v>
      </c>
      <c r="S77" s="11" t="s">
        <v>107</v>
      </c>
      <c r="T77" s="11" t="s">
        <v>107</v>
      </c>
      <c r="U77" s="11">
        <v>0</v>
      </c>
      <c r="V77" s="18" t="s">
        <v>224</v>
      </c>
      <c r="W77" s="8" t="s">
        <v>6</v>
      </c>
    </row>
  </sheetData>
  <mergeCells count="19">
    <mergeCell ref="B11:F11"/>
    <mergeCell ref="B12:F15"/>
    <mergeCell ref="C75:H75"/>
    <mergeCell ref="I75:L75"/>
    <mergeCell ref="M75:P75"/>
    <mergeCell ref="B25:D25"/>
    <mergeCell ref="Q36:T36"/>
    <mergeCell ref="Q49:T49"/>
    <mergeCell ref="Q62:T62"/>
    <mergeCell ref="Q75:T75"/>
    <mergeCell ref="C49:H49"/>
    <mergeCell ref="I49:L49"/>
    <mergeCell ref="M49:P49"/>
    <mergeCell ref="C62:H62"/>
    <mergeCell ref="I62:L62"/>
    <mergeCell ref="M62:P62"/>
    <mergeCell ref="C36:H36"/>
    <mergeCell ref="I36:L36"/>
    <mergeCell ref="M36:P3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16F2-782C-4916-9011-F84F78A1C2B4}">
  <dimension ref="B2:N80"/>
  <sheetViews>
    <sheetView showGridLines="0" zoomScaleNormal="100" workbookViewId="0">
      <selection activeCell="J17" sqref="J17"/>
    </sheetView>
  </sheetViews>
  <sheetFormatPr defaultRowHeight="15" x14ac:dyDescent="0.25"/>
  <cols>
    <col min="1" max="1" width="3.7109375" customWidth="1"/>
    <col min="2" max="2" width="33.85546875" bestFit="1" customWidth="1"/>
    <col min="3" max="3" width="28.28515625" bestFit="1" customWidth="1"/>
    <col min="4" max="4" width="33.85546875" bestFit="1" customWidth="1"/>
    <col min="5" max="5" width="21.85546875" bestFit="1" customWidth="1"/>
    <col min="6" max="6" width="19.5703125" bestFit="1" customWidth="1"/>
    <col min="9" max="9" width="12.42578125" bestFit="1" customWidth="1"/>
  </cols>
  <sheetData>
    <row r="2" spans="2:14" x14ac:dyDescent="0.25">
      <c r="B2" s="3" t="s">
        <v>263</v>
      </c>
      <c r="C2" s="4"/>
      <c r="D2" s="4"/>
    </row>
    <row r="4" spans="2:14" x14ac:dyDescent="0.25">
      <c r="B4" s="14" t="s">
        <v>177</v>
      </c>
      <c r="C4" s="14" t="s">
        <v>27</v>
      </c>
      <c r="D4" s="14" t="s">
        <v>5</v>
      </c>
    </row>
    <row r="5" spans="2:14" x14ac:dyDescent="0.25">
      <c r="B5" s="11" t="s">
        <v>29</v>
      </c>
      <c r="C5" s="17">
        <v>2218077</v>
      </c>
      <c r="D5" s="18" t="s">
        <v>229</v>
      </c>
      <c r="E5" s="8" t="s">
        <v>6</v>
      </c>
    </row>
    <row r="6" spans="2:14" x14ac:dyDescent="0.25">
      <c r="B6" s="11" t="s">
        <v>28</v>
      </c>
      <c r="C6" s="46">
        <v>115768</v>
      </c>
      <c r="D6" s="10"/>
    </row>
    <row r="7" spans="2:14" x14ac:dyDescent="0.25">
      <c r="B7" s="11" t="s">
        <v>179</v>
      </c>
      <c r="C7" s="17">
        <v>91501</v>
      </c>
      <c r="D7" s="10"/>
    </row>
    <row r="8" spans="2:14" x14ac:dyDescent="0.25">
      <c r="B8" s="11" t="s">
        <v>178</v>
      </c>
      <c r="C8" s="17">
        <v>326</v>
      </c>
    </row>
    <row r="10" spans="2:14" x14ac:dyDescent="0.25">
      <c r="I10" s="19" t="s">
        <v>434</v>
      </c>
      <c r="J10" s="2"/>
      <c r="K10" s="77" t="s">
        <v>430</v>
      </c>
      <c r="L10" s="77" t="s">
        <v>431</v>
      </c>
      <c r="M10" s="77" t="s">
        <v>432</v>
      </c>
      <c r="N10" s="77" t="s">
        <v>433</v>
      </c>
    </row>
    <row r="11" spans="2:14" x14ac:dyDescent="0.25">
      <c r="B11" s="69" t="s">
        <v>239</v>
      </c>
      <c r="C11" s="69"/>
      <c r="D11" s="69"/>
      <c r="E11" s="69"/>
      <c r="F11" s="69"/>
      <c r="I11" s="2" t="s">
        <v>429</v>
      </c>
      <c r="J11" s="2">
        <v>8</v>
      </c>
      <c r="K11" s="2"/>
      <c r="L11" s="2"/>
      <c r="M11" s="2"/>
      <c r="N11" s="2"/>
    </row>
    <row r="12" spans="2:14" ht="15" customHeight="1" x14ac:dyDescent="0.25">
      <c r="B12" s="70" t="s">
        <v>240</v>
      </c>
      <c r="C12" s="70"/>
      <c r="D12" s="70"/>
      <c r="E12" s="70"/>
      <c r="F12" s="70"/>
      <c r="G12" s="50"/>
      <c r="I12" s="2" t="s">
        <v>424</v>
      </c>
      <c r="J12" s="2">
        <v>30</v>
      </c>
      <c r="K12" s="2">
        <v>31</v>
      </c>
      <c r="L12" s="2">
        <v>2</v>
      </c>
      <c r="M12" s="2">
        <v>1</v>
      </c>
      <c r="N12" s="2">
        <v>4</v>
      </c>
    </row>
    <row r="13" spans="2:14" x14ac:dyDescent="0.25">
      <c r="B13" s="70"/>
      <c r="C13" s="70"/>
      <c r="D13" s="70"/>
      <c r="E13" s="70"/>
      <c r="F13" s="70"/>
      <c r="G13" s="50"/>
      <c r="I13" s="2" t="s">
        <v>425</v>
      </c>
      <c r="J13" s="2">
        <v>2</v>
      </c>
      <c r="K13" s="2">
        <v>2</v>
      </c>
      <c r="L13" s="2"/>
      <c r="M13" s="2"/>
      <c r="N13" s="2"/>
    </row>
    <row r="14" spans="2:14" x14ac:dyDescent="0.25">
      <c r="B14" s="70"/>
      <c r="C14" s="70"/>
      <c r="D14" s="70"/>
      <c r="E14" s="70"/>
      <c r="F14" s="70"/>
      <c r="G14" s="50"/>
      <c r="I14" s="2" t="s">
        <v>426</v>
      </c>
      <c r="J14" s="2">
        <v>1</v>
      </c>
      <c r="K14" s="2">
        <v>1</v>
      </c>
      <c r="L14" s="2"/>
      <c r="M14" s="2"/>
      <c r="N14" s="2"/>
    </row>
    <row r="15" spans="2:14" x14ac:dyDescent="0.25">
      <c r="B15" s="70"/>
      <c r="C15" s="70"/>
      <c r="D15" s="70"/>
      <c r="E15" s="70"/>
      <c r="F15" s="70"/>
      <c r="G15" s="50"/>
      <c r="I15" s="2" t="s">
        <v>427</v>
      </c>
      <c r="J15" s="2">
        <v>28</v>
      </c>
      <c r="K15" s="2">
        <v>17</v>
      </c>
      <c r="L15" s="2">
        <v>5</v>
      </c>
      <c r="M15" s="2">
        <v>4</v>
      </c>
      <c r="N15" s="2">
        <v>2</v>
      </c>
    </row>
    <row r="16" spans="2:14" x14ac:dyDescent="0.25">
      <c r="B16" s="50"/>
      <c r="C16" s="50"/>
      <c r="D16" s="50"/>
      <c r="E16" s="50"/>
      <c r="F16" s="50"/>
      <c r="G16" s="50"/>
      <c r="I16" s="2" t="s">
        <v>428</v>
      </c>
      <c r="J16" s="2">
        <v>0</v>
      </c>
      <c r="K16" s="2">
        <v>0</v>
      </c>
      <c r="L16" s="2"/>
      <c r="M16" s="2"/>
      <c r="N16" s="2"/>
    </row>
    <row r="18" spans="2:7" x14ac:dyDescent="0.25">
      <c r="B18" s="45" t="s">
        <v>180</v>
      </c>
      <c r="C18" s="6"/>
      <c r="D18" s="6"/>
      <c r="E18" s="6"/>
      <c r="F18" s="6"/>
    </row>
    <row r="19" spans="2:7" ht="6.95" customHeight="1" x14ac:dyDescent="0.25"/>
    <row r="20" spans="2:7" x14ac:dyDescent="0.25">
      <c r="B20" s="14" t="s">
        <v>122</v>
      </c>
      <c r="C20" s="14" t="s">
        <v>230</v>
      </c>
      <c r="D20" s="14" t="s">
        <v>231</v>
      </c>
      <c r="E20" s="14" t="s">
        <v>27</v>
      </c>
      <c r="F20" s="14" t="s">
        <v>5</v>
      </c>
    </row>
    <row r="21" spans="2:7" x14ac:dyDescent="0.25">
      <c r="B21" s="2">
        <v>1</v>
      </c>
      <c r="C21" s="2" t="s">
        <v>56</v>
      </c>
      <c r="D21" s="2" t="s">
        <v>57</v>
      </c>
      <c r="E21" s="17">
        <v>105086</v>
      </c>
      <c r="F21" s="9" t="s">
        <v>232</v>
      </c>
      <c r="G21" s="8" t="s">
        <v>6</v>
      </c>
    </row>
    <row r="22" spans="2:7" x14ac:dyDescent="0.25">
      <c r="B22" s="2">
        <v>2</v>
      </c>
      <c r="C22" s="2" t="s">
        <v>94</v>
      </c>
      <c r="D22" s="2" t="s">
        <v>57</v>
      </c>
      <c r="E22" s="17">
        <v>10191</v>
      </c>
    </row>
    <row r="23" spans="2:7" x14ac:dyDescent="0.25">
      <c r="B23" s="2">
        <v>3</v>
      </c>
      <c r="C23" s="2" t="s">
        <v>57</v>
      </c>
      <c r="D23" s="2" t="s">
        <v>56</v>
      </c>
      <c r="E23" s="17">
        <v>489</v>
      </c>
    </row>
    <row r="24" spans="2:7" x14ac:dyDescent="0.25">
      <c r="B24" s="2">
        <v>4</v>
      </c>
      <c r="C24" s="2" t="s">
        <v>57</v>
      </c>
      <c r="D24" s="2" t="s">
        <v>94</v>
      </c>
      <c r="E24" s="17">
        <v>2</v>
      </c>
    </row>
    <row r="25" spans="2:7" x14ac:dyDescent="0.25">
      <c r="B25" s="71" t="s">
        <v>88</v>
      </c>
      <c r="C25" s="71"/>
      <c r="D25" s="71"/>
      <c r="E25" s="47">
        <f>SUM(E21:E24)</f>
        <v>115768</v>
      </c>
    </row>
    <row r="30" spans="2:7" x14ac:dyDescent="0.25">
      <c r="B30" s="5" t="s">
        <v>184</v>
      </c>
      <c r="C30" s="6"/>
      <c r="D30" s="6"/>
      <c r="E30" s="6"/>
      <c r="F30" s="6"/>
      <c r="G30" s="6"/>
    </row>
    <row r="31" spans="2:7" ht="6.95" customHeight="1" x14ac:dyDescent="0.25"/>
    <row r="32" spans="2:7" x14ac:dyDescent="0.25">
      <c r="B32" s="14" t="s">
        <v>185</v>
      </c>
      <c r="C32" s="14" t="s">
        <v>230</v>
      </c>
      <c r="D32" s="14" t="s">
        <v>36</v>
      </c>
      <c r="E32" s="14" t="s">
        <v>231</v>
      </c>
      <c r="F32" s="14" t="s">
        <v>177</v>
      </c>
      <c r="G32" s="14" t="s">
        <v>5</v>
      </c>
    </row>
    <row r="33" spans="2:8" x14ac:dyDescent="0.25">
      <c r="B33" s="11" t="s">
        <v>234</v>
      </c>
      <c r="C33" s="11" t="s">
        <v>56</v>
      </c>
      <c r="D33" s="11" t="s">
        <v>234</v>
      </c>
      <c r="E33" s="11" t="s">
        <v>57</v>
      </c>
      <c r="F33" s="11" t="s">
        <v>28</v>
      </c>
      <c r="G33" s="18" t="s">
        <v>237</v>
      </c>
      <c r="H33" s="8" t="s">
        <v>6</v>
      </c>
    </row>
    <row r="34" spans="2:8" x14ac:dyDescent="0.25">
      <c r="B34" s="11" t="s">
        <v>235</v>
      </c>
      <c r="C34" s="11" t="s">
        <v>56</v>
      </c>
      <c r="D34" s="11" t="s">
        <v>235</v>
      </c>
      <c r="E34" s="11" t="s">
        <v>57</v>
      </c>
      <c r="F34" s="11" t="s">
        <v>28</v>
      </c>
      <c r="G34" s="10"/>
    </row>
    <row r="35" spans="2:8" x14ac:dyDescent="0.25">
      <c r="B35" s="11" t="s">
        <v>236</v>
      </c>
      <c r="C35" s="11" t="s">
        <v>56</v>
      </c>
      <c r="D35" s="11" t="s">
        <v>236</v>
      </c>
      <c r="E35" s="11" t="s">
        <v>57</v>
      </c>
      <c r="F35" s="11" t="s">
        <v>28</v>
      </c>
      <c r="G35" s="10"/>
    </row>
    <row r="38" spans="2:8" x14ac:dyDescent="0.25">
      <c r="B38" s="14" t="s">
        <v>13</v>
      </c>
      <c r="C38" s="14" t="s">
        <v>241</v>
      </c>
      <c r="D38" s="14" t="s">
        <v>242</v>
      </c>
      <c r="E38" s="14" t="s">
        <v>243</v>
      </c>
      <c r="F38" s="14" t="s">
        <v>51</v>
      </c>
      <c r="G38" s="14" t="s">
        <v>5</v>
      </c>
    </row>
    <row r="39" spans="2:8" x14ac:dyDescent="0.25">
      <c r="B39" s="11" t="s">
        <v>234</v>
      </c>
      <c r="C39" s="11" t="s">
        <v>244</v>
      </c>
      <c r="D39" s="11" t="s">
        <v>238</v>
      </c>
      <c r="E39" s="11" t="s">
        <v>18</v>
      </c>
      <c r="F39" s="11" t="s">
        <v>56</v>
      </c>
      <c r="G39" s="18" t="s">
        <v>245</v>
      </c>
      <c r="H39" s="8" t="s">
        <v>6</v>
      </c>
    </row>
    <row r="44" spans="2:8" x14ac:dyDescent="0.25">
      <c r="B44" s="5" t="s">
        <v>187</v>
      </c>
      <c r="C44" s="6"/>
      <c r="D44" s="6"/>
      <c r="E44" s="6"/>
      <c r="F44" s="6"/>
      <c r="G44" s="6"/>
    </row>
    <row r="45" spans="2:8" ht="6.95" customHeight="1" x14ac:dyDescent="0.25"/>
    <row r="46" spans="2:8" x14ac:dyDescent="0.25">
      <c r="B46" s="14" t="s">
        <v>185</v>
      </c>
      <c r="C46" s="14" t="s">
        <v>230</v>
      </c>
      <c r="D46" s="14" t="s">
        <v>36</v>
      </c>
      <c r="E46" s="14" t="s">
        <v>231</v>
      </c>
      <c r="F46" s="14" t="s">
        <v>177</v>
      </c>
      <c r="G46" s="14" t="s">
        <v>5</v>
      </c>
    </row>
    <row r="47" spans="2:8" x14ac:dyDescent="0.25">
      <c r="B47" s="11" t="s">
        <v>246</v>
      </c>
      <c r="C47" s="11" t="s">
        <v>94</v>
      </c>
      <c r="D47" s="11" t="s">
        <v>246</v>
      </c>
      <c r="E47" s="11" t="s">
        <v>57</v>
      </c>
      <c r="F47" s="11" t="s">
        <v>28</v>
      </c>
      <c r="G47" s="18" t="s">
        <v>249</v>
      </c>
      <c r="H47" s="8" t="s">
        <v>6</v>
      </c>
    </row>
    <row r="48" spans="2:8" x14ac:dyDescent="0.25">
      <c r="B48" s="11" t="s">
        <v>247</v>
      </c>
      <c r="C48" s="11" t="s">
        <v>94</v>
      </c>
      <c r="D48" s="11" t="s">
        <v>247</v>
      </c>
      <c r="E48" s="11" t="s">
        <v>57</v>
      </c>
      <c r="F48" s="11" t="s">
        <v>28</v>
      </c>
      <c r="G48" s="10"/>
    </row>
    <row r="49" spans="2:8" x14ac:dyDescent="0.25">
      <c r="B49" s="11" t="s">
        <v>248</v>
      </c>
      <c r="C49" s="11" t="s">
        <v>94</v>
      </c>
      <c r="D49" s="11" t="s">
        <v>248</v>
      </c>
      <c r="E49" s="11" t="s">
        <v>57</v>
      </c>
      <c r="F49" s="11" t="s">
        <v>28</v>
      </c>
      <c r="G49" s="10"/>
    </row>
    <row r="52" spans="2:8" x14ac:dyDescent="0.25">
      <c r="B52" s="14" t="s">
        <v>13</v>
      </c>
      <c r="C52" s="14" t="s">
        <v>241</v>
      </c>
      <c r="D52" s="14" t="s">
        <v>242</v>
      </c>
      <c r="E52" s="14" t="s">
        <v>243</v>
      </c>
      <c r="F52" s="14" t="s">
        <v>51</v>
      </c>
      <c r="G52" s="14" t="s">
        <v>5</v>
      </c>
    </row>
    <row r="53" spans="2:8" x14ac:dyDescent="0.25">
      <c r="B53" s="11" t="s">
        <v>246</v>
      </c>
      <c r="C53" s="11" t="s">
        <v>244</v>
      </c>
      <c r="D53" s="11" t="s">
        <v>250</v>
      </c>
      <c r="E53" s="11" t="s">
        <v>18</v>
      </c>
      <c r="F53" s="11" t="s">
        <v>94</v>
      </c>
      <c r="G53" s="18" t="s">
        <v>251</v>
      </c>
      <c r="H53" s="8" t="s">
        <v>6</v>
      </c>
    </row>
    <row r="58" spans="2:8" x14ac:dyDescent="0.25">
      <c r="B58" s="5" t="s">
        <v>188</v>
      </c>
      <c r="C58" s="6"/>
      <c r="D58" s="6"/>
      <c r="E58" s="6"/>
      <c r="F58" s="6"/>
      <c r="G58" s="6"/>
    </row>
    <row r="59" spans="2:8" ht="6.95" customHeight="1" x14ac:dyDescent="0.25"/>
    <row r="60" spans="2:8" x14ac:dyDescent="0.25">
      <c r="B60" s="14" t="s">
        <v>185</v>
      </c>
      <c r="C60" s="14" t="s">
        <v>230</v>
      </c>
      <c r="D60" s="14" t="s">
        <v>36</v>
      </c>
      <c r="E60" s="14" t="s">
        <v>231</v>
      </c>
      <c r="F60" s="14" t="s">
        <v>177</v>
      </c>
      <c r="G60" s="14" t="s">
        <v>5</v>
      </c>
    </row>
    <row r="61" spans="2:8" x14ac:dyDescent="0.25">
      <c r="B61" s="11" t="s">
        <v>252</v>
      </c>
      <c r="C61" s="11" t="s">
        <v>57</v>
      </c>
      <c r="D61" s="11" t="s">
        <v>252</v>
      </c>
      <c r="E61" s="11" t="s">
        <v>56</v>
      </c>
      <c r="F61" s="11" t="s">
        <v>28</v>
      </c>
      <c r="G61" s="18" t="s">
        <v>255</v>
      </c>
      <c r="H61" s="8" t="s">
        <v>6</v>
      </c>
    </row>
    <row r="62" spans="2:8" x14ac:dyDescent="0.25">
      <c r="B62" s="11" t="s">
        <v>253</v>
      </c>
      <c r="C62" s="11" t="s">
        <v>57</v>
      </c>
      <c r="D62" s="11" t="s">
        <v>253</v>
      </c>
      <c r="E62" s="11" t="s">
        <v>56</v>
      </c>
      <c r="F62" s="11" t="s">
        <v>28</v>
      </c>
      <c r="G62" s="10"/>
    </row>
    <row r="63" spans="2:8" x14ac:dyDescent="0.25">
      <c r="B63" s="11" t="s">
        <v>254</v>
      </c>
      <c r="C63" s="11" t="s">
        <v>57</v>
      </c>
      <c r="D63" s="11" t="s">
        <v>254</v>
      </c>
      <c r="E63" s="11" t="s">
        <v>56</v>
      </c>
      <c r="F63" s="11" t="s">
        <v>28</v>
      </c>
      <c r="G63" s="10"/>
    </row>
    <row r="66" spans="2:8" x14ac:dyDescent="0.25">
      <c r="B66" s="14" t="s">
        <v>13</v>
      </c>
      <c r="C66" s="14" t="s">
        <v>241</v>
      </c>
      <c r="D66" s="14" t="s">
        <v>242</v>
      </c>
      <c r="E66" s="14" t="s">
        <v>243</v>
      </c>
      <c r="F66" s="14" t="s">
        <v>51</v>
      </c>
      <c r="G66" s="14" t="s">
        <v>5</v>
      </c>
    </row>
    <row r="67" spans="2:8" x14ac:dyDescent="0.25">
      <c r="B67" s="11" t="s">
        <v>252</v>
      </c>
      <c r="C67" s="11" t="s">
        <v>244</v>
      </c>
      <c r="D67" s="11" t="s">
        <v>256</v>
      </c>
      <c r="E67" s="11" t="s">
        <v>17</v>
      </c>
      <c r="F67" s="11" t="s">
        <v>57</v>
      </c>
      <c r="G67" s="18" t="s">
        <v>257</v>
      </c>
      <c r="H67" s="8" t="s">
        <v>6</v>
      </c>
    </row>
    <row r="72" spans="2:8" x14ac:dyDescent="0.25">
      <c r="B72" s="5" t="s">
        <v>189</v>
      </c>
      <c r="C72" s="6"/>
      <c r="D72" s="6"/>
      <c r="E72" s="6"/>
      <c r="F72" s="6"/>
      <c r="G72" s="6"/>
    </row>
    <row r="74" spans="2:8" x14ac:dyDescent="0.25">
      <c r="B74" s="14" t="s">
        <v>185</v>
      </c>
      <c r="C74" s="14" t="s">
        <v>230</v>
      </c>
      <c r="D74" s="14" t="s">
        <v>36</v>
      </c>
      <c r="E74" s="14" t="s">
        <v>231</v>
      </c>
      <c r="F74" s="14" t="s">
        <v>177</v>
      </c>
      <c r="G74" s="14" t="s">
        <v>5</v>
      </c>
    </row>
    <row r="75" spans="2:8" x14ac:dyDescent="0.25">
      <c r="B75" s="11" t="s">
        <v>258</v>
      </c>
      <c r="C75" s="11" t="s">
        <v>57</v>
      </c>
      <c r="D75" s="11" t="s">
        <v>258</v>
      </c>
      <c r="E75" s="11" t="s">
        <v>94</v>
      </c>
      <c r="F75" s="11" t="s">
        <v>28</v>
      </c>
      <c r="G75" s="18" t="s">
        <v>260</v>
      </c>
      <c r="H75" s="8" t="s">
        <v>6</v>
      </c>
    </row>
    <row r="76" spans="2:8" x14ac:dyDescent="0.25">
      <c r="B76" s="11" t="s">
        <v>259</v>
      </c>
      <c r="C76" s="11" t="s">
        <v>57</v>
      </c>
      <c r="D76" s="11" t="s">
        <v>259</v>
      </c>
      <c r="E76" s="11" t="s">
        <v>94</v>
      </c>
      <c r="F76" s="11" t="s">
        <v>28</v>
      </c>
      <c r="G76" s="10"/>
    </row>
    <row r="79" spans="2:8" x14ac:dyDescent="0.25">
      <c r="B79" s="14" t="s">
        <v>13</v>
      </c>
      <c r="C79" s="14" t="s">
        <v>241</v>
      </c>
      <c r="D79" s="14" t="s">
        <v>242</v>
      </c>
      <c r="E79" s="14" t="s">
        <v>243</v>
      </c>
      <c r="F79" s="14" t="s">
        <v>51</v>
      </c>
      <c r="G79" s="14" t="s">
        <v>5</v>
      </c>
    </row>
    <row r="80" spans="2:8" x14ac:dyDescent="0.25">
      <c r="B80" s="11" t="s">
        <v>258</v>
      </c>
      <c r="C80" s="11" t="s">
        <v>244</v>
      </c>
      <c r="D80" s="11" t="s">
        <v>261</v>
      </c>
      <c r="E80" s="11" t="s">
        <v>17</v>
      </c>
      <c r="F80" s="11" t="s">
        <v>57</v>
      </c>
      <c r="G80" s="18" t="s">
        <v>262</v>
      </c>
      <c r="H80" s="8" t="s">
        <v>6</v>
      </c>
    </row>
  </sheetData>
  <mergeCells count="3">
    <mergeCell ref="B25:D25"/>
    <mergeCell ref="B12:F15"/>
    <mergeCell ref="B11:F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3115-2DC1-4FA3-9BA1-2F9243A4CCEB}">
  <dimension ref="B2:L24"/>
  <sheetViews>
    <sheetView showGridLines="0" zoomScale="90" zoomScaleNormal="90" workbookViewId="0">
      <selection activeCell="D8" sqref="D8"/>
    </sheetView>
  </sheetViews>
  <sheetFormatPr defaultColWidth="8.85546875" defaultRowHeight="12.75" x14ac:dyDescent="0.2"/>
  <cols>
    <col min="1" max="1" width="3.7109375" style="51" customWidth="1"/>
    <col min="2" max="2" width="22.5703125" style="51" bestFit="1" customWidth="1"/>
    <col min="3" max="3" width="8.5703125" style="51" bestFit="1" customWidth="1"/>
    <col min="4" max="4" width="34.28515625" style="51" bestFit="1" customWidth="1"/>
    <col min="5" max="5" width="8.28515625" style="51" bestFit="1" customWidth="1"/>
    <col min="6" max="6" width="8.7109375" style="51" bestFit="1" customWidth="1"/>
    <col min="7" max="7" width="12" style="51" bestFit="1" customWidth="1"/>
    <col min="8" max="8" width="16.7109375" style="51" bestFit="1" customWidth="1"/>
    <col min="9" max="9" width="11" style="51" bestFit="1" customWidth="1"/>
    <col min="10" max="10" width="22.28515625" style="51" bestFit="1" customWidth="1"/>
    <col min="11" max="11" width="21.140625" style="51" bestFit="1" customWidth="1"/>
    <col min="12" max="12" width="49.5703125" style="51" bestFit="1" customWidth="1"/>
    <col min="13" max="16384" width="8.85546875" style="51"/>
  </cols>
  <sheetData>
    <row r="2" spans="2:12" x14ac:dyDescent="0.2">
      <c r="B2" s="56" t="s">
        <v>277</v>
      </c>
      <c r="C2" s="53"/>
      <c r="D2" s="53"/>
      <c r="E2" s="53"/>
      <c r="F2" s="53"/>
      <c r="G2" s="53"/>
      <c r="H2" s="53"/>
      <c r="I2" s="53"/>
      <c r="J2" s="53"/>
      <c r="K2" s="53"/>
      <c r="L2" s="53"/>
    </row>
    <row r="4" spans="2:12" s="54" customFormat="1" ht="15" customHeight="1" x14ac:dyDescent="0.25">
      <c r="B4" s="52" t="s">
        <v>278</v>
      </c>
      <c r="C4" s="52" t="s">
        <v>279</v>
      </c>
      <c r="D4" s="52" t="s">
        <v>13</v>
      </c>
      <c r="E4" s="52" t="s">
        <v>7</v>
      </c>
      <c r="F4" s="52" t="s">
        <v>8</v>
      </c>
      <c r="G4" s="52" t="s">
        <v>9</v>
      </c>
      <c r="H4" s="52" t="s">
        <v>10</v>
      </c>
      <c r="I4" s="52" t="s">
        <v>12</v>
      </c>
      <c r="J4" s="52" t="s">
        <v>280</v>
      </c>
      <c r="K4" s="52" t="s">
        <v>231</v>
      </c>
      <c r="L4" s="57" t="s">
        <v>339</v>
      </c>
    </row>
    <row r="5" spans="2:12" s="54" customFormat="1" ht="15" customHeight="1" x14ac:dyDescent="0.25">
      <c r="B5" s="55" t="s">
        <v>180</v>
      </c>
      <c r="C5" s="55" t="s">
        <v>281</v>
      </c>
      <c r="D5" s="55" t="s">
        <v>282</v>
      </c>
      <c r="E5" s="55" t="s">
        <v>16</v>
      </c>
      <c r="F5" s="55" t="s">
        <v>283</v>
      </c>
      <c r="G5" s="55" t="s">
        <v>284</v>
      </c>
      <c r="H5" s="55" t="s">
        <v>17</v>
      </c>
      <c r="I5" s="55" t="s">
        <v>15</v>
      </c>
      <c r="J5" s="55" t="s">
        <v>57</v>
      </c>
      <c r="K5" s="55" t="s">
        <v>56</v>
      </c>
      <c r="L5" s="55" t="s">
        <v>285</v>
      </c>
    </row>
    <row r="6" spans="2:12" s="54" customFormat="1" ht="15" customHeight="1" x14ac:dyDescent="0.25">
      <c r="B6" s="55" t="s">
        <v>180</v>
      </c>
      <c r="C6" s="55" t="s">
        <v>281</v>
      </c>
      <c r="D6" s="55" t="s">
        <v>286</v>
      </c>
      <c r="E6" s="55" t="s">
        <v>16</v>
      </c>
      <c r="F6" s="55" t="s">
        <v>287</v>
      </c>
      <c r="G6" s="55" t="s">
        <v>288</v>
      </c>
      <c r="H6" s="55" t="s">
        <v>17</v>
      </c>
      <c r="I6" s="55" t="s">
        <v>15</v>
      </c>
      <c r="J6" s="55" t="s">
        <v>57</v>
      </c>
      <c r="K6" s="55" t="s">
        <v>56</v>
      </c>
      <c r="L6" s="55" t="s">
        <v>285</v>
      </c>
    </row>
    <row r="7" spans="2:12" s="54" customFormat="1" ht="15" customHeight="1" x14ac:dyDescent="0.25">
      <c r="B7" s="55" t="s">
        <v>180</v>
      </c>
      <c r="C7" s="55" t="s">
        <v>281</v>
      </c>
      <c r="D7" s="55" t="s">
        <v>289</v>
      </c>
      <c r="E7" s="55" t="s">
        <v>16</v>
      </c>
      <c r="F7" s="55" t="s">
        <v>283</v>
      </c>
      <c r="G7" s="55" t="s">
        <v>290</v>
      </c>
      <c r="H7" s="55" t="s">
        <v>17</v>
      </c>
      <c r="I7" s="55" t="s">
        <v>15</v>
      </c>
      <c r="J7" s="55" t="s">
        <v>57</v>
      </c>
      <c r="K7" s="55" t="s">
        <v>56</v>
      </c>
      <c r="L7" s="55" t="s">
        <v>285</v>
      </c>
    </row>
    <row r="8" spans="2:12" s="54" customFormat="1" ht="15" customHeight="1" x14ac:dyDescent="0.25">
      <c r="B8" s="55" t="s">
        <v>180</v>
      </c>
      <c r="C8" s="55" t="s">
        <v>281</v>
      </c>
      <c r="D8" s="55" t="s">
        <v>291</v>
      </c>
      <c r="E8" s="55" t="s">
        <v>16</v>
      </c>
      <c r="F8" s="55" t="s">
        <v>283</v>
      </c>
      <c r="G8" s="55" t="s">
        <v>292</v>
      </c>
      <c r="H8" s="55" t="s">
        <v>17</v>
      </c>
      <c r="I8" s="55" t="s">
        <v>15</v>
      </c>
      <c r="J8" s="55" t="s">
        <v>57</v>
      </c>
      <c r="K8" s="55" t="s">
        <v>56</v>
      </c>
      <c r="L8" s="55" t="s">
        <v>285</v>
      </c>
    </row>
    <row r="9" spans="2:12" s="54" customFormat="1" ht="15" customHeight="1" x14ac:dyDescent="0.25">
      <c r="B9" s="55" t="s">
        <v>180</v>
      </c>
      <c r="C9" s="55" t="s">
        <v>281</v>
      </c>
      <c r="D9" s="55" t="s">
        <v>293</v>
      </c>
      <c r="E9" s="55" t="s">
        <v>16</v>
      </c>
      <c r="F9" s="55" t="s">
        <v>294</v>
      </c>
      <c r="G9" s="55" t="s">
        <v>295</v>
      </c>
      <c r="H9" s="55" t="s">
        <v>17</v>
      </c>
      <c r="I9" s="55" t="s">
        <v>15</v>
      </c>
      <c r="J9" s="55" t="s">
        <v>57</v>
      </c>
      <c r="K9" s="55" t="s">
        <v>56</v>
      </c>
      <c r="L9" s="55" t="s">
        <v>285</v>
      </c>
    </row>
    <row r="10" spans="2:12" s="54" customFormat="1" ht="15" customHeight="1" x14ac:dyDescent="0.25">
      <c r="B10" s="55" t="s">
        <v>180</v>
      </c>
      <c r="C10" s="55" t="s">
        <v>281</v>
      </c>
      <c r="D10" s="55" t="s">
        <v>296</v>
      </c>
      <c r="E10" s="55" t="s">
        <v>16</v>
      </c>
      <c r="F10" s="55" t="s">
        <v>287</v>
      </c>
      <c r="G10" s="55" t="s">
        <v>297</v>
      </c>
      <c r="H10" s="55" t="s">
        <v>17</v>
      </c>
      <c r="I10" s="55" t="s">
        <v>15</v>
      </c>
      <c r="J10" s="55" t="s">
        <v>57</v>
      </c>
      <c r="K10" s="55" t="s">
        <v>56</v>
      </c>
      <c r="L10" s="55" t="s">
        <v>285</v>
      </c>
    </row>
    <row r="11" spans="2:12" s="54" customFormat="1" ht="15" customHeight="1" x14ac:dyDescent="0.25">
      <c r="B11" s="55" t="s">
        <v>180</v>
      </c>
      <c r="C11" s="55" t="s">
        <v>281</v>
      </c>
      <c r="D11" s="55" t="s">
        <v>298</v>
      </c>
      <c r="E11" s="55" t="s">
        <v>16</v>
      </c>
      <c r="F11" s="55" t="s">
        <v>283</v>
      </c>
      <c r="G11" s="55" t="s">
        <v>299</v>
      </c>
      <c r="H11" s="55" t="s">
        <v>17</v>
      </c>
      <c r="I11" s="55" t="s">
        <v>15</v>
      </c>
      <c r="J11" s="55" t="s">
        <v>57</v>
      </c>
      <c r="K11" s="55" t="s">
        <v>56</v>
      </c>
      <c r="L11" s="55" t="s">
        <v>285</v>
      </c>
    </row>
    <row r="12" spans="2:12" s="54" customFormat="1" ht="15" customHeight="1" x14ac:dyDescent="0.25">
      <c r="B12" s="55" t="s">
        <v>180</v>
      </c>
      <c r="C12" s="55" t="s">
        <v>281</v>
      </c>
      <c r="D12" s="55" t="s">
        <v>300</v>
      </c>
      <c r="E12" s="55" t="s">
        <v>16</v>
      </c>
      <c r="F12" s="55" t="s">
        <v>283</v>
      </c>
      <c r="G12" s="55" t="s">
        <v>301</v>
      </c>
      <c r="H12" s="55" t="s">
        <v>17</v>
      </c>
      <c r="I12" s="55" t="s">
        <v>15</v>
      </c>
      <c r="J12" s="55" t="s">
        <v>57</v>
      </c>
      <c r="K12" s="55" t="s">
        <v>56</v>
      </c>
      <c r="L12" s="55" t="s">
        <v>285</v>
      </c>
    </row>
    <row r="13" spans="2:12" s="54" customFormat="1" ht="15" customHeight="1" x14ac:dyDescent="0.25">
      <c r="B13" s="55" t="s">
        <v>180</v>
      </c>
      <c r="C13" s="55" t="s">
        <v>281</v>
      </c>
      <c r="D13" s="55" t="s">
        <v>302</v>
      </c>
      <c r="E13" s="55" t="s">
        <v>16</v>
      </c>
      <c r="F13" s="55" t="s">
        <v>283</v>
      </c>
      <c r="G13" s="55" t="s">
        <v>303</v>
      </c>
      <c r="H13" s="55" t="s">
        <v>17</v>
      </c>
      <c r="I13" s="55" t="s">
        <v>15</v>
      </c>
      <c r="J13" s="55" t="s">
        <v>57</v>
      </c>
      <c r="K13" s="55" t="s">
        <v>56</v>
      </c>
      <c r="L13" s="55" t="s">
        <v>285</v>
      </c>
    </row>
    <row r="14" spans="2:12" s="54" customFormat="1" ht="15" customHeight="1" x14ac:dyDescent="0.25">
      <c r="B14" s="55" t="s">
        <v>180</v>
      </c>
      <c r="C14" s="55" t="s">
        <v>281</v>
      </c>
      <c r="D14" s="55" t="s">
        <v>304</v>
      </c>
      <c r="E14" s="55" t="s">
        <v>16</v>
      </c>
      <c r="F14" s="55" t="s">
        <v>283</v>
      </c>
      <c r="G14" s="55" t="s">
        <v>305</v>
      </c>
      <c r="H14" s="55" t="s">
        <v>17</v>
      </c>
      <c r="I14" s="55" t="s">
        <v>15</v>
      </c>
      <c r="J14" s="55" t="s">
        <v>57</v>
      </c>
      <c r="K14" s="55" t="s">
        <v>56</v>
      </c>
      <c r="L14" s="55" t="s">
        <v>285</v>
      </c>
    </row>
    <row r="15" spans="2:12" s="54" customFormat="1" ht="15" customHeight="1" x14ac:dyDescent="0.25">
      <c r="B15" s="55" t="s">
        <v>180</v>
      </c>
      <c r="C15" s="55" t="s">
        <v>281</v>
      </c>
      <c r="D15" s="55" t="s">
        <v>306</v>
      </c>
      <c r="E15" s="55" t="s">
        <v>16</v>
      </c>
      <c r="F15" s="55" t="s">
        <v>283</v>
      </c>
      <c r="G15" s="55" t="s">
        <v>307</v>
      </c>
      <c r="H15" s="55" t="s">
        <v>17</v>
      </c>
      <c r="I15" s="55" t="s">
        <v>15</v>
      </c>
      <c r="J15" s="55" t="s">
        <v>56</v>
      </c>
      <c r="K15" s="55" t="s">
        <v>57</v>
      </c>
      <c r="L15" s="55" t="s">
        <v>308</v>
      </c>
    </row>
    <row r="16" spans="2:12" s="54" customFormat="1" ht="15" customHeight="1" x14ac:dyDescent="0.25">
      <c r="B16" s="55" t="s">
        <v>180</v>
      </c>
      <c r="C16" s="55" t="s">
        <v>281</v>
      </c>
      <c r="D16" s="55" t="s">
        <v>309</v>
      </c>
      <c r="E16" s="55" t="s">
        <v>16</v>
      </c>
      <c r="F16" s="55" t="s">
        <v>283</v>
      </c>
      <c r="G16" s="55" t="s">
        <v>310</v>
      </c>
      <c r="H16" s="55" t="s">
        <v>311</v>
      </c>
      <c r="I16" s="55" t="s">
        <v>105</v>
      </c>
      <c r="J16" s="55" t="s">
        <v>56</v>
      </c>
      <c r="K16" s="55" t="s">
        <v>57</v>
      </c>
      <c r="L16" s="55" t="s">
        <v>312</v>
      </c>
    </row>
    <row r="17" spans="2:12" s="54" customFormat="1" ht="15" customHeight="1" x14ac:dyDescent="0.25">
      <c r="B17" s="55" t="s">
        <v>180</v>
      </c>
      <c r="C17" s="55" t="s">
        <v>281</v>
      </c>
      <c r="D17" s="55" t="s">
        <v>313</v>
      </c>
      <c r="E17" s="55" t="s">
        <v>16</v>
      </c>
      <c r="F17" s="55" t="s">
        <v>283</v>
      </c>
      <c r="G17" s="55" t="s">
        <v>314</v>
      </c>
      <c r="H17" s="55" t="s">
        <v>17</v>
      </c>
      <c r="I17" s="55" t="s">
        <v>15</v>
      </c>
      <c r="J17" s="55" t="s">
        <v>56</v>
      </c>
      <c r="K17" s="55" t="s">
        <v>57</v>
      </c>
      <c r="L17" s="55" t="s">
        <v>312</v>
      </c>
    </row>
    <row r="18" spans="2:12" s="54" customFormat="1" ht="15" customHeight="1" x14ac:dyDescent="0.25">
      <c r="B18" s="55" t="s">
        <v>180</v>
      </c>
      <c r="C18" s="55" t="s">
        <v>281</v>
      </c>
      <c r="D18" s="55" t="s">
        <v>315</v>
      </c>
      <c r="E18" s="55" t="s">
        <v>16</v>
      </c>
      <c r="F18" s="55" t="s">
        <v>283</v>
      </c>
      <c r="G18" s="55" t="s">
        <v>316</v>
      </c>
      <c r="H18" s="55" t="s">
        <v>17</v>
      </c>
      <c r="I18" s="55" t="s">
        <v>15</v>
      </c>
      <c r="J18" s="55" t="s">
        <v>56</v>
      </c>
      <c r="K18" s="55" t="s">
        <v>57</v>
      </c>
      <c r="L18" s="55" t="s">
        <v>317</v>
      </c>
    </row>
    <row r="19" spans="2:12" s="54" customFormat="1" ht="15" customHeight="1" x14ac:dyDescent="0.25">
      <c r="B19" s="55" t="s">
        <v>180</v>
      </c>
      <c r="C19" s="55" t="s">
        <v>281</v>
      </c>
      <c r="D19" s="55" t="s">
        <v>318</v>
      </c>
      <c r="E19" s="55" t="s">
        <v>16</v>
      </c>
      <c r="F19" s="55" t="s">
        <v>319</v>
      </c>
      <c r="G19" s="55" t="s">
        <v>320</v>
      </c>
      <c r="H19" s="55" t="s">
        <v>17</v>
      </c>
      <c r="I19" s="55" t="s">
        <v>15</v>
      </c>
      <c r="J19" s="55" t="s">
        <v>56</v>
      </c>
      <c r="K19" s="55" t="s">
        <v>57</v>
      </c>
      <c r="L19" s="55" t="s">
        <v>312</v>
      </c>
    </row>
    <row r="20" spans="2:12" s="54" customFormat="1" ht="15" customHeight="1" x14ac:dyDescent="0.25">
      <c r="B20" s="55" t="s">
        <v>180</v>
      </c>
      <c r="C20" s="55" t="s">
        <v>281</v>
      </c>
      <c r="D20" s="55" t="s">
        <v>321</v>
      </c>
      <c r="E20" s="55" t="s">
        <v>16</v>
      </c>
      <c r="F20" s="55" t="s">
        <v>283</v>
      </c>
      <c r="G20" s="55" t="s">
        <v>322</v>
      </c>
      <c r="H20" s="55" t="s">
        <v>323</v>
      </c>
      <c r="I20" s="55" t="s">
        <v>105</v>
      </c>
      <c r="J20" s="55" t="s">
        <v>56</v>
      </c>
      <c r="K20" s="55" t="s">
        <v>57</v>
      </c>
      <c r="L20" s="55" t="s">
        <v>312</v>
      </c>
    </row>
    <row r="21" spans="2:12" s="54" customFormat="1" ht="15" customHeight="1" x14ac:dyDescent="0.25">
      <c r="B21" s="55" t="s">
        <v>180</v>
      </c>
      <c r="C21" s="55" t="s">
        <v>281</v>
      </c>
      <c r="D21" s="55" t="s">
        <v>324</v>
      </c>
      <c r="E21" s="55" t="s">
        <v>16</v>
      </c>
      <c r="F21" s="55" t="s">
        <v>283</v>
      </c>
      <c r="G21" s="55" t="s">
        <v>325</v>
      </c>
      <c r="H21" s="55" t="s">
        <v>326</v>
      </c>
      <c r="I21" s="55" t="s">
        <v>327</v>
      </c>
      <c r="J21" s="55" t="s">
        <v>56</v>
      </c>
      <c r="K21" s="55" t="s">
        <v>57</v>
      </c>
      <c r="L21" s="55" t="s">
        <v>308</v>
      </c>
    </row>
    <row r="22" spans="2:12" s="54" customFormat="1" ht="15" customHeight="1" x14ac:dyDescent="0.25">
      <c r="B22" s="55" t="s">
        <v>180</v>
      </c>
      <c r="C22" s="55" t="s">
        <v>281</v>
      </c>
      <c r="D22" s="55" t="s">
        <v>328</v>
      </c>
      <c r="E22" s="55" t="s">
        <v>16</v>
      </c>
      <c r="F22" s="55" t="s">
        <v>283</v>
      </c>
      <c r="G22" s="55" t="s">
        <v>325</v>
      </c>
      <c r="H22" s="55" t="s">
        <v>329</v>
      </c>
      <c r="I22" s="55" t="s">
        <v>327</v>
      </c>
      <c r="J22" s="55" t="s">
        <v>56</v>
      </c>
      <c r="K22" s="55" t="s">
        <v>57</v>
      </c>
      <c r="L22" s="55" t="s">
        <v>317</v>
      </c>
    </row>
    <row r="23" spans="2:12" s="54" customFormat="1" ht="15" customHeight="1" x14ac:dyDescent="0.25">
      <c r="B23" s="55" t="s">
        <v>180</v>
      </c>
      <c r="C23" s="55" t="s">
        <v>281</v>
      </c>
      <c r="D23" s="55" t="s">
        <v>330</v>
      </c>
      <c r="E23" s="55" t="s">
        <v>16</v>
      </c>
      <c r="F23" s="55" t="s">
        <v>283</v>
      </c>
      <c r="G23" s="55" t="s">
        <v>331</v>
      </c>
      <c r="H23" s="55" t="s">
        <v>332</v>
      </c>
      <c r="I23" s="55" t="s">
        <v>333</v>
      </c>
      <c r="J23" s="55" t="s">
        <v>56</v>
      </c>
      <c r="K23" s="55" t="s">
        <v>57</v>
      </c>
      <c r="L23" s="55" t="s">
        <v>312</v>
      </c>
    </row>
    <row r="24" spans="2:12" s="54" customFormat="1" ht="15" customHeight="1" x14ac:dyDescent="0.25">
      <c r="B24" s="55" t="s">
        <v>180</v>
      </c>
      <c r="C24" s="55" t="s">
        <v>281</v>
      </c>
      <c r="D24" s="55" t="s">
        <v>334</v>
      </c>
      <c r="E24" s="55" t="s">
        <v>16</v>
      </c>
      <c r="F24" s="55" t="s">
        <v>335</v>
      </c>
      <c r="G24" s="55" t="s">
        <v>336</v>
      </c>
      <c r="H24" s="55" t="s">
        <v>337</v>
      </c>
      <c r="I24" s="55" t="s">
        <v>338</v>
      </c>
      <c r="J24" s="55" t="s">
        <v>56</v>
      </c>
      <c r="K24" s="55" t="s">
        <v>57</v>
      </c>
      <c r="L24" s="55" t="s">
        <v>317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B2B90-D343-43C9-8C73-C6F0ACA15248}">
  <dimension ref="B2:R82"/>
  <sheetViews>
    <sheetView showGridLines="0" workbookViewId="0"/>
  </sheetViews>
  <sheetFormatPr defaultRowHeight="15" x14ac:dyDescent="0.25"/>
  <cols>
    <col min="1" max="1" width="3.7109375" customWidth="1"/>
    <col min="2" max="2" width="23.7109375" customWidth="1"/>
    <col min="3" max="3" width="33.85546875" bestFit="1" customWidth="1"/>
    <col min="4" max="4" width="20.5703125" customWidth="1"/>
    <col min="5" max="5" width="17.7109375" bestFit="1" customWidth="1"/>
    <col min="6" max="6" width="33.85546875" bestFit="1" customWidth="1"/>
    <col min="7" max="7" width="17.7109375" bestFit="1" customWidth="1"/>
    <col min="8" max="8" width="17" customWidth="1"/>
    <col min="11" max="11" width="12" bestFit="1" customWidth="1"/>
    <col min="12" max="12" width="16.140625" bestFit="1" customWidth="1"/>
    <col min="13" max="13" width="11.5703125" bestFit="1" customWidth="1"/>
    <col min="14" max="14" width="11" bestFit="1" customWidth="1"/>
    <col min="15" max="15" width="19.5703125" bestFit="1" customWidth="1"/>
    <col min="16" max="16" width="9.7109375" bestFit="1" customWidth="1"/>
  </cols>
  <sheetData>
    <row r="2" spans="2:18" x14ac:dyDescent="0.25">
      <c r="B2" s="40" t="s">
        <v>120</v>
      </c>
    </row>
    <row r="3" spans="2:18" x14ac:dyDescent="0.25">
      <c r="B3" s="41" t="s">
        <v>135</v>
      </c>
    </row>
    <row r="5" spans="2:18" x14ac:dyDescent="0.25">
      <c r="B5" s="39" t="s">
        <v>136</v>
      </c>
    </row>
    <row r="7" spans="2:18" x14ac:dyDescent="0.25">
      <c r="B7" s="3" t="s">
        <v>44</v>
      </c>
      <c r="C7" s="4"/>
      <c r="D7" s="4"/>
      <c r="E7" s="4"/>
      <c r="F7" s="4"/>
      <c r="G7" s="4"/>
      <c r="H7" s="4"/>
    </row>
    <row r="8" spans="2:18" ht="6.95" customHeight="1" x14ac:dyDescent="0.25"/>
    <row r="9" spans="2:18" x14ac:dyDescent="0.25">
      <c r="B9" s="14" t="s">
        <v>26</v>
      </c>
      <c r="C9" s="14" t="s">
        <v>33</v>
      </c>
      <c r="D9" s="14" t="s">
        <v>34</v>
      </c>
      <c r="E9" s="14" t="s">
        <v>35</v>
      </c>
      <c r="F9" s="14" t="s">
        <v>36</v>
      </c>
      <c r="G9" s="14" t="s">
        <v>37</v>
      </c>
      <c r="H9" s="14" t="s">
        <v>5</v>
      </c>
    </row>
    <row r="10" spans="2:18" x14ac:dyDescent="0.25">
      <c r="B10" s="11" t="s">
        <v>28</v>
      </c>
      <c r="C10" s="11" t="s">
        <v>42</v>
      </c>
      <c r="D10" s="11" t="s">
        <v>38</v>
      </c>
      <c r="E10" s="11" t="s">
        <v>39</v>
      </c>
      <c r="F10" s="11" t="s">
        <v>42</v>
      </c>
      <c r="G10" s="11" t="s">
        <v>40</v>
      </c>
      <c r="H10" s="21" t="s">
        <v>43</v>
      </c>
      <c r="I10" s="8" t="s">
        <v>6</v>
      </c>
    </row>
    <row r="11" spans="2:18" x14ac:dyDescent="0.25">
      <c r="B11" s="11" t="s">
        <v>28</v>
      </c>
      <c r="C11" s="11" t="s">
        <v>42</v>
      </c>
      <c r="D11" s="11" t="s">
        <v>38</v>
      </c>
      <c r="E11" s="11" t="s">
        <v>39</v>
      </c>
      <c r="F11" s="11" t="s">
        <v>42</v>
      </c>
      <c r="G11" s="11" t="s">
        <v>41</v>
      </c>
      <c r="H11" s="10"/>
    </row>
    <row r="13" spans="2:18" x14ac:dyDescent="0.25">
      <c r="B13" s="3" t="s">
        <v>45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2:18" ht="6.95" customHeight="1" x14ac:dyDescent="0.25"/>
    <row r="15" spans="2:18" x14ac:dyDescent="0.25">
      <c r="B15" s="14" t="s">
        <v>46</v>
      </c>
      <c r="C15" s="14" t="s">
        <v>47</v>
      </c>
      <c r="D15" s="14" t="s">
        <v>48</v>
      </c>
      <c r="E15" s="14" t="s">
        <v>49</v>
      </c>
      <c r="F15" s="14" t="s">
        <v>19</v>
      </c>
      <c r="G15" s="14" t="s">
        <v>13</v>
      </c>
      <c r="H15" s="14" t="s">
        <v>50</v>
      </c>
      <c r="I15" s="14" t="s">
        <v>7</v>
      </c>
      <c r="J15" s="14" t="s">
        <v>8</v>
      </c>
      <c r="K15" s="14" t="s">
        <v>9</v>
      </c>
      <c r="L15" s="14" t="s">
        <v>10</v>
      </c>
      <c r="M15" s="14" t="s">
        <v>11</v>
      </c>
      <c r="N15" s="14" t="s">
        <v>12</v>
      </c>
      <c r="O15" s="14" t="s">
        <v>51</v>
      </c>
      <c r="P15" s="14" t="s">
        <v>52</v>
      </c>
      <c r="Q15" s="14" t="s">
        <v>5</v>
      </c>
    </row>
    <row r="16" spans="2:18" x14ac:dyDescent="0.25">
      <c r="B16" s="11" t="s">
        <v>53</v>
      </c>
      <c r="C16" s="11" t="s">
        <v>58</v>
      </c>
      <c r="D16" s="11" t="s">
        <v>54</v>
      </c>
      <c r="E16" s="11" t="s">
        <v>55</v>
      </c>
      <c r="F16" s="11" t="s">
        <v>42</v>
      </c>
      <c r="G16" s="11" t="s">
        <v>42</v>
      </c>
      <c r="H16" s="11" t="s">
        <v>42</v>
      </c>
      <c r="I16" s="11" t="s">
        <v>16</v>
      </c>
      <c r="J16" s="11" t="s">
        <v>59</v>
      </c>
      <c r="K16" s="11" t="s">
        <v>60</v>
      </c>
      <c r="L16" s="11" t="s">
        <v>17</v>
      </c>
      <c r="M16" s="11" t="s">
        <v>21</v>
      </c>
      <c r="N16" s="11" t="s">
        <v>15</v>
      </c>
      <c r="O16" s="11" t="s">
        <v>56</v>
      </c>
      <c r="P16" s="11" t="s">
        <v>57</v>
      </c>
      <c r="Q16" s="18" t="s">
        <v>61</v>
      </c>
      <c r="R16" s="8" t="s">
        <v>6</v>
      </c>
    </row>
    <row r="19" spans="2:10" x14ac:dyDescent="0.25">
      <c r="B19" s="3" t="s">
        <v>67</v>
      </c>
      <c r="C19" s="4"/>
      <c r="D19" s="4"/>
      <c r="E19" s="4"/>
      <c r="F19" s="4"/>
      <c r="G19" s="4"/>
      <c r="H19" s="4"/>
    </row>
    <row r="20" spans="2:10" ht="6.95" customHeight="1" x14ac:dyDescent="0.25"/>
    <row r="21" spans="2:10" x14ac:dyDescent="0.25">
      <c r="B21" s="14" t="s">
        <v>7</v>
      </c>
      <c r="C21" s="14" t="s">
        <v>8</v>
      </c>
      <c r="D21" s="14" t="s">
        <v>9</v>
      </c>
      <c r="E21" s="14" t="s">
        <v>62</v>
      </c>
      <c r="F21" s="14" t="s">
        <v>11</v>
      </c>
      <c r="G21" s="14" t="s">
        <v>63</v>
      </c>
      <c r="H21" s="14" t="s">
        <v>5</v>
      </c>
    </row>
    <row r="22" spans="2:10" x14ac:dyDescent="0.25">
      <c r="B22" s="11" t="s">
        <v>16</v>
      </c>
      <c r="C22" s="11" t="s">
        <v>59</v>
      </c>
      <c r="D22" s="11" t="s">
        <v>60</v>
      </c>
      <c r="E22" s="11" t="s">
        <v>17</v>
      </c>
      <c r="F22" s="11" t="s">
        <v>21</v>
      </c>
      <c r="G22" s="11" t="s">
        <v>64</v>
      </c>
      <c r="H22" s="18" t="s">
        <v>65</v>
      </c>
      <c r="I22" s="8" t="s">
        <v>6</v>
      </c>
    </row>
    <row r="25" spans="2:10" x14ac:dyDescent="0.25">
      <c r="B25" s="3" t="s">
        <v>66</v>
      </c>
      <c r="C25" s="4"/>
      <c r="D25" s="4"/>
      <c r="E25" s="4"/>
      <c r="F25" s="4"/>
      <c r="G25" s="4"/>
      <c r="H25" s="4"/>
      <c r="I25" s="4"/>
    </row>
    <row r="26" spans="2:10" ht="6.95" customHeight="1" x14ac:dyDescent="0.25"/>
    <row r="27" spans="2:10" x14ac:dyDescent="0.25">
      <c r="B27" s="14" t="s">
        <v>68</v>
      </c>
      <c r="C27" s="14" t="s">
        <v>69</v>
      </c>
      <c r="D27" s="14" t="s">
        <v>70</v>
      </c>
      <c r="E27" s="14" t="s">
        <v>62</v>
      </c>
      <c r="F27" s="14" t="s">
        <v>14</v>
      </c>
      <c r="G27" s="14" t="s">
        <v>47</v>
      </c>
      <c r="H27" s="14" t="s">
        <v>71</v>
      </c>
      <c r="I27" s="14" t="s">
        <v>5</v>
      </c>
    </row>
    <row r="28" spans="2:10" x14ac:dyDescent="0.25">
      <c r="B28" s="11" t="s">
        <v>16</v>
      </c>
      <c r="C28" s="11" t="s">
        <v>59</v>
      </c>
      <c r="D28" s="11" t="s">
        <v>60</v>
      </c>
      <c r="E28" s="11" t="s">
        <v>17</v>
      </c>
      <c r="F28" s="11" t="s">
        <v>39</v>
      </c>
      <c r="G28" s="11" t="s">
        <v>72</v>
      </c>
      <c r="H28" s="11" t="s">
        <v>72</v>
      </c>
      <c r="I28" s="22" t="s">
        <v>73</v>
      </c>
      <c r="J28" s="8" t="s">
        <v>6</v>
      </c>
    </row>
    <row r="31" spans="2:10" x14ac:dyDescent="0.25">
      <c r="B31" s="23" t="s">
        <v>74</v>
      </c>
    </row>
    <row r="32" spans="2:10" ht="6.95" customHeight="1" x14ac:dyDescent="0.25"/>
    <row r="33" spans="2:17" x14ac:dyDescent="0.25">
      <c r="B33" s="14" t="s">
        <v>5</v>
      </c>
    </row>
    <row r="34" spans="2:17" x14ac:dyDescent="0.25">
      <c r="B34" s="9" t="s">
        <v>75</v>
      </c>
      <c r="C34" s="8" t="s">
        <v>6</v>
      </c>
    </row>
    <row r="37" spans="2:17" s="42" customFormat="1" x14ac:dyDescent="0.25"/>
    <row r="38" spans="2:17" x14ac:dyDescent="0.25">
      <c r="B38" s="39" t="s">
        <v>139</v>
      </c>
    </row>
    <row r="40" spans="2:17" x14ac:dyDescent="0.25">
      <c r="B40" s="3" t="s">
        <v>44</v>
      </c>
      <c r="C40" s="4"/>
      <c r="D40" s="4"/>
      <c r="E40" s="4"/>
      <c r="F40" s="4"/>
      <c r="G40" s="4"/>
      <c r="H40" s="4"/>
    </row>
    <row r="41" spans="2:17" ht="6.95" customHeight="1" x14ac:dyDescent="0.25"/>
    <row r="42" spans="2:17" x14ac:dyDescent="0.25">
      <c r="B42" s="14" t="s">
        <v>26</v>
      </c>
      <c r="C42" s="14" t="s">
        <v>33</v>
      </c>
      <c r="D42" s="14" t="s">
        <v>34</v>
      </c>
      <c r="E42" s="14" t="s">
        <v>35</v>
      </c>
      <c r="F42" s="14" t="s">
        <v>36</v>
      </c>
      <c r="G42" s="14" t="s">
        <v>37</v>
      </c>
      <c r="H42" s="14" t="s">
        <v>5</v>
      </c>
    </row>
    <row r="43" spans="2:17" x14ac:dyDescent="0.25">
      <c r="B43" s="11" t="s">
        <v>28</v>
      </c>
      <c r="C43" s="11" t="s">
        <v>143</v>
      </c>
      <c r="D43" s="11" t="s">
        <v>140</v>
      </c>
      <c r="E43" s="11" t="s">
        <v>112</v>
      </c>
      <c r="F43" s="11" t="s">
        <v>143</v>
      </c>
      <c r="G43" s="11" t="s">
        <v>141</v>
      </c>
      <c r="H43" s="21" t="s">
        <v>43</v>
      </c>
      <c r="I43" s="8" t="s">
        <v>6</v>
      </c>
    </row>
    <row r="44" spans="2:17" x14ac:dyDescent="0.25">
      <c r="B44" s="11" t="s">
        <v>28</v>
      </c>
      <c r="C44" s="11" t="s">
        <v>143</v>
      </c>
      <c r="D44" s="11" t="s">
        <v>140</v>
      </c>
      <c r="E44" s="11" t="s">
        <v>112</v>
      </c>
      <c r="F44" s="11" t="s">
        <v>143</v>
      </c>
      <c r="G44" s="11" t="s">
        <v>41</v>
      </c>
      <c r="H44" s="10"/>
    </row>
    <row r="45" spans="2:17" x14ac:dyDescent="0.25">
      <c r="B45" s="2" t="s">
        <v>28</v>
      </c>
      <c r="C45" s="2" t="s">
        <v>143</v>
      </c>
      <c r="D45" s="2" t="s">
        <v>140</v>
      </c>
      <c r="E45" s="2" t="s">
        <v>112</v>
      </c>
      <c r="F45" s="2" t="s">
        <v>143</v>
      </c>
      <c r="G45" s="2" t="s">
        <v>142</v>
      </c>
    </row>
    <row r="48" spans="2:17" x14ac:dyDescent="0.25">
      <c r="B48" s="3" t="s">
        <v>45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2:18" ht="6.95" customHeight="1" x14ac:dyDescent="0.25"/>
    <row r="50" spans="2:18" x14ac:dyDescent="0.25">
      <c r="B50" s="14" t="s">
        <v>46</v>
      </c>
      <c r="C50" s="14" t="s">
        <v>47</v>
      </c>
      <c r="D50" s="14" t="s">
        <v>48</v>
      </c>
      <c r="E50" s="14" t="s">
        <v>49</v>
      </c>
      <c r="F50" s="14" t="s">
        <v>19</v>
      </c>
      <c r="G50" s="14" t="s">
        <v>13</v>
      </c>
      <c r="H50" s="14" t="s">
        <v>50</v>
      </c>
      <c r="I50" s="14" t="s">
        <v>7</v>
      </c>
      <c r="J50" s="14" t="s">
        <v>8</v>
      </c>
      <c r="K50" s="14" t="s">
        <v>9</v>
      </c>
      <c r="L50" s="14" t="s">
        <v>10</v>
      </c>
      <c r="M50" s="14" t="s">
        <v>11</v>
      </c>
      <c r="N50" s="14" t="s">
        <v>12</v>
      </c>
      <c r="O50" s="14" t="s">
        <v>51</v>
      </c>
      <c r="P50" s="14" t="s">
        <v>52</v>
      </c>
      <c r="Q50" s="14" t="s">
        <v>5</v>
      </c>
    </row>
    <row r="51" spans="2:18" x14ac:dyDescent="0.25">
      <c r="B51" s="11" t="s">
        <v>53</v>
      </c>
      <c r="C51" s="11" t="s">
        <v>58</v>
      </c>
      <c r="D51" s="11" t="s">
        <v>54</v>
      </c>
      <c r="E51" s="11" t="s">
        <v>55</v>
      </c>
      <c r="F51" s="11" t="s">
        <v>143</v>
      </c>
      <c r="G51" s="11" t="s">
        <v>143</v>
      </c>
      <c r="H51" s="11" t="s">
        <v>143</v>
      </c>
      <c r="I51" s="11" t="s">
        <v>16</v>
      </c>
      <c r="J51" s="11" t="s">
        <v>101</v>
      </c>
      <c r="K51" s="11" t="s">
        <v>144</v>
      </c>
      <c r="L51" s="11" t="s">
        <v>145</v>
      </c>
      <c r="M51" s="11" t="s">
        <v>116</v>
      </c>
      <c r="N51" s="11" t="s">
        <v>105</v>
      </c>
      <c r="O51" s="11" t="s">
        <v>94</v>
      </c>
      <c r="P51" s="11" t="s">
        <v>89</v>
      </c>
      <c r="Q51" s="18" t="s">
        <v>146</v>
      </c>
      <c r="R51" s="8" t="s">
        <v>6</v>
      </c>
    </row>
    <row r="52" spans="2:18" x14ac:dyDescent="0.25">
      <c r="F52" s="43"/>
    </row>
    <row r="54" spans="2:18" x14ac:dyDescent="0.25">
      <c r="B54" s="3" t="s">
        <v>67</v>
      </c>
      <c r="C54" s="4"/>
      <c r="D54" s="4"/>
      <c r="E54" s="4"/>
      <c r="F54" s="4"/>
      <c r="G54" s="4"/>
      <c r="H54" s="4"/>
    </row>
    <row r="55" spans="2:18" ht="6.95" customHeight="1" x14ac:dyDescent="0.25"/>
    <row r="56" spans="2:18" x14ac:dyDescent="0.25">
      <c r="B56" s="14" t="s">
        <v>7</v>
      </c>
      <c r="C56" s="14" t="s">
        <v>8</v>
      </c>
      <c r="D56" s="14" t="s">
        <v>9</v>
      </c>
      <c r="E56" s="14" t="s">
        <v>62</v>
      </c>
      <c r="F56" s="14" t="s">
        <v>11</v>
      </c>
      <c r="G56" s="14" t="s">
        <v>63</v>
      </c>
      <c r="H56" s="14" t="s">
        <v>5</v>
      </c>
    </row>
    <row r="57" spans="2:18" x14ac:dyDescent="0.25">
      <c r="B57" s="11" t="s">
        <v>16</v>
      </c>
      <c r="C57" s="11" t="s">
        <v>101</v>
      </c>
      <c r="D57" s="11" t="s">
        <v>144</v>
      </c>
      <c r="E57" s="11" t="s">
        <v>145</v>
      </c>
      <c r="F57" s="11" t="s">
        <v>116</v>
      </c>
      <c r="G57" s="11" t="s">
        <v>147</v>
      </c>
      <c r="H57" s="18" t="s">
        <v>148</v>
      </c>
      <c r="I57" s="8" t="s">
        <v>6</v>
      </c>
    </row>
    <row r="60" spans="2:18" x14ac:dyDescent="0.25">
      <c r="B60" s="3" t="s">
        <v>66</v>
      </c>
      <c r="C60" s="4"/>
      <c r="D60" s="4"/>
      <c r="E60" s="4"/>
      <c r="F60" s="4"/>
      <c r="G60" s="4"/>
      <c r="H60" s="4"/>
      <c r="I60" s="4"/>
    </row>
    <row r="61" spans="2:18" ht="6.95" customHeight="1" x14ac:dyDescent="0.25"/>
    <row r="62" spans="2:18" x14ac:dyDescent="0.25">
      <c r="B62" t="s">
        <v>109</v>
      </c>
    </row>
    <row r="66" spans="2:8" x14ac:dyDescent="0.25">
      <c r="B66" s="23" t="s">
        <v>74</v>
      </c>
    </row>
    <row r="67" spans="2:8" ht="6.95" customHeight="1" x14ac:dyDescent="0.25"/>
    <row r="68" spans="2:8" x14ac:dyDescent="0.25">
      <c r="B68" s="14" t="s">
        <v>5</v>
      </c>
    </row>
    <row r="69" spans="2:8" x14ac:dyDescent="0.25">
      <c r="B69" s="9" t="s">
        <v>75</v>
      </c>
      <c r="C69" s="8" t="s">
        <v>6</v>
      </c>
    </row>
    <row r="72" spans="2:8" x14ac:dyDescent="0.25">
      <c r="B72" s="10"/>
      <c r="C72" s="10"/>
      <c r="D72" s="10"/>
      <c r="E72" s="10"/>
      <c r="F72" s="10"/>
      <c r="G72" s="10"/>
      <c r="H72" s="10"/>
    </row>
    <row r="73" spans="2:8" x14ac:dyDescent="0.25">
      <c r="B73" s="10"/>
      <c r="C73" s="10"/>
      <c r="D73" s="10"/>
      <c r="E73" s="10"/>
      <c r="F73" s="10"/>
      <c r="G73" s="10"/>
      <c r="H73" s="10"/>
    </row>
    <row r="74" spans="2:8" x14ac:dyDescent="0.25">
      <c r="B74" s="10"/>
      <c r="C74" s="10"/>
      <c r="D74" s="10"/>
      <c r="E74" s="10"/>
      <c r="F74" s="10"/>
      <c r="G74" s="10"/>
      <c r="H74" s="10"/>
    </row>
    <row r="75" spans="2:8" x14ac:dyDescent="0.25">
      <c r="B75" s="10"/>
      <c r="C75" s="10"/>
      <c r="D75" s="10"/>
      <c r="E75" s="10"/>
      <c r="F75" s="10"/>
      <c r="G75" s="10"/>
      <c r="H75" s="10"/>
    </row>
    <row r="76" spans="2:8" x14ac:dyDescent="0.25">
      <c r="B76" s="10"/>
      <c r="C76" s="10"/>
      <c r="D76" s="10"/>
      <c r="E76" s="10"/>
      <c r="F76" s="10"/>
      <c r="G76" s="10"/>
      <c r="H76" s="10"/>
    </row>
    <row r="77" spans="2:8" x14ac:dyDescent="0.25">
      <c r="B77" s="10"/>
      <c r="C77" s="10"/>
      <c r="D77" s="10"/>
      <c r="E77" s="10"/>
      <c r="F77" s="10"/>
      <c r="G77" s="10"/>
      <c r="H77" s="10"/>
    </row>
    <row r="78" spans="2:8" x14ac:dyDescent="0.25">
      <c r="B78" s="10"/>
      <c r="C78" s="10"/>
      <c r="D78" s="10"/>
      <c r="E78" s="10"/>
      <c r="F78" s="10"/>
      <c r="G78" s="10"/>
      <c r="H78" s="10"/>
    </row>
    <row r="79" spans="2:8" x14ac:dyDescent="0.25">
      <c r="B79" s="10"/>
      <c r="C79" s="10"/>
      <c r="D79" s="10"/>
      <c r="E79" s="10"/>
      <c r="F79" s="10"/>
      <c r="G79" s="10"/>
      <c r="H79" s="10"/>
    </row>
    <row r="80" spans="2:8" x14ac:dyDescent="0.25">
      <c r="B80" s="10"/>
      <c r="C80" s="10"/>
      <c r="D80" s="10"/>
      <c r="E80" s="10"/>
      <c r="F80" s="10"/>
      <c r="G80" s="10"/>
      <c r="H80" s="10"/>
    </row>
    <row r="81" spans="2:8" x14ac:dyDescent="0.25">
      <c r="B81" s="10"/>
      <c r="C81" s="10"/>
      <c r="D81" s="10"/>
      <c r="E81" s="10"/>
      <c r="F81" s="10"/>
      <c r="G81" s="10"/>
      <c r="H81" s="10"/>
    </row>
    <row r="82" spans="2:8" x14ac:dyDescent="0.25">
      <c r="B82" s="10"/>
      <c r="C82" s="10"/>
      <c r="D82" s="10"/>
      <c r="E82" s="10"/>
      <c r="F82" s="10"/>
      <c r="G82" s="10"/>
      <c r="H82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1EB0-31D1-48F9-A0EA-229536664930}">
  <dimension ref="B2:R53"/>
  <sheetViews>
    <sheetView showGridLines="0" workbookViewId="0"/>
  </sheetViews>
  <sheetFormatPr defaultRowHeight="15" x14ac:dyDescent="0.25"/>
  <cols>
    <col min="1" max="1" width="3.7109375" customWidth="1"/>
    <col min="2" max="2" width="23.7109375" customWidth="1"/>
    <col min="3" max="3" width="35.85546875" customWidth="1"/>
    <col min="4" max="4" width="19.7109375" bestFit="1" customWidth="1"/>
    <col min="5" max="5" width="17.7109375" bestFit="1" customWidth="1"/>
    <col min="6" max="6" width="33.85546875" bestFit="1" customWidth="1"/>
    <col min="7" max="7" width="17.7109375" bestFit="1" customWidth="1"/>
    <col min="8" max="8" width="17" customWidth="1"/>
    <col min="10" max="10" width="8.85546875" bestFit="1" customWidth="1"/>
    <col min="11" max="11" width="12" bestFit="1" customWidth="1"/>
    <col min="12" max="12" width="16.140625" bestFit="1" customWidth="1"/>
    <col min="13" max="13" width="11.5703125" bestFit="1" customWidth="1"/>
    <col min="14" max="14" width="11" bestFit="1" customWidth="1"/>
    <col min="15" max="15" width="19.5703125" bestFit="1" customWidth="1"/>
    <col min="16" max="16" width="9.7109375" bestFit="1" customWidth="1"/>
  </cols>
  <sheetData>
    <row r="2" spans="2:18" x14ac:dyDescent="0.25">
      <c r="B2" s="72" t="s">
        <v>120</v>
      </c>
      <c r="C2" s="72"/>
    </row>
    <row r="3" spans="2:18" x14ac:dyDescent="0.25">
      <c r="B3" s="73" t="s">
        <v>137</v>
      </c>
      <c r="C3" s="73"/>
    </row>
    <row r="5" spans="2:18" x14ac:dyDescent="0.25">
      <c r="B5" s="39" t="s">
        <v>97</v>
      </c>
    </row>
    <row r="7" spans="2:18" x14ac:dyDescent="0.25">
      <c r="B7" s="3" t="s">
        <v>44</v>
      </c>
      <c r="C7" s="4"/>
      <c r="D7" s="4"/>
      <c r="E7" s="4"/>
      <c r="F7" s="4"/>
      <c r="G7" s="4"/>
      <c r="H7" s="4"/>
    </row>
    <row r="8" spans="2:18" ht="6.95" customHeight="1" x14ac:dyDescent="0.25"/>
    <row r="9" spans="2:18" x14ac:dyDescent="0.25">
      <c r="B9" s="14" t="s">
        <v>26</v>
      </c>
      <c r="C9" s="14" t="s">
        <v>33</v>
      </c>
      <c r="D9" s="14" t="s">
        <v>34</v>
      </c>
      <c r="E9" s="14" t="s">
        <v>35</v>
      </c>
      <c r="F9" s="14" t="s">
        <v>36</v>
      </c>
      <c r="G9" s="14" t="s">
        <v>37</v>
      </c>
      <c r="H9" s="14" t="s">
        <v>5</v>
      </c>
    </row>
    <row r="10" spans="2:18" x14ac:dyDescent="0.25">
      <c r="B10" s="11" t="s">
        <v>31</v>
      </c>
      <c r="C10" s="11" t="s">
        <v>127</v>
      </c>
      <c r="D10" s="2">
        <v>11111111111</v>
      </c>
      <c r="E10" s="11" t="s">
        <v>112</v>
      </c>
      <c r="F10" s="11" t="s">
        <v>127</v>
      </c>
      <c r="G10" s="11" t="s">
        <v>18</v>
      </c>
      <c r="H10" s="21" t="s">
        <v>132</v>
      </c>
      <c r="I10" s="8" t="s">
        <v>6</v>
      </c>
    </row>
    <row r="13" spans="2:18" x14ac:dyDescent="0.25">
      <c r="B13" s="3" t="s">
        <v>45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2:18" ht="6.95" customHeight="1" x14ac:dyDescent="0.25"/>
    <row r="15" spans="2:18" x14ac:dyDescent="0.25">
      <c r="B15" s="14" t="s">
        <v>46</v>
      </c>
      <c r="C15" s="14" t="s">
        <v>47</v>
      </c>
      <c r="D15" s="14" t="s">
        <v>48</v>
      </c>
      <c r="E15" s="14" t="s">
        <v>49</v>
      </c>
      <c r="F15" s="14" t="s">
        <v>19</v>
      </c>
      <c r="G15" s="14" t="s">
        <v>13</v>
      </c>
      <c r="H15" s="14" t="s">
        <v>50</v>
      </c>
      <c r="I15" s="14" t="s">
        <v>7</v>
      </c>
      <c r="J15" s="14" t="s">
        <v>8</v>
      </c>
      <c r="K15" s="14" t="s">
        <v>9</v>
      </c>
      <c r="L15" s="14" t="s">
        <v>10</v>
      </c>
      <c r="M15" s="14" t="s">
        <v>11</v>
      </c>
      <c r="N15" s="14" t="s">
        <v>12</v>
      </c>
      <c r="O15" s="14" t="s">
        <v>51</v>
      </c>
      <c r="P15" s="14" t="s">
        <v>52</v>
      </c>
      <c r="Q15" s="14" t="s">
        <v>5</v>
      </c>
    </row>
    <row r="16" spans="2:18" x14ac:dyDescent="0.25">
      <c r="B16" s="11" t="s">
        <v>129</v>
      </c>
      <c r="C16" s="11" t="s">
        <v>58</v>
      </c>
      <c r="D16" s="11" t="s">
        <v>54</v>
      </c>
      <c r="E16" s="11" t="s">
        <v>55</v>
      </c>
      <c r="F16" s="11" t="s">
        <v>127</v>
      </c>
      <c r="G16" s="11" t="s">
        <v>127</v>
      </c>
      <c r="H16" s="11" t="s">
        <v>127</v>
      </c>
      <c r="I16" s="11" t="s">
        <v>18</v>
      </c>
      <c r="J16" s="11" t="s">
        <v>18</v>
      </c>
      <c r="K16" s="11" t="s">
        <v>18</v>
      </c>
      <c r="L16" s="11" t="s">
        <v>18</v>
      </c>
      <c r="M16" s="11" t="s">
        <v>18</v>
      </c>
      <c r="N16" s="11" t="s">
        <v>130</v>
      </c>
      <c r="O16" s="11" t="s">
        <v>57</v>
      </c>
      <c r="P16" s="11" t="s">
        <v>57</v>
      </c>
      <c r="Q16" s="18" t="s">
        <v>131</v>
      </c>
      <c r="R16" s="8" t="s">
        <v>6</v>
      </c>
    </row>
    <row r="19" spans="2:9" x14ac:dyDescent="0.25">
      <c r="B19" s="3" t="s">
        <v>67</v>
      </c>
      <c r="C19" s="4"/>
      <c r="D19" s="4"/>
      <c r="E19" s="4"/>
      <c r="F19" s="4"/>
      <c r="G19" s="4"/>
      <c r="H19" s="4"/>
    </row>
    <row r="20" spans="2:9" ht="6.95" customHeight="1" x14ac:dyDescent="0.25"/>
    <row r="21" spans="2:9" x14ac:dyDescent="0.25">
      <c r="B21" t="s">
        <v>133</v>
      </c>
    </row>
    <row r="25" spans="2:9" x14ac:dyDescent="0.25">
      <c r="B25" s="3" t="s">
        <v>66</v>
      </c>
      <c r="C25" s="4"/>
      <c r="D25" s="4"/>
      <c r="E25" s="4"/>
      <c r="F25" s="4"/>
      <c r="G25" s="4"/>
      <c r="H25" s="4"/>
      <c r="I25" s="4"/>
    </row>
    <row r="26" spans="2:9" ht="6.95" customHeight="1" x14ac:dyDescent="0.25"/>
    <row r="27" spans="2:9" x14ac:dyDescent="0.25">
      <c r="B27" t="s">
        <v>109</v>
      </c>
    </row>
    <row r="30" spans="2:9" s="42" customFormat="1" x14ac:dyDescent="0.25"/>
    <row r="31" spans="2:9" x14ac:dyDescent="0.25">
      <c r="B31" s="39" t="s">
        <v>121</v>
      </c>
    </row>
    <row r="33" spans="2:18" x14ac:dyDescent="0.25">
      <c r="B33" s="3" t="s">
        <v>44</v>
      </c>
      <c r="C33" s="4"/>
      <c r="D33" s="4"/>
      <c r="E33" s="4"/>
      <c r="F33" s="4"/>
      <c r="G33" s="4"/>
      <c r="H33" s="4"/>
    </row>
    <row r="34" spans="2:18" ht="6.95" customHeight="1" x14ac:dyDescent="0.25"/>
    <row r="35" spans="2:18" x14ac:dyDescent="0.25">
      <c r="B35" s="14" t="s">
        <v>26</v>
      </c>
      <c r="C35" s="14" t="s">
        <v>33</v>
      </c>
      <c r="D35" s="14" t="s">
        <v>34</v>
      </c>
      <c r="E35" s="14" t="s">
        <v>35</v>
      </c>
      <c r="F35" s="14" t="s">
        <v>36</v>
      </c>
      <c r="G35" s="14" t="s">
        <v>37</v>
      </c>
      <c r="H35" s="14" t="s">
        <v>5</v>
      </c>
    </row>
    <row r="36" spans="2:18" x14ac:dyDescent="0.25">
      <c r="B36" s="11" t="s">
        <v>31</v>
      </c>
      <c r="C36" s="11" t="s">
        <v>128</v>
      </c>
      <c r="D36" s="2">
        <v>11111111111</v>
      </c>
      <c r="E36" s="11" t="s">
        <v>112</v>
      </c>
      <c r="F36" s="11" t="s">
        <v>128</v>
      </c>
      <c r="G36" s="11" t="s">
        <v>18</v>
      </c>
      <c r="H36" s="21" t="s">
        <v>132</v>
      </c>
      <c r="I36" s="8" t="s">
        <v>6</v>
      </c>
    </row>
    <row r="39" spans="2:18" x14ac:dyDescent="0.25">
      <c r="B39" s="3" t="s">
        <v>45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2:18" ht="6.95" customHeight="1" x14ac:dyDescent="0.25"/>
    <row r="41" spans="2:18" x14ac:dyDescent="0.25">
      <c r="B41" s="14" t="s">
        <v>46</v>
      </c>
      <c r="C41" s="14" t="s">
        <v>47</v>
      </c>
      <c r="D41" s="14" t="s">
        <v>48</v>
      </c>
      <c r="E41" s="14" t="s">
        <v>49</v>
      </c>
      <c r="F41" s="14" t="s">
        <v>19</v>
      </c>
      <c r="G41" s="14" t="s">
        <v>13</v>
      </c>
      <c r="H41" s="14" t="s">
        <v>50</v>
      </c>
      <c r="I41" s="14" t="s">
        <v>7</v>
      </c>
      <c r="J41" s="14" t="s">
        <v>8</v>
      </c>
      <c r="K41" s="14" t="s">
        <v>9</v>
      </c>
      <c r="L41" s="14" t="s">
        <v>10</v>
      </c>
      <c r="M41" s="14" t="s">
        <v>11</v>
      </c>
      <c r="N41" s="14" t="s">
        <v>12</v>
      </c>
      <c r="O41" s="14" t="s">
        <v>51</v>
      </c>
      <c r="P41" s="14" t="s">
        <v>52</v>
      </c>
      <c r="Q41" s="14" t="s">
        <v>5</v>
      </c>
    </row>
    <row r="42" spans="2:18" x14ac:dyDescent="0.25">
      <c r="B42" s="11" t="s">
        <v>129</v>
      </c>
      <c r="C42" s="11" t="s">
        <v>58</v>
      </c>
      <c r="D42" s="11" t="s">
        <v>54</v>
      </c>
      <c r="E42" s="11" t="s">
        <v>55</v>
      </c>
      <c r="F42" s="11" t="s">
        <v>128</v>
      </c>
      <c r="G42" s="11" t="s">
        <v>128</v>
      </c>
      <c r="H42" s="11" t="s">
        <v>128</v>
      </c>
      <c r="I42" s="11" t="s">
        <v>18</v>
      </c>
      <c r="J42" s="11" t="s">
        <v>18</v>
      </c>
      <c r="K42" s="11" t="s">
        <v>18</v>
      </c>
      <c r="L42" s="11" t="s">
        <v>18</v>
      </c>
      <c r="M42" s="11" t="s">
        <v>18</v>
      </c>
      <c r="N42" s="11" t="s">
        <v>130</v>
      </c>
      <c r="O42" s="11" t="s">
        <v>57</v>
      </c>
      <c r="P42" s="11" t="s">
        <v>57</v>
      </c>
      <c r="Q42" s="18" t="s">
        <v>134</v>
      </c>
      <c r="R42" s="8" t="s">
        <v>6</v>
      </c>
    </row>
    <row r="45" spans="2:18" x14ac:dyDescent="0.25">
      <c r="B45" s="3" t="s">
        <v>67</v>
      </c>
      <c r="C45" s="4"/>
      <c r="D45" s="4"/>
      <c r="E45" s="4"/>
      <c r="F45" s="4"/>
      <c r="G45" s="4"/>
      <c r="H45" s="4"/>
    </row>
    <row r="46" spans="2:18" ht="6.95" customHeight="1" x14ac:dyDescent="0.25"/>
    <row r="47" spans="2:18" x14ac:dyDescent="0.25">
      <c r="B47" t="s">
        <v>133</v>
      </c>
    </row>
    <row r="51" spans="2:9" x14ac:dyDescent="0.25">
      <c r="B51" s="3" t="s">
        <v>66</v>
      </c>
      <c r="C51" s="4"/>
      <c r="D51" s="4"/>
      <c r="E51" s="4"/>
      <c r="F51" s="4"/>
      <c r="G51" s="4"/>
      <c r="H51" s="4"/>
      <c r="I51" s="4"/>
    </row>
    <row r="52" spans="2:9" ht="6.95" customHeight="1" x14ac:dyDescent="0.25"/>
    <row r="53" spans="2:9" x14ac:dyDescent="0.25">
      <c r="B53" t="s">
        <v>109</v>
      </c>
    </row>
  </sheetData>
  <mergeCells count="2">
    <mergeCell ref="B2:C2"/>
    <mergeCell ref="B3:C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B194-D338-4865-BBD7-14C18FF5E203}">
  <dimension ref="B2:R53"/>
  <sheetViews>
    <sheetView showGridLines="0" workbookViewId="0"/>
  </sheetViews>
  <sheetFormatPr defaultRowHeight="15" x14ac:dyDescent="0.25"/>
  <cols>
    <col min="1" max="1" width="3.7109375" customWidth="1"/>
    <col min="2" max="2" width="23.7109375" customWidth="1"/>
    <col min="3" max="3" width="33.85546875" bestFit="1" customWidth="1"/>
    <col min="4" max="4" width="19.7109375" bestFit="1" customWidth="1"/>
    <col min="5" max="5" width="17.7109375" bestFit="1" customWidth="1"/>
    <col min="6" max="6" width="33.85546875" bestFit="1" customWidth="1"/>
    <col min="7" max="7" width="17.7109375" bestFit="1" customWidth="1"/>
    <col min="8" max="8" width="17" customWidth="1"/>
    <col min="10" max="10" width="8.85546875" bestFit="1" customWidth="1"/>
    <col min="11" max="11" width="12" bestFit="1" customWidth="1"/>
    <col min="12" max="12" width="16.140625" bestFit="1" customWidth="1"/>
    <col min="13" max="13" width="11.5703125" bestFit="1" customWidth="1"/>
    <col min="14" max="14" width="11" bestFit="1" customWidth="1"/>
    <col min="15" max="15" width="19.5703125" bestFit="1" customWidth="1"/>
    <col min="16" max="16" width="9.7109375" bestFit="1" customWidth="1"/>
  </cols>
  <sheetData>
    <row r="2" spans="2:18" x14ac:dyDescent="0.25">
      <c r="B2" s="40" t="s">
        <v>120</v>
      </c>
    </row>
    <row r="3" spans="2:18" x14ac:dyDescent="0.25">
      <c r="B3" s="41" t="s">
        <v>138</v>
      </c>
    </row>
    <row r="5" spans="2:18" x14ac:dyDescent="0.25">
      <c r="B5" s="39" t="s">
        <v>97</v>
      </c>
    </row>
    <row r="7" spans="2:18" x14ac:dyDescent="0.25">
      <c r="B7" s="3" t="s">
        <v>44</v>
      </c>
      <c r="C7" s="4"/>
      <c r="D7" s="4"/>
      <c r="E7" s="4"/>
      <c r="F7" s="4"/>
      <c r="G7" s="4"/>
      <c r="H7" s="4"/>
    </row>
    <row r="8" spans="2:18" ht="6.95" customHeight="1" x14ac:dyDescent="0.25"/>
    <row r="9" spans="2:18" x14ac:dyDescent="0.25">
      <c r="B9" s="14" t="s">
        <v>26</v>
      </c>
      <c r="C9" s="14" t="s">
        <v>33</v>
      </c>
      <c r="D9" s="14" t="s">
        <v>34</v>
      </c>
      <c r="E9" s="14" t="s">
        <v>35</v>
      </c>
      <c r="F9" s="14" t="s">
        <v>36</v>
      </c>
      <c r="G9" s="14" t="s">
        <v>37</v>
      </c>
      <c r="H9" s="14" t="s">
        <v>5</v>
      </c>
    </row>
    <row r="10" spans="2:18" x14ac:dyDescent="0.25">
      <c r="B10" s="11" t="s">
        <v>30</v>
      </c>
      <c r="C10" s="11" t="s">
        <v>98</v>
      </c>
      <c r="D10" s="11" t="s">
        <v>99</v>
      </c>
      <c r="E10" s="11" t="s">
        <v>99</v>
      </c>
      <c r="F10" s="11" t="s">
        <v>98</v>
      </c>
      <c r="G10" s="11" t="s">
        <v>18</v>
      </c>
      <c r="H10" s="21" t="s">
        <v>100</v>
      </c>
      <c r="I10" s="8" t="s">
        <v>6</v>
      </c>
    </row>
    <row r="13" spans="2:18" x14ac:dyDescent="0.25">
      <c r="B13" s="3" t="s">
        <v>45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2:18" ht="6.95" customHeight="1" x14ac:dyDescent="0.25"/>
    <row r="15" spans="2:18" x14ac:dyDescent="0.25">
      <c r="B15" s="14" t="s">
        <v>46</v>
      </c>
      <c r="C15" s="14" t="s">
        <v>47</v>
      </c>
      <c r="D15" s="14" t="s">
        <v>48</v>
      </c>
      <c r="E15" s="14" t="s">
        <v>49</v>
      </c>
      <c r="F15" s="14" t="s">
        <v>19</v>
      </c>
      <c r="G15" s="14" t="s">
        <v>13</v>
      </c>
      <c r="H15" s="14" t="s">
        <v>50</v>
      </c>
      <c r="I15" s="14" t="s">
        <v>7</v>
      </c>
      <c r="J15" s="14" t="s">
        <v>8</v>
      </c>
      <c r="K15" s="14" t="s">
        <v>9</v>
      </c>
      <c r="L15" s="14" t="s">
        <v>10</v>
      </c>
      <c r="M15" s="14" t="s">
        <v>11</v>
      </c>
      <c r="N15" s="14" t="s">
        <v>12</v>
      </c>
      <c r="O15" s="14" t="s">
        <v>51</v>
      </c>
      <c r="P15" s="14" t="s">
        <v>52</v>
      </c>
      <c r="Q15" s="14" t="s">
        <v>5</v>
      </c>
    </row>
    <row r="16" spans="2:18" x14ac:dyDescent="0.25">
      <c r="B16" s="11" t="s">
        <v>53</v>
      </c>
      <c r="C16" s="11" t="s">
        <v>58</v>
      </c>
      <c r="D16" s="11" t="s">
        <v>54</v>
      </c>
      <c r="E16" s="11" t="s">
        <v>55</v>
      </c>
      <c r="F16" s="11" t="s">
        <v>98</v>
      </c>
      <c r="G16" s="11" t="s">
        <v>98</v>
      </c>
      <c r="H16" s="11" t="s">
        <v>98</v>
      </c>
      <c r="I16" s="11" t="s">
        <v>16</v>
      </c>
      <c r="J16" s="11" t="s">
        <v>101</v>
      </c>
      <c r="K16" s="11" t="s">
        <v>102</v>
      </c>
      <c r="L16" s="11" t="s">
        <v>103</v>
      </c>
      <c r="M16" s="11" t="s">
        <v>104</v>
      </c>
      <c r="N16" s="11" t="s">
        <v>105</v>
      </c>
      <c r="O16" s="11" t="s">
        <v>56</v>
      </c>
      <c r="P16" s="11" t="s">
        <v>57</v>
      </c>
      <c r="Q16" s="18" t="s">
        <v>106</v>
      </c>
      <c r="R16" s="8" t="s">
        <v>6</v>
      </c>
    </row>
    <row r="19" spans="2:9" x14ac:dyDescent="0.25">
      <c r="B19" s="3" t="s">
        <v>67</v>
      </c>
      <c r="C19" s="4"/>
      <c r="D19" s="4"/>
      <c r="E19" s="4"/>
      <c r="F19" s="4"/>
      <c r="G19" s="4"/>
      <c r="H19" s="4"/>
    </row>
    <row r="20" spans="2:9" ht="6.95" customHeight="1" x14ac:dyDescent="0.25"/>
    <row r="21" spans="2:9" x14ac:dyDescent="0.25">
      <c r="B21" s="14" t="s">
        <v>7</v>
      </c>
      <c r="C21" s="14" t="s">
        <v>8</v>
      </c>
      <c r="D21" s="14" t="s">
        <v>9</v>
      </c>
      <c r="E21" s="14" t="s">
        <v>62</v>
      </c>
      <c r="F21" s="14" t="s">
        <v>11</v>
      </c>
      <c r="G21" s="14" t="s">
        <v>63</v>
      </c>
      <c r="H21" s="14" t="s">
        <v>5</v>
      </c>
    </row>
    <row r="22" spans="2:9" x14ac:dyDescent="0.25">
      <c r="B22" s="11" t="s">
        <v>16</v>
      </c>
      <c r="C22" s="11" t="s">
        <v>101</v>
      </c>
      <c r="D22" s="11" t="s">
        <v>102</v>
      </c>
      <c r="E22" s="11" t="s">
        <v>103</v>
      </c>
      <c r="F22" s="11" t="s">
        <v>104</v>
      </c>
      <c r="G22" s="11" t="s">
        <v>107</v>
      </c>
      <c r="H22" s="18" t="s">
        <v>108</v>
      </c>
      <c r="I22" s="8" t="s">
        <v>6</v>
      </c>
    </row>
    <row r="25" spans="2:9" x14ac:dyDescent="0.25">
      <c r="B25" s="3" t="s">
        <v>66</v>
      </c>
      <c r="C25" s="4"/>
      <c r="D25" s="4"/>
      <c r="E25" s="4"/>
      <c r="F25" s="4"/>
      <c r="G25" s="4"/>
      <c r="H25" s="4"/>
      <c r="I25" s="4"/>
    </row>
    <row r="26" spans="2:9" ht="6.95" customHeight="1" x14ac:dyDescent="0.25"/>
    <row r="27" spans="2:9" x14ac:dyDescent="0.25">
      <c r="B27" t="s">
        <v>109</v>
      </c>
    </row>
    <row r="30" spans="2:9" s="42" customFormat="1" x14ac:dyDescent="0.25"/>
    <row r="31" spans="2:9" x14ac:dyDescent="0.25">
      <c r="B31" s="39" t="s">
        <v>121</v>
      </c>
    </row>
    <row r="33" spans="2:18" x14ac:dyDescent="0.25">
      <c r="B33" s="3" t="s">
        <v>44</v>
      </c>
      <c r="C33" s="4"/>
      <c r="D33" s="4"/>
      <c r="E33" s="4"/>
      <c r="F33" s="4"/>
      <c r="G33" s="4"/>
      <c r="H33" s="4"/>
    </row>
    <row r="34" spans="2:18" ht="6.95" customHeight="1" x14ac:dyDescent="0.25"/>
    <row r="35" spans="2:18" x14ac:dyDescent="0.25">
      <c r="B35" s="14" t="s">
        <v>26</v>
      </c>
      <c r="C35" s="14" t="s">
        <v>33</v>
      </c>
      <c r="D35" s="14" t="s">
        <v>34</v>
      </c>
      <c r="E35" s="14" t="s">
        <v>35</v>
      </c>
      <c r="F35" s="14" t="s">
        <v>36</v>
      </c>
      <c r="G35" s="14" t="s">
        <v>37</v>
      </c>
      <c r="H35" s="14" t="s">
        <v>5</v>
      </c>
    </row>
    <row r="36" spans="2:18" x14ac:dyDescent="0.25">
      <c r="B36" s="11" t="s">
        <v>30</v>
      </c>
      <c r="C36" s="11" t="s">
        <v>110</v>
      </c>
      <c r="D36" s="11" t="s">
        <v>111</v>
      </c>
      <c r="E36" s="11" t="s">
        <v>112</v>
      </c>
      <c r="F36" s="11" t="s">
        <v>110</v>
      </c>
      <c r="G36" s="11" t="s">
        <v>18</v>
      </c>
      <c r="H36" s="21" t="s">
        <v>113</v>
      </c>
      <c r="I36" s="8" t="s">
        <v>6</v>
      </c>
    </row>
    <row r="39" spans="2:18" x14ac:dyDescent="0.25">
      <c r="B39" s="3" t="s">
        <v>45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2:18" ht="6.95" customHeight="1" x14ac:dyDescent="0.25"/>
    <row r="41" spans="2:18" x14ac:dyDescent="0.25">
      <c r="B41" s="14" t="s">
        <v>46</v>
      </c>
      <c r="C41" s="14" t="s">
        <v>47</v>
      </c>
      <c r="D41" s="14" t="s">
        <v>48</v>
      </c>
      <c r="E41" s="14" t="s">
        <v>49</v>
      </c>
      <c r="F41" s="14" t="s">
        <v>19</v>
      </c>
      <c r="G41" s="14" t="s">
        <v>13</v>
      </c>
      <c r="H41" s="14" t="s">
        <v>50</v>
      </c>
      <c r="I41" s="14" t="s">
        <v>7</v>
      </c>
      <c r="J41" s="14" t="s">
        <v>8</v>
      </c>
      <c r="K41" s="14" t="s">
        <v>9</v>
      </c>
      <c r="L41" s="14" t="s">
        <v>10</v>
      </c>
      <c r="M41" s="14" t="s">
        <v>11</v>
      </c>
      <c r="N41" s="14" t="s">
        <v>12</v>
      </c>
      <c r="O41" s="14" t="s">
        <v>51</v>
      </c>
      <c r="P41" s="14" t="s">
        <v>52</v>
      </c>
      <c r="Q41" s="14" t="s">
        <v>5</v>
      </c>
    </row>
    <row r="42" spans="2:18" x14ac:dyDescent="0.25">
      <c r="B42" s="11" t="s">
        <v>53</v>
      </c>
      <c r="C42" s="11" t="s">
        <v>58</v>
      </c>
      <c r="D42" s="11" t="s">
        <v>54</v>
      </c>
      <c r="E42" s="11" t="s">
        <v>55</v>
      </c>
      <c r="F42" s="11" t="s">
        <v>110</v>
      </c>
      <c r="G42" s="11" t="s">
        <v>110</v>
      </c>
      <c r="H42" s="11" t="s">
        <v>110</v>
      </c>
      <c r="I42" s="11" t="s">
        <v>16</v>
      </c>
      <c r="J42" s="11" t="s">
        <v>59</v>
      </c>
      <c r="K42" s="11" t="s">
        <v>114</v>
      </c>
      <c r="L42" s="11" t="s">
        <v>115</v>
      </c>
      <c r="M42" s="11" t="s">
        <v>116</v>
      </c>
      <c r="N42" s="11" t="s">
        <v>105</v>
      </c>
      <c r="O42" s="11" t="s">
        <v>56</v>
      </c>
      <c r="P42" s="11" t="s">
        <v>57</v>
      </c>
      <c r="Q42" s="18" t="s">
        <v>117</v>
      </c>
      <c r="R42" s="8" t="s">
        <v>6</v>
      </c>
    </row>
    <row r="45" spans="2:18" x14ac:dyDescent="0.25">
      <c r="B45" s="3" t="s">
        <v>67</v>
      </c>
      <c r="C45" s="4"/>
      <c r="D45" s="4"/>
      <c r="E45" s="4"/>
      <c r="F45" s="4"/>
      <c r="G45" s="4"/>
      <c r="H45" s="4"/>
    </row>
    <row r="46" spans="2:18" ht="6.95" customHeight="1" x14ac:dyDescent="0.25"/>
    <row r="47" spans="2:18" x14ac:dyDescent="0.25">
      <c r="B47" s="14" t="s">
        <v>7</v>
      </c>
      <c r="C47" s="14" t="s">
        <v>8</v>
      </c>
      <c r="D47" s="14" t="s">
        <v>9</v>
      </c>
      <c r="E47" s="14" t="s">
        <v>62</v>
      </c>
      <c r="F47" s="14" t="s">
        <v>11</v>
      </c>
      <c r="G47" s="14" t="s">
        <v>63</v>
      </c>
      <c r="H47" s="14" t="s">
        <v>5</v>
      </c>
    </row>
    <row r="48" spans="2:18" x14ac:dyDescent="0.25">
      <c r="B48" s="11" t="s">
        <v>16</v>
      </c>
      <c r="C48" s="11" t="s">
        <v>59</v>
      </c>
      <c r="D48" s="11" t="s">
        <v>114</v>
      </c>
      <c r="E48" s="11" t="s">
        <v>115</v>
      </c>
      <c r="F48" s="11" t="s">
        <v>116</v>
      </c>
      <c r="G48" s="11" t="s">
        <v>118</v>
      </c>
      <c r="H48" s="18" t="s">
        <v>119</v>
      </c>
      <c r="I48" s="8" t="s">
        <v>6</v>
      </c>
    </row>
    <row r="51" spans="2:9" x14ac:dyDescent="0.25">
      <c r="B51" s="3" t="s">
        <v>66</v>
      </c>
      <c r="C51" s="4"/>
      <c r="D51" s="4"/>
      <c r="E51" s="4"/>
      <c r="F51" s="4"/>
      <c r="G51" s="4"/>
      <c r="H51" s="4"/>
      <c r="I51" s="4"/>
    </row>
    <row r="52" spans="2:9" ht="6.95" customHeight="1" x14ac:dyDescent="0.25"/>
    <row r="53" spans="2:9" x14ac:dyDescent="0.25">
      <c r="B53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4C64-FF97-43E8-B558-F9EFF7F1C5DC}">
  <dimension ref="B2:I32"/>
  <sheetViews>
    <sheetView showGridLines="0" workbookViewId="0"/>
  </sheetViews>
  <sheetFormatPr defaultRowHeight="15" x14ac:dyDescent="0.25"/>
  <cols>
    <col min="2" max="2" width="10.28515625" bestFit="1" customWidth="1"/>
    <col min="3" max="3" width="12.85546875" bestFit="1" customWidth="1"/>
    <col min="4" max="4" width="15.5703125" bestFit="1" customWidth="1"/>
    <col min="5" max="5" width="15.28515625" bestFit="1" customWidth="1"/>
    <col min="6" max="6" width="15.5703125" bestFit="1" customWidth="1"/>
    <col min="7" max="7" width="15.28515625" bestFit="1" customWidth="1"/>
    <col min="8" max="9" width="15.5703125" bestFit="1" customWidth="1"/>
  </cols>
  <sheetData>
    <row r="2" spans="2:8" x14ac:dyDescent="0.25">
      <c r="B2" s="14" t="s">
        <v>76</v>
      </c>
      <c r="C2" s="14" t="s">
        <v>77</v>
      </c>
      <c r="D2" s="14" t="s">
        <v>83</v>
      </c>
      <c r="E2" s="24" t="s">
        <v>81</v>
      </c>
      <c r="F2" s="24" t="s">
        <v>82</v>
      </c>
    </row>
    <row r="3" spans="2:8" x14ac:dyDescent="0.25">
      <c r="B3" s="11" t="s">
        <v>80</v>
      </c>
      <c r="C3" s="11" t="s">
        <v>78</v>
      </c>
      <c r="D3" s="25" t="s">
        <v>18</v>
      </c>
      <c r="E3" s="2">
        <v>10</v>
      </c>
      <c r="F3" s="2">
        <v>10</v>
      </c>
    </row>
    <row r="6" spans="2:8" x14ac:dyDescent="0.25">
      <c r="B6" s="14" t="s">
        <v>76</v>
      </c>
      <c r="C6" s="14" t="s">
        <v>77</v>
      </c>
      <c r="D6" s="14" t="s">
        <v>83</v>
      </c>
      <c r="E6" s="24" t="s">
        <v>81</v>
      </c>
      <c r="F6" s="24" t="s">
        <v>82</v>
      </c>
    </row>
    <row r="7" spans="2:8" x14ac:dyDescent="0.25">
      <c r="B7" s="11" t="s">
        <v>80</v>
      </c>
      <c r="C7" s="11" t="s">
        <v>78</v>
      </c>
      <c r="D7" s="2">
        <v>100</v>
      </c>
      <c r="E7" s="2">
        <v>10</v>
      </c>
      <c r="F7" s="2">
        <v>5</v>
      </c>
    </row>
    <row r="8" spans="2:8" x14ac:dyDescent="0.25">
      <c r="B8" s="2" t="s">
        <v>80</v>
      </c>
      <c r="C8" s="2" t="s">
        <v>79</v>
      </c>
      <c r="D8" s="12" t="s">
        <v>18</v>
      </c>
      <c r="E8" s="2">
        <v>10</v>
      </c>
      <c r="F8" s="2">
        <v>5</v>
      </c>
    </row>
    <row r="11" spans="2:8" x14ac:dyDescent="0.25">
      <c r="B11" s="14" t="s">
        <v>76</v>
      </c>
      <c r="C11" s="14" t="s">
        <v>77</v>
      </c>
      <c r="D11" s="14" t="s">
        <v>83</v>
      </c>
      <c r="E11" s="14" t="s">
        <v>86</v>
      </c>
      <c r="F11" s="14" t="s">
        <v>87</v>
      </c>
      <c r="G11" s="24" t="s">
        <v>81</v>
      </c>
      <c r="H11" s="24" t="s">
        <v>82</v>
      </c>
    </row>
    <row r="12" spans="2:8" x14ac:dyDescent="0.25">
      <c r="B12" s="11" t="s">
        <v>80</v>
      </c>
      <c r="C12" s="11" t="s">
        <v>78</v>
      </c>
      <c r="D12" s="2">
        <v>100</v>
      </c>
      <c r="E12" s="74">
        <v>160</v>
      </c>
      <c r="F12" s="13">
        <f>D12/E12</f>
        <v>0.625</v>
      </c>
      <c r="G12" s="74">
        <v>10</v>
      </c>
      <c r="H12" s="2">
        <f>G12*F12</f>
        <v>6.25</v>
      </c>
    </row>
    <row r="13" spans="2:8" x14ac:dyDescent="0.25">
      <c r="B13" s="2" t="s">
        <v>80</v>
      </c>
      <c r="C13" s="2" t="s">
        <v>79</v>
      </c>
      <c r="D13" s="2">
        <v>40</v>
      </c>
      <c r="E13" s="75"/>
      <c r="F13" s="13">
        <f>D13/E12</f>
        <v>0.25</v>
      </c>
      <c r="G13" s="75"/>
      <c r="H13" s="2">
        <f>G12*F13</f>
        <v>2.5</v>
      </c>
    </row>
    <row r="14" spans="2:8" x14ac:dyDescent="0.25">
      <c r="B14" s="2" t="s">
        <v>80</v>
      </c>
      <c r="C14" s="2" t="s">
        <v>56</v>
      </c>
      <c r="D14" s="2">
        <v>20</v>
      </c>
      <c r="E14" s="75"/>
      <c r="F14" s="13">
        <f>D14/E12</f>
        <v>0.125</v>
      </c>
      <c r="G14" s="75"/>
      <c r="H14" s="2">
        <f>G12*F14</f>
        <v>1.25</v>
      </c>
    </row>
    <row r="15" spans="2:8" x14ac:dyDescent="0.25">
      <c r="B15" s="2" t="s">
        <v>80</v>
      </c>
      <c r="C15" s="2" t="s">
        <v>84</v>
      </c>
      <c r="D15" s="12" t="s">
        <v>18</v>
      </c>
      <c r="E15" s="75"/>
      <c r="F15" s="2" t="s">
        <v>20</v>
      </c>
      <c r="G15" s="75"/>
      <c r="H15" s="2">
        <v>0</v>
      </c>
    </row>
    <row r="16" spans="2:8" x14ac:dyDescent="0.25">
      <c r="B16" s="2" t="s">
        <v>80</v>
      </c>
      <c r="C16" s="2" t="s">
        <v>85</v>
      </c>
      <c r="D16" s="12" t="s">
        <v>18</v>
      </c>
      <c r="E16" s="76"/>
      <c r="F16" s="2" t="s">
        <v>20</v>
      </c>
      <c r="G16" s="76"/>
      <c r="H16" s="2">
        <v>0</v>
      </c>
    </row>
    <row r="17" spans="2:9" x14ac:dyDescent="0.25">
      <c r="G17" s="19" t="s">
        <v>88</v>
      </c>
      <c r="H17" s="19">
        <f>SUM(H12:H16)</f>
        <v>10</v>
      </c>
    </row>
    <row r="20" spans="2:9" x14ac:dyDescent="0.25">
      <c r="B20" s="1" t="s">
        <v>96</v>
      </c>
    </row>
    <row r="22" spans="2:9" x14ac:dyDescent="0.25">
      <c r="B22" s="14" t="s">
        <v>76</v>
      </c>
      <c r="C22" s="14" t="s">
        <v>77</v>
      </c>
      <c r="D22" s="14" t="s">
        <v>83</v>
      </c>
      <c r="E22" s="14" t="s">
        <v>86</v>
      </c>
      <c r="F22" s="24" t="s">
        <v>81</v>
      </c>
      <c r="G22" s="24" t="s">
        <v>95</v>
      </c>
      <c r="H22" s="14" t="s">
        <v>87</v>
      </c>
      <c r="I22" s="24" t="s">
        <v>82</v>
      </c>
    </row>
    <row r="23" spans="2:9" x14ac:dyDescent="0.25">
      <c r="B23" s="26" t="s">
        <v>80</v>
      </c>
      <c r="C23" s="26" t="s">
        <v>78</v>
      </c>
      <c r="D23" s="27">
        <v>100</v>
      </c>
      <c r="E23" s="28">
        <v>160</v>
      </c>
      <c r="F23" s="28">
        <v>20</v>
      </c>
      <c r="G23" s="28">
        <v>5</v>
      </c>
      <c r="H23" s="28">
        <f t="shared" ref="H23:H30" si="0">IF(E23=0,1/G23,D23/E23)</f>
        <v>0.625</v>
      </c>
      <c r="I23" s="28">
        <f>F23*H23</f>
        <v>12.5</v>
      </c>
    </row>
    <row r="24" spans="2:9" x14ac:dyDescent="0.25">
      <c r="B24" s="27" t="s">
        <v>80</v>
      </c>
      <c r="C24" s="27" t="s">
        <v>79</v>
      </c>
      <c r="D24" s="27">
        <v>40</v>
      </c>
      <c r="E24" s="28">
        <v>160</v>
      </c>
      <c r="F24" s="28">
        <v>20</v>
      </c>
      <c r="G24" s="28">
        <v>5</v>
      </c>
      <c r="H24" s="28">
        <f t="shared" si="0"/>
        <v>0.25</v>
      </c>
      <c r="I24" s="28">
        <f t="shared" ref="I24:I32" si="1">F24*H24</f>
        <v>5</v>
      </c>
    </row>
    <row r="25" spans="2:9" x14ac:dyDescent="0.25">
      <c r="B25" s="27" t="s">
        <v>80</v>
      </c>
      <c r="C25" s="27" t="s">
        <v>56</v>
      </c>
      <c r="D25" s="27">
        <v>20</v>
      </c>
      <c r="E25" s="28">
        <v>160</v>
      </c>
      <c r="F25" s="28">
        <v>20</v>
      </c>
      <c r="G25" s="28">
        <v>5</v>
      </c>
      <c r="H25" s="28">
        <f t="shared" si="0"/>
        <v>0.125</v>
      </c>
      <c r="I25" s="28">
        <f t="shared" si="1"/>
        <v>2.5</v>
      </c>
    </row>
    <row r="26" spans="2:9" x14ac:dyDescent="0.25">
      <c r="B26" s="27" t="s">
        <v>80</v>
      </c>
      <c r="C26" s="27" t="s">
        <v>84</v>
      </c>
      <c r="D26" s="29">
        <v>0</v>
      </c>
      <c r="E26" s="28">
        <v>160</v>
      </c>
      <c r="F26" s="28">
        <v>20</v>
      </c>
      <c r="G26" s="28">
        <v>5</v>
      </c>
      <c r="H26" s="28">
        <f t="shared" si="0"/>
        <v>0</v>
      </c>
      <c r="I26" s="28">
        <f t="shared" si="1"/>
        <v>0</v>
      </c>
    </row>
    <row r="27" spans="2:9" ht="15.75" thickBot="1" x14ac:dyDescent="0.3">
      <c r="B27" s="33" t="s">
        <v>80</v>
      </c>
      <c r="C27" s="33" t="s">
        <v>85</v>
      </c>
      <c r="D27" s="34">
        <v>0</v>
      </c>
      <c r="E27" s="35">
        <v>160</v>
      </c>
      <c r="F27" s="35">
        <v>20</v>
      </c>
      <c r="G27" s="35">
        <v>5</v>
      </c>
      <c r="H27" s="35">
        <f t="shared" si="0"/>
        <v>0</v>
      </c>
      <c r="I27" s="35">
        <f t="shared" si="1"/>
        <v>0</v>
      </c>
    </row>
    <row r="28" spans="2:9" x14ac:dyDescent="0.25">
      <c r="B28" s="30" t="s">
        <v>89</v>
      </c>
      <c r="C28" s="30" t="s">
        <v>78</v>
      </c>
      <c r="D28" s="31">
        <v>100</v>
      </c>
      <c r="E28" s="32">
        <v>100</v>
      </c>
      <c r="F28" s="32">
        <v>10</v>
      </c>
      <c r="G28" s="32">
        <v>2</v>
      </c>
      <c r="H28" s="32">
        <f t="shared" si="0"/>
        <v>1</v>
      </c>
      <c r="I28" s="32">
        <f t="shared" si="1"/>
        <v>10</v>
      </c>
    </row>
    <row r="29" spans="2:9" ht="15.75" thickBot="1" x14ac:dyDescent="0.3">
      <c r="B29" s="33" t="s">
        <v>89</v>
      </c>
      <c r="C29" s="33" t="s">
        <v>84</v>
      </c>
      <c r="D29" s="34">
        <v>0</v>
      </c>
      <c r="E29" s="35">
        <v>100</v>
      </c>
      <c r="F29" s="35">
        <v>10</v>
      </c>
      <c r="G29" s="35">
        <v>2</v>
      </c>
      <c r="H29" s="35">
        <f t="shared" si="0"/>
        <v>0</v>
      </c>
      <c r="I29" s="35">
        <f t="shared" si="1"/>
        <v>0</v>
      </c>
    </row>
    <row r="30" spans="2:9" ht="15.75" thickBot="1" x14ac:dyDescent="0.3">
      <c r="B30" s="36" t="s">
        <v>90</v>
      </c>
      <c r="C30" s="36" t="s">
        <v>91</v>
      </c>
      <c r="D30" s="37">
        <v>0</v>
      </c>
      <c r="E30" s="38">
        <v>0</v>
      </c>
      <c r="F30" s="38">
        <v>5</v>
      </c>
      <c r="G30" s="38">
        <v>1</v>
      </c>
      <c r="H30" s="38">
        <f t="shared" si="0"/>
        <v>1</v>
      </c>
      <c r="I30" s="38">
        <f t="shared" si="1"/>
        <v>5</v>
      </c>
    </row>
    <row r="31" spans="2:9" x14ac:dyDescent="0.25">
      <c r="B31" s="31" t="s">
        <v>92</v>
      </c>
      <c r="C31" s="31" t="s">
        <v>93</v>
      </c>
      <c r="D31" s="31">
        <v>0</v>
      </c>
      <c r="E31" s="31">
        <v>0</v>
      </c>
      <c r="F31" s="31">
        <v>15</v>
      </c>
      <c r="G31" s="31">
        <v>2</v>
      </c>
      <c r="H31" s="31">
        <f>IF(E31=0,1/G31,D31/E31)</f>
        <v>0.5</v>
      </c>
      <c r="I31" s="31">
        <f t="shared" si="1"/>
        <v>7.5</v>
      </c>
    </row>
    <row r="32" spans="2:9" x14ac:dyDescent="0.25">
      <c r="B32" s="27" t="s">
        <v>92</v>
      </c>
      <c r="C32" s="27" t="s">
        <v>94</v>
      </c>
      <c r="D32" s="27">
        <v>0</v>
      </c>
      <c r="E32" s="27">
        <v>0</v>
      </c>
      <c r="F32" s="27">
        <v>15</v>
      </c>
      <c r="G32" s="27">
        <v>2</v>
      </c>
      <c r="H32" s="27">
        <f t="shared" ref="H32" si="2">IF(E32=0,1/G32,D32/E32)</f>
        <v>0.5</v>
      </c>
      <c r="I32" s="27">
        <f t="shared" si="1"/>
        <v>7.5</v>
      </c>
    </row>
  </sheetData>
  <mergeCells count="2">
    <mergeCell ref="G12:G16"/>
    <mergeCell ref="E12:E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97EC8F-8856-4E11-8ECA-2CEE33EFA5C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59599B01-17F3-4C9B-B894-AF98886E5F80}"/>
</file>

<file path=customXml/itemProps3.xml><?xml version="1.0" encoding="utf-8"?>
<ds:datastoreItem xmlns:ds="http://schemas.openxmlformats.org/officeDocument/2006/customXml" ds:itemID="{D9EADC39-9340-449E-A930-554F1B0EB3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LT002</vt:lpstr>
      <vt:lpstr>Campos a testar</vt:lpstr>
      <vt:lpstr>Campos vs IT</vt:lpstr>
      <vt:lpstr>NW_BSNSS</vt:lpstr>
      <vt:lpstr>CNCLLD_INSTRMNT_STTS</vt:lpstr>
      <vt:lpstr>CNCLLD (outros exemplos)</vt:lpstr>
      <vt:lpstr>1.2</vt:lpstr>
      <vt:lpstr>1.3</vt:lpstr>
      <vt:lpstr>1.4</vt:lpstr>
      <vt:lpstr>Logica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dcterms:created xsi:type="dcterms:W3CDTF">2025-05-15T15:26:40Z</dcterms:created>
  <dcterms:modified xsi:type="dcterms:W3CDTF">2025-07-03T09:46:41Z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2025-05-15T15:33:49Z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26b89ab9-afb2-4bcd-b82b-b3bf25274dd6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