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400" documentId="8_{0CB8BFDA-6B02-4C84-89A7-5DAB7F42CADD}" xr6:coauthVersionLast="47" xr6:coauthVersionMax="47" xr10:uidLastSave="{E23CA161-F01F-4C4A-8852-B51D18F4AFB2}"/>
  <bookViews>
    <workbookView xWindow="-120" yWindow="-120" windowWidth="29040" windowHeight="15720" tabRatio="945" activeTab="1" xr2:uid="{00000000-000D-0000-FFFF-FFFF00000000}"/>
  </bookViews>
  <sheets>
    <sheet name="All Fields" sheetId="16" r:id="rId1"/>
    <sheet name="nw_bsnss" sheetId="7" r:id="rId2"/>
    <sheet name="GRSS_CMMSSN_INCM" sheetId="12" r:id="rId3"/>
    <sheet name="GRSS_CMMSSN_EXPNS" sheetId="13" r:id="rId4"/>
    <sheet name="GRSS_CMMSSN_INCM_OFF_BLNC" sheetId="15" r:id="rId5"/>
    <sheet name="GRSS_CMMSSN_EXPNS_OFF_BLNC" sheetId="25" r:id="rId6"/>
  </sheets>
  <definedNames>
    <definedName name="_xlnm._FilterDatabase" localSheetId="0" hidden="1">'All Fields'!#REF!</definedName>
    <definedName name="_xlnm._FilterDatabase" localSheetId="1" hidden="1">nw_bsnss!$B$18:$E$18</definedName>
  </definedNames>
  <calcPr calcId="191029"/>
  <pivotCaches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<sst xmlns="http://schemas.openxmlformats.org/spreadsheetml/2006/main" count="581" uniqueCount="153">
  <si>
    <t>instrmnt_id</t>
  </si>
  <si>
    <t>N</t>
  </si>
  <si>
    <t>Query</t>
  </si>
  <si>
    <t>instrmnt_id_sim</t>
  </si>
  <si>
    <t>nok</t>
  </si>
  <si>
    <t>99999999999.00</t>
  </si>
  <si>
    <t>0</t>
  </si>
  <si>
    <t>0.00</t>
  </si>
  <si>
    <t/>
  </si>
  <si>
    <t>val_instrmnt</t>
  </si>
  <si>
    <t>count(*)</t>
  </si>
  <si>
    <t>ok</t>
  </si>
  <si>
    <t>exclusivo CDG</t>
  </si>
  <si>
    <t>exclusivo 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</si>
  <si>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</si>
  <si>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0.41</t>
  </si>
  <si>
    <t>ver</t>
  </si>
  <si>
    <t>ID</t>
  </si>
  <si>
    <t>val_nw_bsnss</t>
  </si>
  <si>
    <t>val_grss_cmmssn_incm</t>
  </si>
  <si>
    <t>val_grss_cmmssn_expns</t>
  </si>
  <si>
    <t>val_grss_cmmssn_incm_off_blnc</t>
  </si>
  <si>
    <t>val_grss_cmmssn_expns_off_blnc</t>
  </si>
  <si>
    <t>nw_bsnss_sim</t>
  </si>
  <si>
    <t>nw_bsnss_it</t>
  </si>
  <si>
    <t>Y</t>
  </si>
  <si>
    <t>Default value not allowed</t>
  </si>
  <si>
    <t>ID 1</t>
  </si>
  <si>
    <t>NOK - Sim vs IT</t>
  </si>
  <si>
    <t>c008_patrm_jan</t>
  </si>
  <si>
    <t>c011_patrm_jan</t>
  </si>
  <si>
    <t>c008_extrap_jan</t>
  </si>
  <si>
    <t>c011_extrap_jan</t>
  </si>
  <si>
    <t>c008_patrm_fev</t>
  </si>
  <si>
    <t>c011_patrm_fev</t>
  </si>
  <si>
    <t>c008_extrap_fev</t>
  </si>
  <si>
    <t>c011_extrap_fev</t>
  </si>
  <si>
    <t>c008_patrm_mar</t>
  </si>
  <si>
    <t>c011_patrm_mar</t>
  </si>
  <si>
    <t>c008_extrap_mar</t>
  </si>
  <si>
    <t>c011_extrap_mar</t>
  </si>
  <si>
    <t>c001_patrm_jan</t>
  </si>
  <si>
    <t>c134_patrm_jan</t>
  </si>
  <si>
    <t>c001_extrap_jan</t>
  </si>
  <si>
    <t>c001_patrm_dez</t>
  </si>
  <si>
    <t>c134_patrm_dez</t>
  </si>
  <si>
    <t>c001_extrap_dez</t>
  </si>
  <si>
    <t>c001_patrm_fev</t>
  </si>
  <si>
    <t>c134_patrm_fev</t>
  </si>
  <si>
    <t>c001_extrap_fev</t>
  </si>
  <si>
    <t>c001_patrm_mar</t>
  </si>
  <si>
    <t>c134_patrm_mar</t>
  </si>
  <si>
    <t>c001_extrap_mar</t>
  </si>
  <si>
    <t>nw_bsnss_aux</t>
  </si>
  <si>
    <t>Condição 1</t>
  </si>
  <si>
    <t>Condição 2</t>
  </si>
  <si>
    <t>Condição 3</t>
  </si>
  <si>
    <t>Condição 4</t>
  </si>
  <si>
    <t>Parametrização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</si>
  <si>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</si>
  <si>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GRSS_CMMSSN_INCM_cdg=GRSS_CMMSSN_INCM_it then 'ok'
        when GRSS_CMMSSN_INCM_cdg&lt;&gt;GRSS_CMMSSN_INCM_it then 'nok'
        else 'ver' 
    end as val_GRSS_CMMSSN_INCM,
    count(*)
from
    (
    select distinct
        instrmnt_id as instrmnt_id_cdg,
        GRSS_CMMSSN_INCM as GRSS_CMMSSN_INCM_cdg
    from BU_CAPTOOLS_WORK.UNIV_LT_GD_PARTE3_AUX13
    ) a
full join
    (
    select distinct
        instrmnt_id as instrmnt_id_it,
        GRSS_CMMSSN_INCM as GRSS_CMMSSN_INCM_it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</si>
  <si>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instrmnt_id_cdg</t>
  </si>
  <si>
    <t>grss_cmmssn_incm_cdg</t>
  </si>
  <si>
    <t>grss_cmmssn_incm_it</t>
  </si>
  <si>
    <t>31000320012208096000000000000000</t>
  </si>
  <si>
    <t>9.7</t>
  </si>
  <si>
    <t>31000300197902007100089490230000</t>
  </si>
  <si>
    <t>31000300133261007100085999420000</t>
  </si>
  <si>
    <t>2.16</t>
  </si>
  <si>
    <t>82000000000232975000420000731454</t>
  </si>
  <si>
    <t>26.64</t>
  </si>
  <si>
    <t>31000346047734020000000000000000</t>
  </si>
  <si>
    <t>51.95</t>
  </si>
  <si>
    <t>31000314349319096000000000000000</t>
  </si>
  <si>
    <t>105.22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</si>
  <si>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GRSS_CMMSSN_INCM_cdg=GRSS_CMMSSN_INCM_it then 'ok'
        when GRSS_CMMSSN_INCM_cdg&lt;&gt;GRSS_CMMSSN_INCM_it then 'nok'
        else 'ver' 
    end as val_GRSS_CMMSSN_INCM,
    *
from
    (
    select distinct
        instrmnt_id as instrmnt_id_cdg,
        GRSS_CMMSSN_INCM as GRSS_CMMSSN_INCM_cdg
    from BU_CAPTOOLS_WORK.UNIV_LT_GD_PARTE3_AUX13
    ) a
full join
    (
    select distinct
        instrmnt_id as instrmnt_id_it,
        GRSS_CMMSSN_INCM as GRSS_CMMSSN_INCM_it
    from bu_loantape_work.lt002_instrument
    where ref_date = '2025-03-31'
    and ambito = 'GD'
    and segmento = 'ESTR'
    and nome_perimetro = 'Individual Corporativo'
    and cod_visao = 1
    ) b
        on a.instrmnt_id_cdg = b.instrmnt_id_it
-- group by 1,2
-- order by 3 desc
)
select distinct 
    instrmnt_id_cdg,
    val_grss_cmmssn_incm,
    grss_cmmssn_incm_cdg,
    GRSS_CMMSSN_INCM_it
from dg 
where val_grss_cmmssn_incm = 'nok'
limit 6</t>
  </si>
  <si>
    <t>Diferenças no campo GRSS_CMMSSN_INCM da lt002_instrument</t>
  </si>
  <si>
    <t>A coluna "GRSS_CMMSSN_INCM_it" indica o valor na execução da equipa de IT enquanto que a coluna "GRSS_CMMSSN_INCM_sim"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</si>
  <si>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GRSS_CMMSSN_EXPNS_cdg=GRSS_CMMSSN_EXPNS_it then 'ok'
        when GRSS_CMMSSN_EXPNS_cdg&lt;&gt;GRSS_CMMSSN_EXPNS_it then 'nok'
        else 'ver' 
    end as val_GRSS_CMMSSN_EXPNS,
    count(*)
from
    (
    select distinct
        instrmnt_id as instrmnt_id_cdg,
        GRSS_CMMSSN_EXPNS as GRSS_CMMSSN_EXPNS_cdg
    from BU_CAPTOOLS_WORK.UNIV_LT_GD_PARTE3_AUX13
    ) a
full join
    (
    select distinct
        instrmnt_id as instrmnt_id_it,
        GRSS_CMMSSN_EXPNS as GRSS_CMMSSN_EXPNS_it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</si>
  <si>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Diferenças no campo GRSS_CMMSSN_EXPNS da lt002_instrument</t>
  </si>
  <si>
    <t>A coluna "GRSS_CMMSSN_EXPNS_it" indica o valor na execução da equipa de IT enquanto que a coluna "GRSS_CMMSSN_EXPNS_sim" indica o valor obtido na simulação da equipa de testes.</t>
  </si>
  <si>
    <t>grss_cmmssn_expns_cdg</t>
  </si>
  <si>
    <t>grss_cmmssn_expns_it</t>
  </si>
  <si>
    <t>31000315197121096000000000000000</t>
  </si>
  <si>
    <t>11.26</t>
  </si>
  <si>
    <t>31000318280239096000000000000000</t>
  </si>
  <si>
    <t>61.53</t>
  </si>
  <si>
    <t>31000314767874096000000000000000</t>
  </si>
  <si>
    <t>7.03</t>
  </si>
  <si>
    <t>31000316773722096000000000000000</t>
  </si>
  <si>
    <t>137.91</t>
  </si>
  <si>
    <t>31000303964383096000000000000000</t>
  </si>
  <si>
    <t>0.23</t>
  </si>
  <si>
    <t>31000307139826096000000000000000</t>
  </si>
  <si>
    <t>8.02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</si>
  <si>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GRSS_CMMSSN_EXPNS_cdg=GRSS_CMMSSN_EXPNS_it then 'ok'
        when GRSS_CMMSSN_EXPNS_cdg&lt;&gt;GRSS_CMMSSN_EXPNS_it then 'nok'
        else 'ver' 
    end as val_GRSS_CMMSSN_EXPNS,
    *
from
    (
    select distinct
        instrmnt_id as instrmnt_id_cdg,
        GRSS_CMMSSN_EXPNS as GRSS_CMMSSN_EXPNS_cdg
    from BU_CAPTOOLS_WORK.UNIV_LT_GD_PARTE3_AUX13
    ) a
full join
    (
    select distinct
        instrmnt_id as instrmnt_id_it,
        GRSS_CMMSSN_EXPNS as GRSS_CMMSSN_EXPNS_it
    from bu_loantape_work.lt002_instrument
    where ref_date = '2025-03-31'
    and ambito = 'GD'
    and segmento = 'ESTR'
    and nome_perimetro = 'Individual Corporativo'
    and cod_visao = 1
    ) b
        on a.instrmnt_id_cdg = b.instrmnt_id_it
-- group by 1,2
-- order by 3 desc
)
select distinct 
    instrmnt_id_cdg,
    val_GRSS_CMMSSN_EXPNS,
    GRSS_CMMSSN_EXPNS_cdg,
    GRSS_CMMSSN_EXPNS_it
from dg 
where val_GRSS_CMMSSN_EXPNS = 'nok'
limit 6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</si>
  <si>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GRSS_CMMSSN_INCM_OFF_BLNC_cdg=GRSS_CMMSSN_INCM_OFF_BLNC_it then 'ok'
        when GRSS_CMMSSN_INCM_OFF_BLNC_cdg&lt;&gt;GRSS_CMMSSN_INCM_OFF_BLNC_it then 'nok'
        else 'ver' 
    end as val_GRSS_CMMSSN_INCM_OFF_BLNC,
    count(*)
from
    (
    select distinct
        instrmnt_id as instrmnt_id_cdg,
        GRSS_CMMSSN_INCM_OFF_BLNC as GRSS_CMMSSN_INCM_OFF_BLNC_cdg
    from BU_CAPTOOLS_WORK.UNIV_LT_GD_PARTE3_AUX13
    ) a
full join
    (
    select distinct
        instrmnt_id as instrmnt_id_it,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</si>
  <si>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grss_cmmssn_incm_off_blnc_cdg</t>
  </si>
  <si>
    <t>grss_cmmssn_incm_off_blnc_it</t>
  </si>
  <si>
    <t>31000318604049097000000000000000</t>
  </si>
  <si>
    <t>18.75</t>
  </si>
  <si>
    <t>56.25</t>
  </si>
  <si>
    <t>31000000000000000962304880372930</t>
  </si>
  <si>
    <t>20</t>
  </si>
  <si>
    <t>40.00</t>
  </si>
  <si>
    <t>31000000000000000962304880117210</t>
  </si>
  <si>
    <t>200.2</t>
  </si>
  <si>
    <t>400.40</t>
  </si>
  <si>
    <t>31025200970000805000000000000000</t>
  </si>
  <si>
    <t>42.17</t>
  </si>
  <si>
    <t>126.51</t>
  </si>
  <si>
    <t>31000000000000000962304880339710</t>
  </si>
  <si>
    <t>11.5</t>
  </si>
  <si>
    <t>23.00</t>
  </si>
  <si>
    <t>31000000000000000962304880386800</t>
  </si>
  <si>
    <t>55</t>
  </si>
  <si>
    <t>110.00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</si>
  <si>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GRSS_CMMSSN_INCM_OFF_BLNC_cdg=GRSS_CMMSSN_INCM_OFF_BLNC_it then 'ok'
        when GRSS_CMMSSN_INCM_OFF_BLNC_cdg&lt;&gt;GRSS_CMMSSN_INCM_OFF_BLNC_it then 'nok'
        else 'ver' 
    end as val_GRSS_CMMSSN_INCM_OFF_BLNC,
    *
from
    (
    select distinct
        instrmnt_id as instrmnt_id_cdg,
        GRSS_CMMSSN_INCM_OFF_BLNC as GRSS_CMMSSN_INCM_OFF_BLNC_cdg
    from BU_CAPTOOLS_WORK.UNIV_LT_GD_PARTE3_AUX13
    ) a
full join
    (
    select distinct
        instrmnt_id as instrmnt_id_it,
        GRSS_CMMSSN_INCM_OFF_BLNC as GRSS_CMMSSN_INCM_OFF_BLNC_it
    from bu_loantape_work.lt002_instrument
    where ref_date = '2025-03-31'
    and ambito = 'GD'
    and segmento = 'ESTR'
    and nome_perimetro = 'Individual Corporativo'
    and cod_visao = 1
    ) b
        on a.instrmnt_id_cdg = b.instrmnt_id_it
-- group by 1,2
-- order by 3 desc
)
select distinct 
    instrmnt_id_cdg,
    val_GRSS_CMMSSN_INCM_OFF_BLNC,
    GRSS_CMMSSN_INCM_OFF_BLNC_cdg,
    GRSS_CMMSSN_INCM_OFF_BLNC_it
from dg 
where val_GRSS_CMMSSN_INCM_OFF_BLNC = 'nok'
limit 6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</si>
  <si>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GRSS_CMMSSN_EXPNS_OFF_BLNC_cdg=GRSS_CMMSSN_EXPNS_OFF_BLNC_it then 'ok'
        when GRSS_CMMSSN_EXPNS_OFF_BLNC_cdg&lt;&gt;GRSS_CMMSSN_EXPNS_OFF_BLNC_it then 'nok'
        else 'ver' 
    end as val_GRSS_CMMSSN_EXPNS_OFF_BLNC,
    count(*)
from
    (
    select distinct
        instrmnt_id as instrmnt_id_cdg,
        GRSS_CMMSSN_EXPNS_OFF_BLNC as GRSS_CMMSSN_EXPNS_OFF_BLNC_cdg
    from BU_CAPTOOLS_WORK.UNIV_LT_GD_PARTE3_AUX13
    ) a
full join
    (
    select distinct
        instrmnt_id as instrmnt_id_it,
        GRSS_CMMSSN_EXPNS_OFF_BLNC as GRSS_CMMSSN_EXPNS_OFF_BLNC_it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</si>
  <si>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grss_cmmssn_expns_off_blnc_cdg</t>
  </si>
  <si>
    <t>grss_cmmssn_expns_off_blnc_it</t>
  </si>
  <si>
    <t>31000346715173020000000000000000</t>
  </si>
  <si>
    <t>31663600350227330363603502273300</t>
  </si>
  <si>
    <t>31663600350228637363603502286370</t>
  </si>
  <si>
    <t>31663600350237473363603502374730</t>
  </si>
  <si>
    <t>31000036222460001000000000000000</t>
  </si>
  <si>
    <t>31663600350237535363603502375350</t>
  </si>
  <si>
    <t>with dg as 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GRSS_CMMSSN_EXPNS_OFF_BLNC_cdg=GRSS_CMMSSN_EXPNS_OFF_BLNC_it then 'ok'
        when GRSS_CMMSSN_EXPNS_OFF_BLNC_cdg&lt;&gt;GRSS_CMMSSN_EXPNS_OFF_BLNC_it then 'nok'
        else 'ver' 
    end as val_GRSS_CMMSSN_EXPNS_OFF_BLNC,
    *
from
    (
    select distinct
        instrmnt_id as instrmnt_id_cdg,
        GRSS_CMMSSN_EXPNS_OFF_BLNC as GRSS_CMMSSN_EXPNS_OFF_BLNC_cdg
    from BU_CAPTOOLS_WORK.UNIV_LT_GD_PARTE3_AUX13
    ) a
full join
    (
    select distinct
        instrmnt_id as instrmnt_id_it,
        GRSS_CMMSSN_EXPNS_OFF_BLNC as GRSS_CMMSSN_EXPNS_OFF_BLNC_it
    from bu_loantape_work.lt002_instrument
    where ref_date = '2025-03-31'
    and ambito = 'GD'
    and segmento = 'ESTR'
    and nome_perimetro = 'Individual Corporativo'
    and cod_visao = 1
    ) b
        on a.instrmnt_id_cdg = b.instrmnt_id_it
-- group by 1,2
-- order by 3 desc
)
select distinct 
    instrmnt_id_cdg,
    val_GRSS_CMMSSN_EXPNS_OFF_BLNC,
    GRSS_CMMSSN_EXPNS_OFF_BLNC_cdg,
    GRSS_CMMSSN_EXPNS_OFF_BLNC_it
from dg 
where val_GRSS_CMMSSN_EXPNS_OFF_BLNC = 'nok'
limit 6</t>
  </si>
  <si>
    <t>0.0000</t>
  </si>
  <si>
    <t>ID 2</t>
  </si>
  <si>
    <t>ID 3</t>
  </si>
  <si>
    <t>31000011614898541000000000000000</t>
  </si>
  <si>
    <t>31000300166519007100087549720000</t>
  </si>
  <si>
    <t>31000317989053096000000000000000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</si>
  <si>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BU_CAPTOOLS_WORK.UNIV_LT_GD_PARTE3_AUX13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
    instrmnt_id_sim,
    nw_bsnss_sim,
    nw_bsnss_it
from dg
where val_nw_bsnss = 'nok'
and nw_bsnss_sim = 'Y'
and nw_bsnss_it = 'N'
-- group by 1,2
limit 3</t>
  </si>
  <si>
    <t>SNCN00004748</t>
  </si>
  <si>
    <t>SNCN00000117</t>
  </si>
  <si>
    <t>SNCN00001935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</si>
  <si>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BU_CAPTOOLS_WORK.UNIV_LT_GD_PARTE3_AUX13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
    instrmnt_id_sim,
    nw_bsnss_sim,
    nw_bsnss_it
from dg
where val_nw_bsnss = 'nok'
and nw_bsnss_sim = 'N'
and nw_bsnss_it = 'Default value not allowed'
-- group by 1,2
limit 3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</si>
  <si>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 
        when instrmnt_id_cdg is null and instrmnt_id_it is not null then 'exclusivo IT'
        when instrmnt_id_cdg is not null and instrmnt_id_it is null then 'exclusivo CDG'
        when nw_bsnss_cdg=nw_bsnss_it then 'ok' 
        when nw_bsnss_cdg&lt;&gt;nw_bsnss_it then 'nok' 
        else 'ver'
    end as val_nw_bsnss,
    case 
        when instrmnt_id_cdg is null and instrmnt_id_it is not null then 'exclusivo IT'
        when instrmnt_id_cdg is not null and instrmnt_id_it is null then 'exclusivo CDG'
        when GRSS_CMMSSN_INCM_cdg=GRSS_CMMSSN_INCM_it then 'ok' 
        when GRSS_CMMSSN_INCM_cdg&lt;&gt;GRSS_CMMSSN_INCM_it then 'nok' 
        else 'ver' 
    end as val_GRSS_CMMSSN_INCM,
    case 
        when instrmnt_id_cdg is null and instrmnt_id_it is not null then 'exclusivo IT'
        when instrmnt_id_cdg is not null and instrmnt_id_it is null then 'exclusivo CDG'
        when GRSS_CMMSSN_EXPNS_cdg=GRSS_CMMSSN_EXPNS_it then 'ok' 
        when GRSS_CMMSSN_EXPNS_cdg&lt;&gt;GRSS_CMMSSN_EXPNS_it then 'nok' 
        else 'ver' 
    end as val_GRSS_CMMSSN_EXPNS,
    case 
        when instrmnt_id_cdg is null and instrmnt_id_it is not null then 'exclusivo IT'
        when instrmnt_id_cdg is not null and instrmnt_id_it is null then 'exclusivo CDG'
        when GRSS_CMMSSN_INCM_OFF_BLNC_cdg=GRSS_CMMSSN_INCM_OFF_BLNC_it then 'ok' 
        when GRSS_CMMSSN_INCM_OFF_BLNC_cdg&lt;&gt;GRSS_CMMSSN_INCM_OFF_BLNC_it then 'nok' 
        else 'ver' 
    end as val_GRSS_CMMSSN_INCM_OFF_BLNC,
    case 
        when instrmnt_id_cdg is null and instrmnt_id_it is not null then 'exclusivo IT'
        when instrmnt_id_cdg is not null and instrmnt_id_it is null then 'exclusivo CDG'
        when GRSS_CMMSSN_EXPNS_OFF_BLNC_cdg=GRSS_CMMSSN_EXPNS_OFF_BLNC_it then 'ok' 
        when GRSS_CMMSSN_EXPNS_OFF_BLNC_cdg&lt;&gt;GRSS_CMMSSN_EXPNS_OFF_BLNC_it then 'nok' 
        else 'ver' 
    end as val_GRSS_CMMSSN_EXPNS_OFF_BLNC,
    -- case 
    --     when instrmnt_id_cdg is null and instrmnt_id_it is not null then 'exclusivo IT'
    --     when instrmnt_id_cdg is not null and instrmnt_id_it is null then 'exclusivo CDG'
    --     when SSTNBL_CTGRY_cdg=SSTNBL_CTGRY_it then 'ok' 
    --     when SSTNBL_CTGRY_cdg&lt;&gt;SSTNBL_CTGRY_it then 'nok' 
    --     else 'ver' 
    -- end as val_SSTNBL_CTGRY,
    count(*)
from
    (
    select distinct
        instrmnt_id as instrmnt_id_cdg,
        nw_bsnss as nw_bsnss_cdg,
        GRSS_CMMSSN_INCM as GRSS_CMMSSN_INCM_cdg,
        GRSS_CMMSSN_EXPNS as GRSS_CMMSSN_EXPNS_cdg,
        GRSS_CMMSSN_INCM_OFF_BLNC as GRSS_CMMSSN_INCM_OFF_BLNC_cdg,
        GRSS_CMMSSN_EXPNS_OFF_BLNC as GRSS_CMMSSN_EXPNS_OFF_BLNC_cdg
        -- SSTNBL_CTGRY as SSTNBL_CTGRY_cdg
    from BU_CAPTOOLS_WORK.UNIV_LT_GD_PARTE3_AUX13
    ) a
full join
    (
    select distinct
        instrmnt_id as instrmnt_id_it,
        nw_bsnss as nw_bsnss_it,
        GRSS_CMMSSN_INCM as GRSS_CMMSSN_INCM_it,
        GRSS_CMMSSN_EXPNS as GRSS_CMMSSN_EXPNS_it,
        GRSS_CMMSSN_INCM_OFF_BLNC as GRSS_CMMSSN_INCM_OFF_BLNC_it,
        GRSS_CMMSSN_EXPNS_OFF_BLNC as GRSS_CMMSSN_EXPNS_OFF_BLNC_it
        -- SSTNBL_CTGRY as SSTNBL_CTGRY_it
    from bu_loantape_work.lt002_instrument
    where ref_date = '2025-03-31'
    and ambito = 'GD'
    and segmento = 'ESTR'
    and nome_perimetro = 'Individual Corporativo'
    and cod_visao = 1
    ) b
        on a.instrmnt_id_cdg = b.instrmnt_id_it
group by 1,2,3,4,5,6
order by 7 desc
;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</si>
  <si>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 
        when instrmnt_id_cdg is null and instrmnt_id_it is not null then 'exclusivo IT'
        when instrmnt_id_cdg is not null and instrmnt_id_it is null then 'exclusivo CDG'
        when nw_bsnss_cdg=nw_bsnss_it then 'ok' 
        when nw_bsnss_cdg&lt;&gt;nw_bsnss_it then 'nok' 
        else 'ver'
    end as val_nw_bsnss,
    case 
        when instrmnt_id_cdg is null and instrmnt_id_it is not null then 'exclusivo IT'
        when instrmnt_id_cdg is not null and instrmnt_id_it is null then 'exclusivo CDG'
        when abs(GRSS_CMMSSN_INCM_cdg-GRSS_CMMSSN_INCM_it) &lt; 0.01 then 'ok'
        when abs(GRSS_CMMSSN_INCM_cdg-GRSS_CMMSSN_INCM_it) &gt; 0.01 then 'nok'
        else 'ver' 
    end as val_GRSS_CMMSSN_INCM,
    case 
        when instrmnt_id_cdg is null and instrmnt_id_it is not null then 'exclusivo IT'
        when instrmnt_id_cdg is not null and instrmnt_id_it is null then 'exclusivo CDG'
        when abs(GRSS_CMMSSN_EXPNS_cdg-GRSS_CMMSSN_EXPNS_it) &lt; 0.01 then 'ok' 
        when abs(GRSS_CMMSSN_EXPNS_cdg-GRSS_CMMSSN_EXPNS_it) &gt; 0.01 then 'nok' 
        else 'ver' 
    end as val_GRSS_CMMSSN_EXPNS,
    case 
        when instrmnt_id_cdg is null and instrmnt_id_it is not null then 'exclusivo IT'
        when instrmnt_id_cdg is not null and instrmnt_id_it is null then 'exclusivo CDG'
        when abs(GRSS_CMMSSN_INCM_OFF_BLNC_cdg-GRSS_CMMSSN_INCM_OFF_BLNC_it) &lt; 0.01 then 'ok' 
        when abs(GRSS_CMMSSN_INCM_OFF_BLNC_cdg-GRSS_CMMSSN_INCM_OFF_BLNC_it) &gt; 0.01 then 'nok' 
        else 'ver' 
    end as val_GRSS_CMMSSN_INCM_OFF_BLNC,
    case 
        when instrmnt_id_cdg is null and instrmnt_id_it is not null then 'exclusivo IT'
        when instrmnt_id_cdg is not null and instrmnt_id_it is null then 'exclusivo CDG'
        when abs(GRSS_CMMSSN_EXPNS_OFF_BLNC_cdg-GRSS_CMMSSN_EXPNS_OFF_BLNC_it) &lt; 0.01 then 'ok' 
        when abs(GRSS_CMMSSN_EXPNS_OFF_BLNC_cdg-GRSS_CMMSSN_EXPNS_OFF_BLNC_it) &gt; 0.01 then 'nok' 
        else 'ver' 
    end as val_GRSS_CMMSSN_EXPNS_OFF_BLNC,
    count(*)
from
    (
    select distinct
        instrmnt_id as instrmnt_id_cdg,
        nw_bsnss as nw_bsnss_cdg,
        ROUND(GRSS_CMMSSN_INCM,2) as GRSS_CMMSSN_INCM_cdg,
        ROUND(GRSS_CMMSSN_EXPNS,2) as GRSS_CMMSSN_EXPNS_cdg,
        ROUND(GRSS_CMMSSN_INCM_OFF_BLNC,2) as GRSS_CMMSSN_INCM_OFF_BLNC_cdg,
        ROUND(GRSS_CMMSSN_EXPNS_OFF_BLNC,2) as GRSS_CMMSSN_EXPNS_OFF_BLNC_cdg
    from BU_CAPTOOLS_WORK.UNIV_LT_GD_PARTE3_AUX13
    ) a
full join
    (
    select distinct
        instrmnt_id as instrmnt_id_it,
        nw_bsnss as nw_bsnss_it,
        ROUND(GRSS_CMMSSN_INCM,2) as GRSS_CMMSSN_INCM_it,
        ROUND(GRSS_CMMSSN_EXPNS,2) as GRSS_CMMSSN_EXPNS_it,
        ROUND(GRSS_CMMSSN_INCM_OFF_BLNC,2) as GRSS_CMMSSN_INCM_OFF_BLNC_it,
        ROUND(GRSS_CMMSSN_EXPNS_OFF_BLNC,2) as GRSS_CMMSSN_EXPNS_OFF_BLNC_it
    from bu_loantape_work.lt002_instrument
    where ref_date = '2025-03-31'
    and ambito = 'GD'
    and segmento = 'ESTR'
    and nome_perimetro = 'Individual Corporativo'
    and cod_visao = 1
    ) b
        on a.instrmnt_id_cdg = b.instrmnt_id_it
group by 1,2,3,4,5,6
order by 7 desc
;</t>
  </si>
  <si>
    <t>Grand Total</t>
  </si>
  <si>
    <t>Sum of count(*)</t>
  </si>
  <si>
    <t>Total</t>
  </si>
  <si>
    <t>Com absoluto</t>
  </si>
  <si>
    <t>val_instrmnt_id</t>
  </si>
  <si>
    <t>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NW_BSNSS_sim = NW_BSNSS_it then 'ok'
        when NW_BSNSS_sim &lt;&gt; NW_BSNSS_it then 'nok'
        else 'ver'
    end as val_NW_BSNSS,
    count(*)
from
    (
    select distinct
        instrmnt_id as instrmnt_id_sim,
        NW_BSNSS as NW_BSNSS_sim
    from BU_CAPTOOLS_WORK.UNIV_LT_GD_PARTE3_AUX12_v2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a.instrmnt_id_sim = b.instrmnt_id_it
group by 1,2
order by 3 desc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</si>
  <si>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NW_BSNSS_sim = NW_BSNSS_it then 'ok'
        when NW_BSNSS_sim &lt;&gt; NW_BSNSS_it then 'nok'
        else 'ver'
    end as val_NW_BSNSS,
    *
from
    (
    select distinct
        instrmnt_id as instrmnt_id_sim,
        NW_BSNSS as NW_BSNSS_sim
    from BU_CAPTOOLS_WORK.UNIV_LT_GD_PARTE3_AUX12_v2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a.instrmnt_id_sim = b.instrmnt_id_it
)
select 
    nw_bsnss_sim,
    nw_bsnss_it,
    count(*)
from dg 
where val_nw_bsnss = 'nok'
group by 1,2
order by 3 desc</t>
  </si>
  <si>
    <t>82000020180927520001520240636947</t>
  </si>
  <si>
    <t>82000020170003141001520240648513</t>
  </si>
  <si>
    <t>82000020240000765001520240682440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</si>
  <si>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val_instrmnt_id,
    case 
        when instrmnt_id_sim is null and instrmnt_id_it is not null then 'exclusivo IT'
        when instrmnt_id_sim is not null and instrmnt_id_it is null then 'exclusivo CDG'
        when NW_BSNSS_sim = NW_BSNSS_it then 'ok'
        when NW_BSNSS_sim &lt;&gt; NW_BSNSS_it then 'nok'
        else 'ver'
    end as val_NW_BSNSS,
    *
from
    (
    select distinct
        instrmnt_id as instrmnt_id_sim,
        NW_BSNSS as NW_BSNSS_sim
    from BU_CAPTOOLS_WORK.UNIV_LT_GD_PARTE3_AUX12_v2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a.instrmnt_id_sim = b.instrmnt_id_it
)
select distinct
    instrmnt_id_sim,
    nw_bsnss_sim,
    nw_bsnss_it
from dg 
where val_nw_bsnss = 'nok'
and nw_bsnss_sim = 'N'
and nw_bsnss_it = 'Y'   
limit 3</t>
  </si>
  <si>
    <t>SELECT DISTINCT 
    BASE.instrmnt_id,
    '1' as condição_1,
    NVL(RENT_JAN.C008_PATRM,0) as C008_PATRM_JAN, NVL(RENT_JAN.C011_PATRM,0) as C011_PATRM_JAN, 
    NVL(RENT_JAN.C008_EXTRAP,0) as C008_EXTRAP_JAN, NVL(RENT_JAN.C011_EXTRAP,0) as C011_EXTRAP_JAN, 
    NVL(RENT_FEV.C008_PATRM,0) as C008_PATRM_FEV, NVL(RENT_FEV.C011_PATRM,0) as C011_PATRM_FEV,
    NVL(RENT_FEV.C008_EXTRAP,0) as C008_EXTRAP_FEV, NVL(RENT_FEV.C011_EXTRAP,0) as C011_EXTRAP_FEV,
    NVL(RENT_MAR.C008_PATRM,0) as C008_PATRM_MAR, NVL(RENT_MAR.C011_PATRM,0) as C011_PATRM_MAR,
    NVL(RENT_MAR.C008_EXTRAP,0) as C008_EXTRAP_MAR, NVL(RENT_MAR.C011_EXTRAP,0) as C011_EXTRAP_MAR,
    '2' as condição_2,
    NVL(RENT_JAN.C001_PATRM,0) as C001_PATRM_JAN, NVL(RENT_JAN.C134_PATRM,0) as C134_PATRM_JAN,
    NVL(RENT_JAN.C001_EXTRAP,0) as C001_EXTRAP_JAN,
    NVL(RENT_DEZ.C001_PATRM,0) as C001_PATRM_DEZ, NVL(RENT_DEZ.C134_PATRM,0) as C134_PATRM_DEZ,
    NVL(RENT_DEZ.C001_EXTRAP,0) as C001_EXTRAP_DEZ,
    '3' as condição_3,
    NVL(RENT_FEV.C001_PATRM,0) as C001_PATRM_FEV, NVL(RENT_FEV.C134_PATRM,0) as C134_PATRM_FEV,
    NVL(RENT_FEV.C001_EXTRAP,0) as C001_EXTRAP_FEV,
    NVL(RENT_JAN.C001_PATRM,0) as C001_PATRM_JAN, NVL(RENT_JAN.C134_PATRM,0) as C134_PATRM_JAN,
    NVL(RENT_JAN.C001_EXTRAP,0) as C001_EXTRAP_JAN,
    '4' as condição_4,
    NVL(RENT_MAR.C001_PATRM,0) as C001_PATRM_MAR, NVL(RENT_MAR.C134_PATRM,0) as C134_PATRM_MAR,
    NVL(RENT_MAR.C001_EXTRAP,0) as C001_EXTRAP_MAR,
    NVL(RENT_FEV.C001_EXTRAP,0) as C001_EXTRAP_MAR, NVL(RENT_FEV.C134_PATRM,0) as C134_PATRM_FEV,
    NVL(RENT_FEV.C001_EXTRAP,0) as C001_EXTRAP_MAR,
    CASE
        WHEN 
            ((NVL(RENT_JAN.C008_PATRM,0) + NVL(RENT_JAN.C011_PATRM,0)
                +(NVL(RENT_JAN.C008_EXTRAP,0) + NVL(RENT_JAN.C011_EXTRAP,0)) 
            + (NVL(RENT_FEV.C008_PATRM,0) + NVL(RENT_FEV.C011_PATRM,0)) 
                + (NVL(RENT_FEV.C008_EXTRAP,0) + NVL(RENT_FEV.C011_EXTRAP,0)) 
            + (NVL(RENT_MAR.C008_PATRM,0) + NVL(RENT_MAR.C011_PATRM,0))) &gt; 0 
                + (NVL(RENT_MAR.C008_EXTRAP,0) + NVL(RENT_MAR.C011_EXTRAP,0))) 
            &gt; 0 
        OR
            (((NVL(RENT_JAN.C001_PATRM,0) + NVL(RENT_JAN.C134_PATRM,0))
                +(NVL(RENT_JAN.C001_EXTRAP,0)))
            - ((NVL(RENT_DEZ.C001_PATRM,0) + NVL(RENT_DEZ.C134_PATRM,0))
                +(NVL(RENT_DEZ.C001_EXTRAP,0))))
            &gt; 0
        OR
            (((NVL(RENT_FEV.C001_PATRM,0) + NVL(RENT_FEV.C134_PATRM,0)) 
                +(NVL(RENT_FEV.C001_EXTRAP,0)))
            - ((NVL(RENT_JAN.C001_PATRM,0) + NVL(RENT_JAN.C134_PATRM,0))
                + (NVL(RENT_JAN.C001_EXTRAP,0))))
            &gt; 0
        OR
            (((NVL(RENT_MAR.C001_PATRM,0) + NVL(RENT_MAR.C134_PATRM,0))
                +(NVL(RENT_MAR.C001_EXTRAP,0)))
            - ((NVL(RENT_FEV.C001_PATRM,0) + NVL(RENT_FEV.C134_PATRM,0))
                +(NVL(RENT_FEV.C001_EXTRAP,0))))
            &gt; 0
        THEN 1
        ELSE 0
    END AS NW_BSNSS_AUX
FROM BU_CAPTOOLS_WORK.UNIV_LT_GD_PARTE3_AUX13 BASE
INNER JOIN BU_CAPTOOLS_WORK.UNIV_LT_GD_PARTE3_AUX12 BASE2
ON BASE.INSTRMNT_ID = BASE2.instrmnt_id
AND BASE.bsnss_area = BASE2.bsnss_area
LEFT JOIN BU_CAPTOOLS_WORK.UNIV_RENTAB_MAR25 RENT_MAR
ON BASE2.CEMPCTA=RENT_MAR.CEMPCTA
AND BASE2.CKBALCAO=RENT_MAR.CKBALCAO
AND BASE2.CKNUMCTA=RENT_MAR.CKNUMCTA
AND BASE2.ZDEPOSIT_MIS=RENT_MAR.ZDEPOSIT
AND BASE2.CKAREA&lt;=&gt;RENT_MAR.CKAREA
LEFT JOIN BU_CAPTOOLS_WORK.UNIV_RENTAB_FEV25 RENT_FEV
ON BASE2.CEMPCTA=RENT_FEV.CEMPCTA
AND BASE2.CKBALCAO=RENT_FEV.CKBALCAO
AND BASE2.CKNUMCTA=RENT_FEV.CKNUMCTA
AND BASE2.ZDEPOSIT_MIS=RENT_FEV.ZDEPOSIT
AND BASE2.CKAREA&lt;=&gt;RENT_FEV.CKAREA
LEFT JOIN BU_CAPTOOLS_WORK.UNIV_RENTAB_JAN25 RENT_JAN
ON BASE2.CEMPCTA=RENT_JAN.CEMPCTA
AND BASE2.CKBALCAO=RENT_JAN.CKBALCAO
AND BASE2.CKNUMCTA=RENT_JAN.CKNUMCTA
AND BASE2.ZDEPOSIT_MIS=RENT_JAN.ZDEPOSIT
AND BASE2.CKAREA&lt;=&gt;RENT_JAN.CKAREA
LEFT JOIN BU_CAPTOOLS_WORK.UNIV_RENTAB_DEZ24 RENT_DEZ
ON BASE2.CEMPCTA=RENT_DEZ.CEMPCTA
AND BASE2.CKBALCAO=RENT_DEZ.CKBALCAO
AND BASE2.CKNUMCTA=RENT_DEZ.CKNUMCTA
AND BASE2.ZDEPOSIT_MIS=RENT_DEZ.ZDEPOSIT
AND BASE2.CKAREA&lt;=&gt;RENT_DEZ.CKAREA
where BASE.instrmnt_id = '82000020180927520001520240636947'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</si>
</sst>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3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0" fontId="0" fillId="4" borderId="3" xfId="0" applyFill="1" applyBorder="1"/>
    <xf numFmtId="0" fontId="3" fillId="0" borderId="2" xfId="0" applyFont="1" applyBorder="1"/>
    <xf numFmtId="49" fontId="0" fillId="0" borderId="3" xfId="0" applyNumberFormat="1" applyBorder="1"/>
    <xf numFmtId="49" fontId="2" fillId="2" borderId="6" xfId="0" applyNumberFormat="1" applyFont="1" applyFill="1" applyBorder="1" applyAlignment="1">
      <alignment horizontal="center" vertical="center"/>
    </xf>
    <xf numFmtId="0" fontId="0" fillId="4" borderId="0" xfId="0" applyFill="1"/>
    <xf numFmtId="49" fontId="0" fillId="0" borderId="9" xfId="0" applyNumberFormat="1" applyBorder="1"/>
    <xf numFmtId="49" fontId="0" fillId="4" borderId="3" xfId="0" applyNumberFormat="1" applyFill="1" applyBorder="1"/>
    <xf numFmtId="0" fontId="0" fillId="0" borderId="0" xfId="0" pivotButton="1"/>
    <xf numFmtId="3" fontId="0" fillId="0" borderId="0" xfId="0" applyNumberFormat="1"/>
    <xf numFmtId="0" fontId="3" fillId="0" borderId="0" xfId="0" applyFont="1"/>
    <xf numFmtId="0" fontId="0" fillId="5" borderId="3" xfId="0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4" borderId="3" xfId="0" applyFill="1" applyBorder="1" applyAlignment="1"/>
    <xf numFmtId="0" fontId="0" fillId="4" borderId="5" xfId="0" applyFill="1" applyBorder="1" applyAlignment="1"/>
    <xf numFmtId="49" fontId="0" fillId="4" borderId="3" xfId="0" applyNumberFormat="1" applyFill="1" applyBorder="1" applyAlignment="1"/>
    <xf numFmtId="0" fontId="0" fillId="4" borderId="0" xfId="0" applyFill="1" applyAlignment="1"/>
  </cellXfs>
  <cellStyles count="2">
    <cellStyle name="Normal" xfId="0" builtinId="0"/>
    <cellStyle name="Normal 3" xfId="1" xr:uid="{B34F77E9-209E-4CE7-8E8F-370AD7685ED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  <xdr:twoCellAnchor editAs="oneCell">
    <xdr:from>
      <xdr:col>6</xdr:col>
      <xdr:colOff>1400175</xdr:colOff>
      <xdr:row>10</xdr:row>
      <xdr:rowOff>114300</xdr:rowOff>
    </xdr:from>
    <xdr:to>
      <xdr:col>14</xdr:col>
      <xdr:colOff>439263</xdr:colOff>
      <xdr:row>26</xdr:row>
      <xdr:rowOff>173743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3F48FF9-B4D3-4417-A211-E5128E180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1762125"/>
          <a:ext cx="7744938" cy="2897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55.372012615742" createdVersion="8" refreshedVersion="8" minRefreshableVersion="3" recordCount="14" xr:uid="{F818DFBB-F9AA-4E82-A863-BFCADAA0C7A1}">
  <cacheSource type="worksheet">
    <worksheetSource ref="B7:H21" sheet="All Fields"/>
  </cacheSource>
  <cacheFields count="7">
    <cacheField name="val_instrmnt" numFmtId="0">
      <sharedItems/>
    </cacheField>
    <cacheField name="val_nw_bsnss" numFmtId="0">
      <sharedItems/>
    </cacheField>
    <cacheField name="val_grss_cmmssn_incm" numFmtId="0">
      <sharedItems count="4">
        <s v="ok"/>
        <s v="nok"/>
        <s v="exclusivo CDG"/>
        <s v="exclusivo IT"/>
      </sharedItems>
    </cacheField>
    <cacheField name="val_grss_cmmssn_expns" numFmtId="0">
      <sharedItems/>
    </cacheField>
    <cacheField name="val_grss_cmmssn_incm_off_blnc" numFmtId="0">
      <sharedItems/>
    </cacheField>
    <cacheField name="val_grss_cmmssn_expns_off_blnc" numFmtId="0">
      <sharedItems/>
    </cacheField>
    <cacheField name="count(*)" numFmtId="3">
      <sharedItems containsSemiMixedTypes="0" containsString="0" containsNumber="1" containsInteger="1" minValue="2" maxValue="14975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55.372409953707" createdVersion="8" refreshedVersion="8" minRefreshableVersion="3" recordCount="20" xr:uid="{4F8F2DD5-06FD-4D34-AD0A-90D9F96D529D}">
  <cacheSource type="worksheet">
    <worksheetSource ref="B27:H47" sheet="All Fields"/>
  </cacheSource>
  <cacheFields count="7">
    <cacheField name="val_instrmnt" numFmtId="0">
      <sharedItems/>
    </cacheField>
    <cacheField name="val_nw_bsnss" numFmtId="0">
      <sharedItems/>
    </cacheField>
    <cacheField name="val_grss_cmmssn_incm" numFmtId="0">
      <sharedItems count="5">
        <s v="ok"/>
        <s v="nok"/>
        <s v="exclusivo CDG"/>
        <s v="ver"/>
        <s v="exclusivo IT"/>
      </sharedItems>
    </cacheField>
    <cacheField name="val_grss_cmmssn_expns" numFmtId="0">
      <sharedItems/>
    </cacheField>
    <cacheField name="val_grss_cmmssn_incm_off_blnc" numFmtId="0">
      <sharedItems/>
    </cacheField>
    <cacheField name="val_grss_cmmssn_expns_off_blnc" numFmtId="0">
      <sharedItems/>
    </cacheField>
    <cacheField name="count(*)" numFmtId="3">
      <sharedItems containsSemiMixedTypes="0" containsString="0" containsNumber="1" containsInteger="1" minValue="1" maxValue="1497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ok"/>
    <s v="ok"/>
    <x v="0"/>
    <s v="ok"/>
    <s v="ok"/>
    <s v="ok"/>
    <n v="1497527"/>
  </r>
  <r>
    <s v="ok"/>
    <s v="ok"/>
    <x v="1"/>
    <s v="ok"/>
    <s v="ok"/>
    <s v="ok"/>
    <n v="542248"/>
  </r>
  <r>
    <s v="ok"/>
    <s v="ok"/>
    <x v="1"/>
    <s v="nok"/>
    <s v="ok"/>
    <s v="ok"/>
    <n v="134081"/>
  </r>
  <r>
    <s v="exclusivo CDG"/>
    <s v="exclusivo CDG"/>
    <x v="2"/>
    <s v="exclusivo CDG"/>
    <s v="exclusivo CDG"/>
    <s v="exclusivo CDG"/>
    <n v="105752"/>
  </r>
  <r>
    <s v="ok"/>
    <s v="nok"/>
    <x v="0"/>
    <s v="ok"/>
    <s v="ok"/>
    <s v="ok"/>
    <n v="13358"/>
  </r>
  <r>
    <s v="ok"/>
    <s v="ok"/>
    <x v="0"/>
    <s v="ok"/>
    <s v="nok"/>
    <s v="ok"/>
    <n v="9723"/>
  </r>
  <r>
    <s v="ok"/>
    <s v="ok"/>
    <x v="1"/>
    <s v="ok"/>
    <s v="nok"/>
    <s v="ok"/>
    <n v="8759"/>
  </r>
  <r>
    <s v="ok"/>
    <s v="ok"/>
    <x v="0"/>
    <s v="nok"/>
    <s v="ok"/>
    <s v="ok"/>
    <n v="4659"/>
  </r>
  <r>
    <s v="ok"/>
    <s v="nok"/>
    <x v="0"/>
    <s v="ok"/>
    <s v="ver"/>
    <s v="ok"/>
    <n v="769"/>
  </r>
  <r>
    <s v="ok"/>
    <s v="nok"/>
    <x v="1"/>
    <s v="ok"/>
    <s v="ok"/>
    <s v="ok"/>
    <n v="372"/>
  </r>
  <r>
    <s v="ok"/>
    <s v="nok"/>
    <x v="1"/>
    <s v="nok"/>
    <s v="ok"/>
    <s v="ok"/>
    <n v="194"/>
  </r>
  <r>
    <s v="exclusivo IT"/>
    <s v="exclusivo IT"/>
    <x v="3"/>
    <s v="exclusivo IT"/>
    <s v="exclusivo IT"/>
    <s v="exclusivo IT"/>
    <n v="40"/>
  </r>
  <r>
    <s v="ok"/>
    <s v="nok"/>
    <x v="0"/>
    <s v="nok"/>
    <s v="ok"/>
    <s v="ok"/>
    <n v="23"/>
  </r>
  <r>
    <s v="ok"/>
    <s v="nok"/>
    <x v="0"/>
    <s v="ok"/>
    <s v="nok"/>
    <s v="ok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k"/>
    <s v="ok"/>
    <x v="0"/>
    <s v="ok"/>
    <s v="ok"/>
    <s v="ok"/>
    <n v="1497633"/>
  </r>
  <r>
    <s v="ok"/>
    <s v="ok"/>
    <x v="1"/>
    <s v="ok"/>
    <s v="ok"/>
    <s v="ok"/>
    <n v="539169"/>
  </r>
  <r>
    <s v="ok"/>
    <s v="ok"/>
    <x v="1"/>
    <s v="nok"/>
    <s v="ok"/>
    <s v="ok"/>
    <n v="134054"/>
  </r>
  <r>
    <s v="exclusivo CDG"/>
    <s v="exclusivo CDG"/>
    <x v="2"/>
    <s v="exclusivo CDG"/>
    <s v="exclusivo CDG"/>
    <s v="exclusivo CDG"/>
    <n v="105752"/>
  </r>
  <r>
    <s v="ok"/>
    <s v="nok"/>
    <x v="0"/>
    <s v="ok"/>
    <s v="ok"/>
    <s v="ok"/>
    <n v="13358"/>
  </r>
  <r>
    <s v="ok"/>
    <s v="ok"/>
    <x v="0"/>
    <s v="ok"/>
    <s v="nok"/>
    <s v="ok"/>
    <n v="9619"/>
  </r>
  <r>
    <s v="ok"/>
    <s v="ok"/>
    <x v="1"/>
    <s v="ok"/>
    <s v="nok"/>
    <s v="ok"/>
    <n v="8604"/>
  </r>
  <r>
    <s v="ok"/>
    <s v="ok"/>
    <x v="0"/>
    <s v="nok"/>
    <s v="ok"/>
    <s v="ok"/>
    <n v="4659"/>
  </r>
  <r>
    <s v="ok"/>
    <s v="ok"/>
    <x v="3"/>
    <s v="ok"/>
    <s v="ok"/>
    <s v="ok"/>
    <n v="3149"/>
  </r>
  <r>
    <s v="ok"/>
    <s v="nok"/>
    <x v="0"/>
    <s v="ok"/>
    <s v="ver"/>
    <s v="ok"/>
    <n v="769"/>
  </r>
  <r>
    <s v="ok"/>
    <s v="nok"/>
    <x v="1"/>
    <s v="ok"/>
    <s v="ok"/>
    <s v="ok"/>
    <n v="372"/>
  </r>
  <r>
    <s v="ok"/>
    <s v="nok"/>
    <x v="1"/>
    <s v="nok"/>
    <s v="ok"/>
    <s v="ok"/>
    <n v="194"/>
  </r>
  <r>
    <s v="ok"/>
    <s v="ok"/>
    <x v="1"/>
    <s v="ok"/>
    <s v="ver"/>
    <s v="ok"/>
    <n v="82"/>
  </r>
  <r>
    <s v="exclusivo IT"/>
    <s v="exclusivo IT"/>
    <x v="4"/>
    <s v="exclusivo IT"/>
    <s v="exclusivo IT"/>
    <s v="exclusivo IT"/>
    <n v="40"/>
  </r>
  <r>
    <s v="ok"/>
    <s v="nok"/>
    <x v="0"/>
    <s v="nok"/>
    <s v="ok"/>
    <s v="ok"/>
    <n v="23"/>
  </r>
  <r>
    <s v="ok"/>
    <s v="ok"/>
    <x v="1"/>
    <s v="ver"/>
    <s v="ok"/>
    <s v="ok"/>
    <n v="19"/>
  </r>
  <r>
    <s v="ok"/>
    <s v="ok"/>
    <x v="3"/>
    <s v="ver"/>
    <s v="ok"/>
    <s v="ok"/>
    <n v="6"/>
  </r>
  <r>
    <s v="ok"/>
    <s v="nok"/>
    <x v="0"/>
    <s v="ok"/>
    <s v="nok"/>
    <s v="ok"/>
    <n v="2"/>
  </r>
  <r>
    <s v="ok"/>
    <s v="ok"/>
    <x v="3"/>
    <s v="nok"/>
    <s v="ok"/>
    <s v="ok"/>
    <n v="2"/>
  </r>
  <r>
    <s v="ok"/>
    <s v="ok"/>
    <x v="0"/>
    <s v="ok"/>
    <s v="ver"/>
    <s v="ok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977BB-A20F-4171-A2D1-B6DBBDF2913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29:M36" firstHeaderRow="2" firstDataRow="2" firstDataCol="1"/>
  <pivotFields count="7">
    <pivotField compact="0" outline="0" showAll="0"/>
    <pivotField compact="0" outline="0" showAll="0"/>
    <pivotField axis="axisRow" compact="0" outline="0" showAll="0">
      <items count="6">
        <item x="2"/>
        <item x="4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3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unt(*)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145D7-02A1-426C-81F8-0AD69C1CCA7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7:M13" firstHeaderRow="2" firstDataRow="2" firstDataCol="1"/>
  <pivotFields count="7"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3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(*)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M47"/>
  <sheetViews>
    <sheetView showGridLines="0" workbookViewId="0"/>
  </sheetViews>
  <sheetFormatPr defaultRowHeight="15" x14ac:dyDescent="0.25"/>
  <cols>
    <col min="1" max="1" width="3.7109375" customWidth="1"/>
    <col min="2" max="2" width="16.28515625" bestFit="1" customWidth="1"/>
    <col min="3" max="3" width="19.7109375" bestFit="1" customWidth="1"/>
    <col min="4" max="4" width="21.85546875" bestFit="1" customWidth="1"/>
    <col min="5" max="5" width="22.85546875" bestFit="1" customWidth="1"/>
    <col min="6" max="7" width="32" bestFit="1" customWidth="1"/>
    <col min="8" max="8" width="31.42578125" bestFit="1" customWidth="1"/>
    <col min="12" max="12" width="24.140625" bestFit="1" customWidth="1"/>
    <col min="13" max="13" width="8.85546875" bestFit="1" customWidth="1"/>
  </cols>
  <sheetData>
    <row r="1" spans="1:13" x14ac:dyDescent="0.25">
      <c r="A1" s="1"/>
      <c r="B1" s="1"/>
      <c r="C1" s="1"/>
      <c r="D1" s="1"/>
      <c r="E1" s="1"/>
      <c r="F1" s="1"/>
    </row>
    <row r="2" spans="1:13" x14ac:dyDescent="0.25">
      <c r="A2" s="2"/>
      <c r="B2" s="2"/>
      <c r="C2" s="2"/>
      <c r="D2" s="2"/>
      <c r="E2" s="2"/>
      <c r="F2" s="2"/>
    </row>
    <row r="3" spans="1:13" x14ac:dyDescent="0.25">
      <c r="A3" s="3"/>
      <c r="B3" s="3"/>
      <c r="C3" s="3"/>
      <c r="D3" s="3"/>
      <c r="E3" s="3"/>
      <c r="F3" s="3"/>
    </row>
    <row r="4" spans="1:13" x14ac:dyDescent="0.25">
      <c r="A4" s="2"/>
      <c r="B4" s="2"/>
      <c r="C4" s="2"/>
      <c r="D4" s="2"/>
      <c r="E4" s="2"/>
      <c r="F4" s="2"/>
      <c r="G4" s="2"/>
      <c r="H4" s="2"/>
    </row>
    <row r="5" spans="1:13" ht="3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7" spans="1:13" x14ac:dyDescent="0.25">
      <c r="B7" s="16" t="s">
        <v>9</v>
      </c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6" t="s">
        <v>10</v>
      </c>
      <c r="I7" s="16" t="s">
        <v>2</v>
      </c>
      <c r="L7" s="26" t="s">
        <v>142</v>
      </c>
    </row>
    <row r="8" spans="1:13" x14ac:dyDescent="0.25"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8" t="s">
        <v>11</v>
      </c>
      <c r="H8" s="18">
        <v>1497527</v>
      </c>
      <c r="I8" s="19" t="s">
        <v>139</v>
      </c>
      <c r="J8" s="12" t="s">
        <v>8</v>
      </c>
      <c r="L8" s="26" t="s">
        <v>19</v>
      </c>
      <c r="M8" t="s">
        <v>143</v>
      </c>
    </row>
    <row r="9" spans="1:13" x14ac:dyDescent="0.25">
      <c r="B9" s="17" t="s">
        <v>11</v>
      </c>
      <c r="C9" s="17" t="s">
        <v>11</v>
      </c>
      <c r="D9" s="17" t="s">
        <v>4</v>
      </c>
      <c r="E9" s="17" t="s">
        <v>11</v>
      </c>
      <c r="F9" s="17" t="s">
        <v>11</v>
      </c>
      <c r="G9" s="18" t="s">
        <v>11</v>
      </c>
      <c r="H9" s="18">
        <v>542248</v>
      </c>
      <c r="L9" t="s">
        <v>12</v>
      </c>
      <c r="M9" s="27">
        <v>105752</v>
      </c>
    </row>
    <row r="10" spans="1:13" x14ac:dyDescent="0.25">
      <c r="B10" s="17" t="s">
        <v>11</v>
      </c>
      <c r="C10" s="17" t="s">
        <v>11</v>
      </c>
      <c r="D10" s="17" t="s">
        <v>4</v>
      </c>
      <c r="E10" s="17" t="s">
        <v>4</v>
      </c>
      <c r="F10" s="17" t="s">
        <v>11</v>
      </c>
      <c r="G10" s="18" t="s">
        <v>11</v>
      </c>
      <c r="H10" s="18">
        <v>134081</v>
      </c>
      <c r="L10" t="s">
        <v>13</v>
      </c>
      <c r="M10" s="27">
        <v>40</v>
      </c>
    </row>
    <row r="11" spans="1:13" x14ac:dyDescent="0.25">
      <c r="B11" s="17" t="s">
        <v>12</v>
      </c>
      <c r="C11" s="17" t="s">
        <v>12</v>
      </c>
      <c r="D11" s="17" t="s">
        <v>12</v>
      </c>
      <c r="E11" s="17" t="s">
        <v>12</v>
      </c>
      <c r="F11" s="17" t="s">
        <v>12</v>
      </c>
      <c r="G11" s="17" t="s">
        <v>12</v>
      </c>
      <c r="H11" s="18">
        <v>105752</v>
      </c>
      <c r="L11" t="s">
        <v>4</v>
      </c>
      <c r="M11" s="27">
        <v>685654</v>
      </c>
    </row>
    <row r="12" spans="1:13" x14ac:dyDescent="0.25">
      <c r="B12" s="17" t="s">
        <v>11</v>
      </c>
      <c r="C12" s="17" t="s">
        <v>4</v>
      </c>
      <c r="D12" s="17" t="s">
        <v>11</v>
      </c>
      <c r="E12" s="17" t="s">
        <v>11</v>
      </c>
      <c r="F12" s="17" t="s">
        <v>11</v>
      </c>
      <c r="G12" s="17" t="s">
        <v>11</v>
      </c>
      <c r="H12" s="18">
        <v>13358</v>
      </c>
      <c r="L12" t="s">
        <v>11</v>
      </c>
      <c r="M12" s="27">
        <v>1526061</v>
      </c>
    </row>
    <row r="13" spans="1:13" x14ac:dyDescent="0.25">
      <c r="B13" s="17" t="s">
        <v>11</v>
      </c>
      <c r="C13" s="17" t="s">
        <v>11</v>
      </c>
      <c r="D13" s="17" t="s">
        <v>11</v>
      </c>
      <c r="E13" s="17" t="s">
        <v>11</v>
      </c>
      <c r="F13" s="17" t="s">
        <v>4</v>
      </c>
      <c r="G13" s="17" t="s">
        <v>11</v>
      </c>
      <c r="H13" s="18">
        <v>9723</v>
      </c>
      <c r="L13" t="s">
        <v>141</v>
      </c>
      <c r="M13" s="27">
        <v>2317507</v>
      </c>
    </row>
    <row r="14" spans="1:13" x14ac:dyDescent="0.25">
      <c r="B14" s="17" t="s">
        <v>11</v>
      </c>
      <c r="C14" s="17" t="s">
        <v>11</v>
      </c>
      <c r="D14" s="17" t="s">
        <v>4</v>
      </c>
      <c r="E14" s="17" t="s">
        <v>11</v>
      </c>
      <c r="F14" s="17" t="s">
        <v>4</v>
      </c>
      <c r="G14" s="17" t="s">
        <v>11</v>
      </c>
      <c r="H14" s="18">
        <v>8759</v>
      </c>
    </row>
    <row r="15" spans="1:13" x14ac:dyDescent="0.25">
      <c r="B15" s="17" t="s">
        <v>11</v>
      </c>
      <c r="C15" s="17" t="s">
        <v>11</v>
      </c>
      <c r="D15" s="17" t="s">
        <v>11</v>
      </c>
      <c r="E15" s="17" t="s">
        <v>4</v>
      </c>
      <c r="F15" s="17" t="s">
        <v>11</v>
      </c>
      <c r="G15" s="17" t="s">
        <v>11</v>
      </c>
      <c r="H15" s="18">
        <v>4659</v>
      </c>
    </row>
    <row r="16" spans="1:13" x14ac:dyDescent="0.25">
      <c r="B16" s="17" t="s">
        <v>11</v>
      </c>
      <c r="C16" s="17" t="s">
        <v>4</v>
      </c>
      <c r="D16" s="17" t="s">
        <v>11</v>
      </c>
      <c r="E16" s="17" t="s">
        <v>11</v>
      </c>
      <c r="F16" s="17" t="s">
        <v>16</v>
      </c>
      <c r="G16" s="17" t="s">
        <v>11</v>
      </c>
      <c r="H16" s="18">
        <v>769</v>
      </c>
    </row>
    <row r="17" spans="2:13" x14ac:dyDescent="0.25">
      <c r="B17" s="17" t="s">
        <v>11</v>
      </c>
      <c r="C17" s="17" t="s">
        <v>4</v>
      </c>
      <c r="D17" s="17" t="s">
        <v>4</v>
      </c>
      <c r="E17" s="17" t="s">
        <v>11</v>
      </c>
      <c r="F17" s="17" t="s">
        <v>11</v>
      </c>
      <c r="G17" s="17" t="s">
        <v>11</v>
      </c>
      <c r="H17" s="18">
        <v>372</v>
      </c>
    </row>
    <row r="18" spans="2:13" x14ac:dyDescent="0.25">
      <c r="B18" s="17" t="s">
        <v>11</v>
      </c>
      <c r="C18" s="17" t="s">
        <v>4</v>
      </c>
      <c r="D18" s="17" t="s">
        <v>4</v>
      </c>
      <c r="E18" s="17" t="s">
        <v>4</v>
      </c>
      <c r="F18" s="17" t="s">
        <v>11</v>
      </c>
      <c r="G18" s="17" t="s">
        <v>11</v>
      </c>
      <c r="H18" s="18">
        <v>194</v>
      </c>
    </row>
    <row r="19" spans="2:13" x14ac:dyDescent="0.25">
      <c r="B19" s="17" t="s">
        <v>13</v>
      </c>
      <c r="C19" s="17" t="s">
        <v>13</v>
      </c>
      <c r="D19" s="17" t="s">
        <v>13</v>
      </c>
      <c r="E19" s="17" t="s">
        <v>13</v>
      </c>
      <c r="F19" s="17" t="s">
        <v>13</v>
      </c>
      <c r="G19" s="17" t="s">
        <v>13</v>
      </c>
      <c r="H19" s="18">
        <v>40</v>
      </c>
    </row>
    <row r="20" spans="2:13" x14ac:dyDescent="0.25">
      <c r="B20" s="17" t="s">
        <v>11</v>
      </c>
      <c r="C20" s="17" t="s">
        <v>4</v>
      </c>
      <c r="D20" s="17" t="s">
        <v>11</v>
      </c>
      <c r="E20" s="17" t="s">
        <v>4</v>
      </c>
      <c r="F20" s="17" t="s">
        <v>11</v>
      </c>
      <c r="G20" s="17" t="s">
        <v>11</v>
      </c>
      <c r="H20" s="18">
        <v>23</v>
      </c>
    </row>
    <row r="21" spans="2:13" x14ac:dyDescent="0.25">
      <c r="B21" s="17" t="s">
        <v>11</v>
      </c>
      <c r="C21" s="17" t="s">
        <v>4</v>
      </c>
      <c r="D21" s="17" t="s">
        <v>11</v>
      </c>
      <c r="E21" s="17" t="s">
        <v>11</v>
      </c>
      <c r="F21" s="17" t="s">
        <v>4</v>
      </c>
      <c r="G21" s="17" t="s">
        <v>11</v>
      </c>
      <c r="H21" s="18">
        <v>2</v>
      </c>
    </row>
    <row r="24" spans="2:13" x14ac:dyDescent="0.25">
      <c r="B24" s="28" t="s">
        <v>144</v>
      </c>
    </row>
    <row r="27" spans="2:13" x14ac:dyDescent="0.25">
      <c r="B27" s="16" t="s">
        <v>9</v>
      </c>
      <c r="C27" s="16" t="s">
        <v>18</v>
      </c>
      <c r="D27" s="16" t="s">
        <v>19</v>
      </c>
      <c r="E27" s="16" t="s">
        <v>20</v>
      </c>
      <c r="F27" s="16" t="s">
        <v>21</v>
      </c>
      <c r="G27" s="16" t="s">
        <v>22</v>
      </c>
      <c r="H27" s="16" t="s">
        <v>10</v>
      </c>
      <c r="I27" s="16" t="s">
        <v>2</v>
      </c>
    </row>
    <row r="28" spans="2:13" x14ac:dyDescent="0.25">
      <c r="B28" s="17" t="s">
        <v>11</v>
      </c>
      <c r="C28" s="17" t="s">
        <v>11</v>
      </c>
      <c r="D28" s="17" t="s">
        <v>11</v>
      </c>
      <c r="E28" s="17" t="s">
        <v>11</v>
      </c>
      <c r="F28" s="17" t="s">
        <v>11</v>
      </c>
      <c r="G28" s="17" t="s">
        <v>11</v>
      </c>
      <c r="H28" s="18">
        <v>1497633</v>
      </c>
      <c r="I28" s="19" t="s">
        <v>140</v>
      </c>
      <c r="J28" s="12" t="s">
        <v>8</v>
      </c>
    </row>
    <row r="29" spans="2:13" x14ac:dyDescent="0.25">
      <c r="B29" s="17" t="s">
        <v>11</v>
      </c>
      <c r="C29" s="17" t="s">
        <v>11</v>
      </c>
      <c r="D29" s="17" t="s">
        <v>4</v>
      </c>
      <c r="E29" s="17" t="s">
        <v>11</v>
      </c>
      <c r="F29" s="17" t="s">
        <v>11</v>
      </c>
      <c r="G29" s="17" t="s">
        <v>11</v>
      </c>
      <c r="H29" s="18">
        <v>539169</v>
      </c>
      <c r="L29" s="26" t="s">
        <v>142</v>
      </c>
    </row>
    <row r="30" spans="2:13" x14ac:dyDescent="0.25">
      <c r="B30" s="17" t="s">
        <v>11</v>
      </c>
      <c r="C30" s="17" t="s">
        <v>11</v>
      </c>
      <c r="D30" s="17" t="s">
        <v>4</v>
      </c>
      <c r="E30" s="17" t="s">
        <v>4</v>
      </c>
      <c r="F30" s="17" t="s">
        <v>11</v>
      </c>
      <c r="G30" s="17" t="s">
        <v>11</v>
      </c>
      <c r="H30" s="18">
        <v>134054</v>
      </c>
      <c r="L30" s="26" t="s">
        <v>19</v>
      </c>
      <c r="M30" t="s">
        <v>143</v>
      </c>
    </row>
    <row r="31" spans="2:13" x14ac:dyDescent="0.25">
      <c r="B31" s="17" t="s">
        <v>12</v>
      </c>
      <c r="C31" s="17" t="s">
        <v>12</v>
      </c>
      <c r="D31" s="17" t="s">
        <v>12</v>
      </c>
      <c r="E31" s="17" t="s">
        <v>12</v>
      </c>
      <c r="F31" s="17" t="s">
        <v>12</v>
      </c>
      <c r="G31" s="17" t="s">
        <v>12</v>
      </c>
      <c r="H31" s="18">
        <v>105752</v>
      </c>
      <c r="L31" t="s">
        <v>12</v>
      </c>
      <c r="M31" s="27">
        <v>105752</v>
      </c>
    </row>
    <row r="32" spans="2:13" x14ac:dyDescent="0.25">
      <c r="B32" s="17" t="s">
        <v>11</v>
      </c>
      <c r="C32" s="17" t="s">
        <v>4</v>
      </c>
      <c r="D32" s="17" t="s">
        <v>11</v>
      </c>
      <c r="E32" s="17" t="s">
        <v>11</v>
      </c>
      <c r="F32" s="17" t="s">
        <v>11</v>
      </c>
      <c r="G32" s="17" t="s">
        <v>11</v>
      </c>
      <c r="H32" s="18">
        <v>13358</v>
      </c>
      <c r="L32" t="s">
        <v>13</v>
      </c>
      <c r="M32" s="27">
        <v>40</v>
      </c>
    </row>
    <row r="33" spans="2:13" x14ac:dyDescent="0.25">
      <c r="B33" s="17" t="s">
        <v>11</v>
      </c>
      <c r="C33" s="17" t="s">
        <v>11</v>
      </c>
      <c r="D33" s="17" t="s">
        <v>11</v>
      </c>
      <c r="E33" s="17" t="s">
        <v>11</v>
      </c>
      <c r="F33" s="17" t="s">
        <v>4</v>
      </c>
      <c r="G33" s="17" t="s">
        <v>11</v>
      </c>
      <c r="H33" s="18">
        <v>9619</v>
      </c>
      <c r="L33" t="s">
        <v>4</v>
      </c>
      <c r="M33" s="27">
        <v>682494</v>
      </c>
    </row>
    <row r="34" spans="2:13" x14ac:dyDescent="0.25">
      <c r="B34" s="17" t="s">
        <v>11</v>
      </c>
      <c r="C34" s="17" t="s">
        <v>11</v>
      </c>
      <c r="D34" s="17" t="s">
        <v>4</v>
      </c>
      <c r="E34" s="17" t="s">
        <v>11</v>
      </c>
      <c r="F34" s="17" t="s">
        <v>4</v>
      </c>
      <c r="G34" s="17" t="s">
        <v>11</v>
      </c>
      <c r="H34" s="18">
        <v>8604</v>
      </c>
      <c r="L34" t="s">
        <v>11</v>
      </c>
      <c r="M34" s="27">
        <v>1526064</v>
      </c>
    </row>
    <row r="35" spans="2:13" x14ac:dyDescent="0.25">
      <c r="B35" s="17" t="s">
        <v>11</v>
      </c>
      <c r="C35" s="17" t="s">
        <v>11</v>
      </c>
      <c r="D35" s="17" t="s">
        <v>11</v>
      </c>
      <c r="E35" s="17" t="s">
        <v>4</v>
      </c>
      <c r="F35" s="17" t="s">
        <v>11</v>
      </c>
      <c r="G35" s="17" t="s">
        <v>11</v>
      </c>
      <c r="H35" s="18">
        <v>4659</v>
      </c>
      <c r="L35" t="s">
        <v>16</v>
      </c>
      <c r="M35" s="27">
        <v>3157</v>
      </c>
    </row>
    <row r="36" spans="2:13" x14ac:dyDescent="0.25">
      <c r="B36" s="17" t="s">
        <v>11</v>
      </c>
      <c r="C36" s="17" t="s">
        <v>11</v>
      </c>
      <c r="D36" s="17" t="s">
        <v>16</v>
      </c>
      <c r="E36" s="17" t="s">
        <v>11</v>
      </c>
      <c r="F36" s="17" t="s">
        <v>11</v>
      </c>
      <c r="G36" s="17" t="s">
        <v>11</v>
      </c>
      <c r="H36" s="18">
        <v>3149</v>
      </c>
      <c r="L36" t="s">
        <v>141</v>
      </c>
      <c r="M36" s="27">
        <v>2317507</v>
      </c>
    </row>
    <row r="37" spans="2:13" x14ac:dyDescent="0.25">
      <c r="B37" s="17" t="s">
        <v>11</v>
      </c>
      <c r="C37" s="17" t="s">
        <v>4</v>
      </c>
      <c r="D37" s="17" t="s">
        <v>11</v>
      </c>
      <c r="E37" s="17" t="s">
        <v>11</v>
      </c>
      <c r="F37" s="17" t="s">
        <v>16</v>
      </c>
      <c r="G37" s="17" t="s">
        <v>11</v>
      </c>
      <c r="H37" s="18">
        <v>769</v>
      </c>
    </row>
    <row r="38" spans="2:13" x14ac:dyDescent="0.25">
      <c r="B38" s="17" t="s">
        <v>11</v>
      </c>
      <c r="C38" s="17" t="s">
        <v>4</v>
      </c>
      <c r="D38" s="17" t="s">
        <v>4</v>
      </c>
      <c r="E38" s="17" t="s">
        <v>11</v>
      </c>
      <c r="F38" s="17" t="s">
        <v>11</v>
      </c>
      <c r="G38" s="17" t="s">
        <v>11</v>
      </c>
      <c r="H38" s="18">
        <v>372</v>
      </c>
    </row>
    <row r="39" spans="2:13" x14ac:dyDescent="0.25">
      <c r="B39" s="17" t="s">
        <v>11</v>
      </c>
      <c r="C39" s="17" t="s">
        <v>4</v>
      </c>
      <c r="D39" s="17" t="s">
        <v>4</v>
      </c>
      <c r="E39" s="17" t="s">
        <v>4</v>
      </c>
      <c r="F39" s="17" t="s">
        <v>11</v>
      </c>
      <c r="G39" s="17" t="s">
        <v>11</v>
      </c>
      <c r="H39" s="18">
        <v>194</v>
      </c>
    </row>
    <row r="40" spans="2:13" x14ac:dyDescent="0.25">
      <c r="B40" s="17" t="s">
        <v>11</v>
      </c>
      <c r="C40" s="17" t="s">
        <v>11</v>
      </c>
      <c r="D40" s="17" t="s">
        <v>4</v>
      </c>
      <c r="E40" s="17" t="s">
        <v>11</v>
      </c>
      <c r="F40" s="17" t="s">
        <v>16</v>
      </c>
      <c r="G40" s="17" t="s">
        <v>11</v>
      </c>
      <c r="H40" s="18">
        <v>82</v>
      </c>
    </row>
    <row r="41" spans="2:13" x14ac:dyDescent="0.25">
      <c r="B41" s="17" t="s">
        <v>13</v>
      </c>
      <c r="C41" s="17" t="s">
        <v>13</v>
      </c>
      <c r="D41" s="17" t="s">
        <v>13</v>
      </c>
      <c r="E41" s="17" t="s">
        <v>13</v>
      </c>
      <c r="F41" s="17" t="s">
        <v>13</v>
      </c>
      <c r="G41" s="17" t="s">
        <v>13</v>
      </c>
      <c r="H41" s="18">
        <v>40</v>
      </c>
    </row>
    <row r="42" spans="2:13" x14ac:dyDescent="0.25">
      <c r="B42" s="17" t="s">
        <v>11</v>
      </c>
      <c r="C42" s="17" t="s">
        <v>4</v>
      </c>
      <c r="D42" s="17" t="s">
        <v>11</v>
      </c>
      <c r="E42" s="17" t="s">
        <v>4</v>
      </c>
      <c r="F42" s="17" t="s">
        <v>11</v>
      </c>
      <c r="G42" s="17" t="s">
        <v>11</v>
      </c>
      <c r="H42" s="18">
        <v>23</v>
      </c>
    </row>
    <row r="43" spans="2:13" x14ac:dyDescent="0.25">
      <c r="B43" s="17" t="s">
        <v>11</v>
      </c>
      <c r="C43" s="17" t="s">
        <v>11</v>
      </c>
      <c r="D43" s="17" t="s">
        <v>4</v>
      </c>
      <c r="E43" s="17" t="s">
        <v>16</v>
      </c>
      <c r="F43" s="17" t="s">
        <v>11</v>
      </c>
      <c r="G43" s="17" t="s">
        <v>11</v>
      </c>
      <c r="H43" s="18">
        <v>19</v>
      </c>
    </row>
    <row r="44" spans="2:13" x14ac:dyDescent="0.25">
      <c r="B44" s="17" t="s">
        <v>11</v>
      </c>
      <c r="C44" s="17" t="s">
        <v>11</v>
      </c>
      <c r="D44" s="17" t="s">
        <v>16</v>
      </c>
      <c r="E44" s="17" t="s">
        <v>16</v>
      </c>
      <c r="F44" s="17" t="s">
        <v>11</v>
      </c>
      <c r="G44" s="17" t="s">
        <v>11</v>
      </c>
      <c r="H44" s="18">
        <v>6</v>
      </c>
    </row>
    <row r="45" spans="2:13" x14ac:dyDescent="0.25">
      <c r="B45" s="17" t="s">
        <v>11</v>
      </c>
      <c r="C45" s="17" t="s">
        <v>4</v>
      </c>
      <c r="D45" s="17" t="s">
        <v>11</v>
      </c>
      <c r="E45" s="17" t="s">
        <v>11</v>
      </c>
      <c r="F45" s="17" t="s">
        <v>4</v>
      </c>
      <c r="G45" s="17" t="s">
        <v>11</v>
      </c>
      <c r="H45" s="18">
        <v>2</v>
      </c>
    </row>
    <row r="46" spans="2:13" x14ac:dyDescent="0.25">
      <c r="B46" s="17" t="s">
        <v>11</v>
      </c>
      <c r="C46" s="17" t="s">
        <v>11</v>
      </c>
      <c r="D46" s="17" t="s">
        <v>16</v>
      </c>
      <c r="E46" s="17" t="s">
        <v>4</v>
      </c>
      <c r="F46" s="17" t="s">
        <v>11</v>
      </c>
      <c r="G46" s="17" t="s">
        <v>11</v>
      </c>
      <c r="H46" s="18">
        <v>2</v>
      </c>
    </row>
    <row r="47" spans="2:13" x14ac:dyDescent="0.25">
      <c r="B47" s="17" t="s">
        <v>11</v>
      </c>
      <c r="C47" s="17" t="s">
        <v>11</v>
      </c>
      <c r="D47" s="17" t="s">
        <v>11</v>
      </c>
      <c r="E47" s="17" t="s">
        <v>11</v>
      </c>
      <c r="F47" s="17" t="s">
        <v>16</v>
      </c>
      <c r="G47" s="17" t="s">
        <v>11</v>
      </c>
      <c r="H47" s="18">
        <v>1</v>
      </c>
    </row>
  </sheetData>
  <conditionalFormatting sqref="B8:H21 B24">
    <cfRule type="cellIs" dxfId="1" priority="2" operator="equal">
      <formula>"nok"</formula>
    </cfRule>
  </conditionalFormatting>
  <conditionalFormatting sqref="B28:H47">
    <cfRule type="containsText" dxfId="0" priority="1" operator="containsText" text="NOK">
      <formula>NOT(ISERROR(SEARCH("NOK",B28)))</formula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AI49"/>
  <sheetViews>
    <sheetView showGridLines="0" tabSelected="1" topLeftCell="A25" workbookViewId="0">
      <selection activeCell="D32" sqref="D32"/>
    </sheetView>
  </sheetViews>
  <sheetFormatPr defaultColWidth="8.85546875" defaultRowHeight="15" x14ac:dyDescent="0.25"/>
  <cols>
    <col min="1" max="1" width="3.7109375" customWidth="1"/>
    <col min="2" max="2" width="33.7109375" customWidth="1"/>
    <col min="3" max="4" width="24.28515625" bestFit="1" customWidth="1"/>
    <col min="5" max="5" width="19" bestFit="1" customWidth="1"/>
    <col min="6" max="7" width="21.5703125" bestFit="1" customWidth="1"/>
    <col min="8" max="9" width="15.140625" bestFit="1" customWidth="1"/>
    <col min="10" max="11" width="15.5703125" bestFit="1" customWidth="1"/>
    <col min="12" max="13" width="15.7109375" bestFit="1" customWidth="1"/>
    <col min="14" max="14" width="16.140625" bestFit="1" customWidth="1"/>
    <col min="15" max="16" width="15" bestFit="1" customWidth="1"/>
    <col min="17" max="19" width="15.42578125" bestFit="1" customWidth="1"/>
    <col min="20" max="20" width="15.85546875" bestFit="1" customWidth="1"/>
    <col min="21" max="22" width="15.140625" bestFit="1" customWidth="1"/>
    <col min="23" max="23" width="15.5703125" bestFit="1" customWidth="1"/>
    <col min="24" max="25" width="15" bestFit="1" customWidth="1"/>
    <col min="26" max="26" width="15.42578125" bestFit="1" customWidth="1"/>
    <col min="27" max="28" width="15.7109375" bestFit="1" customWidth="1"/>
    <col min="29" max="30" width="16.140625" bestFit="1" customWidth="1"/>
    <col min="31" max="31" width="15.140625" bestFit="1" customWidth="1"/>
    <col min="32" max="32" width="16.140625" bestFit="1" customWidth="1"/>
    <col min="33" max="33" width="13.85546875" bestFit="1" customWidth="1"/>
    <col min="34" max="34" width="6.42578125" bestFit="1" customWidth="1"/>
    <col min="35" max="35" width="15.140625" bestFit="1" customWidth="1"/>
    <col min="36" max="36" width="16.140625" bestFit="1" customWidth="1"/>
    <col min="37" max="37" width="13.85546875" bestFit="1" customWidth="1"/>
  </cols>
  <sheetData>
    <row r="1" spans="1:14" x14ac:dyDescent="0.25">
      <c r="A1" s="1"/>
      <c r="B1" s="1"/>
      <c r="C1" s="1"/>
      <c r="D1" s="1"/>
      <c r="E1" s="1"/>
      <c r="F1" s="1"/>
    </row>
    <row r="2" spans="1:14" x14ac:dyDescent="0.25">
      <c r="A2" s="2"/>
      <c r="B2" s="2"/>
      <c r="C2" s="2"/>
      <c r="D2" s="2"/>
      <c r="E2" s="2"/>
      <c r="F2" s="2"/>
    </row>
    <row r="3" spans="1:14" x14ac:dyDescent="0.25">
      <c r="A3" s="3"/>
      <c r="B3" s="3"/>
      <c r="C3" s="3"/>
      <c r="D3" s="3"/>
      <c r="E3" s="3"/>
      <c r="F3" s="3"/>
    </row>
    <row r="4" spans="1:14" x14ac:dyDescent="0.25">
      <c r="A4" s="2"/>
      <c r="B4" s="2"/>
      <c r="C4" s="2"/>
      <c r="D4" s="2"/>
      <c r="E4" s="2"/>
      <c r="F4" s="2"/>
      <c r="H4" s="30" t="s">
        <v>58</v>
      </c>
      <c r="I4" s="30"/>
      <c r="J4" s="30"/>
      <c r="K4" s="30"/>
      <c r="L4" s="30"/>
      <c r="M4" s="30"/>
      <c r="N4" s="30"/>
    </row>
    <row r="5" spans="1:14" ht="3" customHeight="1" x14ac:dyDescent="0.25">
      <c r="A5" s="4"/>
      <c r="B5" s="4"/>
      <c r="C5" s="4"/>
      <c r="D5" s="4"/>
      <c r="E5" s="4"/>
      <c r="F5" s="4"/>
      <c r="H5" s="29" t="s">
        <v>59</v>
      </c>
      <c r="I5" s="29"/>
      <c r="J5" s="29"/>
      <c r="K5" s="29"/>
      <c r="L5" s="29"/>
      <c r="M5" s="29"/>
      <c r="N5" s="29"/>
    </row>
    <row r="6" spans="1:14" x14ac:dyDescent="0.25">
      <c r="H6" s="29"/>
      <c r="I6" s="29"/>
      <c r="J6" s="29"/>
      <c r="K6" s="29"/>
      <c r="L6" s="29"/>
      <c r="M6" s="29"/>
      <c r="N6" s="29"/>
    </row>
    <row r="7" spans="1:14" x14ac:dyDescent="0.25">
      <c r="B7" s="5" t="s">
        <v>14</v>
      </c>
      <c r="C7" s="6"/>
      <c r="D7" s="6"/>
      <c r="E7" s="6"/>
      <c r="H7" s="29"/>
      <c r="I7" s="29"/>
      <c r="J7" s="29"/>
      <c r="K7" s="29"/>
      <c r="L7" s="29"/>
      <c r="M7" s="29"/>
      <c r="N7" s="29"/>
    </row>
    <row r="8" spans="1:14" ht="7.15" customHeight="1" x14ac:dyDescent="0.25">
      <c r="H8" s="29"/>
      <c r="I8" s="29"/>
      <c r="J8" s="29"/>
      <c r="K8" s="29"/>
      <c r="L8" s="29"/>
      <c r="M8" s="29"/>
      <c r="N8" s="29"/>
    </row>
    <row r="9" spans="1:14" x14ac:dyDescent="0.25">
      <c r="B9" s="16" t="s">
        <v>145</v>
      </c>
      <c r="C9" s="16" t="s">
        <v>18</v>
      </c>
      <c r="D9" s="16" t="s">
        <v>10</v>
      </c>
      <c r="E9" s="16" t="s">
        <v>2</v>
      </c>
      <c r="H9" s="29"/>
      <c r="I9" s="29"/>
      <c r="J9" s="29"/>
      <c r="K9" s="29"/>
      <c r="L9" s="29"/>
      <c r="M9" s="29"/>
      <c r="N9" s="29"/>
    </row>
    <row r="10" spans="1:14" x14ac:dyDescent="0.25">
      <c r="B10" s="17" t="s">
        <v>11</v>
      </c>
      <c r="C10" s="17" t="s">
        <v>11</v>
      </c>
      <c r="D10" s="18">
        <v>2196921</v>
      </c>
      <c r="E10" s="36" t="s">
        <v>146</v>
      </c>
      <c r="F10" s="12" t="s">
        <v>8</v>
      </c>
      <c r="H10" s="29"/>
      <c r="I10" s="29"/>
      <c r="J10" s="29"/>
      <c r="K10" s="29"/>
      <c r="L10" s="29"/>
      <c r="M10" s="29"/>
      <c r="N10" s="29"/>
    </row>
    <row r="11" spans="1:14" x14ac:dyDescent="0.25">
      <c r="B11" s="17" t="s">
        <v>12</v>
      </c>
      <c r="C11" s="17" t="s">
        <v>12</v>
      </c>
      <c r="D11" s="18">
        <v>99315</v>
      </c>
    </row>
    <row r="12" spans="1:14" x14ac:dyDescent="0.25">
      <c r="B12" s="17" t="s">
        <v>11</v>
      </c>
      <c r="C12" s="17" t="s">
        <v>4</v>
      </c>
      <c r="D12" s="18">
        <v>14718</v>
      </c>
    </row>
    <row r="13" spans="1:14" x14ac:dyDescent="0.25">
      <c r="B13" s="17" t="s">
        <v>13</v>
      </c>
      <c r="C13" s="17" t="s">
        <v>13</v>
      </c>
      <c r="D13" s="18">
        <v>116</v>
      </c>
    </row>
    <row r="16" spans="1:14" x14ac:dyDescent="0.25">
      <c r="B16" s="5" t="s">
        <v>28</v>
      </c>
      <c r="C16" s="6"/>
      <c r="D16" s="6"/>
      <c r="E16" s="6"/>
      <c r="F16" s="6"/>
    </row>
    <row r="17" spans="2:34" ht="7.15" customHeight="1" x14ac:dyDescent="0.25"/>
    <row r="18" spans="2:34" x14ac:dyDescent="0.25">
      <c r="B18" s="16" t="s">
        <v>17</v>
      </c>
      <c r="C18" s="16" t="s">
        <v>23</v>
      </c>
      <c r="D18" s="16" t="s">
        <v>24</v>
      </c>
      <c r="E18" s="16" t="s">
        <v>10</v>
      </c>
      <c r="F18" s="16" t="s">
        <v>2</v>
      </c>
    </row>
    <row r="19" spans="2:34" x14ac:dyDescent="0.25">
      <c r="B19" s="17">
        <v>1</v>
      </c>
      <c r="C19" s="17" t="s">
        <v>1</v>
      </c>
      <c r="D19" s="17" t="s">
        <v>25</v>
      </c>
      <c r="E19" s="17">
        <v>13512</v>
      </c>
      <c r="F19" s="37" t="s">
        <v>147</v>
      </c>
      <c r="G19" s="12" t="s">
        <v>8</v>
      </c>
    </row>
    <row r="20" spans="2:34" x14ac:dyDescent="0.25">
      <c r="B20" s="17">
        <v>2</v>
      </c>
      <c r="C20" s="17" t="s">
        <v>1</v>
      </c>
      <c r="D20" s="17" t="s">
        <v>26</v>
      </c>
      <c r="E20" s="17">
        <v>769</v>
      </c>
    </row>
    <row r="21" spans="2:34" x14ac:dyDescent="0.25">
      <c r="B21" s="17">
        <v>3</v>
      </c>
      <c r="C21" s="17" t="s">
        <v>25</v>
      </c>
      <c r="D21" s="17" t="s">
        <v>1</v>
      </c>
      <c r="E21" s="17">
        <v>437</v>
      </c>
    </row>
    <row r="24" spans="2:34" x14ac:dyDescent="0.25">
      <c r="B24" s="20" t="s">
        <v>27</v>
      </c>
      <c r="C24" s="6"/>
      <c r="D24" s="6"/>
      <c r="E24" s="6"/>
    </row>
    <row r="25" spans="2:34" ht="6.95" customHeight="1" x14ac:dyDescent="0.25">
      <c r="B25" s="7"/>
      <c r="C25" s="7"/>
      <c r="D25" s="7"/>
      <c r="E25" s="7"/>
    </row>
    <row r="26" spans="2:34" x14ac:dyDescent="0.25">
      <c r="B26" s="16" t="s">
        <v>3</v>
      </c>
      <c r="C26" s="16" t="s">
        <v>23</v>
      </c>
      <c r="D26" s="16" t="s">
        <v>24</v>
      </c>
      <c r="E26" s="16" t="s">
        <v>2</v>
      </c>
    </row>
    <row r="27" spans="2:34" x14ac:dyDescent="0.25">
      <c r="B27" s="21" t="s">
        <v>148</v>
      </c>
      <c r="C27" s="21" t="s">
        <v>1</v>
      </c>
      <c r="D27" s="21" t="s">
        <v>25</v>
      </c>
      <c r="E27" s="38" t="s">
        <v>151</v>
      </c>
      <c r="F27" s="12" t="s">
        <v>8</v>
      </c>
    </row>
    <row r="28" spans="2:34" x14ac:dyDescent="0.25">
      <c r="B28" s="21" t="s">
        <v>149</v>
      </c>
      <c r="C28" s="21" t="s">
        <v>1</v>
      </c>
      <c r="D28" s="21" t="s">
        <v>25</v>
      </c>
      <c r="E28" s="10"/>
    </row>
    <row r="29" spans="2:34" x14ac:dyDescent="0.25">
      <c r="B29" s="21" t="s">
        <v>150</v>
      </c>
      <c r="C29" s="21" t="s">
        <v>1</v>
      </c>
      <c r="D29" s="21" t="s">
        <v>25</v>
      </c>
      <c r="E29" s="10"/>
    </row>
    <row r="31" spans="2:34" x14ac:dyDescent="0.25">
      <c r="C31" s="34" t="s">
        <v>54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 t="s">
        <v>55</v>
      </c>
      <c r="P31" s="34"/>
      <c r="Q31" s="34"/>
      <c r="R31" s="34"/>
      <c r="S31" s="34"/>
      <c r="T31" s="34"/>
      <c r="U31" s="34" t="s">
        <v>56</v>
      </c>
      <c r="V31" s="34"/>
      <c r="W31" s="34"/>
      <c r="X31" s="34"/>
      <c r="Y31" s="34"/>
      <c r="Z31" s="34"/>
      <c r="AA31" s="31" t="s">
        <v>57</v>
      </c>
      <c r="AB31" s="32"/>
      <c r="AC31" s="32"/>
      <c r="AD31" s="32"/>
      <c r="AE31" s="32"/>
      <c r="AF31" s="33"/>
    </row>
    <row r="32" spans="2:34" x14ac:dyDescent="0.25">
      <c r="B32" s="16" t="s">
        <v>0</v>
      </c>
      <c r="C32" s="22" t="s">
        <v>29</v>
      </c>
      <c r="D32" s="22" t="s">
        <v>30</v>
      </c>
      <c r="E32" s="22" t="s">
        <v>31</v>
      </c>
      <c r="F32" s="22" t="s">
        <v>32</v>
      </c>
      <c r="G32" s="22" t="s">
        <v>33</v>
      </c>
      <c r="H32" s="22" t="s">
        <v>34</v>
      </c>
      <c r="I32" s="22" t="s">
        <v>35</v>
      </c>
      <c r="J32" s="22" t="s">
        <v>36</v>
      </c>
      <c r="K32" s="22" t="s">
        <v>37</v>
      </c>
      <c r="L32" s="22" t="s">
        <v>38</v>
      </c>
      <c r="M32" s="22" t="s">
        <v>39</v>
      </c>
      <c r="N32" s="22" t="s">
        <v>40</v>
      </c>
      <c r="O32" s="22" t="s">
        <v>41</v>
      </c>
      <c r="P32" s="22" t="s">
        <v>42</v>
      </c>
      <c r="Q32" s="22" t="s">
        <v>43</v>
      </c>
      <c r="R32" s="22" t="s">
        <v>44</v>
      </c>
      <c r="S32" s="22" t="s">
        <v>45</v>
      </c>
      <c r="T32" s="22" t="s">
        <v>46</v>
      </c>
      <c r="U32" s="22" t="s">
        <v>47</v>
      </c>
      <c r="V32" s="22" t="s">
        <v>48</v>
      </c>
      <c r="W32" s="22" t="s">
        <v>49</v>
      </c>
      <c r="X32" s="22" t="s">
        <v>41</v>
      </c>
      <c r="Y32" s="22" t="s">
        <v>42</v>
      </c>
      <c r="Z32" s="22" t="s">
        <v>43</v>
      </c>
      <c r="AA32" s="22" t="s">
        <v>50</v>
      </c>
      <c r="AB32" s="22" t="s">
        <v>51</v>
      </c>
      <c r="AC32" s="22" t="s">
        <v>52</v>
      </c>
      <c r="AD32" s="22" t="s">
        <v>52</v>
      </c>
      <c r="AE32" s="22" t="s">
        <v>48</v>
      </c>
      <c r="AF32" s="22" t="s">
        <v>52</v>
      </c>
      <c r="AG32" s="22" t="s">
        <v>53</v>
      </c>
      <c r="AH32" s="22" t="s">
        <v>2</v>
      </c>
    </row>
    <row r="33" spans="2:35" x14ac:dyDescent="0.25">
      <c r="B33" s="21" t="s">
        <v>148</v>
      </c>
      <c r="C33" s="21" t="s">
        <v>128</v>
      </c>
      <c r="D33" s="21" t="s">
        <v>128</v>
      </c>
      <c r="E33" s="21" t="s">
        <v>128</v>
      </c>
      <c r="F33" s="21" t="s">
        <v>128</v>
      </c>
      <c r="G33" s="21" t="s">
        <v>128</v>
      </c>
      <c r="H33" s="21" t="s">
        <v>128</v>
      </c>
      <c r="I33" s="21" t="s">
        <v>128</v>
      </c>
      <c r="J33" s="21" t="s">
        <v>128</v>
      </c>
      <c r="K33" s="21" t="s">
        <v>128</v>
      </c>
      <c r="L33" s="21" t="s">
        <v>128</v>
      </c>
      <c r="M33" s="21" t="s">
        <v>128</v>
      </c>
      <c r="N33" s="21" t="s">
        <v>128</v>
      </c>
      <c r="O33" s="21" t="s">
        <v>128</v>
      </c>
      <c r="P33" s="21" t="s">
        <v>128</v>
      </c>
      <c r="Q33" s="21" t="s">
        <v>128</v>
      </c>
      <c r="R33" s="21" t="s">
        <v>128</v>
      </c>
      <c r="S33" s="21" t="s">
        <v>128</v>
      </c>
      <c r="T33" s="21" t="s">
        <v>128</v>
      </c>
      <c r="U33" s="21" t="s">
        <v>128</v>
      </c>
      <c r="V33" s="21" t="s">
        <v>128</v>
      </c>
      <c r="W33" s="21" t="s">
        <v>128</v>
      </c>
      <c r="X33" s="21" t="s">
        <v>128</v>
      </c>
      <c r="Y33" s="21" t="s">
        <v>128</v>
      </c>
      <c r="Z33" s="21" t="s">
        <v>128</v>
      </c>
      <c r="AA33" s="21" t="s">
        <v>128</v>
      </c>
      <c r="AB33" s="21" t="s">
        <v>128</v>
      </c>
      <c r="AC33" s="21" t="s">
        <v>128</v>
      </c>
      <c r="AD33" s="21" t="s">
        <v>128</v>
      </c>
      <c r="AE33" s="21" t="s">
        <v>128</v>
      </c>
      <c r="AF33" s="21" t="s">
        <v>128</v>
      </c>
      <c r="AG33" s="21">
        <v>0</v>
      </c>
      <c r="AH33" s="39" t="s">
        <v>152</v>
      </c>
      <c r="AI33" s="12" t="s">
        <v>8</v>
      </c>
    </row>
    <row r="36" spans="2:35" x14ac:dyDescent="0.25">
      <c r="B36" s="20" t="s">
        <v>129</v>
      </c>
      <c r="C36" s="6"/>
      <c r="D36" s="6"/>
      <c r="E36" s="6"/>
    </row>
    <row r="37" spans="2:35" ht="6.95" customHeight="1" x14ac:dyDescent="0.25">
      <c r="B37" s="7"/>
      <c r="C37" s="7"/>
      <c r="D37" s="7"/>
      <c r="E37" s="7"/>
    </row>
    <row r="38" spans="2:35" x14ac:dyDescent="0.25">
      <c r="B38" s="16" t="s">
        <v>3</v>
      </c>
      <c r="C38" s="16" t="s">
        <v>23</v>
      </c>
      <c r="D38" s="16" t="s">
        <v>24</v>
      </c>
      <c r="E38" s="16" t="s">
        <v>2</v>
      </c>
    </row>
    <row r="39" spans="2:35" x14ac:dyDescent="0.25">
      <c r="B39" s="21" t="s">
        <v>131</v>
      </c>
      <c r="C39" s="21" t="s">
        <v>25</v>
      </c>
      <c r="D39" s="21" t="s">
        <v>1</v>
      </c>
      <c r="E39" s="25" t="s">
        <v>134</v>
      </c>
      <c r="F39" s="12" t="s">
        <v>8</v>
      </c>
    </row>
    <row r="40" spans="2:35" x14ac:dyDescent="0.25">
      <c r="B40" s="21" t="s">
        <v>132</v>
      </c>
      <c r="C40" s="21" t="s">
        <v>25</v>
      </c>
      <c r="D40" s="21" t="s">
        <v>1</v>
      </c>
      <c r="E40" s="10"/>
    </row>
    <row r="41" spans="2:35" x14ac:dyDescent="0.25">
      <c r="B41" s="21" t="s">
        <v>133</v>
      </c>
      <c r="C41" s="21" t="s">
        <v>25</v>
      </c>
      <c r="D41" s="21" t="s">
        <v>1</v>
      </c>
      <c r="E41" s="10"/>
    </row>
    <row r="44" spans="2:35" x14ac:dyDescent="0.25">
      <c r="B44" s="20" t="s">
        <v>130</v>
      </c>
      <c r="C44" s="6"/>
      <c r="D44" s="6"/>
      <c r="E44" s="6"/>
    </row>
    <row r="45" spans="2:35" ht="6.95" customHeight="1" x14ac:dyDescent="0.25">
      <c r="B45" s="7"/>
      <c r="C45" s="7"/>
      <c r="D45" s="7"/>
      <c r="E45" s="7"/>
    </row>
    <row r="46" spans="2:35" x14ac:dyDescent="0.25">
      <c r="B46" s="16" t="s">
        <v>3</v>
      </c>
      <c r="C46" s="16" t="s">
        <v>23</v>
      </c>
      <c r="D46" s="16" t="s">
        <v>24</v>
      </c>
      <c r="E46" s="16" t="s">
        <v>2</v>
      </c>
    </row>
    <row r="47" spans="2:35" x14ac:dyDescent="0.25">
      <c r="B47" s="21" t="s">
        <v>135</v>
      </c>
      <c r="C47" s="21" t="s">
        <v>1</v>
      </c>
      <c r="D47" s="21" t="s">
        <v>26</v>
      </c>
      <c r="E47" s="25" t="s">
        <v>138</v>
      </c>
      <c r="F47" s="12" t="s">
        <v>8</v>
      </c>
    </row>
    <row r="48" spans="2:35" x14ac:dyDescent="0.25">
      <c r="B48" s="21" t="s">
        <v>136</v>
      </c>
      <c r="C48" s="21" t="s">
        <v>1</v>
      </c>
      <c r="D48" s="21" t="s">
        <v>26</v>
      </c>
      <c r="E48" s="10"/>
    </row>
    <row r="49" spans="2:5" x14ac:dyDescent="0.25">
      <c r="B49" s="21" t="s">
        <v>137</v>
      </c>
      <c r="C49" s="21" t="s">
        <v>1</v>
      </c>
      <c r="D49" s="21" t="s">
        <v>26</v>
      </c>
      <c r="E49" s="10"/>
    </row>
  </sheetData>
  <mergeCells count="6">
    <mergeCell ref="H5:N10"/>
    <mergeCell ref="H4:N4"/>
    <mergeCell ref="AA31:AF31"/>
    <mergeCell ref="C31:N31"/>
    <mergeCell ref="O31:T31"/>
    <mergeCell ref="U31:Z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76</v>
      </c>
      <c r="C7" s="6"/>
      <c r="D7" s="6"/>
      <c r="E7" s="6"/>
    </row>
    <row r="8" spans="1:6" ht="7.15" customHeight="1" x14ac:dyDescent="0.25"/>
    <row r="9" spans="1:6" x14ac:dyDescent="0.25">
      <c r="B9" s="16" t="s">
        <v>9</v>
      </c>
      <c r="C9" s="16" t="s">
        <v>19</v>
      </c>
      <c r="D9" s="16" t="s">
        <v>10</v>
      </c>
      <c r="E9" s="16" t="s">
        <v>2</v>
      </c>
    </row>
    <row r="10" spans="1:6" x14ac:dyDescent="0.25">
      <c r="B10" s="17" t="s">
        <v>11</v>
      </c>
      <c r="C10" s="17" t="s">
        <v>11</v>
      </c>
      <c r="D10" s="18">
        <v>1827318</v>
      </c>
      <c r="E10" s="19" t="s">
        <v>60</v>
      </c>
      <c r="F10" s="12" t="s">
        <v>8</v>
      </c>
    </row>
    <row r="11" spans="1:6" x14ac:dyDescent="0.25">
      <c r="B11" s="17" t="s">
        <v>11</v>
      </c>
      <c r="C11" s="17" t="s">
        <v>4</v>
      </c>
      <c r="D11" s="18">
        <v>401753</v>
      </c>
    </row>
    <row r="12" spans="1:6" x14ac:dyDescent="0.25">
      <c r="B12" s="17" t="s">
        <v>12</v>
      </c>
      <c r="C12" s="17" t="s">
        <v>12</v>
      </c>
      <c r="D12" s="18">
        <v>88400</v>
      </c>
    </row>
    <row r="13" spans="1:6" x14ac:dyDescent="0.25">
      <c r="B13" s="17" t="s">
        <v>13</v>
      </c>
      <c r="C13" s="17" t="s">
        <v>13</v>
      </c>
      <c r="D13" s="18">
        <v>41</v>
      </c>
    </row>
    <row r="15" spans="1:6" ht="14.45" customHeight="1" x14ac:dyDescent="0.25">
      <c r="B15" s="35" t="s">
        <v>77</v>
      </c>
      <c r="C15" s="35"/>
      <c r="D15" s="35"/>
      <c r="E15" s="35"/>
    </row>
    <row r="16" spans="1:6" x14ac:dyDescent="0.25">
      <c r="B16" s="35"/>
      <c r="C16" s="35"/>
      <c r="D16" s="35"/>
      <c r="E16" s="35"/>
    </row>
    <row r="17" spans="2:7" x14ac:dyDescent="0.25">
      <c r="B17" s="7"/>
      <c r="C17" s="7"/>
      <c r="D17" s="7"/>
      <c r="E17" s="7"/>
    </row>
    <row r="18" spans="2:7" x14ac:dyDescent="0.25">
      <c r="B18" s="8" t="s">
        <v>61</v>
      </c>
      <c r="C18" s="8" t="s">
        <v>19</v>
      </c>
      <c r="D18" s="8" t="s">
        <v>62</v>
      </c>
      <c r="E18" s="8" t="s">
        <v>63</v>
      </c>
      <c r="F18" s="16" t="s">
        <v>2</v>
      </c>
    </row>
    <row r="19" spans="2:7" x14ac:dyDescent="0.25">
      <c r="B19" s="9" t="s">
        <v>64</v>
      </c>
      <c r="C19" s="9" t="s">
        <v>4</v>
      </c>
      <c r="D19" s="9" t="s">
        <v>65</v>
      </c>
      <c r="E19" s="24" t="s">
        <v>7</v>
      </c>
      <c r="F19" s="23" t="s">
        <v>75</v>
      </c>
      <c r="G19" s="12" t="s">
        <v>8</v>
      </c>
    </row>
    <row r="20" spans="2:7" x14ac:dyDescent="0.25">
      <c r="B20" s="9" t="s">
        <v>66</v>
      </c>
      <c r="C20" s="9" t="s">
        <v>4</v>
      </c>
      <c r="D20" s="9" t="s">
        <v>15</v>
      </c>
      <c r="E20" s="9" t="s">
        <v>7</v>
      </c>
    </row>
    <row r="21" spans="2:7" x14ac:dyDescent="0.25">
      <c r="B21" s="11" t="s">
        <v>67</v>
      </c>
      <c r="C21" s="9" t="s">
        <v>4</v>
      </c>
      <c r="D21" s="9" t="s">
        <v>68</v>
      </c>
      <c r="E21" s="9" t="s">
        <v>7</v>
      </c>
    </row>
    <row r="22" spans="2:7" x14ac:dyDescent="0.25">
      <c r="B22" s="11" t="s">
        <v>69</v>
      </c>
      <c r="C22" s="9" t="s">
        <v>4</v>
      </c>
      <c r="D22" s="9" t="s">
        <v>70</v>
      </c>
      <c r="E22" s="9" t="s">
        <v>7</v>
      </c>
      <c r="F22" s="10"/>
    </row>
    <row r="23" spans="2:7" x14ac:dyDescent="0.25">
      <c r="B23" s="11" t="s">
        <v>71</v>
      </c>
      <c r="C23" s="9" t="s">
        <v>4</v>
      </c>
      <c r="D23" s="9" t="s">
        <v>72</v>
      </c>
      <c r="E23" s="9" t="s">
        <v>7</v>
      </c>
      <c r="F23" s="10"/>
    </row>
    <row r="24" spans="2:7" x14ac:dyDescent="0.25">
      <c r="B24" s="11" t="s">
        <v>73</v>
      </c>
      <c r="C24" s="9" t="s">
        <v>4</v>
      </c>
      <c r="D24" s="9" t="s">
        <v>74</v>
      </c>
      <c r="E24" s="9" t="s">
        <v>7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79</v>
      </c>
      <c r="C7" s="6"/>
      <c r="D7" s="6"/>
      <c r="E7" s="6"/>
    </row>
    <row r="8" spans="1:6" ht="7.15" customHeight="1" x14ac:dyDescent="0.25"/>
    <row r="9" spans="1:6" x14ac:dyDescent="0.25">
      <c r="B9" s="16" t="s">
        <v>9</v>
      </c>
      <c r="C9" s="16" t="s">
        <v>20</v>
      </c>
      <c r="D9" s="16" t="s">
        <v>10</v>
      </c>
      <c r="E9" s="16" t="s">
        <v>2</v>
      </c>
    </row>
    <row r="10" spans="1:6" x14ac:dyDescent="0.25">
      <c r="B10" s="17" t="s">
        <v>11</v>
      </c>
      <c r="C10" s="17" t="s">
        <v>11</v>
      </c>
      <c r="D10" s="18">
        <v>2072674</v>
      </c>
      <c r="E10" s="19" t="s">
        <v>78</v>
      </c>
      <c r="F10" s="12" t="s">
        <v>8</v>
      </c>
    </row>
    <row r="11" spans="1:6" x14ac:dyDescent="0.25">
      <c r="B11" s="17" t="s">
        <v>11</v>
      </c>
      <c r="C11" s="17" t="s">
        <v>4</v>
      </c>
      <c r="D11" s="18">
        <v>138984</v>
      </c>
    </row>
    <row r="12" spans="1:6" x14ac:dyDescent="0.25">
      <c r="B12" s="17" t="s">
        <v>12</v>
      </c>
      <c r="C12" s="17" t="s">
        <v>12</v>
      </c>
      <c r="D12" s="18">
        <v>105813</v>
      </c>
    </row>
    <row r="13" spans="1:6" x14ac:dyDescent="0.25">
      <c r="B13" s="17" t="s">
        <v>13</v>
      </c>
      <c r="C13" s="17" t="s">
        <v>13</v>
      </c>
      <c r="D13" s="18">
        <v>40</v>
      </c>
    </row>
    <row r="15" spans="1:6" ht="14.45" customHeight="1" x14ac:dyDescent="0.25">
      <c r="B15" s="35" t="s">
        <v>80</v>
      </c>
      <c r="C15" s="35"/>
      <c r="D15" s="35"/>
      <c r="E15" s="35"/>
    </row>
    <row r="16" spans="1:6" x14ac:dyDescent="0.25">
      <c r="B16" s="35"/>
      <c r="C16" s="35"/>
      <c r="D16" s="35"/>
      <c r="E16" s="35"/>
    </row>
    <row r="17" spans="2:7" x14ac:dyDescent="0.25">
      <c r="B17" s="7"/>
      <c r="C17" s="7"/>
      <c r="D17" s="7"/>
      <c r="E17" s="7"/>
    </row>
    <row r="18" spans="2:7" x14ac:dyDescent="0.25">
      <c r="B18" s="8" t="s">
        <v>61</v>
      </c>
      <c r="C18" s="8" t="s">
        <v>20</v>
      </c>
      <c r="D18" s="8" t="s">
        <v>81</v>
      </c>
      <c r="E18" s="8" t="s">
        <v>82</v>
      </c>
      <c r="F18" s="16" t="s">
        <v>2</v>
      </c>
    </row>
    <row r="19" spans="2:7" x14ac:dyDescent="0.25">
      <c r="B19" s="9" t="s">
        <v>83</v>
      </c>
      <c r="C19" s="9" t="s">
        <v>4</v>
      </c>
      <c r="D19" s="9" t="s">
        <v>84</v>
      </c>
      <c r="E19" s="24" t="s">
        <v>7</v>
      </c>
      <c r="F19" s="23" t="s">
        <v>95</v>
      </c>
      <c r="G19" s="12" t="s">
        <v>8</v>
      </c>
    </row>
    <row r="20" spans="2:7" x14ac:dyDescent="0.25">
      <c r="B20" s="9" t="s">
        <v>85</v>
      </c>
      <c r="C20" s="9" t="s">
        <v>4</v>
      </c>
      <c r="D20" s="9" t="s">
        <v>86</v>
      </c>
      <c r="E20" s="9" t="s">
        <v>7</v>
      </c>
    </row>
    <row r="21" spans="2:7" x14ac:dyDescent="0.25">
      <c r="B21" s="11" t="s">
        <v>87</v>
      </c>
      <c r="C21" s="9" t="s">
        <v>4</v>
      </c>
      <c r="D21" s="9" t="s">
        <v>88</v>
      </c>
      <c r="E21" s="9" t="s">
        <v>7</v>
      </c>
    </row>
    <row r="22" spans="2:7" x14ac:dyDescent="0.25">
      <c r="B22" s="11" t="s">
        <v>89</v>
      </c>
      <c r="C22" s="9" t="s">
        <v>4</v>
      </c>
      <c r="D22" s="9" t="s">
        <v>90</v>
      </c>
      <c r="E22" s="9" t="s">
        <v>7</v>
      </c>
      <c r="F22" s="10"/>
    </row>
    <row r="23" spans="2:7" x14ac:dyDescent="0.25">
      <c r="B23" s="11" t="s">
        <v>91</v>
      </c>
      <c r="C23" s="9" t="s">
        <v>4</v>
      </c>
      <c r="D23" s="9" t="s">
        <v>92</v>
      </c>
      <c r="E23" s="9" t="s">
        <v>7</v>
      </c>
      <c r="F23" s="10"/>
    </row>
    <row r="24" spans="2:7" x14ac:dyDescent="0.25">
      <c r="B24" s="11" t="s">
        <v>93</v>
      </c>
      <c r="C24" s="9" t="s">
        <v>4</v>
      </c>
      <c r="D24" s="9" t="s">
        <v>94</v>
      </c>
      <c r="E24" s="9" t="s">
        <v>7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G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76</v>
      </c>
      <c r="C7" s="6"/>
      <c r="D7" s="6"/>
      <c r="E7" s="6"/>
    </row>
    <row r="8" spans="1:6" ht="7.15" customHeight="1" x14ac:dyDescent="0.25"/>
    <row r="9" spans="1:6" x14ac:dyDescent="0.25">
      <c r="B9" s="16" t="s">
        <v>9</v>
      </c>
      <c r="C9" s="16" t="s">
        <v>21</v>
      </c>
      <c r="D9" s="16" t="s">
        <v>10</v>
      </c>
      <c r="E9" s="16" t="s">
        <v>2</v>
      </c>
    </row>
    <row r="10" spans="1:6" x14ac:dyDescent="0.25">
      <c r="B10" s="17" t="s">
        <v>11</v>
      </c>
      <c r="C10" s="17" t="s">
        <v>11</v>
      </c>
      <c r="D10" s="18">
        <v>2192375</v>
      </c>
      <c r="E10" s="19" t="s">
        <v>96</v>
      </c>
      <c r="F10" s="12" t="s">
        <v>8</v>
      </c>
    </row>
    <row r="11" spans="1:6" x14ac:dyDescent="0.25">
      <c r="B11" s="17" t="s">
        <v>12</v>
      </c>
      <c r="C11" s="17" t="s">
        <v>12</v>
      </c>
      <c r="D11" s="18">
        <v>105813</v>
      </c>
    </row>
    <row r="12" spans="1:6" x14ac:dyDescent="0.25">
      <c r="B12" s="17" t="s">
        <v>11</v>
      </c>
      <c r="C12" s="17" t="s">
        <v>4</v>
      </c>
      <c r="D12" s="18">
        <v>18514</v>
      </c>
    </row>
    <row r="13" spans="1:6" x14ac:dyDescent="0.25">
      <c r="B13" s="17" t="s">
        <v>11</v>
      </c>
      <c r="C13" s="17" t="s">
        <v>16</v>
      </c>
      <c r="D13" s="18">
        <v>769</v>
      </c>
    </row>
    <row r="14" spans="1:6" x14ac:dyDescent="0.25">
      <c r="B14" s="17" t="s">
        <v>13</v>
      </c>
      <c r="C14" s="17" t="s">
        <v>13</v>
      </c>
      <c r="D14" s="17">
        <v>40</v>
      </c>
    </row>
    <row r="16" spans="1:6" ht="14.45" customHeight="1" x14ac:dyDescent="0.25">
      <c r="B16" s="35" t="s">
        <v>77</v>
      </c>
      <c r="C16" s="35"/>
      <c r="D16" s="35"/>
      <c r="E16" s="35"/>
    </row>
    <row r="17" spans="2:7" x14ac:dyDescent="0.25">
      <c r="B17" s="35"/>
      <c r="C17" s="35"/>
      <c r="D17" s="35"/>
      <c r="E17" s="35"/>
    </row>
    <row r="18" spans="2:7" x14ac:dyDescent="0.25">
      <c r="B18" s="7"/>
      <c r="C18" s="7"/>
      <c r="D18" s="7"/>
      <c r="E18" s="7"/>
    </row>
    <row r="19" spans="2:7" x14ac:dyDescent="0.25">
      <c r="B19" s="8" t="s">
        <v>61</v>
      </c>
      <c r="C19" s="8" t="s">
        <v>21</v>
      </c>
      <c r="D19" s="8" t="s">
        <v>97</v>
      </c>
      <c r="E19" s="8" t="s">
        <v>98</v>
      </c>
      <c r="F19" s="16" t="s">
        <v>2</v>
      </c>
    </row>
    <row r="20" spans="2:7" x14ac:dyDescent="0.25">
      <c r="B20" s="9" t="s">
        <v>99</v>
      </c>
      <c r="C20" s="9" t="s">
        <v>4</v>
      </c>
      <c r="D20" s="9" t="s">
        <v>100</v>
      </c>
      <c r="E20" s="24" t="s">
        <v>101</v>
      </c>
      <c r="F20" s="23" t="s">
        <v>117</v>
      </c>
      <c r="G20" s="12" t="s">
        <v>8</v>
      </c>
    </row>
    <row r="21" spans="2:7" x14ac:dyDescent="0.25">
      <c r="B21" s="9" t="s">
        <v>102</v>
      </c>
      <c r="C21" s="9" t="s">
        <v>4</v>
      </c>
      <c r="D21" s="9" t="s">
        <v>103</v>
      </c>
      <c r="E21" s="9" t="s">
        <v>104</v>
      </c>
    </row>
    <row r="22" spans="2:7" x14ac:dyDescent="0.25">
      <c r="B22" s="11" t="s">
        <v>105</v>
      </c>
      <c r="C22" s="9" t="s">
        <v>4</v>
      </c>
      <c r="D22" s="9" t="s">
        <v>106</v>
      </c>
      <c r="E22" s="9" t="s">
        <v>107</v>
      </c>
    </row>
    <row r="23" spans="2:7" x14ac:dyDescent="0.25">
      <c r="B23" s="11" t="s">
        <v>108</v>
      </c>
      <c r="C23" s="9" t="s">
        <v>4</v>
      </c>
      <c r="D23" s="9" t="s">
        <v>109</v>
      </c>
      <c r="E23" s="9" t="s">
        <v>110</v>
      </c>
      <c r="F23" s="10"/>
    </row>
    <row r="24" spans="2:7" x14ac:dyDescent="0.25">
      <c r="B24" s="11" t="s">
        <v>111</v>
      </c>
      <c r="C24" s="9" t="s">
        <v>4</v>
      </c>
      <c r="D24" s="9" t="s">
        <v>112</v>
      </c>
      <c r="E24" s="9" t="s">
        <v>113</v>
      </c>
      <c r="F24" s="10"/>
    </row>
    <row r="25" spans="2:7" x14ac:dyDescent="0.25">
      <c r="B25" s="11" t="s">
        <v>114</v>
      </c>
      <c r="C25" s="9" t="s">
        <v>4</v>
      </c>
      <c r="D25" s="9" t="s">
        <v>115</v>
      </c>
      <c r="E25" s="9" t="s">
        <v>116</v>
      </c>
      <c r="F25" s="10"/>
    </row>
  </sheetData>
  <mergeCells count="1">
    <mergeCell ref="B16:E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G24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3"/>
      <c r="B1" s="13"/>
      <c r="C1" s="13"/>
      <c r="D1" s="13"/>
      <c r="E1" s="13"/>
      <c r="F1" s="13"/>
    </row>
    <row r="2" spans="1:6" x14ac:dyDescent="0.25">
      <c r="A2" s="14"/>
      <c r="B2" s="14"/>
      <c r="C2" s="14"/>
      <c r="D2" s="14"/>
      <c r="E2" s="14"/>
      <c r="F2" s="14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4"/>
      <c r="B4" s="14"/>
      <c r="C4" s="14"/>
      <c r="D4" s="14"/>
      <c r="E4" s="14"/>
      <c r="F4" s="14"/>
    </row>
    <row r="5" spans="1:6" ht="3" customHeight="1" x14ac:dyDescent="0.25">
      <c r="A5" s="4"/>
      <c r="B5" s="4"/>
      <c r="C5" s="4"/>
      <c r="D5" s="4"/>
      <c r="E5" s="4"/>
      <c r="F5" s="4"/>
    </row>
    <row r="7" spans="1:6" x14ac:dyDescent="0.25">
      <c r="B7" s="5" t="s">
        <v>76</v>
      </c>
      <c r="C7" s="6"/>
      <c r="D7" s="6"/>
      <c r="E7" s="6"/>
    </row>
    <row r="8" spans="1:6" ht="7.15" customHeight="1" x14ac:dyDescent="0.25"/>
    <row r="9" spans="1:6" x14ac:dyDescent="0.25">
      <c r="B9" s="16" t="s">
        <v>9</v>
      </c>
      <c r="C9" s="16" t="s">
        <v>22</v>
      </c>
      <c r="D9" s="16" t="s">
        <v>10</v>
      </c>
      <c r="E9" s="16" t="s">
        <v>2</v>
      </c>
    </row>
    <row r="10" spans="1:6" x14ac:dyDescent="0.25">
      <c r="B10" s="17" t="s">
        <v>11</v>
      </c>
      <c r="C10" s="17" t="s">
        <v>11</v>
      </c>
      <c r="D10" s="18">
        <v>2211627</v>
      </c>
      <c r="E10" s="19" t="s">
        <v>118</v>
      </c>
      <c r="F10" s="12" t="s">
        <v>8</v>
      </c>
    </row>
    <row r="11" spans="1:6" x14ac:dyDescent="0.25">
      <c r="B11" s="17" t="s">
        <v>12</v>
      </c>
      <c r="C11" s="17" t="s">
        <v>12</v>
      </c>
      <c r="D11" s="18">
        <v>105813</v>
      </c>
    </row>
    <row r="12" spans="1:6" x14ac:dyDescent="0.25">
      <c r="B12" s="17" t="s">
        <v>13</v>
      </c>
      <c r="C12" s="17" t="s">
        <v>13</v>
      </c>
      <c r="D12" s="18">
        <v>40</v>
      </c>
    </row>
    <row r="13" spans="1:6" x14ac:dyDescent="0.25">
      <c r="B13" s="17" t="s">
        <v>11</v>
      </c>
      <c r="C13" s="17" t="s">
        <v>4</v>
      </c>
      <c r="D13" s="18">
        <v>31</v>
      </c>
    </row>
    <row r="15" spans="1:6" ht="14.45" customHeight="1" x14ac:dyDescent="0.25">
      <c r="B15" s="35" t="s">
        <v>77</v>
      </c>
      <c r="C15" s="35"/>
      <c r="D15" s="35"/>
      <c r="E15" s="35"/>
    </row>
    <row r="16" spans="1:6" x14ac:dyDescent="0.25">
      <c r="B16" s="35"/>
      <c r="C16" s="35"/>
      <c r="D16" s="35"/>
      <c r="E16" s="35"/>
    </row>
    <row r="17" spans="2:7" x14ac:dyDescent="0.25">
      <c r="B17" s="7"/>
      <c r="C17" s="7"/>
      <c r="D17" s="7"/>
      <c r="E17" s="7"/>
    </row>
    <row r="18" spans="2:7" x14ac:dyDescent="0.25">
      <c r="B18" s="8" t="s">
        <v>61</v>
      </c>
      <c r="C18" s="8" t="s">
        <v>22</v>
      </c>
      <c r="D18" s="8" t="s">
        <v>119</v>
      </c>
      <c r="E18" s="8" t="s">
        <v>120</v>
      </c>
      <c r="F18" s="16" t="s">
        <v>2</v>
      </c>
    </row>
    <row r="19" spans="2:7" x14ac:dyDescent="0.25">
      <c r="B19" s="9" t="s">
        <v>121</v>
      </c>
      <c r="C19" s="9" t="s">
        <v>4</v>
      </c>
      <c r="D19" s="9" t="s">
        <v>6</v>
      </c>
      <c r="E19" s="24" t="s">
        <v>5</v>
      </c>
      <c r="F19" s="23" t="s">
        <v>127</v>
      </c>
      <c r="G19" s="12" t="s">
        <v>8</v>
      </c>
    </row>
    <row r="20" spans="2:7" x14ac:dyDescent="0.25">
      <c r="B20" s="9" t="s">
        <v>122</v>
      </c>
      <c r="C20" s="9" t="s">
        <v>4</v>
      </c>
      <c r="D20" s="9" t="s">
        <v>6</v>
      </c>
      <c r="E20" s="9" t="s">
        <v>5</v>
      </c>
    </row>
    <row r="21" spans="2:7" x14ac:dyDescent="0.25">
      <c r="B21" s="11" t="s">
        <v>123</v>
      </c>
      <c r="C21" s="9" t="s">
        <v>4</v>
      </c>
      <c r="D21" s="9" t="s">
        <v>6</v>
      </c>
      <c r="E21" s="9" t="s">
        <v>5</v>
      </c>
    </row>
    <row r="22" spans="2:7" x14ac:dyDescent="0.25">
      <c r="B22" s="11" t="s">
        <v>124</v>
      </c>
      <c r="C22" s="9" t="s">
        <v>4</v>
      </c>
      <c r="D22" s="9" t="s">
        <v>6</v>
      </c>
      <c r="E22" s="9" t="s">
        <v>5</v>
      </c>
      <c r="F22" s="10"/>
    </row>
    <row r="23" spans="2:7" x14ac:dyDescent="0.25">
      <c r="B23" s="11" t="s">
        <v>125</v>
      </c>
      <c r="C23" s="9" t="s">
        <v>4</v>
      </c>
      <c r="D23" s="9" t="s">
        <v>6</v>
      </c>
      <c r="E23" s="9" t="s">
        <v>5</v>
      </c>
      <c r="F23" s="10"/>
    </row>
    <row r="24" spans="2:7" x14ac:dyDescent="0.25">
      <c r="B24" s="11" t="s">
        <v>126</v>
      </c>
      <c r="C24" s="9" t="s">
        <v>4</v>
      </c>
      <c r="D24" s="9" t="s">
        <v>6</v>
      </c>
      <c r="E24" s="9" t="s">
        <v>5</v>
      </c>
      <c r="F24" s="10"/>
    </row>
  </sheetData>
  <mergeCells count="1">
    <mergeCell ref="B15:E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9AC67-4B03-43E1-A3C9-371E4C018464}"/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Fields</vt:lpstr>
      <vt:lpstr>nw_bsnss</vt:lpstr>
      <vt:lpstr>GRSS_CMMSSN_INCM</vt:lpstr>
      <vt:lpstr>GRSS_CMMSSN_EXPNS</vt:lpstr>
      <vt:lpstr>GRSS_CMMSSN_INCM_OFF_BLNC</vt:lpstr>
      <vt:lpstr>GRSS_CMMSSN_EXPNS_OFF_BLNC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2025-07-22T16:18:38Z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