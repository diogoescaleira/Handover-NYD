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321" documentId="8_{8E42CD24-133D-4B8F-9D51-7D634115A2E3}" xr6:coauthVersionLast="47" xr6:coauthVersionMax="47" xr10:uidLastSave="{0DAFAB04-3215-43AD-A7C0-29F0AA5235CB}"/>
  <bookViews>
    <workbookView xWindow="-120" yWindow="-120" windowWidth="29040" windowHeight="15720" activeTab="2" xr2:uid="{09AA6B17-4C4E-4393-AA23-A762295D5459}"/>
  </bookViews>
  <sheets>
    <sheet name="LT002" sheetId="1" r:id="rId1"/>
    <sheet name="Campos a testar" sheetId="13" r:id="rId2"/>
    <sheet name="02_07" sheetId="14" r:id="rId3"/>
    <sheet name="NW_BSNSS" sheetId="9" r:id="rId4"/>
  </sheets>
  <definedNames>
    <definedName name="_xlnm._FilterDatabase" localSheetId="1" hidden="1">'Campos a testar'!$B$2:$E$54</definedName>
    <definedName name="_xlnm._FilterDatabase" localSheetId="0" hidden="1">#REF!</definedName>
    <definedName name="_xlnm._FilterDatabase" localSheetId="3" hidden="1">NW_BSNSS!$B$76:$V$76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9" l="1"/>
</calcChain>
</file>

<file path=xl/sharedStrings.xml><?xml version="1.0" encoding="utf-8"?>
<sst xmlns="http://schemas.openxmlformats.org/spreadsheetml/2006/main" count="562" uniqueCount="237">
  <si>
    <t>BU_CAPTOOLS_WORK.UNIV_RENTAB_FEV25</t>
  </si>
  <si>
    <t>Notas</t>
  </si>
  <si>
    <t>O universo da tabela lt004_protection para o Loan Tape / Green Dashboard é composto pelos seguintes universos:  
•	Universo comum com o Loan Tape âmbito PM
•	Universo de contratos cancelados durante o ano de reporte, que apresentem rentabilidade no mês de reporte</t>
  </si>
  <si>
    <t>Conteúdo</t>
  </si>
  <si>
    <t>Nome</t>
  </si>
  <si>
    <t>Query</t>
  </si>
  <si>
    <t/>
  </si>
  <si>
    <t>instrmnt_id</t>
  </si>
  <si>
    <t>-</t>
  </si>
  <si>
    <t>Tabela</t>
  </si>
  <si>
    <t>bu_captools_work.lt001_int_gd_dg</t>
  </si>
  <si>
    <t>Com a informação de fim do mês em Outubro 24 e Fevereiro 25, apenas com o registo mais recente</t>
  </si>
  <si>
    <t>count(*)</t>
  </si>
  <si>
    <t>nok</t>
  </si>
  <si>
    <t>ok</t>
  </si>
  <si>
    <t>instrmnt_id_it</t>
  </si>
  <si>
    <t>grss_intrst_incm_it</t>
  </si>
  <si>
    <t>99999999999.00</t>
  </si>
  <si>
    <t>N</t>
  </si>
  <si>
    <t>Total</t>
  </si>
  <si>
    <t>Y</t>
  </si>
  <si>
    <t>0</t>
  </si>
  <si>
    <t>0.0000</t>
  </si>
  <si>
    <t>ID</t>
  </si>
  <si>
    <t>Tabela com os campos necessários para fevereiro</t>
  </si>
  <si>
    <t>Tabela com os campos necessários para janeiro</t>
  </si>
  <si>
    <t>Tabela com os campos necessários para dezembro</t>
  </si>
  <si>
    <t>BU_CAPTOOLS_WORK.UNIV_RENTAB_JAN25</t>
  </si>
  <si>
    <t>BU_CAPTOOLS_WORK.UNIV_RENTAB_DEZ25</t>
  </si>
  <si>
    <t xml:space="preserve">--criação de uma lt001 intermédia com todo o histórico trazendo apenas o registo com o msaldo mais recente (não nulo)
-- create table bu_captools_work.lt001_int_mar25_gd_dg as
select  
    -- chave finrep
    cempresa, cbalcao, cnumecta, zdeposit,
    -- campos
    sum(msaldo_final) as msaldo_final,
    ref_date
from
    (
    select 
        -- chave finrep
        cempresa, cbalcao, cnumecta, zdeposit,
        -- campos
        abs(msaldo_final) as msaldo_final, 
        ref_date,
        max(ref_date) over (partition by cempresa, cbalcao, cnumecta, zdeposit) as max_ref_date
    from bu_loantape_work.lt001_univ_oper
    where ref_date &lt;= '2025-03-31'
    and msaldo_final is not null
    and nome_perimetro = 'Individual Corporativo'
    and ambito = 'PM'
    and segmento = 'ESTR'
    and tipo_conta = 'A'
    and bruto_imparidade &lt;&gt; 'imparidade'
    ) a
where ref_date =  max_ref_date
group by 1,2,3,4,6
;
</t>
  </si>
  <si>
    <t>analise</t>
  </si>
  <si>
    <t>exclusivo it</t>
  </si>
  <si>
    <t>exclusivo cdg</t>
  </si>
  <si>
    <t>NOK</t>
  </si>
  <si>
    <t>nw_bsnss_cdg</t>
  </si>
  <si>
    <t>nw_bsnss_it</t>
  </si>
  <si>
    <t>Default value not allowed</t>
  </si>
  <si>
    <t>ID 1</t>
  </si>
  <si>
    <t>instrmnt_id_cdg</t>
  </si>
  <si>
    <t>nw_bsnss_aux</t>
  </si>
  <si>
    <t>ID 2</t>
  </si>
  <si>
    <t>ID 3</t>
  </si>
  <si>
    <t>ID 4</t>
  </si>
  <si>
    <t>with dg as (
select
    *,
    case
        when instrmnt_id_cdg is not null and instrmnt_id_it is not null and nw_bsnss_cdg = nw_bsnss_it then 'ok'
        when instrmnt_id_cdg is not null and instrmnt_id_it is not null and nw_bsnss_cdg &lt;&gt; nw_bsnss_it then 'nok'
        when instrmnt_id_cdg is not null and instrmnt_id_it is null then 'exclusivo cdg'
        when instrmnt_id_cdg is null and instrmnt_id_it is not null then 'exclusivo it'
        else 'ver'
    end as analise
from
    (
    select distinct
        instrmnt_id as instrmnt_id_cdg, 
        nw_bsnss as nw_bsnss_cdg
    from BU_CAPTOOLS_WORK.UNIV_LT_GD_PARTE3_AUX4
    ) a
full join
    (
    select distinct
        instrmnt_id as instrmnt_id_it,
        nw_bsnss as nw_bsnss_it
    from bu_loantape_work.lt002_instrument
    where ref_date = '2025-03-31'
    and ambito = 'GD'
    and segmento = 'ESTR'
    and nome_perimetro = 'Individual Corporativo'
    and entidade = '00100'
    ) b
        on a.instrmnt_id_cdg = b.instrmnt_id_it
)
select
    -- analise,
    -- *
    nw_bsnss_cdg,
    nw_bsnss_it,
    count(*)
from dg
where analise = 'nok'
-- and nw_bsnss_cdg = 'N'
-- and nw_bsnss_it = 'Y'
group by 1, 2
order by 3 desc
-- limit 3
;</t>
  </si>
  <si>
    <t>c008_patrm_jan</t>
  </si>
  <si>
    <t>c011_patrm_jan</t>
  </si>
  <si>
    <t>c008_patrm_fev</t>
  </si>
  <si>
    <t>c011_patrm_fev</t>
  </si>
  <si>
    <t>c008_patrm_mar</t>
  </si>
  <si>
    <t>c011_patrm_mar</t>
  </si>
  <si>
    <t>c001_patrm_jan</t>
  </si>
  <si>
    <t>c134_patrm_jan</t>
  </si>
  <si>
    <t>c001_patrm_dez</t>
  </si>
  <si>
    <t>c134_patrm_dez</t>
  </si>
  <si>
    <t>c001_patrm_fev</t>
  </si>
  <si>
    <t>c134_patrm_fev</t>
  </si>
  <si>
    <t>c001_patrm_mar</t>
  </si>
  <si>
    <t>c134_patrm_mar</t>
  </si>
  <si>
    <t>Condição 1</t>
  </si>
  <si>
    <t>Condição 2</t>
  </si>
  <si>
    <t>Condição 3</t>
  </si>
  <si>
    <t>Condição 4</t>
  </si>
  <si>
    <t>Nw_Bsnss - Ponto 5.1.1.15 da especificação</t>
  </si>
  <si>
    <t>Parametrização</t>
  </si>
  <si>
    <t>CNCLLD_INSTRMNT_STTS</t>
  </si>
  <si>
    <t>universo</t>
  </si>
  <si>
    <t>•	Contrato é considerado nova produção quando a soma dos saldos dos campos ‘c008’ e ‘c011’, para cada mês, para o ano de referência, é superior a 0; ou,
•	Contrato é considerado nova produção quando a diferença entre soma dos saldos de ‘c001’ e ‘c134’ do mês de referência e a soma dos saldos de ‘c001’ e ‘c134’ do mês anterior ao mês de referência é positiva.</t>
  </si>
  <si>
    <t>Tabela com os campos necessários para março</t>
  </si>
  <si>
    <t>0. LT002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</si>
  <si>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</si>
  <si>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</si>
  <si>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</si>
  <si>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</si>
  <si>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</si>
  <si>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</si>
  <si>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</si>
  <si>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</si>
  <si>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</si>
  <si>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</si>
  <si>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</si>
  <si>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</si>
  <si>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</si>
  <si>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</si>
  <si>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</si>
  <si>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</si>
  <si>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</si>
  <si>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</si>
  <si>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</si>
  <si>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INSTRMNT_ID</t>
  </si>
  <si>
    <t>UNIVERSO</t>
  </si>
  <si>
    <t>AVRG_BLNC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</si>
  <si>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</si>
  <si>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</si>
  <si>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</si>
  <si>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</si>
  <si>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</si>
  <si>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</si>
  <si>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</si>
  <si>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</si>
  <si>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</si>
  <si>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</si>
  <si>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</si>
  <si>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</si>
  <si>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</si>
  <si>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</si>
  <si>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</si>
  <si>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</si>
  <si>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</si>
  <si>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</si>
  <si>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</si>
  <si>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</si>
  <si>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</si>
  <si>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</si>
  <si>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</si>
  <si>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</si>
  <si>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</si>
  <si>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</si>
  <si>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</si>
  <si>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</si>
  <si>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IDCMB</t>
  </si>
  <si>
    <t>Campos</t>
  </si>
  <si>
    <t>Teste</t>
  </si>
  <si>
    <t>Campo comum com PM</t>
  </si>
  <si>
    <t>Grupo</t>
  </si>
  <si>
    <t>Validar com o Diogo</t>
  </si>
  <si>
    <t>Preencher com zero os cancelados</t>
  </si>
  <si>
    <t>Preencher com valor de default</t>
  </si>
  <si>
    <t>Preencher com 00411 ou 00421</t>
  </si>
  <si>
    <t>Preencher com o valor para a última data que aparece na fr001</t>
  </si>
  <si>
    <t>Preenchimento</t>
  </si>
  <si>
    <t>lt002</t>
  </si>
  <si>
    <t>Print</t>
  </si>
  <si>
    <t>c459-c460</t>
  </si>
  <si>
    <t>c457-c458</t>
  </si>
  <si>
    <t>c299</t>
  </si>
  <si>
    <t>c298</t>
  </si>
  <si>
    <t>atu.c300 - ant.c300</t>
  </si>
  <si>
    <t>m009</t>
  </si>
  <si>
    <t>1.2. LT001 Intermédia</t>
  </si>
  <si>
    <t>1. Criaçao da LT002 Simulada</t>
  </si>
  <si>
    <t>1.2. Universo</t>
  </si>
  <si>
    <t>bu_captools_work.lt002_universo_gd_mar25_dg</t>
  </si>
  <si>
    <t>Tabela com todos os campos necessários</t>
  </si>
  <si>
    <t>1.3 LT002 int</t>
  </si>
  <si>
    <t>1.4 Tabela Simulada</t>
  </si>
  <si>
    <t>bu_captools_work.lt002_gd_int_mar25_dg</t>
  </si>
  <si>
    <t>default</t>
  </si>
  <si>
    <t>aux</t>
  </si>
  <si>
    <t>-- criação do universo com os campos a analisar
create table bu_captools_work.lt002_universo_gd_mar25_dg as
select 
    --aux
    aux.*,
    --lt002
    CCF,
    EAD,
    COD_SOC,
    IMPRMNT_STTS,
    PRFRMNG_STTS,
    GRSS_CRRYNG_AMNT_INSTRMNT,
    ACCMLTD_CHNGS_FV_CR_INSTRMNT,
    OFF_BLNC_SHT_AMNT_INSTRMNT,
    PRVSNS_OFF_BLNC_SHT,
    RWA,
    ACCMLTD_IMPRMNT_INSTRMNT,
    GNS_FNNCL_TRNSCTN_EXCHNG_DFFRNCS,
    --lt001
    msaldo_final,
    -- tabela de março1
    mar1.c134_extrap_ca_mar,
    mar1.c134_extrap_lc_mar,
    mar1.c224_patrm_mar,
    mar1.c224_extrap_ca_mar,
    mar1.c224_extrap_lc_mar,
    mar1.c295_patrm_mar,
    mar1.c295_extrap_ca_mar,
    mar1.c295_extrap_lc_mar,
    mar1.c298_patrm, mar1.c299_patrm, mar1.ac310_patrm,
    mar1.c457_patrm, mar1.c457_extrap, mar1.c458_patrm, mar1.c458_extrap,
    mar1.c459_patrm, mar1.c459_extrap, mar1.c460_patrm, mar1.c460_extrap,
    -- tabela de março2
    mar2.m009_patrm_mar,
    mar2.m009_extrap_ca_mar,
    mar2.m009_serv_fact_mar,
    -- tabela fevereiro1
    fev1.c134_extrap_ca_fev,
    fev1.c134_extrap_lc_fev,
    fev1.c224_patrm_fev,
    fev1.c224_extrap_ca_fev,
    fev1.c224_extrap_lc_fev,
    -- tabela fevereiro2
    fev2.m009_patrm_fev,
    fev2.m009_extrap_ca_fev,
    fev2.m009_serv_fact_fev,
    -- tabela janeiro1    
    jan1.c134_extrap_ca_jan,
    jan1.c134_extrap_lc_jan,
    jan1.c224_patrm_jan,
    jan1.c224_extrap_ca_jan,
    jan1.c224_extrap_lc_jan,
    -- tabela janeiro2
    jan2.m009_patrm_jan,
    jan2.m009_extrap_ca_jan,
    jan2.m009_serv_fact_jan,
    -- tabela dezembro1     
    dez1.c134_extrap_ca_dez,
    dez1.c134_extrap_lc_dez,
    dez1.c224_patrm_dez,
    dez1.c224_extrap_ca_dez,
    dez1.c224_extrap_lc_dez
from
    (
    select *
    from BU_CAPTOOLS_WORK.UNIV_LT_GD_PARTE3_AUX9
    ) aux
left join 
    (
    select distinct 
        instrmnt_id,
        CCF,
        EAD,
        COD_SOC,
        IMPRMNT_STTS,
        PRFRMNG_STTS,
        GRSS_CRRYNG_AMNT_INSTRMNT,
        ACCMLTD_CHNGS_FV_CR_INSTRMNT,
        OFF_BLNC_SHT_AMNT_INSTRMNT,
        PRVSNS_OFF_BLNC_SHT,
        RWA,
        ACCMLTD_IMPRMNT_INSTRMNT,
        GNS_FNNCL_TRNSCTN_EXCHNG_DFFRNCS
    from bu_loantape_work.lt002_instrument
    where ref_date = '2025-03-31'
    and ambito = 'PM'
    and segmento = 'ESTR'
    and nome_perimetro = 'Individual Corporativo'
    and cod_visao = 1
    ) lt002
        on aux.instrmnt_id = lt002.instrmnt_id
left join
    (
    select distinct
        -- chave finrep
        cempresa, cbalcao, cnumecta, zdeposit,
        -- campos
        msaldo_final
    from bu_captools_work.lt001_int_mar25_gd_dg
    ) lt001
        on aux.instrmnt_id_aux = concat(lt001.cempresa, lt001.cbalcao, lt001.cnumecta, lt001.zdeposit)
left join
    (
    select
        -- chave mis
        cempcta, ckbalcao, cknumcta, zdeposit, ckarea, ckmetamis,
        -- campos
        c134_extrap_ca as c134_extrap_ca_mar,
        c134_extrap_lc as c134_extrap_lc_mar,
        c224_patrm as c224_patrm_mar,
        c224_extrap_ca as c224_extrap_ca_mar,
        c224_extrap_lc as c224_extrap_lc_mar,
        c295_patrm as c295_patrm_mar,
        c295_extrap_ca as c295_extrap_ca_mar,
        c295_extrap_lc as c295_extrap_lc_mar,
        c298_patrm, c299_patrm, ac310_patrm,
        c457_patrm, c457_extrap, c458_patrm, c458_extrap,
        c459_patrm, c459_extrap, c460_patrm, c460_extrap
    from BU_CAPTOOLS_WORK.UNIV_RENTAB_MAR25
    where ckmetamis not in ('SO0711','SO0721','SO0722')
    ) mar1
        on aux.cempcta = mar1.cempcta
        and aux.ckbalcao = mar1.ckbalcao
        and aux.cknumcta = mar1.cknumcta
        and aux.zdeposit_mis = mar1.zdeposit
        and aux.ckarea = mar1.ckarea
left join
    (
    select
        -- chave mis
        cempcta, ckbalcao, cknumcta, zdeposit, ckarea,
        -- campos
        m009_patrm as m009_patrm_mar,
        m009_extrap_ca as m009_extrap_ca_mar,
        m009_serv_fact as m009_serv_fact_mar
    from BU_CAPTOOLS_WORK.UNIV_RENTAB_MAR25
    where ckmetamis in ('SO0711','SO0721','SO0722')
    ) mar2
        on aux.cempcta = mar2.cempcta
        and aux.ckbalcao = mar2.ckbalcao
        and aux.cknumcta = mar2.cknumcta
        and aux.zdeposit_mis = mar2.zdeposit
        and aux.ckarea = mar2.ckarea
left join
    (
    select
        -- chave mis
        cempcta, ckbalcao, cknumcta, zdeposit, ckarea,
        -- campos
        c134_extrap_ca as c134_extrap_ca_fev,
        c134_extrap_lc as c134_extrap_lc_fev,
        c224_patrm as c224_patrm_fev,
        c224_extrap_ca as c224_extrap_ca_fev,
        c224_extrap_lc as c224_extrap_lc_fev
    from BU_CAPTOOLS_WORK.UNIV_RENTAB_FEV25
    where ckmetamis not in ('SO0711','SO0721','SO0722')
    ) fev1
        on aux.cempcta = fev1.cempcta
        and aux.ckbalcao = fev1.ckbalcao
        and aux.cknumcta = fev1.cknumcta
        and aux.zdeposit_mis = fev1.zdeposit
        and aux.ckarea = fev1.ckarea
left join
    (
    select
        -- chave mis
        cempcta, ckbalcao, cknumcta, zdeposit, ckarea,
        -- campos
        m009_patrm as m009_patrm_fev,
        m009_extrap_ca as m009_extrap_ca_fev,
        m009_serv_fact as m009_serv_fact_fev
    from BU_CAPTOOLS_WORK.UNIV_RENTAB_FEV25
    where ckmetamis in ('SO0711','SO0721','SO0722')
    ) fev2
        on aux.cempcta = fev2.cempcta
        and aux.ckbalcao = fev2.ckbalcao
        and aux.cknumcta = fev2.cknumcta
        and aux.zdeposit_mis = fev2.zdeposit
        and aux.ckarea = fev2.ckarea
left join
    (
    select
        -- chave mis
        cempcta, ckbalcao, cknumcta, zdeposit, ckarea,
        -- campos
        c134_extrap_ca as c134_extrap_ca_jan,
        c134_extrap_lc as c134_extrap_lc_jan,
        c224_patrm as c224_patrm_jan,
        c224_extrap_ca as c224_extrap_ca_jan,
        c224_extrap_lc as c224_extrap_lc_jan
    from BU_CAPTOOLS_WORK.UNIV_RENTAB_JAN25
    where ckmetamis not in ('SO0711','SO0721','SO0722')
    ) jan1
        on aux.cempcta = jan1.cempcta
        and aux.ckbalcao = jan1.ckbalcao
        and aux.cknumcta = jan1.cknumcta
        and aux.zdeposit_mis = jan1.zdeposit
        and aux.ckarea = jan1.ckarea
left join
    (
    select
        -- chave mis
        cempcta, ckbalcao, cknumcta, zdeposit, ckarea,
        -- campos
        m009_patrm as m009_patrm_jan,
        m009_extrap_ca as m009_extrap_ca_jan,
        m009_serv_fact as m009_serv_fact_jan
    from BU_CAPTOOLS_WORK.UNIV_RENTAB_JAN25
    where ckmetamis in ('SO0711','SO0721','SO0722')
    ) jan2
        on aux.cempcta = jan2.cempcta
        and aux.ckbalcao = jan2.ckbalcao
        and aux.cknumcta = jan2.cknumcta
        and aux.zdeposit_mis = jan2.zdeposit
        and aux.ckarea = jan2.ckarea
left join
    (
    select
        -- chave mis
        cempcta, ckbalcao, cknumcta, zdeposit, ckarea,
        -- campos
        c134_extrap_ca as c134_extrap_ca_dez,
        c134_extrap_lc as c134_extrap_lc_dez,
        c224_patrm as c224_patrm_dez,
        c224_extrap_ca as c224_extrap_ca_dez,
        c224_extrap_lc as c224_extrap_lc_dez
    from BU_CAPTOOLS_WORK.UNIV_RENTAB_DEZ24
    where ckmetamis not in ('SO0711','SO0721','SO0722')
    ) dez1
        on aux.cempcta = dez1.cempcta
        and aux.ckbalcao = dez1.ckbalcao
        and aux.cknumcta = dez1.cknumcta
        and aux.zdeposit_mis = dez1.zdeposit
        and aux.ckarea = dez1.ckarea
;</t>
  </si>
  <si>
    <t>x</t>
  </si>
  <si>
    <t>-- criação do universo com os campos a analisar
create table bu_captools_work.lt002_int_gd_mar25_dg as
select
    univ, ref_date, ambito, segmento, instrmnt_id_aux, instrmnt_id, lcl_instrmnt_id,
    cempcta, ckbalcao, cknumcta, zdeposit_mis, ckarea,
    ACCMLTD_CHNGS_FV_CR_INSTRMNT,
    ACCMLTD_IMPRMNT_INSTRMNT,
    ACCNTNG_CLSSFCTN,
    c295_patrm_mar + ((c224_patrm_dez + c224_patrm_jan + c224_patrm_fev + c224_patrm_mar)/4) as avrg_blnc,
    case 
        when c224_extrap_ca_mar = 0 and  c224_extrap_lc_mar = 0 then 0
        when c224_extrap_ca_mar = 0 and  c224_extrap_lc_mar &lt;&gt; 0 then (c134_extrap_lc_mar + c134_extrap_lc_fev + c134_extrap_lc_jan + c134_extrap_lc_dez)/4
        when c224_extrap_ca_mar &lt;&gt; 0 and  c224_extrap_lc_mar = 0 then c295_extrap_ca_mar + (c224_extrap_ca_mar + c224_extrap_ca_fev + c224_extrap_ca_jan + c224_extrap_ca_dez)/4 
            + (c134_extrap_ca_mar + c134_extrap_ca_fev + c134_extrap_ca_jan + c134_extrap_ca_dez)/4
        else 0
    end as avrg_blnc_off_blnc,
    BSNSS_AREA,
    BSNSS_AREA_CCRR,
    BSNSS_AREA_DSTNTN,
    CCF,
    CNCLLD_INSTRMNT_STTS,
    COD_SOC,
    COD_SOC_DSTNTN,
    COD_SOC_INTRGRP,
    DFLT_STTS_INSTRMNT,
    '2025-03-31' as DT_RFRNC,
    EAD,
    FLG_INTRBSNSS,
    GNS_FNNCL_TRNSCTN_EXCHNG_CCRR,
    GNS_FNNCL_TRNSCTN_EXCHNG_DFFRNCS,
    (c459_patrm - c460_patrm) as GRSS_CMMSSN_EXPNS,
    (c459_extrap - c460_extrap) as GRSS_CMMSSN_EXPNS_OFF_BLNC,
    GRSS_CMMSSN_EXPNS_CCRR,
    GRSS_CMMSSN_EXPNS_OFF_BLNC_CCRR,
    (c457_patrm-c458_patrm) as GRSS_CMMSSN_INCM,
    (c457_extrap-c458_extrap) as GRSS_CMMSSN_INCM_OFF_BLNC,
    GRSS_CMMSSN_INCM_CCRR,
    GRSS_CMMSSN_INCM_OFF_BLNC_CCRR,
    GRSS_CRRYNG_AMNT_INSTRMNT,
    c299_patrm as GRSS_INTRST_EXPNS,
    GRSS_INTRST_EXPNS_CCRR,
    c298_patrm as GRSS_INTRST_INCM,
    GRSS_INTRST_INCM_CCRR,
    'por simular IDCMB' as IDCMB,
    IMPRMNT_STTS,
    INTRBSNSS_ADJ_COD,
    'por simular INTRNL_TRNSFR_RT' as INTRNL_TRNSFR_RT,
    INTRNL_TRNSFR_RT_OFF_BLNC,
    MNGMNT_PRDCT,
    (m009_patrm_mar + m009_patrm_fev + m009_patrm_jan + m009_serv_fact_mar + m009_serv_fact_fev + m009_serv_fact_jan) as NT_LN_LSS_PRVSN,
    (m009_extrap_ca_mar + m009_extrap_ca_fev + m009_extrap_ca_jan) as NT_LN_LSS_PRVSN_OFF_BLNC,
    NW_BSNSS,
    OFF_BLNC_SHT_AMNT_INSTRMNT,
    PRFRMNG_STTS,
    PRVSNS_OFF_BLNC_SHT,
    RWA,
    RWA_OFF_BLNC,
    SUBPORTFOLIO_ID,
    TYP_INSTRMNT,
    TYP_OFF_BLNC_PRDCT
from bu_captools_work.lt002_universo_gd_mar25_dg
;</t>
  </si>
  <si>
    <t>with dg as (
select
    *,
    case
        when instrmnt_id_cdg is not null and instrmnt_id_it is not null and nw_bsnss_cdg = nw_bsnss_it then 'ok'
        when instrmnt_id_cdg is not null and instrmnt_id_it is not null and nw_bsnss_cdg &lt;&gt; nw_bsnss_it then 'nok'
        when instrmnt_id_cdg is not null and instrmnt_id_it is null then 'exclusivo cdg'
        when instrmnt_id_cdg is null and instrmnt_id_it is not null then 'exclusivo it'
        else 'ver'
    end as analise
from
    (
    select distinct
        instrmnt_id as instrmnt_id_cdg, 
        nw_bsnss as nw_bsnss_cdg
    from BU_CAPTOOLS_WORK.UNIV_LT_GD_PARTE3_AUX10
    ) a
full join
    (
    select distinct
        instrmnt_id as instrmnt_id_it,
        nw_bsnss as nw_bsnss_it
    from bu_loantape_work.lt002_instrument
    where ref_date = '2025-03-31'
    and ambito = 'GD'
    and segmento = 'ESTR'
    and nome_perimetro = 'Individual Corporativo'
    and cod_visao = 1
    ) b
        on a.instrmnt_id_cdg = b.instrmnt_id_it
)
select
    analise,
    -- *
    -- nw_bsnss_cdg,
    -- nw_bsnss_it,
    count(*)
from dg
-- where analise = 'nok'
-- and nw_bsnss_cdg = 'N'
-- and nw_bsnss_it = 'Y'
group by 1
order by 2 desc
-- limit 3
;</t>
  </si>
  <si>
    <t>31003161734810011104121300000001</t>
  </si>
  <si>
    <t>31005123650690011646809100000001</t>
  </si>
  <si>
    <t>31003194754230011519743300000001</t>
  </si>
  <si>
    <t>with dg as (
select
    *,
    case
        when instrmnt_id_cdg is not null and instrmnt_id_it is not null and nw_bsnss_cdg = nw_bsnss_it then 'ok'
        when instrmnt_id_cdg is not null and instrmnt_id_it is not null and nw_bsnss_cdg &lt;&gt; nw_bsnss_it then 'nok'
        when instrmnt_id_cdg is not null and instrmnt_id_it is null then 'exclusivo cdg'
        when instrmnt_id_cdg is null and instrmnt_id_it is not null then 'exclusivo it'
        else 'ver'
    end as analise
from
    (
    select distinct
        instrmnt_id as instrmnt_id_cdg, 
        nw_bsnss as nw_bsnss_cdg
    from BU_CAPTOOLS_WORK.UNIV_LT_GD_PARTE3_AUX10
    ) a
full join
    (
    select distinct
        instrmnt_id as instrmnt_id_it,
        nw_bsnss as nw_bsnss_it
    from bu_loantape_work.lt002_instrument
    where ref_date = '2025-03-31'
    and ambito = 'GD'
    and segmento = 'ESTR'
    and nome_perimetro = 'Individual Corporativo'
    and cod_visao = 1
    ) b
        on a.instrmnt_id_cdg = b.instrmnt_id_it
)
select
    -- analise,
    *
    -- nw_bsnss_cdg,
    -- nw_bsnss_it,
    -- count(*)
from dg
where analise = 'nok'
and nw_bsnss_cdg = 'Y'
and nw_bsnss_it = 'N'
-- group by 1, 2
-- order by 3 desc
limit 3
;</t>
  </si>
  <si>
    <t>46.0300</t>
  </si>
  <si>
    <t>1362.0400</t>
  </si>
  <si>
    <t>2469.5100</t>
  </si>
  <si>
    <t>597.7100</t>
  </si>
  <si>
    <t>1460.4500</t>
  </si>
  <si>
    <t>515.7800</t>
  </si>
  <si>
    <t>2849.2800</t>
  </si>
  <si>
    <t>214.8300</t>
  </si>
  <si>
    <t>2803.2500</t>
  </si>
  <si>
    <t>SELECT DISTINCT 
    BASE.instrmnt_id,
    '1' as condição_1,
    NVL(RENT_JAN.C008_PATRM,0) as C008_PATRM_JAN, NVL(RENT_JAN.C011_PATRM,0) as C011_PATRM_JAN, 
    NVL(RENT_FEV.C008_PATRM,0) as C008_PATRM_FEV, NVL(RENT_FEV.C011_PATRM,0) as C011_PATRM_FEV,
    NVL(RENT_MAR.C008_PATRM,0) as C008_PATRM_MAR, NVL(RENT_MAR.C011_PATRM,0) as C011_PATRM_MAR,
    '2' as condição_2,
    NVL(RENT_JAN.C001_PATRM,0) as C001_PATRM_JAN, NVL(RENT_JAN.C134_PATRM,0) as C134_PATRM_JAN,
    NVL(RENT_DEZ.C001_PATRM,0) as C001_PATRM_DEZ, NVL(RENT_DEZ.C134_PATRM,0) as C134_PATRM_DEZ,
    '3' as condição_3,
    NVL(RENT_FEV.C001_PATRM,0) as C001_PATRM_FEV, NVL(RENT_FEV.C134_PATRM,0) as C134_PATRM_FEV,
    NVL(RENT_JAN.C001_PATRM,0) as C001_PATRM_JAN, NVL(RENT_JAN.C134_PATRM,0) as C134_PATRM_JAN,
    '4' as condição_4,
    NVL(RENT_MAR.C001_PATRM,0) as C001_PATRM_MAR, NVL(RENT_MAR.C134_PATRM,0) as C134_PATRM_MAR,
    NVL(RENT_FEV.C001_PATRM,0) as C001_PATRM_MAR, NVL(RENT_FEV.C134_PATRM,0) as C134_PATRM_FEV,
    CASE
        WHEN ((NVL(RENT_JAN.C008_PATRM,0) + NVL(RENT_JAN.C011_PATRM,0)) + (NVL(RENT_FEV.C008_PATRM,0) + NVL(RENT_FEV.C011_PATRM,0)) + (NVL(RENT_MAR.C008_PATRM,0) + NVL(RENT_MAR.C011_PATRM,0))) &gt; 0 OR
             ((NVL(RENT_JAN.C001_PATRM,0) + NVL(RENT_JAN.C134_PATRM,0)) - (NVL(RENT_DEZ.C001_PATRM,0) + NVL(RENT_DEZ.C134_PATRM,0))) &gt; 0 OR
             ((NVL(RENT_FEV.C001_PATRM,0) + NVL(RENT_FEV.C134_PATRM,0)) - (NVL(RENT_JAN.C001_PATRM,0) + NVL(RENT_JAN.C134_PATRM,0))) &gt; 0 OR
             ((NVL(RENT_MAR.C001_PATRM,0) + NVL(RENT_MAR.C134_PATRM,0)) - (NVL(RENT_FEV.C001_PATRM,0) + NVL(RENT_FEV.C134_PATRM,0))) &gt; 0
             THEN 1
        ELSE 0
    END AS NW_BSNSS_AUX
FROM BU_CAPTOOLS_WORK.UNIV_LT_GD_PARTE3_AUX10 BASE
LEFT JOIN BU_CAPTOOLS_WORK.UNIV_RENTAB_MAR25 RENT_MAR
ON BASE.CEMPCTA=RENT_MAR.CEMPCTA
AND BASE.CKBALCAO=RENT_MAR.CKBALCAO
AND BASE.CKNUMCTA=RENT_MAR.CKNUMCTA
AND BASE.ZDEPOSIT_MIS=RENT_MAR.ZDEPOSIT
AND BASE.CKAREA&lt;=&gt;RENT_MAR.CKAREA
LEFT JOIN BU_CAPTOOLS_WORK.UNIV_RENTAB_FEV25 RENT_FEV
ON BASE.CEMPCTA=RENT_FEV.CEMPCTA
AND BASE.CKBALCAO=RENT_FEV.CKBALCAO
AND BASE.CKNUMCTA=RENT_FEV.CKNUMCTA
AND BASE.ZDEPOSIT_MIS=RENT_FEV.ZDEPOSIT
AND BASE.CKAREA&lt;=&gt;RENT_FEV.CKAREA
LEFT JOIN BU_CAPTOOLS_WORK.UNIV_RENTAB_JAN25 RENT_JAN
ON BASE.CEMPCTA=RENT_JAN.CEMPCTA
AND BASE.CKBALCAO=RENT_JAN.CKBALCAO
AND BASE.CKNUMCTA=RENT_JAN.CKNUMCTA
AND BASE.ZDEPOSIT_MIS=RENT_JAN.ZDEPOSIT
AND BASE.CKAREA&lt;=&gt;RENT_JAN.CKAREA
LEFT JOIN BU_CAPTOOLS_WORK.UNIV_RENTAB_DEZ24 RENT_DEZ
ON BASE.CEMPCTA=RENT_DEZ.CEMPCTA
AND BASE.CKBALCAO=RENT_DEZ.CKBALCAO
AND BASE.CKNUMCTA=RENT_DEZ.CKNUMCTA
AND BASE.ZDEPOSIT_MIS=RENT_DEZ.ZDEPOSIT
AND BASE.CKAREA&lt;=&gt;RENT_DEZ.CKAREA
where instrmnt_id = '31003161734810011104121300000001'</t>
  </si>
  <si>
    <t>Campos:</t>
  </si>
  <si>
    <t>val_gns_fnncl_trnsctn_exchng_dffrncs</t>
  </si>
  <si>
    <t>val_grss_intrst_expns</t>
  </si>
  <si>
    <t>val_grss_intrst_incm</t>
  </si>
  <si>
    <t>val_intrnl_trnsfr_rt</t>
  </si>
  <si>
    <t>comum</t>
  </si>
  <si>
    <t>null do lado de cdg</t>
  </si>
  <si>
    <t>1. val_gns_fnncl_trnsctn_exchng_dffrncs</t>
  </si>
  <si>
    <t>gns_fnncl_trnsctn_exchng_dffrncs_cdg</t>
  </si>
  <si>
    <t>gns_fnncl_trnsctn_exchng_dffrncs_it</t>
  </si>
  <si>
    <t>82000020240000685000007402998386</t>
  </si>
  <si>
    <t>82000020170000813000007401005476</t>
  </si>
  <si>
    <t>82000020100005442000007400334767</t>
  </si>
  <si>
    <t>with dg as (
select 
    case
        when a.instrmnt_id_cdg is not null and b.instrmnt_id_it is not null then 'comum'
        when a.instrmnt_id_cdg is null and b.instrmnt_id_it is not null then 'exclusivo cdg'
        when a.instrmnt_id_cdg is not null and b.instrmnt_id_it is null then 'exclusivo it'
        else 'ver'
    end as universo,
    case    
        when a.instrmnt_id_cdg is null and b.instrmnt_id_it is not null then 'exclusivo cdg'
        when a.instrmnt_id_cdg is not null and b.instrmnt_id_it is null then 'exclusivo it'
        when a.GNS_FNNCL_TRNSCTN_EXCHNG_DFFRNCS_cdg=b.GNS_FNNCL_TRNSCTN_EXCHNG_DFFRNCS_it then 'ok'
        when a.GNS_FNNCL_TRNSCTN_EXCHNG_DFFRNCS_cdg&lt;&gt;b.GNS_FNNCL_TRNSCTN_EXCHNG_DFFRNCS_it then 'nok'
        when a.GNS_FNNCL_TRNSCTN_EXCHNG_DFFRNCS_cdg is null and b.GNS_FNNCL_TRNSCTN_EXCHNG_DFFRNCS_it is not null then 'null do lado de cdg'
        else 'ver'
    end as val_GNS_FNNCL_TRNSCTN_EXCHNG_DFFRNCS,
    case    
        when a.instrmnt_id_cdg is null and b.instrmnt_id_it is not null then 'exclusivo cdg'
        when a.instrmnt_id_cdg is not null and b.instrmnt_id_it is null then 'exclusivo it'
        when a.GRSS_INTRST_EXPNS_cdg=b.GRSS_INTRST_EXPNS_it then 'ok'
        when a.GRSS_INTRST_EXPNS_cdg&lt;&gt;b.GRSS_INTRST_EXPNS_it then 'nok'
        when a.GRSS_INTRST_EXPNS_cdg is null and b.GRSS_INTRST_EXPNS_it is not null then 'null do lado de cdg'
        else 'ver'
    end as val_GRSS_INTRST_EXPNS,
    case    
        when a.instrmnt_id_cdg is null and b.instrmnt_id_it is not null then 'exclusivo cdg'
        when a.instrmnt_id_cdg is not null and b.instrmnt_id_it is null then 'exclusivo it'
        when a.GRSS_INTRST_INCM_cdg=b.GRSS_INTRST_INCM_it then 'ok'
        when a.GRSS_INTRST_INCM_cdg&lt;&gt;b.GRSS_INTRST_INCM_it then 'nok'
        when a.GRSS_INTRST_INCM_cdg is null and b.GRSS_INTRST_INCM_it is not null then 'null do lado de cdg'
        when a.GRSS_INTRST_INCM_cdg is null and b.GRSS_INTRST_INCM_it is null then 'null dos dois lados'
        else 'ver'
    end as val_GRSS_INTRST_INCM,
    case    
        when a.instrmnt_id_cdg is null and b.instrmnt_id_it is not null then 'exclusivo cdg'
        when a.instrmnt_id_cdg is not null and b.instrmnt_id_it is null then 'exclusivo it'
        when a.INTRNL_TRNSFR_RT_cdg=b.INTRNL_TRNSFR_RT_it then 'ok'
        when a.INTRNL_TRNSFR_RT_cdg&lt;&gt;b.INTRNL_TRNSFR_RT_it then 'nok'
        when a.INTRNL_TRNSFR_RT_cdg is null and b.INTRNL_TRNSFR_RT_it is not null then 'null do lado de cdg'
        else 'ver'
    end as val_INTRNL_TRNSFR_RT,
    *
    -- count(*)
from
    (
    select distinct 
        instrmnt_id as instrmnt_id_cdg,
        GNS_FNNCL_TRNSCTN_EXCHNG_DFFRNCS as GNS_FNNCL_TRNSCTN_EXCHNG_DFFRNCS_cdg,
        GRSS_INTRST_EXPNS as GRSS_INTRST_EXPNS_cdg,
        GRSS_INTRST_INCM as GRSS_INTRST_INCM_cdg,
        INTRNL_TRNSFR_RT as INTRNL_TRNSFR_RT_cdg,
        cempcta,
        cknumcta
    from BU_CAPTOOLS_WORK.UNIV_LT_GD_PARTE3_AUX12
    ) a
full join 
    (
    select distinct 
        instrmnt_id as instrmnt_id_it,
        GNS_FNNCL_TRNSCTN_EXCHNG_DFFRNCS as GNS_FNNCL_TRNSCTN_EXCHNG_DFFRNCS_it,
        GRSS_INTRST_EXPNS as GRSS_INTRST_EXPNS_it,
        GRSS_INTRST_INCM as GRSS_INTRST_INCM_it,
        INTRNL_TRNSFR_RT as INTRNL_TRNSFR_RT_it
    from bu_loantape_work.lt002_instrument
    where ref_date = '2025-03-31'
    and ambito = 'GD'
    and segmento = 'ESTR'
    and nome_perimetro = 'Individual Corporativo'
    and cod_visao = 1
    ) b
        on a.instrmnt_id_cdg = b.instrmnt_id_it
)
select 
    val_GNS_FNNCL_TRNSCTN_EXCHNG_DFFRNCS,
    -- count(*)
    instrmnt_id_cdg,
    GNS_FNNCL_TRNSCTN_EXCHNG_DFFRNCS_cdg,
    GNS_FNNCL_TRNSCTN_EXCHNG_DFFRNCS_it
from dg
where val_GNS_FNNCL_TRNSCTN_EXCHNG_DFFRNCS = 'nok'
and strright(cknumcta,3) &lt;&gt; '011'
-- and strleft(instrmnt_id_cdg,2) &lt;&gt; '82'
-- and	gns_fnncl_trnsctn_exchng_dffrncs_cdg &lt;&gt; 0
-- group by 1
-- order by 2 desc
limit 3</t>
  </si>
  <si>
    <t>1.1 Nok - Exemplos</t>
  </si>
  <si>
    <t>2. val_grss_intrst_expns</t>
  </si>
  <si>
    <t>grss_intrst_expns_cdg</t>
  </si>
  <si>
    <t>grss_intrst_expns_it</t>
  </si>
  <si>
    <t>82000020220000069000009000671057</t>
  </si>
  <si>
    <t>82000020210000018000007400544832</t>
  </si>
  <si>
    <t>82000020230000154000007402826908</t>
  </si>
  <si>
    <t>with dg as (
select 
    case
        when a.instrmnt_id_cdg is not null and b.instrmnt_id_it is not null then 'comum'
        when a.instrmnt_id_cdg is null and b.instrmnt_id_it is not null then 'exclusivo cdg'
        when a.instrmnt_id_cdg is not null and b.instrmnt_id_it is null then 'exclusivo it'
        else 'ver'
    end as universo,
    case    
        when a.instrmnt_id_cdg is null and b.instrmnt_id_it is not null then 'exclusivo cdg'
        when a.instrmnt_id_cdg is not null and b.instrmnt_id_it is null then 'exclusivo it'
        when a.GNS_FNNCL_TRNSCTN_EXCHNG_DFFRNCS_cdg=b.GNS_FNNCL_TRNSCTN_EXCHNG_DFFRNCS_it then 'ok'
        when a.GNS_FNNCL_TRNSCTN_EXCHNG_DFFRNCS_cdg&lt;&gt;b.GNS_FNNCL_TRNSCTN_EXCHNG_DFFRNCS_it then 'nok'
        when a.GNS_FNNCL_TRNSCTN_EXCHNG_DFFRNCS_cdg is null and b.GNS_FNNCL_TRNSCTN_EXCHNG_DFFRNCS_it is not null then 'null do lado de cdg'
        else 'ver'
    end as val_GNS_FNNCL_TRNSCTN_EXCHNG_DFFRNCS,
    case    
        when a.instrmnt_id_cdg is null and b.instrmnt_id_it is not null then 'exclusivo cdg'
        when a.instrmnt_id_cdg is not null and b.instrmnt_id_it is null then 'exclusivo it'
        when a.GRSS_INTRST_EXPNS_cdg=b.GRSS_INTRST_EXPNS_it then 'ok'
        when a.GRSS_INTRST_EXPNS_cdg&lt;&gt;b.GRSS_INTRST_EXPNS_it then 'nok'
        when a.GRSS_INTRST_EXPNS_cdg is null and b.GRSS_INTRST_EXPNS_it is not null then 'null do lado de cdg'
        else 'ver'
    end as val_GRSS_INTRST_EXPNS,
    case    
        when a.instrmnt_id_cdg is null and b.instrmnt_id_it is not null then 'exclusivo cdg'
        when a.instrmnt_id_cdg is not null and b.instrmnt_id_it is null then 'exclusivo it'
        when a.GRSS_INTRST_INCM_cdg=b.GRSS_INTRST_INCM_it then 'ok'
        when a.GRSS_INTRST_INCM_cdg&lt;&gt;b.GRSS_INTRST_INCM_it then 'nok'
        when a.GRSS_INTRST_INCM_cdg is null and b.GRSS_INTRST_INCM_it is not null then 'null do lado de cdg'
        when a.GRSS_INTRST_INCM_cdg is null and b.GRSS_INTRST_INCM_it is null then 'null dos dois lados'
        else 'ver'
    end as val_GRSS_INTRST_INCM,
    case    
        when a.instrmnt_id_cdg is null and b.instrmnt_id_it is not null then 'exclusivo cdg'
        when a.instrmnt_id_cdg is not null and b.instrmnt_id_it is null then 'exclusivo it'
        when a.INTRNL_TRNSFR_RT_cdg=b.INTRNL_TRNSFR_RT_it then 'ok'
        when a.INTRNL_TRNSFR_RT_cdg&lt;&gt;b.INTRNL_TRNSFR_RT_it then 'nok'
        when a.INTRNL_TRNSFR_RT_cdg is null and b.INTRNL_TRNSFR_RT_it is not null then 'null do lado de cdg'
        else 'ver'
    end as val_INTRNL_TRNSFR_RT,
    *
    -- count(*)
from
    (
    select distinct 
        instrmnt_id as instrmnt_id_cdg,
        GNS_FNNCL_TRNSCTN_EXCHNG_DFFRNCS as GNS_FNNCL_TRNSCTN_EXCHNG_DFFRNCS_cdg,
        GRSS_INTRST_EXPNS as GRSS_INTRST_EXPNS_cdg,
        GRSS_INTRST_INCM as GRSS_INTRST_INCM_cdg,
        INTRNL_TRNSFR_RT as INTRNL_TRNSFR_RT_cdg,
        cempcta,
        cknumcta
    from BU_CAPTOOLS_WORK.UNIV_LT_GD_PARTE3_AUX12
    ) a
full join 
    (
    select distinct 
        instrmnt_id as instrmnt_id_it,
        GNS_FNNCL_TRNSCTN_EXCHNG_DFFRNCS as GNS_FNNCL_TRNSCTN_EXCHNG_DFFRNCS_it,
        GRSS_INTRST_EXPNS as GRSS_INTRST_EXPNS_it,
        GRSS_INTRST_INCM as GRSS_INTRST_INCM_it,
        INTRNL_TRNSFR_RT as INTRNL_TRNSFR_RT_it
    from bu_loantape_work.lt002_instrument
    where ref_date = '2025-03-31'
    and ambito = 'GD'
    and segmento = 'ESTR'
    and nome_perimetro = 'Individual Corporativo'
    and cod_visao = 1
    ) b
        on a.instrmnt_id_cdg = b.instrmnt_id_it
)
select 
    val_grss_intrst_expns,
    count(*)
    -- instrmnt_id_cdg,
    -- grss_intrst_expns_cdg,
    -- grss_intrst_expns_it
from dg
-- where val_GNS_FNNCL_TRNSCTN_EXCHNG_DFFRNCS = 'nok'
-- and strright(cknumcta,3) &lt;&gt; '011'
group by 1
order by 2 desc
-- limit 3</t>
  </si>
  <si>
    <t>2.1 Nok Exemplos</t>
  </si>
  <si>
    <t>3. grss_intrst_incm</t>
  </si>
  <si>
    <t>grss_intrst_incm_cdg</t>
  </si>
  <si>
    <t>3.1 Nok Exemplos</t>
  </si>
  <si>
    <t>with dg as (
select 
    case
        when a.instrmnt_id_cdg is not null and b.instrmnt_id_it is not null then 'comum'
        when a.instrmnt_id_cdg is null and b.instrmnt_id_it is not null then 'exclusivo cdg'
        when a.instrmnt_id_cdg is not null and b.instrmnt_id_it is null then 'exclusivo it'
        else 'ver'
    end as universo,
    case    
        when a.instrmnt_id_cdg is null and b.instrmnt_id_it is not null then 'exclusivo cdg'
        when a.instrmnt_id_cdg is not null and b.instrmnt_id_it is null then 'exclusivo it'
        when a.GNS_FNNCL_TRNSCTN_EXCHNG_DFFRNCS_cdg=b.GNS_FNNCL_TRNSCTN_EXCHNG_DFFRNCS_it then 'ok'
        when a.GNS_FNNCL_TRNSCTN_EXCHNG_DFFRNCS_cdg&lt;&gt;b.GNS_FNNCL_TRNSCTN_EXCHNG_DFFRNCS_it then 'nok'
        when a.GNS_FNNCL_TRNSCTN_EXCHNG_DFFRNCS_cdg is null and b.GNS_FNNCL_TRNSCTN_EXCHNG_DFFRNCS_it is not null then 'null do lado de cdg'
        else 'ver'
    end as val_GNS_FNNCL_TRNSCTN_EXCHNG_DFFRNCS,
    case    
        when a.instrmnt_id_cdg is null and b.instrmnt_id_it is not null then 'exclusivo cdg'
        when a.instrmnt_id_cdg is not null and b.instrmnt_id_it is null then 'exclusivo it'
        when a.GRSS_INTRST_EXPNS_cdg=b.GRSS_INTRST_EXPNS_it then 'ok'
        when a.GRSS_INTRST_EXPNS_cdg&lt;&gt;b.GRSS_INTRST_EXPNS_it then 'nok'
        when a.GRSS_INTRST_EXPNS_cdg is null and b.GRSS_INTRST_EXPNS_it is not null then 'null do lado de cdg'
        else 'ver'
    end as val_GRSS_INTRST_EXPNS,
    case    
        when a.instrmnt_id_cdg is null and b.instrmnt_id_it is not null then 'exclusivo cdg'
        when a.instrmnt_id_cdg is not null and b.instrmnt_id_it is null then 'exclusivo it'
        when a.GRSS_INTRST_INCM_cdg=b.GRSS_INTRST_INCM_it then 'ok'
        when a.GRSS_INTRST_INCM_cdg&lt;&gt;b.GRSS_INTRST_INCM_it then 'nok'
        when a.GRSS_INTRST_INCM_cdg is null and b.GRSS_INTRST_INCM_it is not null then 'null do lado de cdg'
        when a.GRSS_INTRST_INCM_cdg is null and b.GRSS_INTRST_INCM_it is null then 'null dos dois lados'
        else 'ver'
    end as val_GRSS_INTRST_INCM,
    case    
        when a.instrmnt_id_cdg is null and b.instrmnt_id_it is not null then 'exclusivo cdg'
        when a.instrmnt_id_cdg is not null and b.instrmnt_id_it is null then 'exclusivo it'
        when a.INTRNL_TRNSFR_RT_cdg=b.INTRNL_TRNSFR_RT_it then 'ok'
        when a.INTRNL_TRNSFR_RT_cdg&lt;&gt;b.INTRNL_TRNSFR_RT_it then 'nok'
        when a.INTRNL_TRNSFR_RT_cdg is null and b.INTRNL_TRNSFR_RT_it is not null then 'null do lado de cdg'
        else 'ver'
    end as val_INTRNL_TRNSFR_RT,
    *
    -- count(*)
from
    (
    select distinct 
        instrmnt_id as instrmnt_id_cdg,
        GNS_FNNCL_TRNSCTN_EXCHNG_DFFRNCS as GNS_FNNCL_TRNSCTN_EXCHNG_DFFRNCS_cdg,
        GRSS_INTRST_EXPNS as GRSS_INTRST_EXPNS_cdg,
        GRSS_INTRST_INCM as GRSS_INTRST_INCM_cdg,
        INTRNL_TRNSFR_RT as INTRNL_TRNSFR_RT_cdg,
        cempcta,
        cknumcta
    from BU_CAPTOOLS_WORK.UNIV_LT_GD_PARTE3_AUX12
    ) a
full join 
    (
    select distinct 
        instrmnt_id as instrmnt_id_it,
        GNS_FNNCL_TRNSCTN_EXCHNG_DFFRNCS as GNS_FNNCL_TRNSCTN_EXCHNG_DFFRNCS_it,
        GRSS_INTRST_EXPNS as GRSS_INTRST_EXPNS_it,
        GRSS_INTRST_INCM as GRSS_INTRST_INCM_it,
        INTRNL_TRNSFR_RT as INTRNL_TRNSFR_RT_it
    from bu_loantape_work.lt002_instrument
    where ref_date = '2025-03-31'
    and ambito = 'GD'
    and segmento = 'ESTR'
    and nome_perimetro = 'Individual Corporativo'
    and cod_visao = 1
    ) b
        on a.instrmnt_id_cdg = b.instrmnt_id_it
)
select 
    val_grss_intrst_expns,
    -- count(*)
    instrmnt_id_cdg,
    grss_intrst_expns_cdg,
    grss_intrst_expns_it
from dg
where val_grss_intrst_expns = 'nok'
and strright(cknumcta,3) &lt;&gt; '011'
-- and strleft(instrmnt_id_cdg,2) &lt;&gt; '82'
-- and	gns_fnncl_trnsctn_exchng_dffrncs_cdg &lt;&gt; 0
-- group by 1
-- order by 2 desc
limit 3</t>
  </si>
  <si>
    <t>4. intrnl_trnsfr_rt</t>
  </si>
  <si>
    <t>4.1 Nok Exemplos</t>
  </si>
  <si>
    <t>intrnl_trnsfr_rt_cdg</t>
  </si>
  <si>
    <t>intrnl_trnsfr_rt_it</t>
  </si>
  <si>
    <t>ver</t>
  </si>
  <si>
    <t>mês atual - mês anterior</t>
  </si>
  <si>
    <t>Por atualizar</t>
  </si>
  <si>
    <t>31000311132213096000000000000000</t>
  </si>
  <si>
    <t>184.03</t>
  </si>
  <si>
    <t>736.12</t>
  </si>
  <si>
    <t>31005127540200011680015600000001</t>
  </si>
  <si>
    <t>9.79</t>
  </si>
  <si>
    <t>39.16</t>
  </si>
  <si>
    <t>31000316377201096000000000000000</t>
  </si>
  <si>
    <t>0.44</t>
  </si>
  <si>
    <t>1.76</t>
  </si>
  <si>
    <t>with dg as (
select 
    case
        when a.instrmnt_id_cdg is not null and b.instrmnt_id_it is not null then 'comum'
        when a.instrmnt_id_cdg is null and b.instrmnt_id_it is not null then 'exclusivo cdg'
        when a.instrmnt_id_cdg is not null and b.instrmnt_id_it is null then 'exclusivo it'
        else 'ver'
    end as universo,
    case    
        when a.instrmnt_id_cdg is null and b.instrmnt_id_it is not null then 'exclusivo cdg'
        when a.instrmnt_id_cdg is not null and b.instrmnt_id_it is null then 'exclusivo it'
        when a.GNS_FNNCL_TRNSCTN_EXCHNG_DFFRNCS_cdg=b.GNS_FNNCL_TRNSCTN_EXCHNG_DFFRNCS_it then 'ok'
        when a.GNS_FNNCL_TRNSCTN_EXCHNG_DFFRNCS_cdg&lt;&gt;b.GNS_FNNCL_TRNSCTN_EXCHNG_DFFRNCS_it then 'nok'
        when a.GNS_FNNCL_TRNSCTN_EXCHNG_DFFRNCS_cdg is null and b.GNS_FNNCL_TRNSCTN_EXCHNG_DFFRNCS_it is not null then 'null do lado de cdg'
        else 'ver'
    end as val_GNS_FNNCL_TRNSCTN_EXCHNG_DFFRNCS,
    case    
        when a.instrmnt_id_cdg is null and b.instrmnt_id_it is not null then 'exclusivo cdg'
        when a.instrmnt_id_cdg is not null and b.instrmnt_id_it is null then 'exclusivo it'
        when a.GRSS_INTRST_EXPNS_cdg=b.GRSS_INTRST_EXPNS_it then 'ok'
        when a.GRSS_INTRST_EXPNS_cdg&lt;&gt;b.GRSS_INTRST_EXPNS_it then 'nok'
        when a.GRSS_INTRST_EXPNS_cdg is null and b.GRSS_INTRST_EXPNS_it is not null then 'null do lado de cdg'
        else 'ver'
    end as val_GRSS_INTRST_EXPNS,
    case    
        when a.instrmnt_id_cdg is null and b.instrmnt_id_it is not null then 'exclusivo cdg'
        when a.instrmnt_id_cdg is not null and b.instrmnt_id_it is null then 'exclusivo it'
        when a.GRSS_INTRST_INCM_cdg=b.GRSS_INTRST_INCM_it then 'ok'
        when a.GRSS_INTRST_INCM_cdg&lt;&gt;b.GRSS_INTRST_INCM_it then 'nok'
        when a.GRSS_INTRST_INCM_cdg is null and b.GRSS_INTRST_INCM_it is not null then 'null do lado de cdg'
        when a.GRSS_INTRST_INCM_cdg is null and b.GRSS_INTRST_INCM_it is null then 'null dos dois lados'
        else 'ver'
    end as val_GRSS_INTRST_INCM,
    case    
        when a.instrmnt_id_cdg is null and b.instrmnt_id_it is not null then 'exclusivo cdg'
        when a.instrmnt_id_cdg is not null and b.instrmnt_id_it is null then 'exclusivo it'
        when a.INTRNL_TRNSFR_RT_cdg=b.INTRNL_TRNSFR_RT_it then 'ok'
        when a.INTRNL_TRNSFR_RT_cdg&lt;&gt;b.INTRNL_TRNSFR_RT_it then 'nok'
        when a.INTRNL_TRNSFR_RT_cdg is null and b.INTRNL_TRNSFR_RT_it is not null then 'null do lado de cdg'
        else 'ver'
    end as val_INTRNL_TRNSFR_RT,
    *
    -- count(*)
from
    (
    select 
        instrmnt_id as instrmnt_id_cdg,
        GNS_FNNCL_TRNSCTN_EXCHNG_DFFRNCS as GNS_FNNCL_TRNSCTN_EXCHNG_DFFRNCS_cdg,
        GRSS_INTRST_EXPNS as GRSS_INTRST_EXPNS_cdg,
        sum(GRSS_INTRST_INCM) as GRSS_INTRST_INCM_cdg,
        sum(INTRNL_TRNSFR_RT) as INTRNL_TRNSFR_RT_cdg
    from BU_CAPTOOLS_WORK.UNIV_LT_GD_PARTE3_AUX12
    group by 1,2,3
    ) a
full join 
    (
    select distinct 
        instrmnt_id as instrmnt_id_it,
        GNS_FNNCL_TRNSCTN_EXCHNG_DFFRNCS as GNS_FNNCL_TRNSCTN_EXCHNG_DFFRNCS_it,
        GRSS_INTRST_EXPNS as GRSS_INTRST_EXPNS_it,
        GRSS_INTRST_INCM as GRSS_INTRST_INCM_it,
        INTRNL_TRNSFR_RT as INTRNL_TRNSFR_RT_it
    from bu_loantape_work.lt002_instrument
    where ref_date = '2025-03-31'
    and ambito = 'GD'
    and segmento = 'ESTR'
    and nome_perimetro = 'Individual Corporativo'
    and cod_visao = 1
    ) b
        on a.instrmnt_id_cdg = b.instrmnt_id_it
-- group by 1,2,3,4,5
-- order by 6 desc
)
select  
    instrmnt_id_cdg,
    val_INTRNL_TRNSFR_RT,
    INTRNL_TRNSFR_RT_cdg,
    INTRNL_TRNSFR_RT_it
from dg
where val_INTRNL_TRNSFR_RT = 'nok'
limit 3
;</t>
  </si>
  <si>
    <t>with dg as (
select 
    case
        when a.instrmnt_id_cdg is not null and b.instrmnt_id_it is not null then 'comum'
        when a.instrmnt_id_cdg is null and b.instrmnt_id_it is not null then 'exclusivo cdg'
        when a.instrmnt_id_cdg is not null and b.instrmnt_id_it is null then 'exclusivo it'
        else 'ver'
    end as universo,
    case    
        when a.instrmnt_id_cdg is null and b.instrmnt_id_it is not null then 'exclusivo cdg'
        when a.instrmnt_id_cdg is not null and b.instrmnt_id_it is null then 'exclusivo it'
        when a.GNS_FNNCL_TRNSCTN_EXCHNG_DFFRNCS_cdg=b.GNS_FNNCL_TRNSCTN_EXCHNG_DFFRNCS_it then 'ok'
        when a.GNS_FNNCL_TRNSCTN_EXCHNG_DFFRNCS_cdg&lt;&gt;b.GNS_FNNCL_TRNSCTN_EXCHNG_DFFRNCS_it then 'nok'
        when a.GNS_FNNCL_TRNSCTN_EXCHNG_DFFRNCS_cdg is null and b.GNS_FNNCL_TRNSCTN_EXCHNG_DFFRNCS_it is not null then 'null do lado de cdg'
        else 'ver'
    end as val_GNS_FNNCL_TRNSCTN_EXCHNG_DFFRNCS,
    case    
        when a.instrmnt_id_cdg is null and b.instrmnt_id_it is not null then 'exclusivo cdg'
        when a.instrmnt_id_cdg is not null and b.instrmnt_id_it is null then 'exclusivo it'
        when a.GRSS_INTRST_EXPNS_cdg=b.GRSS_INTRST_EXPNS_it then 'ok'
        when a.GRSS_INTRST_EXPNS_cdg&lt;&gt;b.GRSS_INTRST_EXPNS_it then 'nok'
        when a.GRSS_INTRST_EXPNS_cdg is null and b.GRSS_INTRST_EXPNS_it is not null then 'null do lado de cdg'
        else 'ver'
    end as val_GRSS_INTRST_EXPNS,
    case    
        when a.instrmnt_id_cdg is null and b.instrmnt_id_it is not null then 'exclusivo cdg'
        when a.instrmnt_id_cdg is not null and b.instrmnt_id_it is null then 'exclusivo it'
        when a.GRSS_INTRST_INCM_cdg=b.GRSS_INTRST_INCM_it then 'ok'
        when a.GRSS_INTRST_INCM_cdg&lt;&gt;b.GRSS_INTRST_INCM_it then 'nok'
        when a.GRSS_INTRST_INCM_cdg is null and b.GRSS_INTRST_INCM_it is not null then 'null do lado de cdg'
        when a.GRSS_INTRST_INCM_cdg is null and b.GRSS_INTRST_INCM_it is null then 'null dos dois lados'
        else 'ver'
    end as val_GRSS_INTRST_INCM,
    case    
        when a.instrmnt_id_cdg is null and b.instrmnt_id_it is not null then 'exclusivo cdg'
        when a.instrmnt_id_cdg is not null and b.instrmnt_id_it is null then 'exclusivo it'
        when a.INTRNL_TRNSFR_RT_cdg=b.INTRNL_TRNSFR_RT_it then 'ok'
        when a.INTRNL_TRNSFR_RT_cdg&lt;&gt;b.INTRNL_TRNSFR_RT_it then 'nok'
        when a.INTRNL_TRNSFR_RT_cdg is null and b.INTRNL_TRNSFR_RT_it is not null then 'null do lado de cdg'
        else 'ver'
    end as val_INTRNL_TRNSFR_RT,
    *
    -- count(*)
from
    (
    select 
        instrmnt_id as instrmnt_id_cdg,
        GNS_FNNCL_TRNSCTN_EXCHNG_DFFRNCS as GNS_FNNCL_TRNSCTN_EXCHNG_DFFRNCS_cdg,
        GRSS_INTRST_EXPNS as GRSS_INTRST_EXPNS_cdg,
        sum(GRSS_INTRST_INCM) as GRSS_INTRST_INCM_cdg,
        sum(INTRNL_TRNSFR_RT) as INTRNL_TRNSFR_RT_cdg
    from BU_CAPTOOLS_WORK.UNIV_LT_GD_PARTE3_AUX12
    group by 1,2,3
    ) a
full join 
    (
    select distinct 
        instrmnt_id as instrmnt_id_it,
        GNS_FNNCL_TRNSCTN_EXCHNG_DFFRNCS as GNS_FNNCL_TRNSCTN_EXCHNG_DFFRNCS_it,
        GRSS_INTRST_EXPNS as GRSS_INTRST_EXPNS_it,
        GRSS_INTRST_INCM as GRSS_INTRST_INCM_it,
        INTRNL_TRNSFR_RT as INTRNL_TRNSFR_RT_it
    from bu_loantape_work.lt002_instrument
    where ref_date = '2025-03-31'
    and ambito = 'GD'
    and segmento = 'ESTR'
    and nome_perimetro = 'Individual Corporativo'
    and cod_visao = 1
    ) b
        on a.instrmnt_id_cdg = b.instrmnt_id_it
-- group by 1,2,3,4,5
-- order by 6 desc
)
select  
    -- instrmnt_id_cdg,
    val_INTRNL_TRNSFR_RT,
    count(*)
    -- INTRNL_TRNSFR_RT_cdg,
    -- INTRNL_TRNSFR_RT_it
from dg
-- where val_INTRNL_TRNSFR_RT = 'nok'
group by 1
-- limit 3
;</t>
  </si>
  <si>
    <t>with dg as (
select 
    case
        when a.instrmnt_id_cdg is not null and b.instrmnt_id_it is not null then 'comum'
        when a.instrmnt_id_cdg is null and b.instrmnt_id_it is not null then 'exclusivo cdg'
        when a.instrmnt_id_cdg is not null and b.instrmnt_id_it is null then 'exclusivo it'
        else 'ver'
    end as universo,
    case    
        when a.instrmnt_id_cdg is null and b.instrmnt_id_it is not null then 'exclusivo cdg'
        when a.instrmnt_id_cdg is not null and b.instrmnt_id_it is null then 'exclusivo it'
        when a.GNS_FNNCL_TRNSCTN_EXCHNG_DFFRNCS_cdg=b.GNS_FNNCL_TRNSCTN_EXCHNG_DFFRNCS_it then 'ok'
        when a.GNS_FNNCL_TRNSCTN_EXCHNG_DFFRNCS_cdg&lt;&gt;b.GNS_FNNCL_TRNSCTN_EXCHNG_DFFRNCS_it then 'nok'
        when a.GNS_FNNCL_TRNSCTN_EXCHNG_DFFRNCS_cdg is null and b.GNS_FNNCL_TRNSCTN_EXCHNG_DFFRNCS_it is not null then 'null do lado de cdg'
        else 'ver'
    end as val_GNS_FNNCL_TRNSCTN_EXCHNG_DFFRNCS,
    case    
        when a.instrmnt_id_cdg is null and b.instrmnt_id_it is not null then 'exclusivo cdg'
        when a.instrmnt_id_cdg is not null and b.instrmnt_id_it is null then 'exclusivo it'
        when a.GRSS_INTRST_EXPNS_cdg=b.GRSS_INTRST_EXPNS_it then 'ok'
        when a.GRSS_INTRST_EXPNS_cdg&lt;&gt;b.GRSS_INTRST_EXPNS_it then 'nok'
        when a.GRSS_INTRST_EXPNS_cdg is null and b.GRSS_INTRST_EXPNS_it is not null then 'null do lado de cdg'
        else 'ver'
    end as val_GRSS_INTRST_EXPNS,
    case    
        when a.instrmnt_id_cdg is null and b.instrmnt_id_it is not null then 'exclusivo cdg'
        when a.instrmnt_id_cdg is not null and b.instrmnt_id_it is null then 'exclusivo it'
        when a.GRSS_INTRST_INCM_cdg=b.GRSS_INTRST_INCM_it then 'ok'
        when a.GRSS_INTRST_INCM_cdg&lt;&gt;b.GRSS_INTRST_INCM_it then 'nok'
        when a.GRSS_INTRST_INCM_cdg is null and b.GRSS_INTRST_INCM_it is not null then 'null do lado de cdg'
        when a.GRSS_INTRST_INCM_cdg is null and b.GRSS_INTRST_INCM_it is null then 'null dos dois lados'
        else 'ver'
    end as val_GRSS_INTRST_INCM,
    case    
        when a.instrmnt_id_cdg is null and b.instrmnt_id_it is not null then 'exclusivo cdg'
        when a.instrmnt_id_cdg is not null and b.instrmnt_id_it is null then 'exclusivo it'
        when a.INTRNL_TRNSFR_RT_cdg=b.INTRNL_TRNSFR_RT_it then 'ok'
        when a.INTRNL_TRNSFR_RT_cdg&lt;&gt;b.INTRNL_TRNSFR_RT_it then 'nok'
        when a.INTRNL_TRNSFR_RT_cdg is null and b.INTRNL_TRNSFR_RT_it is not null then 'null do lado de cdg'
        else 'ver'
    end as val_INTRNL_TRNSFR_RT,
    *
    -- count(*)
from
    (
    select 
        instrmnt_id as instrmnt_id_cdg,
        GNS_FNNCL_TRNSCTN_EXCHNG_DFFRNCS as GNS_FNNCL_TRNSCTN_EXCHNG_DFFRNCS_cdg,
        GRSS_INTRST_EXPNS as GRSS_INTRST_EXPNS_cdg,
        sum(GRSS_INTRST_INCM) as GRSS_INTRST_INCM_cdg,
        sum(INTRNL_TRNSFR_RT) as INTRNL_TRNSFR_RT_cdg
    from BU_CAPTOOLS_WORK.UNIV_LT_GD_PARTE3_AUX12
    group by 1,2,3
    ) a
full join 
    (
    select distinct 
        instrmnt_id as instrmnt_id_it,
        GNS_FNNCL_TRNSCTN_EXCHNG_DFFRNCS as GNS_FNNCL_TRNSCTN_EXCHNG_DFFRNCS_it,
        GRSS_INTRST_EXPNS as GRSS_INTRST_EXPNS_it,
        GRSS_INTRST_INCM as GRSS_INTRST_INCM_it,
        INTRNL_TRNSFR_RT as INTRNL_TRNSFR_RT_it
    from bu_loantape_work.lt002_instrument
    where ref_date = '2025-03-31'
    and ambito = 'GD'
    and segmento = 'ESTR'
    and nome_perimetro = 'Individual Corporativo'
    and cod_visao = 1
    ) b
        on a.instrmnt_id_cdg = b.instrmnt_id_it
-- group by 1,2,3,4,5
-- order by 6 desc
)
select  
    -- instrmnt_id_cdg,
    val_grss_intrst_incm,
    count(*)
    -- grss_intrst_incm_cdg,
    -- grss_intrst_incm_it
from dg
-- where val_grss_intrst_incm = 'nok'
group by 1
-- limit 3
;</t>
  </si>
  <si>
    <t>31000300095015007100089657850000</t>
  </si>
  <si>
    <t>82000020210000226001520250142376</t>
  </si>
  <si>
    <t>with dg as (
select 
    case
        when a.instrmnt_id_cdg is not null and b.instrmnt_id_it is not null then 'comum'
        when a.instrmnt_id_cdg is null and b.instrmnt_id_it is not null then 'exclusivo cdg'
        when a.instrmnt_id_cdg is not null and b.instrmnt_id_it is null then 'exclusivo it'
        else 'ver'
    end as universo,
    case    
        when a.instrmnt_id_cdg is null and b.instrmnt_id_it is not null then 'exclusivo cdg'
        when a.instrmnt_id_cdg is not null and b.instrmnt_id_it is null then 'exclusivo it'
        when a.GNS_FNNCL_TRNSCTN_EXCHNG_DFFRNCS_cdg=b.GNS_FNNCL_TRNSCTN_EXCHNG_DFFRNCS_it then 'ok'
        when a.GNS_FNNCL_TRNSCTN_EXCHNG_DFFRNCS_cdg&lt;&gt;b.GNS_FNNCL_TRNSCTN_EXCHNG_DFFRNCS_it then 'nok'
        when a.GNS_FNNCL_TRNSCTN_EXCHNG_DFFRNCS_cdg is null and b.GNS_FNNCL_TRNSCTN_EXCHNG_DFFRNCS_it is not null then 'null do lado de cdg'
        else 'ver'
    end as val_GNS_FNNCL_TRNSCTN_EXCHNG_DFFRNCS,
    case    
        when a.instrmnt_id_cdg is null and b.instrmnt_id_it is not null then 'exclusivo cdg'
        when a.instrmnt_id_cdg is not null and b.instrmnt_id_it is null then 'exclusivo it'
        when a.GRSS_INTRST_EXPNS_cdg=b.GRSS_INTRST_EXPNS_it then 'ok'
        when a.GRSS_INTRST_EXPNS_cdg&lt;&gt;b.GRSS_INTRST_EXPNS_it then 'nok'
        when a.GRSS_INTRST_EXPNS_cdg is null and b.GRSS_INTRST_EXPNS_it is not null then 'null do lado de cdg'
        else 'ver'
    end as val_GRSS_INTRST_EXPNS,
    case    
        when a.instrmnt_id_cdg is null and b.instrmnt_id_it is not null then 'exclusivo cdg'
        when a.instrmnt_id_cdg is not null and b.instrmnt_id_it is null then 'exclusivo it'
        when a.GRSS_INTRST_INCM_cdg=b.GRSS_INTRST_INCM_it then 'ok'
        when a.GRSS_INTRST_INCM_cdg&lt;&gt;b.GRSS_INTRST_INCM_it then 'nok'
        when a.GRSS_INTRST_INCM_cdg is null and b.GRSS_INTRST_INCM_it is not null then 'null do lado de cdg'
        when a.GRSS_INTRST_INCM_cdg is null and b.GRSS_INTRST_INCM_it is null then 'null dos dois lados'
        else 'ver'
    end as val_GRSS_INTRST_INCM,
    case    
        when a.instrmnt_id_cdg is null and b.instrmnt_id_it is not null then 'exclusivo cdg'
        when a.instrmnt_id_cdg is not null and b.instrmnt_id_it is null then 'exclusivo it'
        when a.INTRNL_TRNSFR_RT_cdg=b.INTRNL_TRNSFR_RT_it then 'ok'
        when a.INTRNL_TRNSFR_RT_cdg&lt;&gt;b.INTRNL_TRNSFR_RT_it then 'nok'
        when a.INTRNL_TRNSFR_RT_cdg is null and b.INTRNL_TRNSFR_RT_it is not null then 'null do lado de cdg'
        else 'ver'
    end as val_INTRNL_TRNSFR_RT,
    *
    -- count(*)
from
    (
    select 
        instrmnt_id as instrmnt_id_cdg,
        GNS_FNNCL_TRNSCTN_EXCHNG_DFFRNCS as GNS_FNNCL_TRNSCTN_EXCHNG_DFFRNCS_cdg,
        GRSS_INTRST_EXPNS as GRSS_INTRST_EXPNS_cdg,
        sum(GRSS_INTRST_INCM) as GRSS_INTRST_INCM_cdg,
        sum(INTRNL_TRNSFR_RT) as INTRNL_TRNSFR_RT_cdg
    from BU_CAPTOOLS_WORK.UNIV_LT_GD_PARTE3_AUX12
    group by 1,2,3
    ) a
full join 
    (
    select distinct 
        instrmnt_id as instrmnt_id_it,
        GNS_FNNCL_TRNSCTN_EXCHNG_DFFRNCS as GNS_FNNCL_TRNSCTN_EXCHNG_DFFRNCS_it,
        GRSS_INTRST_EXPNS as GRSS_INTRST_EXPNS_it,
        GRSS_INTRST_INCM as GRSS_INTRST_INCM_it,
        INTRNL_TRNSFR_RT as INTRNL_TRNSFR_RT_it
    from bu_loantape_work.lt002_instrument
    where ref_date = '2025-03-31'
    and ambito = 'GD'
    and segmento = 'ESTR'
    and nome_perimetro = 'Individual Corporativo'
    and cod_visao = 1
    ) b
        on a.instrmnt_id_cdg = b.instrmnt_id_it
-- group by 1,2,3,4,5
-- order by 6 desc
)
select  
    instrmnt_id_cdg,
    val_grss_intrst_incm,
    -- count(*)
    grss_intrst_incm_cdg,
    grss_intrst_incm_it
from dg
where val_grss_intrst_incm = 'nok'
-- group by 1
limit 3
;</t>
  </si>
  <si>
    <t xml:space="preserve">	980.79</t>
  </si>
  <si>
    <t xml:space="preserve">	3923.16</t>
  </si>
  <si>
    <t xml:space="preserve">	161.04091083</t>
  </si>
  <si>
    <t xml:space="preserve">	250.58</t>
  </si>
  <si>
    <t xml:space="preserve">	0.07</t>
  </si>
  <si>
    <t xml:space="preserve">	0.28</t>
  </si>
  <si>
    <t>31005121073400011588993100000001</t>
  </si>
  <si>
    <t>8900002008000141900049000C3957I1</t>
  </si>
  <si>
    <t>31005124714860011659800400000001</t>
  </si>
  <si>
    <t>with dg as (
select
    *,
    case
        when instrmnt_id_cdg is not null and instrmnt_id_it is not null and nw_bsnss_cdg = nw_bsnss_it then 'ok'
        when instrmnt_id_cdg is not null and instrmnt_id_it is not null and nw_bsnss_cdg &lt;&gt; nw_bsnss_it then 'nok'
        when instrmnt_id_cdg is not null and instrmnt_id_it is null then 'exclusivo cdg'
        when instrmnt_id_cdg is null and instrmnt_id_it is not null then 'exclusivo it'
        else 'ver'
    end as analise
from
    (
    select distinct
        instrmnt_id as instrmnt_id_cdg,
        nw_bsnss as nw_bsnss_cdg
    from BU_CAPTOOLS_WORK.UNIV_LT_GD_PARTE3_AUX12
    ) a
full join
    (
    select distinct
        instrmnt_id as instrmnt_id_it,
        nw_bsnss as nw_bsnss_it
    from bu_loantape_work.lt002_instrument
    where ref_date = '2025-03-31'
    and ambito = 'GD'
    and segmento = 'ESTR'
    and nome_perimetro = 'Individual Corporativo'
    and cod_visao = 1
    ) b
        on a.instrmnt_id_cdg = b.instrmnt_id_it
)
select
    -- analise,
    *
    -- nw_bsnss_cdg,
    -- nw_bsnss_it,
    -- count(*)
from dg
where analise = 'nok'
and nw_bsnss_cdg = 'N'
and nw_bsnss_it = 'Default value not allowed'
-- group by 1, 2
-- order by 3 desc
limit 3
;</t>
  </si>
  <si>
    <t>31000353015756020000000000000000</t>
  </si>
  <si>
    <t>31000351372258020000000000000000</t>
  </si>
  <si>
    <t>31000038941740001000000000000000</t>
  </si>
  <si>
    <t>with dg as (
select
    *,
    case
        when instrmnt_id_cdg is not null and instrmnt_id_it is not null and nw_bsnss_cdg = nw_bsnss_it then 'ok'
        when instrmnt_id_cdg is not null and instrmnt_id_it is not null and nw_bsnss_cdg &lt;&gt; nw_bsnss_it then 'nok'
        when instrmnt_id_cdg is not null and instrmnt_id_it is null then 'exclusivo cdg'
        when instrmnt_id_cdg is null and instrmnt_id_it is not null then 'exclusivo it'
        else 'ver'
    end as analise
from
    (
    select distinct
        instrmnt_id as instrmnt_id_cdg,
        nw_bsnss as nw_bsnss_cdg
    from BU_CAPTOOLS_WORK.UNIV_LT_GD_PARTE3_AUX12
    ) a
full join
    (
    select distinct
        instrmnt_id as instrmnt_id_it,
        nw_bsnss as nw_bsnss_it
    from bu_loantape_work.lt002_instrument
    where ref_date = '2025-03-31'
    and ambito = 'GD'
    and segmento = 'ESTR'
    and nome_perimetro = 'Individual Corporativo'
    and cod_visao = 1
    ) b
        on a.instrmnt_id_cdg = b.instrmnt_id_it
)
select
    -- analise,
    *
    -- nw_bsnss_cdg,
    -- nw_bsnss_it,
    -- count(*)
from dg
where analise = 'nok'
and nw_bsnss_cdg = 'N'
and nw_bsnss_it = 'Y'
-- group by 1, 2
-- order by 3 desc
limit 3
;</t>
  </si>
  <si>
    <t>31005134289420011789861600000001</t>
  </si>
  <si>
    <t>31005133931980011758206000000001</t>
  </si>
  <si>
    <t>31005134316650011155326200000001</t>
  </si>
  <si>
    <t>ac310</t>
  </si>
  <si>
    <t>select 
    case
        when a.instrmnt_id_cdg is not null and b.instrmnt_id_it is not null then 'comum'
        when a.instrmnt_id_cdg is null and b.instrmnt_id_it is not null then 'exclusivo cdg'
        when a.instrmnt_id_cdg is not null and b.instrmnt_id_it is null then 'exclusivo it'
        else 'ver'
    end as universo,
    case    
        when a.instrmnt_id_cdg is null and b.instrmnt_id_it is not null then 'exclusivo cdg'
        when a.instrmnt_id_cdg is not null and b.instrmnt_id_it is null then 'exclusivo it'
        when a.GNS_FNNCL_TRNSCTN_EXCHNG_DFFRNCS_cdg=b.GNS_FNNCL_TRNSCTN_EXCHNG_DFFRNCS_it then 'ok'
        when a.GNS_FNNCL_TRNSCTN_EXCHNG_DFFRNCS_cdg&lt;&gt;b.GNS_FNNCL_TRNSCTN_EXCHNG_DFFRNCS_it then 'nok'
        when a.GNS_FNNCL_TRNSCTN_EXCHNG_DFFRNCS_cdg is null and b.GNS_FNNCL_TRNSCTN_EXCHNG_DFFRNCS_it is not null then 'null do lado de cdg'
        else 'ver'
    end as val_GNS_FNNCL_TRNSCTN_EXCHNG_DFFRNCS,
    case    
        when a.instrmnt_id_cdg is null and b.instrmnt_id_it is not null then 'exclusivo cdg'
        when a.instrmnt_id_cdg is not null and b.instrmnt_id_it is null then 'exclusivo it'
        when a.GRSS_INTRST_EXPNS_cdg=b.GRSS_INTRST_EXPNS_it then 'ok'
        when a.GRSS_INTRST_EXPNS_cdg&lt;&gt;b.GRSS_INTRST_EXPNS_it then 'nok'
        when a.GRSS_INTRST_EXPNS_cdg is null and b.GRSS_INTRST_EXPNS_it is not null then 'null do lado de cdg'
        else 'ver'
    end as val_GRSS_INTRST_EXPNS,
    case    
        when a.instrmnt_id_cdg is null and b.instrmnt_id_it is not null then 'exclusivo cdg'
        when a.instrmnt_id_cdg is not null and b.instrmnt_id_it is null then 'exclusivo it'
        when a.GRSS_INTRST_INCM_cdg=b.GRSS_INTRST_INCM_it then 'ok'
        when a.GRSS_INTRST_INCM_cdg&lt;&gt;b.GRSS_INTRST_INCM_it then 'nok'
        when a.GRSS_INTRST_INCM_cdg is null and b.GRSS_INTRST_INCM_it is not null then 'null do lado de cdg'
        when a.GRSS_INTRST_INCM_cdg is null and b.GRSS_INTRST_INCM_it is null then 'null dos dois lados'
        else 'ver'
    end as val_GRSS_INTRST_INCM,
    case    
        when a.instrmnt_id_cdg is null and b.instrmnt_id_it is not null then 'exclusivo cdg'
        when a.instrmnt_id_cdg is not null and b.instrmnt_id_it is null then 'exclusivo it'
        when a.INTRNL_TRNSFR_RT_cdg=b.INTRNL_TRNSFR_RT_it then 'ok'
        when a.INTRNL_TRNSFR_RT_cdg&lt;&gt;b.INTRNL_TRNSFR_RT_it then 'nok'
        when a.INTRNL_TRNSFR_RT_cdg is null and b.INTRNL_TRNSFR_RT_it is not null then 'null do lado de cdg'
        else 'ver'
    end as val_INTRNL_TRNSFR_RT,
    count(*)
from
    (
    select 
        instrmnt_id as instrmnt_id_cdg,
        GNS_FNNCL_TRNSCTN_EXCHNG_DFFRNCS as GNS_FNNCL_TRNSCTN_EXCHNG_DFFRNCS_cdg,
        GRSS_INTRST_EXPNS as GRSS_INTRST_EXPNS_cdg,
        sum(GRSS_INTRST_INCM) as GRSS_INTRST_INCM_cdg,
        sum(INTRNL_TRNSFR_RT) as INTRNL_TRNSFR_RT_cdg
    from BU_CAPTOOLS_WORK.UNIV_LT_GD_PARTE3_AUX13
    group by 1,2,3
    ) a
full join 
    (
    select distinct 
        instrmnt_id as instrmnt_id_it,
        GNS_FNNCL_TRNSCTN_EXCHNG_DFFRNCS as GNS_FNNCL_TRNSCTN_EXCHNG_DFFRNCS_it,
        GRSS_INTRST_EXPNS as GRSS_INTRST_EXPNS_it,
        GRSS_INTRST_INCM as GRSS_INTRST_INCM_it,
        INTRNL_TRNSFR_RT as INTRNL_TRNSFR_RT_it
    from bu_loantape_work.lt002_instrument
    where ref_date = '2025-03-31'
    and ambito = 'GD'
    and segmento = 'ESTR'
    and nome_perimetro = 'Individual Corporativo'
    and cod_visao = 1
    ) b
        on a.instrmnt_id_cdg = b.instrmnt_id_it
group by 1,2,3,4,5
order by 6 desc
;</t>
  </si>
  <si>
    <t>with dg as (
select 
    case
        when a.instrmnt_id_cdg is not null and b.instrmnt_id_it is not null then 'comum'
        when a.instrmnt_id_cdg is null and b.instrmnt_id_it is not null then 'exclusivo cdg'
        when a.instrmnt_id_cdg is not null and b.instrmnt_id_it is null then 'exclusivo it'
        else 'ver'
    end as universo,
    case    
        when a.instrmnt_id_cdg is null and b.instrmnt_id_it is not null then 'exclusivo cdg'
        when a.instrmnt_id_cdg is not null and b.instrmnt_id_it is null then 'exclusivo it'
        when a.GNS_FNNCL_TRNSCTN_EXCHNG_DFFRNCS_cdg=b.GNS_FNNCL_TRNSCTN_EXCHNG_DFFRNCS_it then 'ok'
        when a.GNS_FNNCL_TRNSCTN_EXCHNG_DFFRNCS_cdg&lt;&gt;b.GNS_FNNCL_TRNSCTN_EXCHNG_DFFRNCS_it then 'nok'
        when a.GNS_FNNCL_TRNSCTN_EXCHNG_DFFRNCS_cdg is null and b.GNS_FNNCL_TRNSCTN_EXCHNG_DFFRNCS_it is not null then 'null do lado de cdg'
        else 'ver'
    end as val_GNS_FNNCL_TRNSCTN_EXCHNG_DFFRNCS,
    case    
        when a.instrmnt_id_cdg is null and b.instrmnt_id_it is not null then 'exclusivo cdg'
        when a.instrmnt_id_cdg is not null and b.instrmnt_id_it is null then 'exclusivo it'
        when a.GRSS_INTRST_EXPNS_cdg=b.GRSS_INTRST_EXPNS_it then 'ok'
        when a.GRSS_INTRST_EXPNS_cdg&lt;&gt;b.GRSS_INTRST_EXPNS_it then 'nok'
        when a.GRSS_INTRST_EXPNS_cdg is null and b.GRSS_INTRST_EXPNS_it is not null then 'null do lado de cdg'
        else 'ver'
    end as val_GRSS_INTRST_EXPNS,
    case    
        when a.instrmnt_id_cdg is null and b.instrmnt_id_it is not null then 'exclusivo cdg'
        when a.instrmnt_id_cdg is not null and b.instrmnt_id_it is null then 'exclusivo it'
        when a.GRSS_INTRST_INCM_cdg=b.GRSS_INTRST_INCM_it then 'ok'
        when a.GRSS_INTRST_INCM_cdg&lt;&gt;b.GRSS_INTRST_INCM_it then 'nok'
        when a.GRSS_INTRST_INCM_cdg is null and b.GRSS_INTRST_INCM_it is not null then 'null do lado de cdg'
        when a.GRSS_INTRST_INCM_cdg is null and b.GRSS_INTRST_INCM_it is null then 'null dos dois lados'
        else 'ver'
    end as val_GRSS_INTRST_INCM,
    case    
        when a.instrmnt_id_cdg is null and b.instrmnt_id_it is not null then 'exclusivo cdg'
        when a.instrmnt_id_cdg is not null and b.instrmnt_id_it is null then 'exclusivo it'
        when a.INTRNL_TRNSFR_RT_cdg=b.INTRNL_TRNSFR_RT_it then 'ok'
        when a.INTRNL_TRNSFR_RT_cdg&lt;&gt;b.INTRNL_TRNSFR_RT_it then 'nok'
        when a.INTRNL_TRNSFR_RT_cdg is null and b.INTRNL_TRNSFR_RT_it is not null then 'null do lado de cdg'
        else 'ver'
    end as val_INTRNL_TRNSFR_RT,
    *
    -- count(*)
from
    (
    select 
        instrmnt_id as instrmnt_id_cdg,
        GNS_FNNCL_TRNSCTN_EXCHNG_DFFRNCS as GNS_FNNCL_TRNSCTN_EXCHNG_DFFRNCS_cdg,
        GRSS_INTRST_EXPNS as GRSS_INTRST_EXPNS_cdg,
        sum(GRSS_INTRST_INCM) as GRSS_INTRST_INCM_cdg,
        sum(INTRNL_TRNSFR_RT) as INTRNL_TRNSFR_RT_cdg
    from BU_CAPTOOLS_WORK.UNIV_LT_GD_PARTE3_AUX13
    group by 1,2,3
    ) a
full join 
    (
    select distinct 
        instrmnt_id as instrmnt_id_it,
        GNS_FNNCL_TRNSCTN_EXCHNG_DFFRNCS as GNS_FNNCL_TRNSCTN_EXCHNG_DFFRNCS_it,
        GRSS_INTRST_EXPNS as GRSS_INTRST_EXPNS_it,
        GRSS_INTRST_INCM as GRSS_INTRST_INCM_it,
        INTRNL_TRNSFR_RT as INTRNL_TRNSFR_RT_it
    from bu_loantape_work.lt002_instrument
    where ref_date = '2025-03-31'
    and ambito = 'GD'
    and segmento = 'ESTR'
    and nome_perimetro = 'Individual Corporativo'
    and cod_visao = 1
    ) b
        on a.instrmnt_id_cdg = b.instrmnt_id_it
-- group by 1,2,3,4,5
-- order by 6 desc
)
select 
    val_GNS_FNNCL_TRNSCTN_EXCHNG_DFFRNCS,
    count(*)
from dg
-- where 
group by 1
order by 2 desc</t>
  </si>
  <si>
    <t>fazer uma analise --&gt; retirar os cartoes</t>
  </si>
  <si>
    <t>vejo os 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</si>
</sst>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2" fillId="0" borderId="3" xfId="0" applyFont="1" applyBorder="1"/>
    <xf numFmtId="0" fontId="0" fillId="0" borderId="3" xfId="0" applyBorder="1"/>
    <xf numFmtId="0" fontId="2" fillId="0" borderId="4" xfId="0" applyFont="1" applyBorder="1"/>
    <xf numFmtId="0" fontId="0" fillId="0" borderId="4" xfId="0" applyBorder="1"/>
    <xf numFmtId="0" fontId="1" fillId="2" borderId="2" xfId="0" applyFont="1" applyFill="1" applyBorder="1" applyAlignment="1">
      <alignment horizontal="center"/>
    </xf>
    <xf numFmtId="0" fontId="0" fillId="0" borderId="0" xfId="0" quotePrefix="1"/>
    <xf numFmtId="0" fontId="0" fillId="5" borderId="1" xfId="0" applyFill="1" applyBorder="1"/>
    <xf numFmtId="49" fontId="0" fillId="0" borderId="0" xfId="0" applyNumberFormat="1"/>
    <xf numFmtId="49" fontId="0" fillId="0" borderId="1" xfId="0" applyNumberFormat="1" applyBorder="1"/>
    <xf numFmtId="49" fontId="1" fillId="2" borderId="5" xfId="0" applyNumberFormat="1" applyFont="1" applyFill="1" applyBorder="1" applyAlignment="1">
      <alignment horizontal="center"/>
    </xf>
    <xf numFmtId="0" fontId="3" fillId="0" borderId="1" xfId="0" applyFont="1" applyBorder="1"/>
    <xf numFmtId="0" fontId="0" fillId="5" borderId="1" xfId="0" quotePrefix="1" applyFill="1" applyBorder="1"/>
    <xf numFmtId="3" fontId="0" fillId="0" borderId="1" xfId="0" applyNumberFormat="1" applyBorder="1"/>
    <xf numFmtId="49" fontId="0" fillId="5" borderId="1" xfId="0" applyNumberFormat="1" applyFill="1" applyBorder="1"/>
    <xf numFmtId="49" fontId="1" fillId="2" borderId="7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2" fillId="0" borderId="4" xfId="0" applyNumberFormat="1" applyFont="1" applyBorder="1"/>
    <xf numFmtId="3" fontId="0" fillId="6" borderId="1" xfId="0" applyNumberFormat="1" applyFill="1" applyBorder="1"/>
    <xf numFmtId="3" fontId="0" fillId="6" borderId="8" xfId="0" applyNumberFormat="1" applyFill="1" applyBorder="1"/>
    <xf numFmtId="49" fontId="0" fillId="0" borderId="9" xfId="0" applyNumberFormat="1" applyBorder="1"/>
    <xf numFmtId="49" fontId="0" fillId="7" borderId="1" xfId="0" applyNumberFormat="1" applyFill="1" applyBorder="1"/>
    <xf numFmtId="0" fontId="4" fillId="0" borderId="1" xfId="0" applyFont="1" applyBorder="1" applyAlignment="1">
      <alignment vertical="center"/>
    </xf>
    <xf numFmtId="0" fontId="0" fillId="0" borderId="1" xfId="0" quotePrefix="1" applyBorder="1"/>
    <xf numFmtId="0" fontId="4" fillId="0" borderId="8" xfId="0" applyFont="1" applyBorder="1" applyAlignment="1">
      <alignment vertical="center"/>
    </xf>
    <xf numFmtId="0" fontId="0" fillId="0" borderId="8" xfId="0" applyBorder="1"/>
    <xf numFmtId="0" fontId="0" fillId="0" borderId="11" xfId="0" applyBorder="1"/>
    <xf numFmtId="0" fontId="0" fillId="0" borderId="1" xfId="0" applyBorder="1" applyAlignment="1">
      <alignment vertical="center"/>
    </xf>
    <xf numFmtId="3" fontId="0" fillId="0" borderId="0" xfId="0" applyNumberFormat="1"/>
    <xf numFmtId="0" fontId="0" fillId="7" borderId="1" xfId="0" applyFill="1" applyBorder="1" applyAlignment="1">
      <alignment vertical="center"/>
    </xf>
    <xf numFmtId="49" fontId="1" fillId="2" borderId="0" xfId="0" applyNumberFormat="1" applyFont="1" applyFill="1" applyAlignment="1">
      <alignment horizontal="center"/>
    </xf>
    <xf numFmtId="49" fontId="0" fillId="5" borderId="6" xfId="0" applyNumberFormat="1" applyFill="1" applyBorder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left" vertical="center" wrapText="1"/>
    </xf>
    <xf numFmtId="49" fontId="2" fillId="9" borderId="1" xfId="0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8" borderId="8" xfId="0" applyFont="1" applyFill="1" applyBorder="1" applyAlignment="1">
      <alignment horizontal="right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4</xdr:row>
      <xdr:rowOff>180975</xdr:rowOff>
    </xdr:from>
    <xdr:to>
      <xdr:col>21</xdr:col>
      <xdr:colOff>107368</xdr:colOff>
      <xdr:row>13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B14235-A458-DD31-9556-ACA177DB0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87125" y="942975"/>
          <a:ext cx="8822743" cy="1562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285750</xdr:colOff>
      <xdr:row>1</xdr:row>
      <xdr:rowOff>171450</xdr:rowOff>
    </xdr:from>
    <xdr:to>
      <xdr:col>12</xdr:col>
      <xdr:colOff>105888</xdr:colOff>
      <xdr:row>17</xdr:row>
      <xdr:rowOff>126118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9BDDE58D-E31E-B255-CF05-89761F80D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0200" y="361950"/>
          <a:ext cx="7973538" cy="2781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871EC-D552-47DD-B99A-6ED246CDF5E2}">
  <dimension ref="B2:H42"/>
  <sheetViews>
    <sheetView showGridLines="0" zoomScaleNormal="100" workbookViewId="0">
      <selection activeCell="B20" sqref="B20"/>
    </sheetView>
  </sheetViews>
  <sheetFormatPr defaultRowHeight="15" x14ac:dyDescent="0.25"/>
  <cols>
    <col min="1" max="1" width="3.7109375" customWidth="1"/>
    <col min="2" max="2" width="45.42578125" customWidth="1"/>
    <col min="3" max="3" width="74.7109375" bestFit="1" customWidth="1"/>
    <col min="4" max="4" width="20.42578125" customWidth="1"/>
    <col min="5" max="5" width="28.28515625" customWidth="1"/>
    <col min="6" max="6" width="16.140625" bestFit="1" customWidth="1"/>
    <col min="7" max="7" width="30.28515625" customWidth="1"/>
    <col min="8" max="8" width="34" bestFit="1" customWidth="1"/>
    <col min="9" max="9" width="19.7109375" customWidth="1"/>
    <col min="10" max="10" width="16" customWidth="1"/>
    <col min="11" max="11" width="18.7109375" bestFit="1" customWidth="1"/>
    <col min="12" max="12" width="16.28515625" bestFit="1" customWidth="1"/>
    <col min="13" max="13" width="12.5703125" bestFit="1" customWidth="1"/>
    <col min="14" max="14" width="27.140625" customWidth="1"/>
    <col min="15" max="15" width="12.5703125" bestFit="1" customWidth="1"/>
    <col min="16" max="16" width="15" bestFit="1" customWidth="1"/>
    <col min="17" max="17" width="16.7109375" customWidth="1"/>
    <col min="19" max="19" width="11" bestFit="1" customWidth="1"/>
  </cols>
  <sheetData>
    <row r="2" spans="2:8" x14ac:dyDescent="0.25">
      <c r="B2" s="2" t="s">
        <v>68</v>
      </c>
      <c r="C2" s="2"/>
      <c r="D2" s="2"/>
      <c r="E2" s="3"/>
      <c r="F2" s="3"/>
      <c r="G2" s="3"/>
      <c r="H2" s="3"/>
    </row>
    <row r="3" spans="2:8" ht="6.95" customHeight="1" x14ac:dyDescent="0.25"/>
    <row r="4" spans="2:8" x14ac:dyDescent="0.25">
      <c r="B4" s="33" t="s">
        <v>1</v>
      </c>
      <c r="C4" s="33"/>
      <c r="D4" s="33"/>
      <c r="E4" s="33"/>
      <c r="F4" s="33"/>
      <c r="G4" s="33"/>
      <c r="H4" s="33"/>
    </row>
    <row r="5" spans="2:8" ht="15" customHeight="1" x14ac:dyDescent="0.25">
      <c r="B5" s="34" t="s">
        <v>2</v>
      </c>
      <c r="C5" s="34"/>
      <c r="D5" s="34"/>
      <c r="E5" s="34"/>
      <c r="F5" s="34"/>
      <c r="G5" s="34"/>
      <c r="H5" s="34"/>
    </row>
    <row r="6" spans="2:8" x14ac:dyDescent="0.25">
      <c r="B6" s="34"/>
      <c r="C6" s="34"/>
      <c r="D6" s="34"/>
      <c r="E6" s="34"/>
      <c r="F6" s="34"/>
      <c r="G6" s="34"/>
      <c r="H6" s="34"/>
    </row>
    <row r="7" spans="2:8" x14ac:dyDescent="0.25">
      <c r="B7" s="34"/>
      <c r="C7" s="34"/>
      <c r="D7" s="34"/>
      <c r="E7" s="34"/>
      <c r="F7" s="34"/>
      <c r="G7" s="34"/>
      <c r="H7" s="34"/>
    </row>
    <row r="8" spans="2:8" x14ac:dyDescent="0.25">
      <c r="B8" s="34"/>
      <c r="C8" s="34"/>
      <c r="D8" s="34"/>
      <c r="E8" s="34"/>
      <c r="F8" s="34"/>
      <c r="G8" s="34"/>
      <c r="H8" s="34"/>
    </row>
    <row r="9" spans="2:8" x14ac:dyDescent="0.25">
      <c r="B9" s="34"/>
      <c r="C9" s="34"/>
      <c r="D9" s="34"/>
      <c r="E9" s="34"/>
      <c r="F9" s="34"/>
      <c r="G9" s="34"/>
      <c r="H9" s="34"/>
    </row>
    <row r="11" spans="2:8" x14ac:dyDescent="0.25">
      <c r="B11" s="2" t="s">
        <v>139</v>
      </c>
      <c r="C11" s="3"/>
    </row>
    <row r="12" spans="2:8" ht="6.95" customHeight="1" x14ac:dyDescent="0.25"/>
    <row r="13" spans="2:8" x14ac:dyDescent="0.25">
      <c r="B13" s="6" t="s">
        <v>3</v>
      </c>
      <c r="C13" s="6" t="s">
        <v>4</v>
      </c>
    </row>
    <row r="14" spans="2:8" x14ac:dyDescent="0.25">
      <c r="B14" s="1" t="s">
        <v>67</v>
      </c>
      <c r="C14" s="12" t="s">
        <v>0</v>
      </c>
      <c r="D14" s="7" t="s">
        <v>6</v>
      </c>
      <c r="E14" s="7" t="s">
        <v>6</v>
      </c>
    </row>
    <row r="15" spans="2:8" x14ac:dyDescent="0.25">
      <c r="B15" s="1" t="s">
        <v>24</v>
      </c>
      <c r="C15" s="12" t="s">
        <v>0</v>
      </c>
      <c r="D15" s="7" t="s">
        <v>6</v>
      </c>
    </row>
    <row r="16" spans="2:8" x14ac:dyDescent="0.25">
      <c r="B16" s="1" t="s">
        <v>25</v>
      </c>
      <c r="C16" s="12" t="s">
        <v>27</v>
      </c>
    </row>
    <row r="17" spans="2:7" x14ac:dyDescent="0.25">
      <c r="B17" s="1" t="s">
        <v>26</v>
      </c>
      <c r="C17" s="12" t="s">
        <v>28</v>
      </c>
    </row>
    <row r="20" spans="2:7" x14ac:dyDescent="0.25">
      <c r="B20" s="2" t="s">
        <v>138</v>
      </c>
      <c r="C20" s="3"/>
      <c r="D20" s="3"/>
    </row>
    <row r="21" spans="2:7" ht="6.95" customHeight="1" x14ac:dyDescent="0.25"/>
    <row r="22" spans="2:7" x14ac:dyDescent="0.25">
      <c r="B22" s="6" t="s">
        <v>3</v>
      </c>
      <c r="C22" s="6" t="s">
        <v>4</v>
      </c>
      <c r="D22" s="6" t="s">
        <v>5</v>
      </c>
    </row>
    <row r="23" spans="2:7" x14ac:dyDescent="0.25">
      <c r="B23" s="1" t="s">
        <v>11</v>
      </c>
      <c r="C23" s="12" t="s">
        <v>10</v>
      </c>
      <c r="D23" s="13" t="s">
        <v>29</v>
      </c>
      <c r="E23" s="7" t="s">
        <v>6</v>
      </c>
    </row>
    <row r="26" spans="2:7" x14ac:dyDescent="0.25">
      <c r="B26" s="2" t="s">
        <v>140</v>
      </c>
      <c r="C26" s="3"/>
      <c r="D26" s="3"/>
    </row>
    <row r="27" spans="2:7" ht="6.95" customHeight="1" x14ac:dyDescent="0.25"/>
    <row r="28" spans="2:7" x14ac:dyDescent="0.25">
      <c r="B28" s="6" t="s">
        <v>3</v>
      </c>
      <c r="C28" s="6" t="s">
        <v>4</v>
      </c>
      <c r="D28" s="6" t="s">
        <v>5</v>
      </c>
    </row>
    <row r="29" spans="2:7" x14ac:dyDescent="0.25">
      <c r="B29" s="1" t="s">
        <v>142</v>
      </c>
      <c r="C29" s="12" t="s">
        <v>141</v>
      </c>
      <c r="D29" s="13" t="s">
        <v>148</v>
      </c>
      <c r="E29" s="7" t="s">
        <v>6</v>
      </c>
      <c r="F29" s="7" t="s">
        <v>6</v>
      </c>
      <c r="G29" s="7" t="s">
        <v>6</v>
      </c>
    </row>
    <row r="30" spans="2:7" x14ac:dyDescent="0.25">
      <c r="B30" s="7"/>
      <c r="C30" s="7"/>
      <c r="D30" s="7"/>
      <c r="E30" s="7"/>
    </row>
    <row r="31" spans="2:7" x14ac:dyDescent="0.25">
      <c r="B31" s="7"/>
      <c r="C31" s="7"/>
      <c r="D31" s="7"/>
      <c r="E31" s="7"/>
    </row>
    <row r="32" spans="2:7" x14ac:dyDescent="0.25">
      <c r="B32" s="2" t="s">
        <v>143</v>
      </c>
      <c r="C32" s="3"/>
    </row>
    <row r="33" spans="2:7" ht="6.95" customHeight="1" x14ac:dyDescent="0.25"/>
    <row r="34" spans="2:7" x14ac:dyDescent="0.25">
      <c r="B34" s="6" t="s">
        <v>9</v>
      </c>
      <c r="C34" s="6" t="s">
        <v>5</v>
      </c>
    </row>
    <row r="35" spans="2:7" x14ac:dyDescent="0.25">
      <c r="B35" s="1" t="s">
        <v>145</v>
      </c>
      <c r="C35" s="13" t="s">
        <v>150</v>
      </c>
      <c r="D35" s="7" t="s">
        <v>6</v>
      </c>
    </row>
    <row r="38" spans="2:7" x14ac:dyDescent="0.25">
      <c r="B38" s="2" t="s">
        <v>144</v>
      </c>
      <c r="C38" s="3"/>
    </row>
    <row r="39" spans="2:7" ht="6.95" customHeight="1" x14ac:dyDescent="0.25"/>
    <row r="40" spans="2:7" x14ac:dyDescent="0.25">
      <c r="B40" s="6" t="s">
        <v>9</v>
      </c>
      <c r="C40" s="6" t="s">
        <v>5</v>
      </c>
    </row>
    <row r="41" spans="2:7" x14ac:dyDescent="0.25">
      <c r="B41" s="1"/>
      <c r="C41" s="13"/>
      <c r="D41" s="7" t="s">
        <v>6</v>
      </c>
    </row>
    <row r="42" spans="2:7" x14ac:dyDescent="0.25">
      <c r="E42" s="7"/>
      <c r="G42" s="7"/>
    </row>
  </sheetData>
  <mergeCells count="2">
    <mergeCell ref="B4:H4"/>
    <mergeCell ref="B5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E21B-1BB7-4B68-AD07-5A1C19E1A419}">
  <dimension ref="A2:H54"/>
  <sheetViews>
    <sheetView showGridLines="0" workbookViewId="0">
      <selection activeCell="E33" sqref="E33"/>
    </sheetView>
  </sheetViews>
  <sheetFormatPr defaultRowHeight="15" x14ac:dyDescent="0.25"/>
  <cols>
    <col min="1" max="1" width="3.7109375" customWidth="1"/>
    <col min="2" max="2" width="40.7109375" bestFit="1" customWidth="1"/>
    <col min="3" max="3" width="22.28515625" bestFit="1" customWidth="1"/>
    <col min="4" max="4" width="57.5703125" bestFit="1" customWidth="1"/>
    <col min="5" max="5" width="17.7109375" bestFit="1" customWidth="1"/>
  </cols>
  <sheetData>
    <row r="2" spans="2:8" x14ac:dyDescent="0.25">
      <c r="B2" s="11" t="s">
        <v>120</v>
      </c>
      <c r="C2" s="11" t="s">
        <v>121</v>
      </c>
      <c r="D2" s="11" t="s">
        <v>123</v>
      </c>
      <c r="E2" s="11" t="s">
        <v>129</v>
      </c>
    </row>
    <row r="3" spans="2:8" x14ac:dyDescent="0.25">
      <c r="B3" s="23" t="s">
        <v>80</v>
      </c>
      <c r="C3" s="1" t="s">
        <v>122</v>
      </c>
      <c r="D3" s="1" t="s">
        <v>125</v>
      </c>
      <c r="E3" s="1" t="s">
        <v>130</v>
      </c>
      <c r="G3" s="7" t="s">
        <v>6</v>
      </c>
      <c r="H3" s="7" t="s">
        <v>6</v>
      </c>
    </row>
    <row r="4" spans="2:8" x14ac:dyDescent="0.25">
      <c r="B4" s="23" t="s">
        <v>85</v>
      </c>
      <c r="C4" s="1" t="s">
        <v>122</v>
      </c>
      <c r="D4" s="1" t="s">
        <v>125</v>
      </c>
      <c r="E4" s="1" t="s">
        <v>130</v>
      </c>
    </row>
    <row r="5" spans="2:8" x14ac:dyDescent="0.25">
      <c r="B5" s="23" t="s">
        <v>81</v>
      </c>
      <c r="C5" s="1" t="s">
        <v>122</v>
      </c>
      <c r="D5" s="1" t="s">
        <v>128</v>
      </c>
      <c r="E5" s="1" t="s">
        <v>147</v>
      </c>
    </row>
    <row r="6" spans="2:8" x14ac:dyDescent="0.25">
      <c r="B6" s="23" t="s">
        <v>90</v>
      </c>
      <c r="C6" s="1"/>
      <c r="D6" s="1"/>
      <c r="E6" s="1" t="s">
        <v>131</v>
      </c>
    </row>
    <row r="7" spans="2:8" x14ac:dyDescent="0.25">
      <c r="B7" s="23" t="s">
        <v>104</v>
      </c>
      <c r="C7" s="1"/>
      <c r="D7" s="1"/>
      <c r="E7" s="1" t="s">
        <v>131</v>
      </c>
    </row>
    <row r="8" spans="2:8" x14ac:dyDescent="0.25">
      <c r="B8" s="23" t="s">
        <v>96</v>
      </c>
      <c r="C8" s="1"/>
      <c r="D8" s="1"/>
      <c r="E8" s="1" t="s">
        <v>147</v>
      </c>
    </row>
    <row r="9" spans="2:8" x14ac:dyDescent="0.25">
      <c r="B9" s="23" t="s">
        <v>116</v>
      </c>
      <c r="C9" s="1"/>
      <c r="D9" s="1"/>
      <c r="E9" s="1" t="s">
        <v>147</v>
      </c>
    </row>
    <row r="10" spans="2:8" x14ac:dyDescent="0.25">
      <c r="B10" s="23" t="s">
        <v>103</v>
      </c>
      <c r="C10" s="1"/>
      <c r="D10" s="1"/>
      <c r="E10" s="1" t="s">
        <v>147</v>
      </c>
    </row>
    <row r="11" spans="2:8" x14ac:dyDescent="0.25">
      <c r="B11" s="23" t="s">
        <v>69</v>
      </c>
      <c r="C11" s="1" t="s">
        <v>122</v>
      </c>
      <c r="D11" s="1" t="s">
        <v>126</v>
      </c>
      <c r="E11" s="1" t="s">
        <v>130</v>
      </c>
    </row>
    <row r="12" spans="2:8" x14ac:dyDescent="0.25">
      <c r="B12" s="23" t="s">
        <v>64</v>
      </c>
      <c r="C12" s="1"/>
      <c r="D12" s="1"/>
      <c r="E12" s="1" t="s">
        <v>147</v>
      </c>
    </row>
    <row r="13" spans="2:8" x14ac:dyDescent="0.25">
      <c r="B13" s="23" t="s">
        <v>72</v>
      </c>
      <c r="C13" s="1" t="s">
        <v>122</v>
      </c>
      <c r="D13" s="1" t="s">
        <v>127</v>
      </c>
      <c r="E13" s="1" t="s">
        <v>146</v>
      </c>
    </row>
    <row r="14" spans="2:8" x14ac:dyDescent="0.25">
      <c r="B14" s="23" t="s">
        <v>102</v>
      </c>
      <c r="C14" s="1"/>
      <c r="D14" s="1"/>
      <c r="E14" s="1" t="s">
        <v>147</v>
      </c>
    </row>
    <row r="15" spans="2:8" x14ac:dyDescent="0.25">
      <c r="B15" s="23" t="s">
        <v>86</v>
      </c>
      <c r="C15" s="1" t="s">
        <v>122</v>
      </c>
      <c r="D15" s="1" t="s">
        <v>128</v>
      </c>
      <c r="E15" s="1" t="s">
        <v>147</v>
      </c>
    </row>
    <row r="16" spans="2:8" x14ac:dyDescent="0.25">
      <c r="B16" s="23" t="s">
        <v>75</v>
      </c>
      <c r="C16" s="1" t="s">
        <v>122</v>
      </c>
      <c r="D16" s="1" t="s">
        <v>128</v>
      </c>
      <c r="E16" s="1" t="s">
        <v>147</v>
      </c>
    </row>
    <row r="17" spans="1:5" x14ac:dyDescent="0.25">
      <c r="B17" s="23" t="s">
        <v>74</v>
      </c>
      <c r="C17" s="1"/>
      <c r="D17" s="1"/>
      <c r="E17" s="1" t="s">
        <v>8</v>
      </c>
    </row>
    <row r="18" spans="1:5" x14ac:dyDescent="0.25">
      <c r="B18" s="23" t="s">
        <v>70</v>
      </c>
      <c r="C18" s="1" t="s">
        <v>122</v>
      </c>
      <c r="D18" s="1" t="s">
        <v>126</v>
      </c>
      <c r="E18" s="1" t="s">
        <v>130</v>
      </c>
    </row>
    <row r="19" spans="1:5" x14ac:dyDescent="0.25">
      <c r="B19" s="23" t="s">
        <v>100</v>
      </c>
      <c r="C19" s="1"/>
      <c r="D19" s="1"/>
      <c r="E19" s="1" t="s">
        <v>147</v>
      </c>
    </row>
    <row r="20" spans="1:5" x14ac:dyDescent="0.25">
      <c r="B20" s="23" t="s">
        <v>115</v>
      </c>
      <c r="C20" s="1"/>
      <c r="D20" s="1"/>
      <c r="E20" s="1" t="s">
        <v>147</v>
      </c>
    </row>
    <row r="21" spans="1:5" x14ac:dyDescent="0.25">
      <c r="A21" s="27"/>
      <c r="B21" s="23" t="s">
        <v>99</v>
      </c>
      <c r="C21" s="1"/>
      <c r="D21" s="1"/>
      <c r="E21" s="1" t="s">
        <v>232</v>
      </c>
    </row>
    <row r="22" spans="1:5" x14ac:dyDescent="0.25">
      <c r="A22" s="27"/>
      <c r="B22" s="25" t="s">
        <v>98</v>
      </c>
      <c r="C22" s="26"/>
      <c r="D22" s="26"/>
      <c r="E22" s="26" t="s">
        <v>132</v>
      </c>
    </row>
    <row r="23" spans="1:5" x14ac:dyDescent="0.25">
      <c r="B23" s="23" t="s">
        <v>114</v>
      </c>
      <c r="C23" s="1"/>
      <c r="D23" s="1"/>
      <c r="E23" s="1" t="s">
        <v>147</v>
      </c>
    </row>
    <row r="24" spans="1:5" x14ac:dyDescent="0.25">
      <c r="B24" s="23" t="s">
        <v>107</v>
      </c>
      <c r="C24" s="1"/>
      <c r="D24" s="1"/>
      <c r="E24" s="1" t="s">
        <v>132</v>
      </c>
    </row>
    <row r="25" spans="1:5" x14ac:dyDescent="0.25">
      <c r="B25" s="23" t="s">
        <v>118</v>
      </c>
      <c r="C25" s="1"/>
      <c r="D25" s="1"/>
      <c r="E25" s="1" t="s">
        <v>147</v>
      </c>
    </row>
    <row r="26" spans="1:5" x14ac:dyDescent="0.25">
      <c r="B26" s="23" t="s">
        <v>93</v>
      </c>
      <c r="C26" s="1"/>
      <c r="D26" s="1"/>
      <c r="E26" s="1" t="s">
        <v>133</v>
      </c>
    </row>
    <row r="27" spans="1:5" x14ac:dyDescent="0.25">
      <c r="B27" s="23" t="s">
        <v>113</v>
      </c>
      <c r="C27" s="1"/>
      <c r="D27" s="1"/>
      <c r="E27" s="1" t="s">
        <v>147</v>
      </c>
    </row>
    <row r="28" spans="1:5" x14ac:dyDescent="0.25">
      <c r="B28" s="23" t="s">
        <v>106</v>
      </c>
      <c r="C28" s="1"/>
      <c r="D28" s="1"/>
      <c r="E28" s="1" t="s">
        <v>133</v>
      </c>
    </row>
    <row r="29" spans="1:5" x14ac:dyDescent="0.25">
      <c r="B29" s="23" t="s">
        <v>117</v>
      </c>
      <c r="C29" s="1"/>
      <c r="D29" s="1"/>
      <c r="E29" s="1" t="s">
        <v>147</v>
      </c>
    </row>
    <row r="30" spans="1:5" x14ac:dyDescent="0.25">
      <c r="B30" s="23" t="s">
        <v>79</v>
      </c>
      <c r="C30" s="1" t="s">
        <v>122</v>
      </c>
      <c r="D30" s="1" t="s">
        <v>125</v>
      </c>
      <c r="E30" s="1" t="s">
        <v>130</v>
      </c>
    </row>
    <row r="31" spans="1:5" x14ac:dyDescent="0.25">
      <c r="B31" s="23" t="s">
        <v>109</v>
      </c>
      <c r="C31" s="1"/>
      <c r="D31" s="1"/>
      <c r="E31" s="1" t="s">
        <v>134</v>
      </c>
    </row>
    <row r="32" spans="1:5" x14ac:dyDescent="0.25">
      <c r="B32" s="23" t="s">
        <v>112</v>
      </c>
      <c r="C32" s="1"/>
      <c r="D32" s="1"/>
      <c r="E32" s="1" t="s">
        <v>147</v>
      </c>
    </row>
    <row r="33" spans="2:7" x14ac:dyDescent="0.25">
      <c r="B33" s="23" t="s">
        <v>92</v>
      </c>
      <c r="C33" s="1"/>
      <c r="D33" s="1"/>
      <c r="E33" s="1" t="s">
        <v>135</v>
      </c>
    </row>
    <row r="34" spans="2:7" x14ac:dyDescent="0.25">
      <c r="B34" s="23" t="s">
        <v>111</v>
      </c>
      <c r="C34" s="1"/>
      <c r="D34" s="1"/>
      <c r="E34" s="1" t="s">
        <v>147</v>
      </c>
    </row>
    <row r="35" spans="2:7" x14ac:dyDescent="0.25">
      <c r="B35" s="23" t="s">
        <v>119</v>
      </c>
      <c r="C35" s="1" t="s">
        <v>122</v>
      </c>
      <c r="D35" s="1" t="s">
        <v>124</v>
      </c>
      <c r="E35" s="1" t="s">
        <v>130</v>
      </c>
    </row>
    <row r="36" spans="2:7" x14ac:dyDescent="0.25">
      <c r="B36" s="23" t="s">
        <v>76</v>
      </c>
      <c r="C36" s="1" t="s">
        <v>122</v>
      </c>
      <c r="D36" s="1" t="s">
        <v>126</v>
      </c>
      <c r="E36" s="1" t="s">
        <v>130</v>
      </c>
    </row>
    <row r="37" spans="2:7" x14ac:dyDescent="0.25">
      <c r="B37" s="23" t="s">
        <v>88</v>
      </c>
      <c r="C37" s="1"/>
      <c r="D37" s="1"/>
      <c r="E37" s="1" t="s">
        <v>147</v>
      </c>
    </row>
    <row r="38" spans="2:7" x14ac:dyDescent="0.25">
      <c r="B38" s="23" t="s">
        <v>101</v>
      </c>
      <c r="C38" s="1"/>
      <c r="D38" s="1"/>
      <c r="E38" s="1" t="s">
        <v>147</v>
      </c>
    </row>
    <row r="39" spans="2:7" x14ac:dyDescent="0.25">
      <c r="B39" s="23" t="s">
        <v>94</v>
      </c>
      <c r="C39" s="1"/>
      <c r="D39" s="1"/>
      <c r="E39" s="1" t="s">
        <v>136</v>
      </c>
      <c r="F39" t="s">
        <v>149</v>
      </c>
      <c r="G39" t="s">
        <v>198</v>
      </c>
    </row>
    <row r="40" spans="2:7" x14ac:dyDescent="0.25">
      <c r="B40" s="23" t="s">
        <v>105</v>
      </c>
      <c r="C40" s="1"/>
      <c r="D40" s="1"/>
      <c r="E40" s="1" t="s">
        <v>147</v>
      </c>
    </row>
    <row r="41" spans="2:7" x14ac:dyDescent="0.25">
      <c r="B41" s="23" t="s">
        <v>87</v>
      </c>
      <c r="C41" s="1"/>
      <c r="D41" s="1"/>
      <c r="E41" s="24" t="s">
        <v>147</v>
      </c>
    </row>
    <row r="42" spans="2:7" x14ac:dyDescent="0.25">
      <c r="B42" s="23" t="s">
        <v>97</v>
      </c>
      <c r="C42" s="1"/>
      <c r="D42" s="1"/>
      <c r="E42" s="1" t="s">
        <v>147</v>
      </c>
    </row>
    <row r="43" spans="2:7" x14ac:dyDescent="0.25">
      <c r="B43" s="23" t="s">
        <v>95</v>
      </c>
      <c r="C43" s="1"/>
      <c r="D43" s="1"/>
      <c r="E43" s="1" t="s">
        <v>137</v>
      </c>
    </row>
    <row r="44" spans="2:7" x14ac:dyDescent="0.25">
      <c r="B44" s="23" t="s">
        <v>110</v>
      </c>
      <c r="C44" s="1"/>
      <c r="D44" s="1"/>
      <c r="E44" s="1" t="s">
        <v>137</v>
      </c>
    </row>
    <row r="45" spans="2:7" x14ac:dyDescent="0.25">
      <c r="B45" s="23" t="s">
        <v>91</v>
      </c>
      <c r="C45" s="1"/>
      <c r="D45" s="1"/>
      <c r="E45" s="1" t="s">
        <v>147</v>
      </c>
    </row>
    <row r="46" spans="2:7" x14ac:dyDescent="0.25">
      <c r="B46" s="23" t="s">
        <v>82</v>
      </c>
      <c r="C46" s="1" t="s">
        <v>122</v>
      </c>
      <c r="D46" s="1" t="s">
        <v>125</v>
      </c>
      <c r="E46" s="1" t="s">
        <v>130</v>
      </c>
    </row>
    <row r="47" spans="2:7" x14ac:dyDescent="0.25">
      <c r="B47" s="23" t="s">
        <v>77</v>
      </c>
      <c r="C47" s="1" t="s">
        <v>122</v>
      </c>
      <c r="D47" s="1" t="s">
        <v>126</v>
      </c>
      <c r="E47" s="1" t="s">
        <v>130</v>
      </c>
    </row>
    <row r="48" spans="2:7" x14ac:dyDescent="0.25">
      <c r="B48" s="23" t="s">
        <v>83</v>
      </c>
      <c r="C48" s="1" t="s">
        <v>122</v>
      </c>
      <c r="D48" s="1" t="s">
        <v>125</v>
      </c>
      <c r="E48" s="1" t="s">
        <v>130</v>
      </c>
    </row>
    <row r="49" spans="2:5" x14ac:dyDescent="0.25">
      <c r="B49" s="23" t="s">
        <v>84</v>
      </c>
      <c r="C49" s="1" t="s">
        <v>122</v>
      </c>
      <c r="D49" s="1" t="s">
        <v>125</v>
      </c>
      <c r="E49" s="1" t="s">
        <v>130</v>
      </c>
    </row>
    <row r="50" spans="2:5" x14ac:dyDescent="0.25">
      <c r="B50" s="23" t="s">
        <v>108</v>
      </c>
      <c r="C50" s="1"/>
      <c r="D50" s="1"/>
      <c r="E50" s="1" t="s">
        <v>147</v>
      </c>
    </row>
    <row r="51" spans="2:5" x14ac:dyDescent="0.25">
      <c r="B51" s="23" t="s">
        <v>73</v>
      </c>
      <c r="C51" s="1" t="s">
        <v>122</v>
      </c>
      <c r="D51" s="1" t="s">
        <v>128</v>
      </c>
      <c r="E51" s="1" t="s">
        <v>147</v>
      </c>
    </row>
    <row r="52" spans="2:5" x14ac:dyDescent="0.25">
      <c r="B52" s="23" t="s">
        <v>78</v>
      </c>
      <c r="C52" s="1" t="s">
        <v>122</v>
      </c>
      <c r="D52" s="1" t="s">
        <v>128</v>
      </c>
      <c r="E52" s="1" t="s">
        <v>147</v>
      </c>
    </row>
    <row r="53" spans="2:5" x14ac:dyDescent="0.25">
      <c r="B53" s="23" t="s">
        <v>71</v>
      </c>
      <c r="C53" s="1" t="s">
        <v>122</v>
      </c>
      <c r="D53" s="1" t="s">
        <v>128</v>
      </c>
      <c r="E53" s="1" t="s">
        <v>147</v>
      </c>
    </row>
    <row r="54" spans="2:5" x14ac:dyDescent="0.25">
      <c r="B54" s="23" t="s">
        <v>89</v>
      </c>
      <c r="C54" s="1"/>
      <c r="D54" s="1"/>
      <c r="E54" s="1" t="s"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2C8BC-FA2F-4D33-B26E-E0073796AC6F}">
  <dimension ref="B2:I85"/>
  <sheetViews>
    <sheetView showGridLines="0" tabSelected="1" topLeftCell="A15" workbookViewId="0">
      <selection activeCell="D23" sqref="D23"/>
    </sheetView>
  </sheetViews>
  <sheetFormatPr defaultRowHeight="15" x14ac:dyDescent="0.25"/>
  <cols>
    <col min="1" max="1" width="3.7109375" customWidth="1"/>
    <col min="2" max="3" width="38.42578125" bestFit="1" customWidth="1"/>
    <col min="4" max="4" width="36.28515625" bestFit="1" customWidth="1"/>
    <col min="5" max="5" width="34.42578125" bestFit="1" customWidth="1"/>
    <col min="6" max="6" width="17.7109375" bestFit="1" customWidth="1"/>
    <col min="7" max="7" width="11.42578125" bestFit="1" customWidth="1"/>
  </cols>
  <sheetData>
    <row r="2" spans="2:9" x14ac:dyDescent="0.25">
      <c r="B2" s="11" t="s">
        <v>166</v>
      </c>
    </row>
    <row r="3" spans="2:9" x14ac:dyDescent="0.25">
      <c r="B3" s="30" t="s">
        <v>99</v>
      </c>
    </row>
    <row r="4" spans="2:9" x14ac:dyDescent="0.25">
      <c r="B4" s="30" t="s">
        <v>109</v>
      </c>
    </row>
    <row r="5" spans="2:9" x14ac:dyDescent="0.25">
      <c r="B5" s="28" t="s">
        <v>92</v>
      </c>
    </row>
    <row r="6" spans="2:9" x14ac:dyDescent="0.25">
      <c r="B6" s="28" t="s">
        <v>94</v>
      </c>
    </row>
    <row r="9" spans="2:9" x14ac:dyDescent="0.25">
      <c r="B9" s="11" t="s">
        <v>65</v>
      </c>
      <c r="C9" s="11" t="s">
        <v>167</v>
      </c>
      <c r="D9" s="11" t="s">
        <v>168</v>
      </c>
      <c r="E9" s="11" t="s">
        <v>169</v>
      </c>
      <c r="F9" s="11" t="s">
        <v>170</v>
      </c>
      <c r="G9" s="11" t="s">
        <v>12</v>
      </c>
      <c r="H9" s="11" t="s">
        <v>5</v>
      </c>
    </row>
    <row r="10" spans="2:9" x14ac:dyDescent="0.25">
      <c r="B10" s="1" t="s">
        <v>171</v>
      </c>
      <c r="C10" s="1" t="s">
        <v>14</v>
      </c>
      <c r="D10" s="1" t="s">
        <v>14</v>
      </c>
      <c r="E10" s="1" t="s">
        <v>13</v>
      </c>
      <c r="F10" s="1" t="s">
        <v>13</v>
      </c>
      <c r="G10" s="14">
        <v>1249664</v>
      </c>
      <c r="H10" s="8" t="s">
        <v>233</v>
      </c>
      <c r="I10" s="7" t="s">
        <v>6</v>
      </c>
    </row>
    <row r="11" spans="2:9" x14ac:dyDescent="0.25">
      <c r="B11" s="1" t="s">
        <v>171</v>
      </c>
      <c r="C11" s="1" t="s">
        <v>14</v>
      </c>
      <c r="D11" s="1" t="s">
        <v>14</v>
      </c>
      <c r="E11" s="1" t="s">
        <v>14</v>
      </c>
      <c r="F11" s="1" t="s">
        <v>13</v>
      </c>
      <c r="G11" s="14">
        <v>439290</v>
      </c>
    </row>
    <row r="12" spans="2:9" x14ac:dyDescent="0.25">
      <c r="B12" s="1" t="s">
        <v>171</v>
      </c>
      <c r="C12" s="1" t="s">
        <v>14</v>
      </c>
      <c r="D12" s="1" t="s">
        <v>14</v>
      </c>
      <c r="E12" s="1" t="s">
        <v>14</v>
      </c>
      <c r="F12" s="1" t="s">
        <v>14</v>
      </c>
      <c r="G12" s="14">
        <v>345669</v>
      </c>
    </row>
    <row r="13" spans="2:9" x14ac:dyDescent="0.25">
      <c r="B13" s="1" t="s">
        <v>31</v>
      </c>
      <c r="C13" s="1" t="s">
        <v>31</v>
      </c>
      <c r="D13" s="1" t="s">
        <v>31</v>
      </c>
      <c r="E13" s="1" t="s">
        <v>31</v>
      </c>
      <c r="F13" s="1" t="s">
        <v>31</v>
      </c>
      <c r="G13" s="14">
        <v>132289</v>
      </c>
    </row>
    <row r="14" spans="2:9" x14ac:dyDescent="0.25">
      <c r="B14" s="1" t="s">
        <v>171</v>
      </c>
      <c r="C14" s="1" t="s">
        <v>14</v>
      </c>
      <c r="D14" s="1" t="s">
        <v>14</v>
      </c>
      <c r="E14" s="1" t="s">
        <v>13</v>
      </c>
      <c r="F14" s="1" t="s">
        <v>14</v>
      </c>
      <c r="G14" s="14">
        <v>99247</v>
      </c>
    </row>
    <row r="15" spans="2:9" x14ac:dyDescent="0.25">
      <c r="B15" s="1" t="s">
        <v>171</v>
      </c>
      <c r="C15" s="1" t="s">
        <v>13</v>
      </c>
      <c r="D15" s="1" t="s">
        <v>13</v>
      </c>
      <c r="E15" s="1" t="s">
        <v>13</v>
      </c>
      <c r="F15" s="1" t="s">
        <v>13</v>
      </c>
      <c r="G15" s="14">
        <v>50538</v>
      </c>
    </row>
    <row r="16" spans="2:9" x14ac:dyDescent="0.25">
      <c r="B16" s="1" t="s">
        <v>171</v>
      </c>
      <c r="C16" s="1" t="s">
        <v>14</v>
      </c>
      <c r="D16" s="1" t="s">
        <v>14</v>
      </c>
      <c r="E16" s="1" t="s">
        <v>197</v>
      </c>
      <c r="F16" s="1" t="s">
        <v>14</v>
      </c>
      <c r="G16" s="14">
        <v>768</v>
      </c>
    </row>
    <row r="17" spans="2:7" x14ac:dyDescent="0.25">
      <c r="B17" s="1" t="s">
        <v>32</v>
      </c>
      <c r="C17" s="1" t="s">
        <v>32</v>
      </c>
      <c r="D17" s="1" t="s">
        <v>32</v>
      </c>
      <c r="E17" s="1" t="s">
        <v>32</v>
      </c>
      <c r="F17" s="1" t="s">
        <v>32</v>
      </c>
      <c r="G17" s="14">
        <v>14</v>
      </c>
    </row>
    <row r="18" spans="2:7" x14ac:dyDescent="0.25">
      <c r="B18" s="1" t="s">
        <v>171</v>
      </c>
      <c r="C18" s="1" t="s">
        <v>13</v>
      </c>
      <c r="D18" s="1" t="s">
        <v>13</v>
      </c>
      <c r="E18" s="1" t="s">
        <v>13</v>
      </c>
      <c r="F18" s="1" t="s">
        <v>14</v>
      </c>
      <c r="G18" s="14">
        <v>5</v>
      </c>
    </row>
    <row r="20" spans="2:7" x14ac:dyDescent="0.25">
      <c r="B20" s="2" t="s">
        <v>173</v>
      </c>
      <c r="C20" s="3"/>
      <c r="D20" s="3"/>
    </row>
    <row r="21" spans="2:7" ht="6.95" customHeight="1" x14ac:dyDescent="0.25"/>
    <row r="22" spans="2:7" x14ac:dyDescent="0.25">
      <c r="B22" s="11" t="s">
        <v>167</v>
      </c>
      <c r="C22" s="11" t="s">
        <v>12</v>
      </c>
      <c r="D22" s="11" t="s">
        <v>5</v>
      </c>
    </row>
    <row r="23" spans="2:7" x14ac:dyDescent="0.25">
      <c r="B23" s="1" t="s">
        <v>14</v>
      </c>
      <c r="C23" s="14">
        <v>2134638</v>
      </c>
      <c r="D23" s="8" t="s">
        <v>234</v>
      </c>
      <c r="E23" s="7" t="s">
        <v>6</v>
      </c>
    </row>
    <row r="24" spans="2:7" x14ac:dyDescent="0.25">
      <c r="B24" s="1" t="s">
        <v>31</v>
      </c>
      <c r="C24" s="14">
        <v>132289</v>
      </c>
    </row>
    <row r="25" spans="2:7" x14ac:dyDescent="0.25">
      <c r="B25" s="1" t="s">
        <v>13</v>
      </c>
      <c r="C25" s="14">
        <v>50543</v>
      </c>
      <c r="F25" t="s">
        <v>235</v>
      </c>
    </row>
    <row r="26" spans="2:7" x14ac:dyDescent="0.25">
      <c r="B26" s="1" t="s">
        <v>32</v>
      </c>
      <c r="C26" s="14">
        <v>14</v>
      </c>
      <c r="F26" t="s">
        <v>236</v>
      </c>
    </row>
    <row r="29" spans="2:7" x14ac:dyDescent="0.25">
      <c r="B29" s="2" t="s">
        <v>180</v>
      </c>
    </row>
    <row r="30" spans="2:7" ht="6.95" customHeight="1" x14ac:dyDescent="0.25"/>
    <row r="31" spans="2:7" x14ac:dyDescent="0.25">
      <c r="B31" s="11" t="s">
        <v>167</v>
      </c>
      <c r="C31" s="11" t="s">
        <v>38</v>
      </c>
      <c r="D31" s="11" t="s">
        <v>174</v>
      </c>
      <c r="E31" s="11" t="s">
        <v>175</v>
      </c>
      <c r="F31" s="11" t="s">
        <v>5</v>
      </c>
    </row>
    <row r="32" spans="2:7" x14ac:dyDescent="0.25">
      <c r="B32" s="10" t="s">
        <v>13</v>
      </c>
      <c r="C32" s="10" t="s">
        <v>176</v>
      </c>
      <c r="D32" s="10" t="s">
        <v>21</v>
      </c>
      <c r="E32" s="10" t="s">
        <v>17</v>
      </c>
      <c r="F32" s="15" t="s">
        <v>179</v>
      </c>
      <c r="G32" s="7" t="s">
        <v>6</v>
      </c>
    </row>
    <row r="33" spans="2:6" x14ac:dyDescent="0.25">
      <c r="B33" s="10" t="s">
        <v>13</v>
      </c>
      <c r="C33" s="10" t="s">
        <v>177</v>
      </c>
      <c r="D33" s="10" t="s">
        <v>21</v>
      </c>
      <c r="E33" s="10" t="s">
        <v>17</v>
      </c>
      <c r="F33" s="9"/>
    </row>
    <row r="34" spans="2:6" x14ac:dyDescent="0.25">
      <c r="B34" s="10" t="s">
        <v>13</v>
      </c>
      <c r="C34" s="10" t="s">
        <v>178</v>
      </c>
      <c r="D34" s="10" t="s">
        <v>21</v>
      </c>
      <c r="E34" s="10" t="s">
        <v>17</v>
      </c>
      <c r="F34" s="9"/>
    </row>
    <row r="37" spans="2:6" x14ac:dyDescent="0.25">
      <c r="B37" s="2" t="s">
        <v>181</v>
      </c>
      <c r="C37" s="3"/>
      <c r="D37" s="3"/>
      <c r="F37" s="31" t="s">
        <v>199</v>
      </c>
    </row>
    <row r="38" spans="2:6" ht="6.95" customHeight="1" x14ac:dyDescent="0.25"/>
    <row r="39" spans="2:6" x14ac:dyDescent="0.25">
      <c r="B39" s="11" t="s">
        <v>168</v>
      </c>
      <c r="C39" s="11" t="s">
        <v>12</v>
      </c>
      <c r="D39" s="11" t="s">
        <v>5</v>
      </c>
    </row>
    <row r="40" spans="2:6" x14ac:dyDescent="0.25">
      <c r="B40" s="1" t="s">
        <v>14</v>
      </c>
      <c r="C40" s="14">
        <v>2235961</v>
      </c>
      <c r="D40" s="8" t="s">
        <v>187</v>
      </c>
      <c r="E40" s="7" t="s">
        <v>6</v>
      </c>
    </row>
    <row r="41" spans="2:6" x14ac:dyDescent="0.25">
      <c r="B41" s="1" t="s">
        <v>31</v>
      </c>
      <c r="C41" s="14">
        <v>132294</v>
      </c>
    </row>
    <row r="42" spans="2:6" x14ac:dyDescent="0.25">
      <c r="B42" s="1" t="s">
        <v>13</v>
      </c>
      <c r="C42" s="14">
        <v>52728</v>
      </c>
    </row>
    <row r="43" spans="2:6" x14ac:dyDescent="0.25">
      <c r="B43" s="1" t="s">
        <v>172</v>
      </c>
      <c r="C43" s="14">
        <v>769</v>
      </c>
    </row>
    <row r="44" spans="2:6" x14ac:dyDescent="0.25">
      <c r="B44" s="1" t="s">
        <v>32</v>
      </c>
      <c r="C44" s="14">
        <v>14</v>
      </c>
    </row>
    <row r="47" spans="2:6" x14ac:dyDescent="0.25">
      <c r="B47" s="2" t="s">
        <v>188</v>
      </c>
    </row>
    <row r="49" spans="2:7" x14ac:dyDescent="0.25">
      <c r="B49" s="11" t="s">
        <v>168</v>
      </c>
      <c r="C49" s="11" t="s">
        <v>38</v>
      </c>
      <c r="D49" s="11" t="s">
        <v>182</v>
      </c>
      <c r="E49" s="11" t="s">
        <v>183</v>
      </c>
      <c r="F49" s="11" t="s">
        <v>5</v>
      </c>
    </row>
    <row r="50" spans="2:7" x14ac:dyDescent="0.25">
      <c r="B50" s="10" t="s">
        <v>13</v>
      </c>
      <c r="C50" s="10" t="s">
        <v>184</v>
      </c>
      <c r="D50" s="10" t="s">
        <v>21</v>
      </c>
      <c r="E50" s="10" t="s">
        <v>17</v>
      </c>
      <c r="F50" s="15" t="s">
        <v>192</v>
      </c>
      <c r="G50" s="7" t="s">
        <v>6</v>
      </c>
    </row>
    <row r="51" spans="2:7" x14ac:dyDescent="0.25">
      <c r="B51" s="10" t="s">
        <v>13</v>
      </c>
      <c r="C51" s="10" t="s">
        <v>185</v>
      </c>
      <c r="D51" s="10" t="s">
        <v>21</v>
      </c>
      <c r="E51" s="10" t="s">
        <v>17</v>
      </c>
      <c r="F51" s="9"/>
    </row>
    <row r="52" spans="2:7" x14ac:dyDescent="0.25">
      <c r="B52" s="10" t="s">
        <v>13</v>
      </c>
      <c r="C52" s="10" t="s">
        <v>186</v>
      </c>
      <c r="D52" s="10" t="s">
        <v>21</v>
      </c>
      <c r="E52" s="10" t="s">
        <v>17</v>
      </c>
      <c r="F52" s="9"/>
    </row>
    <row r="55" spans="2:7" x14ac:dyDescent="0.25">
      <c r="B55" s="2" t="s">
        <v>189</v>
      </c>
      <c r="C55" s="3"/>
      <c r="D55" s="3"/>
    </row>
    <row r="56" spans="2:7" ht="6.95" customHeight="1" x14ac:dyDescent="0.25"/>
    <row r="57" spans="2:7" x14ac:dyDescent="0.25">
      <c r="B57" s="11" t="s">
        <v>169</v>
      </c>
      <c r="C57" s="11" t="s">
        <v>12</v>
      </c>
      <c r="D57" s="11" t="s">
        <v>5</v>
      </c>
    </row>
    <row r="58" spans="2:7" x14ac:dyDescent="0.25">
      <c r="B58" s="1" t="s">
        <v>13</v>
      </c>
      <c r="C58" s="14">
        <v>1400579</v>
      </c>
      <c r="D58" s="8" t="s">
        <v>211</v>
      </c>
      <c r="E58" s="7" t="s">
        <v>6</v>
      </c>
    </row>
    <row r="59" spans="2:7" x14ac:dyDescent="0.25">
      <c r="B59" s="1" t="s">
        <v>14</v>
      </c>
      <c r="C59" s="14">
        <v>786556</v>
      </c>
    </row>
    <row r="60" spans="2:7" x14ac:dyDescent="0.25">
      <c r="B60" s="1" t="s">
        <v>31</v>
      </c>
      <c r="C60" s="14">
        <v>132291</v>
      </c>
    </row>
    <row r="61" spans="2:7" x14ac:dyDescent="0.25">
      <c r="B61" s="1" t="s">
        <v>32</v>
      </c>
      <c r="C61" s="14">
        <v>14</v>
      </c>
    </row>
    <row r="62" spans="2:7" x14ac:dyDescent="0.25">
      <c r="B62" s="1" t="s">
        <v>197</v>
      </c>
      <c r="C62" s="14">
        <v>768</v>
      </c>
    </row>
    <row r="64" spans="2:7" x14ac:dyDescent="0.25">
      <c r="B64" s="2" t="s">
        <v>191</v>
      </c>
    </row>
    <row r="66" spans="2:7" x14ac:dyDescent="0.25">
      <c r="B66" s="11" t="s">
        <v>169</v>
      </c>
      <c r="C66" s="11" t="s">
        <v>38</v>
      </c>
      <c r="D66" s="11" t="s">
        <v>190</v>
      </c>
      <c r="E66" s="11" t="s">
        <v>16</v>
      </c>
      <c r="F66" s="11" t="s">
        <v>5</v>
      </c>
    </row>
    <row r="67" spans="2:7" x14ac:dyDescent="0.25">
      <c r="B67" s="10" t="s">
        <v>13</v>
      </c>
      <c r="C67" s="10" t="s">
        <v>200</v>
      </c>
      <c r="D67" s="10" t="s">
        <v>215</v>
      </c>
      <c r="E67" s="10" t="s">
        <v>216</v>
      </c>
      <c r="F67" s="15" t="s">
        <v>214</v>
      </c>
      <c r="G67" s="7" t="s">
        <v>6</v>
      </c>
    </row>
    <row r="68" spans="2:7" x14ac:dyDescent="0.25">
      <c r="B68" s="10" t="s">
        <v>13</v>
      </c>
      <c r="C68" s="10" t="s">
        <v>212</v>
      </c>
      <c r="D68" s="10" t="s">
        <v>219</v>
      </c>
      <c r="E68" s="10" t="s">
        <v>220</v>
      </c>
      <c r="F68" s="9"/>
    </row>
    <row r="69" spans="2:7" x14ac:dyDescent="0.25">
      <c r="B69" s="10" t="s">
        <v>13</v>
      </c>
      <c r="C69" s="10" t="s">
        <v>213</v>
      </c>
      <c r="D69" s="10" t="s">
        <v>217</v>
      </c>
      <c r="E69" s="10" t="s">
        <v>218</v>
      </c>
      <c r="F69" s="9"/>
    </row>
    <row r="70" spans="2:7" x14ac:dyDescent="0.25">
      <c r="B70" s="9"/>
      <c r="C70" s="9"/>
      <c r="D70" s="9"/>
      <c r="E70" s="9"/>
      <c r="F70" s="9"/>
    </row>
    <row r="71" spans="2:7" x14ac:dyDescent="0.25">
      <c r="B71" s="2" t="s">
        <v>193</v>
      </c>
      <c r="C71" s="3"/>
      <c r="D71" s="3"/>
    </row>
    <row r="72" spans="2:7" ht="6.95" customHeight="1" x14ac:dyDescent="0.25"/>
    <row r="73" spans="2:7" x14ac:dyDescent="0.25">
      <c r="B73" s="11" t="s">
        <v>170</v>
      </c>
      <c r="C73" s="11" t="s">
        <v>12</v>
      </c>
      <c r="D73" s="11" t="s">
        <v>5</v>
      </c>
    </row>
    <row r="74" spans="2:7" x14ac:dyDescent="0.25">
      <c r="B74" s="1" t="s">
        <v>13</v>
      </c>
      <c r="C74" s="14">
        <v>1740616</v>
      </c>
      <c r="D74" s="8" t="s">
        <v>210</v>
      </c>
      <c r="E74" s="7" t="s">
        <v>6</v>
      </c>
    </row>
    <row r="75" spans="2:7" x14ac:dyDescent="0.25">
      <c r="B75" s="1" t="s">
        <v>14</v>
      </c>
      <c r="C75" s="14">
        <v>447287</v>
      </c>
    </row>
    <row r="76" spans="2:7" x14ac:dyDescent="0.25">
      <c r="B76" s="1" t="s">
        <v>31</v>
      </c>
      <c r="C76" s="14">
        <v>132291</v>
      </c>
    </row>
    <row r="77" spans="2:7" x14ac:dyDescent="0.25">
      <c r="B77" s="1" t="s">
        <v>32</v>
      </c>
      <c r="C77" s="14">
        <v>14</v>
      </c>
    </row>
    <row r="78" spans="2:7" x14ac:dyDescent="0.25">
      <c r="C78" s="29"/>
    </row>
    <row r="79" spans="2:7" x14ac:dyDescent="0.25">
      <c r="C79" s="29"/>
    </row>
    <row r="80" spans="2:7" x14ac:dyDescent="0.25">
      <c r="B80" s="2" t="s">
        <v>194</v>
      </c>
      <c r="C80" s="29"/>
    </row>
    <row r="81" spans="2:7" ht="6.95" customHeight="1" x14ac:dyDescent="0.25"/>
    <row r="82" spans="2:7" x14ac:dyDescent="0.25">
      <c r="B82" s="11" t="s">
        <v>38</v>
      </c>
      <c r="C82" s="11" t="s">
        <v>170</v>
      </c>
      <c r="D82" s="11" t="s">
        <v>195</v>
      </c>
      <c r="E82" s="11" t="s">
        <v>196</v>
      </c>
      <c r="F82" s="11" t="s">
        <v>5</v>
      </c>
    </row>
    <row r="83" spans="2:7" x14ac:dyDescent="0.25">
      <c r="B83" s="10" t="s">
        <v>200</v>
      </c>
      <c r="C83" s="10" t="s">
        <v>13</v>
      </c>
      <c r="D83" s="10" t="s">
        <v>201</v>
      </c>
      <c r="E83" s="10" t="s">
        <v>202</v>
      </c>
      <c r="F83" s="15" t="s">
        <v>209</v>
      </c>
      <c r="G83" s="7" t="s">
        <v>6</v>
      </c>
    </row>
    <row r="84" spans="2:7" x14ac:dyDescent="0.25">
      <c r="B84" s="10" t="s">
        <v>203</v>
      </c>
      <c r="C84" s="10" t="s">
        <v>13</v>
      </c>
      <c r="D84" s="10" t="s">
        <v>204</v>
      </c>
      <c r="E84" s="10" t="s">
        <v>205</v>
      </c>
      <c r="F84" s="9"/>
    </row>
    <row r="85" spans="2:7" x14ac:dyDescent="0.25">
      <c r="B85" s="10" t="s">
        <v>206</v>
      </c>
      <c r="C85" s="10" t="s">
        <v>13</v>
      </c>
      <c r="D85" s="10" t="s">
        <v>207</v>
      </c>
      <c r="E85" s="10" t="s">
        <v>208</v>
      </c>
      <c r="F85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726E6-B428-4E8E-9F18-7755B261E783}">
  <dimension ref="B2:W77"/>
  <sheetViews>
    <sheetView showGridLines="0" workbookViewId="0">
      <selection activeCell="G70" sqref="G70"/>
    </sheetView>
  </sheetViews>
  <sheetFormatPr defaultRowHeight="15" x14ac:dyDescent="0.25"/>
  <cols>
    <col min="1" max="1" width="3.7109375" customWidth="1"/>
    <col min="2" max="2" width="33.85546875" bestFit="1" customWidth="1"/>
    <col min="3" max="3" width="19.42578125" bestFit="1" customWidth="1"/>
    <col min="4" max="4" width="33.85546875" bestFit="1" customWidth="1"/>
    <col min="5" max="5" width="23.5703125" bestFit="1" customWidth="1"/>
    <col min="6" max="6" width="19.5703125" bestFit="1" customWidth="1"/>
    <col min="7" max="8" width="20.140625" bestFit="1" customWidth="1"/>
    <col min="9" max="10" width="19.42578125" bestFit="1" customWidth="1"/>
    <col min="11" max="12" width="19.85546875" bestFit="1" customWidth="1"/>
    <col min="13" max="14" width="19.5703125" bestFit="1" customWidth="1"/>
    <col min="15" max="16" width="19.42578125" bestFit="1" customWidth="1"/>
    <col min="17" max="19" width="20.140625" bestFit="1" customWidth="1"/>
    <col min="20" max="20" width="19.5703125" bestFit="1" customWidth="1"/>
    <col min="21" max="21" width="18.42578125" bestFit="1" customWidth="1"/>
    <col min="22" max="22" width="11" bestFit="1" customWidth="1"/>
    <col min="23" max="23" width="15.5703125" bestFit="1" customWidth="1"/>
    <col min="24" max="24" width="15" bestFit="1" customWidth="1"/>
    <col min="25" max="25" width="13.85546875" bestFit="1" customWidth="1"/>
    <col min="26" max="26" width="6.42578125" bestFit="1" customWidth="1"/>
  </cols>
  <sheetData>
    <row r="2" spans="2:6" x14ac:dyDescent="0.25">
      <c r="B2" s="2" t="s">
        <v>62</v>
      </c>
      <c r="C2" s="3"/>
      <c r="D2" s="3"/>
    </row>
    <row r="3" spans="2:6" ht="6.95" customHeight="1" x14ac:dyDescent="0.25"/>
    <row r="4" spans="2:6" x14ac:dyDescent="0.25">
      <c r="B4" s="11" t="s">
        <v>30</v>
      </c>
      <c r="C4" s="11" t="s">
        <v>12</v>
      </c>
      <c r="D4" s="11" t="s">
        <v>5</v>
      </c>
    </row>
    <row r="5" spans="2:6" x14ac:dyDescent="0.25">
      <c r="B5" s="10" t="s">
        <v>14</v>
      </c>
      <c r="C5" s="14">
        <v>1273873</v>
      </c>
      <c r="D5" s="15" t="s">
        <v>151</v>
      </c>
      <c r="E5" s="7" t="s">
        <v>6</v>
      </c>
    </row>
    <row r="6" spans="2:6" x14ac:dyDescent="0.25">
      <c r="B6" s="10" t="s">
        <v>13</v>
      </c>
      <c r="C6" s="19">
        <v>911308</v>
      </c>
      <c r="D6" s="9"/>
    </row>
    <row r="7" spans="2:6" x14ac:dyDescent="0.25">
      <c r="B7" s="10" t="s">
        <v>32</v>
      </c>
      <c r="C7" s="14">
        <v>132289</v>
      </c>
      <c r="D7" s="9"/>
    </row>
    <row r="8" spans="2:6" x14ac:dyDescent="0.25">
      <c r="B8" s="10" t="s">
        <v>31</v>
      </c>
      <c r="C8" s="14">
        <v>14</v>
      </c>
    </row>
    <row r="11" spans="2:6" x14ac:dyDescent="0.25">
      <c r="B11" s="35" t="s">
        <v>63</v>
      </c>
      <c r="C11" s="35"/>
      <c r="D11" s="35"/>
      <c r="E11" s="35"/>
      <c r="F11" s="35"/>
    </row>
    <row r="12" spans="2:6" x14ac:dyDescent="0.25">
      <c r="B12" s="36" t="s">
        <v>66</v>
      </c>
      <c r="C12" s="36"/>
      <c r="D12" s="36"/>
      <c r="E12" s="36"/>
      <c r="F12" s="36"/>
    </row>
    <row r="13" spans="2:6" x14ac:dyDescent="0.25">
      <c r="B13" s="36"/>
      <c r="C13" s="36"/>
      <c r="D13" s="36"/>
      <c r="E13" s="36"/>
      <c r="F13" s="36"/>
    </row>
    <row r="14" spans="2:6" x14ac:dyDescent="0.25">
      <c r="B14" s="36"/>
      <c r="C14" s="36"/>
      <c r="D14" s="36"/>
      <c r="E14" s="36"/>
      <c r="F14" s="36"/>
    </row>
    <row r="15" spans="2:6" x14ac:dyDescent="0.25">
      <c r="B15" s="36"/>
      <c r="C15" s="36"/>
      <c r="D15" s="36"/>
      <c r="E15" s="36"/>
      <c r="F15" s="36"/>
    </row>
    <row r="18" spans="2:8" x14ac:dyDescent="0.25">
      <c r="B18" s="18" t="s">
        <v>33</v>
      </c>
      <c r="C18" s="5"/>
      <c r="D18" s="5"/>
      <c r="E18" s="5"/>
      <c r="F18" s="5"/>
    </row>
    <row r="19" spans="2:8" ht="6.95" customHeight="1" x14ac:dyDescent="0.25"/>
    <row r="20" spans="2:8" x14ac:dyDescent="0.25">
      <c r="B20" s="11" t="s">
        <v>23</v>
      </c>
      <c r="C20" s="11" t="s">
        <v>34</v>
      </c>
      <c r="D20" s="11" t="s">
        <v>35</v>
      </c>
      <c r="E20" s="11" t="s">
        <v>12</v>
      </c>
      <c r="F20" s="11" t="s">
        <v>5</v>
      </c>
    </row>
    <row r="21" spans="2:8" x14ac:dyDescent="0.25">
      <c r="B21" s="1">
        <v>1</v>
      </c>
      <c r="C21" s="1" t="s">
        <v>20</v>
      </c>
      <c r="D21" s="1" t="s">
        <v>18</v>
      </c>
      <c r="E21" s="14">
        <v>825390</v>
      </c>
      <c r="F21" s="8" t="s">
        <v>43</v>
      </c>
      <c r="G21" s="7" t="s">
        <v>6</v>
      </c>
    </row>
    <row r="22" spans="2:8" x14ac:dyDescent="0.25">
      <c r="B22" s="1">
        <v>2</v>
      </c>
      <c r="C22" s="1" t="s">
        <v>18</v>
      </c>
      <c r="D22" s="1" t="s">
        <v>36</v>
      </c>
      <c r="E22" s="14">
        <v>40062</v>
      </c>
    </row>
    <row r="23" spans="2:8" x14ac:dyDescent="0.25">
      <c r="B23" s="1">
        <v>3</v>
      </c>
      <c r="C23" s="1" t="s">
        <v>18</v>
      </c>
      <c r="D23" s="1" t="s">
        <v>20</v>
      </c>
      <c r="E23" s="14">
        <v>32263</v>
      </c>
    </row>
    <row r="24" spans="2:8" x14ac:dyDescent="0.25">
      <c r="B24" s="1">
        <v>4</v>
      </c>
      <c r="C24" s="1" t="s">
        <v>20</v>
      </c>
      <c r="D24" s="1" t="s">
        <v>36</v>
      </c>
      <c r="E24" s="14">
        <v>13593</v>
      </c>
    </row>
    <row r="25" spans="2:8" x14ac:dyDescent="0.25">
      <c r="B25" s="38" t="s">
        <v>19</v>
      </c>
      <c r="C25" s="38"/>
      <c r="D25" s="38"/>
      <c r="E25" s="20">
        <f>SUM(E21:E24)</f>
        <v>911308</v>
      </c>
    </row>
    <row r="28" spans="2:8" x14ac:dyDescent="0.25">
      <c r="B28" s="4" t="s">
        <v>37</v>
      </c>
      <c r="C28" s="5"/>
      <c r="D28" s="5"/>
      <c r="E28" s="5"/>
      <c r="F28" s="5"/>
      <c r="G28" s="5"/>
    </row>
    <row r="29" spans="2:8" ht="6.95" customHeight="1" x14ac:dyDescent="0.25"/>
    <row r="30" spans="2:8" x14ac:dyDescent="0.25">
      <c r="B30" s="11" t="s">
        <v>38</v>
      </c>
      <c r="C30" s="11" t="s">
        <v>34</v>
      </c>
      <c r="D30" s="11" t="s">
        <v>15</v>
      </c>
      <c r="E30" s="11" t="s">
        <v>35</v>
      </c>
      <c r="F30" s="11" t="s">
        <v>30</v>
      </c>
      <c r="G30" s="11" t="s">
        <v>5</v>
      </c>
    </row>
    <row r="31" spans="2:8" x14ac:dyDescent="0.25">
      <c r="B31" s="22" t="s">
        <v>152</v>
      </c>
      <c r="C31" s="10" t="s">
        <v>20</v>
      </c>
      <c r="D31" s="10" t="s">
        <v>152</v>
      </c>
      <c r="E31" s="10" t="s">
        <v>18</v>
      </c>
      <c r="F31" s="21" t="s">
        <v>13</v>
      </c>
      <c r="G31" s="15" t="s">
        <v>155</v>
      </c>
      <c r="H31" s="7" t="s">
        <v>6</v>
      </c>
    </row>
    <row r="32" spans="2:8" x14ac:dyDescent="0.25">
      <c r="B32" s="10" t="s">
        <v>153</v>
      </c>
      <c r="C32" s="10" t="s">
        <v>20</v>
      </c>
      <c r="D32" s="10" t="s">
        <v>153</v>
      </c>
      <c r="E32" s="10" t="s">
        <v>18</v>
      </c>
      <c r="F32" s="10" t="s">
        <v>13</v>
      </c>
      <c r="G32" s="9"/>
    </row>
    <row r="33" spans="2:23" x14ac:dyDescent="0.25">
      <c r="B33" s="10" t="s">
        <v>154</v>
      </c>
      <c r="C33" s="10" t="s">
        <v>20</v>
      </c>
      <c r="D33" s="10" t="s">
        <v>154</v>
      </c>
      <c r="E33" s="10" t="s">
        <v>18</v>
      </c>
      <c r="F33" s="10" t="s">
        <v>13</v>
      </c>
      <c r="G33" s="9"/>
    </row>
    <row r="36" spans="2:23" x14ac:dyDescent="0.25">
      <c r="C36" s="37" t="s">
        <v>58</v>
      </c>
      <c r="D36" s="37"/>
      <c r="E36" s="37"/>
      <c r="F36" s="37"/>
      <c r="G36" s="37"/>
      <c r="H36" s="37"/>
      <c r="I36" s="37" t="s">
        <v>59</v>
      </c>
      <c r="J36" s="37"/>
      <c r="K36" s="37"/>
      <c r="L36" s="37"/>
      <c r="M36" s="37" t="s">
        <v>60</v>
      </c>
      <c r="N36" s="37"/>
      <c r="O36" s="37"/>
      <c r="P36" s="37"/>
      <c r="Q36" s="39" t="s">
        <v>61</v>
      </c>
      <c r="R36" s="40"/>
      <c r="S36" s="40"/>
      <c r="T36" s="41"/>
    </row>
    <row r="37" spans="2:23" x14ac:dyDescent="0.25">
      <c r="B37" s="11" t="s">
        <v>7</v>
      </c>
      <c r="C37" s="11" t="s">
        <v>44</v>
      </c>
      <c r="D37" s="11" t="s">
        <v>45</v>
      </c>
      <c r="E37" s="11" t="s">
        <v>46</v>
      </c>
      <c r="F37" s="11" t="s">
        <v>47</v>
      </c>
      <c r="G37" s="11" t="s">
        <v>48</v>
      </c>
      <c r="H37" s="11" t="s">
        <v>49</v>
      </c>
      <c r="I37" s="11" t="s">
        <v>50</v>
      </c>
      <c r="J37" s="11" t="s">
        <v>51</v>
      </c>
      <c r="K37" s="11" t="s">
        <v>52</v>
      </c>
      <c r="L37" s="11" t="s">
        <v>53</v>
      </c>
      <c r="M37" s="11" t="s">
        <v>54</v>
      </c>
      <c r="N37" s="11" t="s">
        <v>55</v>
      </c>
      <c r="O37" s="11" t="s">
        <v>50</v>
      </c>
      <c r="P37" s="11" t="s">
        <v>51</v>
      </c>
      <c r="Q37" s="11" t="s">
        <v>56</v>
      </c>
      <c r="R37" s="11" t="s">
        <v>57</v>
      </c>
      <c r="S37" s="11" t="s">
        <v>56</v>
      </c>
      <c r="T37" s="11" t="s">
        <v>55</v>
      </c>
      <c r="U37" s="11" t="s">
        <v>39</v>
      </c>
      <c r="V37" s="11" t="s">
        <v>5</v>
      </c>
    </row>
    <row r="38" spans="2:23" x14ac:dyDescent="0.25">
      <c r="B38" s="22" t="s">
        <v>152</v>
      </c>
      <c r="C38" s="10" t="s">
        <v>22</v>
      </c>
      <c r="D38" s="10" t="s">
        <v>22</v>
      </c>
      <c r="E38" s="10" t="s">
        <v>22</v>
      </c>
      <c r="F38" s="10" t="s">
        <v>22</v>
      </c>
      <c r="G38" s="10" t="s">
        <v>22</v>
      </c>
      <c r="H38" s="10" t="s">
        <v>156</v>
      </c>
      <c r="I38" s="10" t="s">
        <v>157</v>
      </c>
      <c r="J38" s="10" t="s">
        <v>158</v>
      </c>
      <c r="K38" s="10" t="s">
        <v>159</v>
      </c>
      <c r="L38" s="10" t="s">
        <v>160</v>
      </c>
      <c r="M38" s="10" t="s">
        <v>161</v>
      </c>
      <c r="N38" s="10" t="s">
        <v>162</v>
      </c>
      <c r="O38" s="10" t="s">
        <v>157</v>
      </c>
      <c r="P38" s="10" t="s">
        <v>158</v>
      </c>
      <c r="Q38" s="10" t="s">
        <v>163</v>
      </c>
      <c r="R38" s="10" t="s">
        <v>164</v>
      </c>
      <c r="S38" s="10" t="s">
        <v>161</v>
      </c>
      <c r="T38" s="10" t="s">
        <v>162</v>
      </c>
      <c r="U38" s="10">
        <v>1</v>
      </c>
      <c r="V38" s="8" t="s">
        <v>165</v>
      </c>
      <c r="W38" s="7" t="s">
        <v>6</v>
      </c>
    </row>
    <row r="41" spans="2:23" x14ac:dyDescent="0.25">
      <c r="B41" s="4" t="s">
        <v>40</v>
      </c>
      <c r="C41" s="5"/>
      <c r="D41" s="5"/>
      <c r="E41" s="5"/>
      <c r="F41" s="5"/>
      <c r="G41" s="5"/>
    </row>
    <row r="42" spans="2:23" ht="6.95" customHeight="1" x14ac:dyDescent="0.25"/>
    <row r="43" spans="2:23" x14ac:dyDescent="0.25">
      <c r="B43" s="17" t="s">
        <v>38</v>
      </c>
      <c r="C43" s="17" t="s">
        <v>34</v>
      </c>
      <c r="D43" s="17" t="s">
        <v>15</v>
      </c>
      <c r="E43" s="17" t="s">
        <v>35</v>
      </c>
      <c r="F43" s="17" t="s">
        <v>30</v>
      </c>
      <c r="G43" s="16" t="s">
        <v>5</v>
      </c>
    </row>
    <row r="44" spans="2:23" x14ac:dyDescent="0.25">
      <c r="B44" s="10" t="s">
        <v>221</v>
      </c>
      <c r="C44" s="10" t="s">
        <v>18</v>
      </c>
      <c r="D44" s="10" t="s">
        <v>221</v>
      </c>
      <c r="E44" s="10" t="s">
        <v>36</v>
      </c>
      <c r="F44" s="10" t="s">
        <v>13</v>
      </c>
      <c r="G44" s="15" t="s">
        <v>224</v>
      </c>
      <c r="H44" s="7" t="s">
        <v>6</v>
      </c>
    </row>
    <row r="45" spans="2:23" x14ac:dyDescent="0.25">
      <c r="B45" s="10" t="s">
        <v>222</v>
      </c>
      <c r="C45" s="10" t="s">
        <v>18</v>
      </c>
      <c r="D45" s="10" t="s">
        <v>222</v>
      </c>
      <c r="E45" s="10" t="s">
        <v>36</v>
      </c>
      <c r="F45" s="10" t="s">
        <v>13</v>
      </c>
      <c r="G45" s="9"/>
    </row>
    <row r="46" spans="2:23" x14ac:dyDescent="0.25">
      <c r="B46" s="10" t="s">
        <v>223</v>
      </c>
      <c r="C46" s="10" t="s">
        <v>18</v>
      </c>
      <c r="D46" s="10" t="s">
        <v>223</v>
      </c>
      <c r="E46" s="10" t="s">
        <v>36</v>
      </c>
      <c r="F46" s="10" t="s">
        <v>13</v>
      </c>
      <c r="G46" s="9"/>
    </row>
    <row r="47" spans="2:23" x14ac:dyDescent="0.25">
      <c r="B47" s="9"/>
      <c r="C47" s="9"/>
      <c r="D47" s="9"/>
      <c r="E47" s="9"/>
      <c r="F47" s="9"/>
      <c r="G47" s="9"/>
    </row>
    <row r="48" spans="2:23" x14ac:dyDescent="0.25">
      <c r="B48" s="9"/>
      <c r="C48" s="9"/>
      <c r="D48" s="9"/>
      <c r="E48" s="9"/>
      <c r="F48" s="9"/>
      <c r="G48" s="9"/>
    </row>
    <row r="49" spans="2:23" x14ac:dyDescent="0.25">
      <c r="C49" s="37" t="s">
        <v>58</v>
      </c>
      <c r="D49" s="37"/>
      <c r="E49" s="37"/>
      <c r="F49" s="37"/>
      <c r="G49" s="37"/>
      <c r="H49" s="37"/>
      <c r="I49" s="37" t="s">
        <v>59</v>
      </c>
      <c r="J49" s="37"/>
      <c r="K49" s="37"/>
      <c r="L49" s="37"/>
      <c r="M49" s="37" t="s">
        <v>60</v>
      </c>
      <c r="N49" s="37"/>
      <c r="O49" s="37"/>
      <c r="P49" s="37"/>
      <c r="Q49" s="39" t="s">
        <v>61</v>
      </c>
      <c r="R49" s="40"/>
      <c r="S49" s="40"/>
      <c r="T49" s="41"/>
    </row>
    <row r="50" spans="2:23" x14ac:dyDescent="0.25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2:23" x14ac:dyDescent="0.25">
      <c r="B51" s="22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5"/>
      <c r="W51" s="7" t="s">
        <v>6</v>
      </c>
    </row>
    <row r="54" spans="2:23" x14ac:dyDescent="0.25">
      <c r="B54" s="4" t="s">
        <v>41</v>
      </c>
      <c r="C54" s="5"/>
      <c r="D54" s="5"/>
      <c r="E54" s="5"/>
      <c r="F54" s="5"/>
      <c r="G54" s="5"/>
    </row>
    <row r="55" spans="2:23" ht="6.95" customHeight="1" x14ac:dyDescent="0.25"/>
    <row r="56" spans="2:23" x14ac:dyDescent="0.25">
      <c r="B56" s="17" t="s">
        <v>38</v>
      </c>
      <c r="C56" s="17" t="s">
        <v>34</v>
      </c>
      <c r="D56" s="17" t="s">
        <v>15</v>
      </c>
      <c r="E56" s="17" t="s">
        <v>35</v>
      </c>
      <c r="F56" s="17" t="s">
        <v>30</v>
      </c>
      <c r="G56" s="16" t="s">
        <v>5</v>
      </c>
    </row>
    <row r="57" spans="2:23" x14ac:dyDescent="0.25">
      <c r="B57" s="10" t="s">
        <v>225</v>
      </c>
      <c r="C57" s="10" t="s">
        <v>18</v>
      </c>
      <c r="D57" s="10" t="s">
        <v>225</v>
      </c>
      <c r="E57" s="10" t="s">
        <v>20</v>
      </c>
      <c r="F57" s="10" t="s">
        <v>13</v>
      </c>
      <c r="G57" s="32" t="s">
        <v>228</v>
      </c>
      <c r="H57" s="7" t="s">
        <v>6</v>
      </c>
    </row>
    <row r="58" spans="2:23" x14ac:dyDescent="0.25">
      <c r="B58" s="10" t="s">
        <v>226</v>
      </c>
      <c r="C58" s="10" t="s">
        <v>18</v>
      </c>
      <c r="D58" s="10" t="s">
        <v>226</v>
      </c>
      <c r="E58" s="10" t="s">
        <v>20</v>
      </c>
      <c r="F58" s="10" t="s">
        <v>13</v>
      </c>
      <c r="G58" s="9"/>
    </row>
    <row r="59" spans="2:23" x14ac:dyDescent="0.25">
      <c r="B59" s="10" t="s">
        <v>227</v>
      </c>
      <c r="C59" s="10" t="s">
        <v>18</v>
      </c>
      <c r="D59" s="10" t="s">
        <v>227</v>
      </c>
      <c r="E59" s="10" t="s">
        <v>20</v>
      </c>
      <c r="F59" s="10" t="s">
        <v>13</v>
      </c>
      <c r="G59" s="9"/>
    </row>
    <row r="62" spans="2:23" x14ac:dyDescent="0.25">
      <c r="C62" s="37" t="s">
        <v>58</v>
      </c>
      <c r="D62" s="37"/>
      <c r="E62" s="37"/>
      <c r="F62" s="37"/>
      <c r="G62" s="37"/>
      <c r="H62" s="37"/>
      <c r="I62" s="37" t="s">
        <v>59</v>
      </c>
      <c r="J62" s="37"/>
      <c r="K62" s="37"/>
      <c r="L62" s="37"/>
      <c r="M62" s="37" t="s">
        <v>60</v>
      </c>
      <c r="N62" s="37"/>
      <c r="O62" s="37"/>
      <c r="P62" s="37"/>
      <c r="Q62" s="39" t="s">
        <v>61</v>
      </c>
      <c r="R62" s="40"/>
      <c r="S62" s="40"/>
      <c r="T62" s="41"/>
    </row>
    <row r="63" spans="2:23" x14ac:dyDescent="0.25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2:23" x14ac:dyDescent="0.25">
      <c r="B64" s="22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5"/>
      <c r="W64" s="7" t="s">
        <v>6</v>
      </c>
    </row>
    <row r="67" spans="2:23" x14ac:dyDescent="0.25">
      <c r="B67" s="4" t="s">
        <v>42</v>
      </c>
      <c r="C67" s="5"/>
      <c r="D67" s="5"/>
      <c r="E67" s="5"/>
      <c r="F67" s="5"/>
      <c r="G67" s="5"/>
    </row>
    <row r="68" spans="2:23" ht="6.95" customHeight="1" x14ac:dyDescent="0.25"/>
    <row r="69" spans="2:23" x14ac:dyDescent="0.25">
      <c r="B69" s="17" t="s">
        <v>38</v>
      </c>
      <c r="C69" s="17" t="s">
        <v>34</v>
      </c>
      <c r="D69" s="17" t="s">
        <v>15</v>
      </c>
      <c r="E69" s="17" t="s">
        <v>35</v>
      </c>
      <c r="F69" s="17" t="s">
        <v>30</v>
      </c>
      <c r="G69" s="16" t="s">
        <v>5</v>
      </c>
    </row>
    <row r="70" spans="2:23" x14ac:dyDescent="0.25">
      <c r="B70" s="10" t="s">
        <v>229</v>
      </c>
      <c r="C70" s="10" t="s">
        <v>20</v>
      </c>
      <c r="D70" s="10" t="s">
        <v>229</v>
      </c>
      <c r="E70" s="10" t="s">
        <v>36</v>
      </c>
      <c r="F70" s="10" t="s">
        <v>13</v>
      </c>
      <c r="G70" s="15"/>
      <c r="H70" s="7" t="s">
        <v>6</v>
      </c>
    </row>
    <row r="71" spans="2:23" x14ac:dyDescent="0.25">
      <c r="B71" s="10" t="s">
        <v>230</v>
      </c>
      <c r="C71" s="10" t="s">
        <v>20</v>
      </c>
      <c r="D71" s="10" t="s">
        <v>230</v>
      </c>
      <c r="E71" s="10" t="s">
        <v>36</v>
      </c>
      <c r="F71" s="10" t="s">
        <v>13</v>
      </c>
      <c r="G71" s="9"/>
    </row>
    <row r="72" spans="2:23" x14ac:dyDescent="0.25">
      <c r="B72" s="10" t="s">
        <v>231</v>
      </c>
      <c r="C72" s="10" t="s">
        <v>20</v>
      </c>
      <c r="D72" s="10" t="s">
        <v>231</v>
      </c>
      <c r="E72" s="10" t="s">
        <v>36</v>
      </c>
      <c r="F72" s="10" t="s">
        <v>13</v>
      </c>
      <c r="G72" s="9"/>
    </row>
    <row r="75" spans="2:23" x14ac:dyDescent="0.25">
      <c r="C75" s="37" t="s">
        <v>58</v>
      </c>
      <c r="D75" s="37"/>
      <c r="E75" s="37"/>
      <c r="F75" s="37"/>
      <c r="G75" s="37"/>
      <c r="H75" s="37"/>
      <c r="I75" s="37" t="s">
        <v>59</v>
      </c>
      <c r="J75" s="37"/>
      <c r="K75" s="37"/>
      <c r="L75" s="37"/>
      <c r="M75" s="37" t="s">
        <v>60</v>
      </c>
      <c r="N75" s="37"/>
      <c r="O75" s="37"/>
      <c r="P75" s="37"/>
      <c r="Q75" s="39" t="s">
        <v>61</v>
      </c>
      <c r="R75" s="40"/>
      <c r="S75" s="40"/>
      <c r="T75" s="41"/>
    </row>
    <row r="76" spans="2:23" x14ac:dyDescent="0.25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spans="2:23" x14ac:dyDescent="0.25">
      <c r="B77" s="22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5"/>
      <c r="W77" s="7" t="s">
        <v>6</v>
      </c>
    </row>
  </sheetData>
  <mergeCells count="19">
    <mergeCell ref="Q36:T36"/>
    <mergeCell ref="Q49:T49"/>
    <mergeCell ref="Q62:T62"/>
    <mergeCell ref="Q75:T75"/>
    <mergeCell ref="C49:H49"/>
    <mergeCell ref="I49:L49"/>
    <mergeCell ref="M49:P49"/>
    <mergeCell ref="C62:H62"/>
    <mergeCell ref="I62:L62"/>
    <mergeCell ref="M62:P62"/>
    <mergeCell ref="C36:H36"/>
    <mergeCell ref="I36:L36"/>
    <mergeCell ref="M36:P36"/>
    <mergeCell ref="B11:F11"/>
    <mergeCell ref="B12:F15"/>
    <mergeCell ref="C75:H75"/>
    <mergeCell ref="I75:L75"/>
    <mergeCell ref="M75:P75"/>
    <mergeCell ref="B25:D2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9EADC39-9340-449E-A930-554F1B0EB3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F15D8F-3CD9-4025-B63F-CE35C72BF237}"/>
</file>

<file path=customXml/itemProps3.xml><?xml version="1.0" encoding="utf-8"?>
<ds:datastoreItem xmlns:ds="http://schemas.openxmlformats.org/officeDocument/2006/customXml" ds:itemID="{5F97EC8F-8856-4E11-8ECA-2CEE33EFA5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LT002</vt:lpstr>
      <vt:lpstr>Campos a testar</vt:lpstr>
      <vt:lpstr>02_07</vt:lpstr>
      <vt:lpstr>NW_BSNSS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Manuel André Gomes</dc:creator>
  <cp:lastModifiedBy>Duarte Manuel André Gomes</cp:lastModifiedBy>
  <dcterms:created xsi:type="dcterms:W3CDTF">2025-05-15T15:26:40Z</dcterms:created>
  <dcterms:modified xsi:type="dcterms:W3CDTF">2025-07-07T15:20:44Z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2025-05-15T15:33:49Z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26b89ab9-afb2-4bcd-b82b-b3bf25274dd6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