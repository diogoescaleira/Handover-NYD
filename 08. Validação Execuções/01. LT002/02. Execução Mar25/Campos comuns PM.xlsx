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2. Execução Mar25/"/>
    </mc:Choice>
  </mc:AlternateContent>
  <xr:revisionPtr revIDLastSave="730" documentId="11_221D604D3CC10243AAEF03CFF54A8A7E1C40678C" xr6:coauthVersionLast="47" xr6:coauthVersionMax="47" xr10:uidLastSave="{43AED790-7334-4B39-A36B-5BDD71F60BBA}"/>
  <bookViews>
    <workbookView xWindow="-120" yWindow="-120" windowWidth="29040" windowHeight="15720" xr2:uid="{00000000-000D-0000-FFFF-FFFF00000000}"/>
  </bookViews>
  <sheets>
    <sheet name="Resumo" sheetId="1" r:id="rId1"/>
    <sheet name="Campos comuns com PM" sheetId="2" r:id="rId2"/>
  </sheets>
  <definedNames>
    <definedName name="_xlnm._FilterDatabase" localSheetId="1" hidden="1">'Campos comuns com PM'!$B$14:$N$14</definedName>
    <definedName name="_xlnm._FilterDatabase" localSheetId="0" hidden="1">Resumo!$A$9:$AD$28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tc={F40227BF-4542-4DA9-8FD0-5287B11DD8A6}</author>
  </authors>
  <commentList>
    <comment ref="E10" authorId="0" shapeId="0" xr:uid="{F40227BF-4542-4DA9-8FD0-5287B11DD8A6}">
      <text>
        <t>[Threaded comment]
Your version of Excel allows you to read this threaded comment; however, any edits to it will get removed if the file is opened in a newer version of Excel. Learn more: https://go.microsoft.com/fwlink/?linkid=870924
Comment:
    Ou seja, instrmnt_id like 'SNCO%'</t>
      </text>
    </comment>
  </commentList>
</comments>
</file>

<file path=xl/sharedStrings.xml><?xml version="1.0" encoding="utf-8"?>
<sst xmlns="http://schemas.openxmlformats.org/spreadsheetml/2006/main" count="799" uniqueCount="121">
  <si>
    <t>Tabela</t>
  </si>
  <si>
    <t>Campo</t>
  </si>
  <si>
    <t>lt002_instrument</t>
  </si>
  <si>
    <t>CCF</t>
  </si>
  <si>
    <t>EAD</t>
  </si>
  <si>
    <t>TYP_OFF_BLNC_PRDCT</t>
  </si>
  <si>
    <t>SUBPORTFOLIO_ID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</si>
  <si>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</si>
  <si>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</si>
  <si>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</si>
  <si>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</si>
  <si>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</si>
  <si>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</si>
  <si>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</si>
  <si>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</si>
  <si>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</si>
  <si>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</si>
  <si>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</si>
  <si>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</si>
  <si>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IDCMB</t>
  </si>
  <si>
    <t>Universo comum PM</t>
  </si>
  <si>
    <t>BA Principal</t>
  </si>
  <si>
    <t>BA Secundárias</t>
  </si>
  <si>
    <t>Universo cancelados</t>
  </si>
  <si>
    <t>Regras de preenchimento</t>
  </si>
  <si>
    <t>Validação do preenchimento</t>
  </si>
  <si>
    <t>= PM</t>
  </si>
  <si>
    <t>= PM para última data em que o contrato se encontrou ativo</t>
  </si>
  <si>
    <t>1. Validação do preenchimento dos camuns comuns com o âmbito PM</t>
  </si>
  <si>
    <t xml:space="preserve">ÚNICO CAMPO QUE FALTA SIMULAR </t>
  </si>
  <si>
    <t>ok</t>
  </si>
  <si>
    <t>nok</t>
  </si>
  <si>
    <t>ver</t>
  </si>
  <si>
    <t/>
  </si>
  <si>
    <t>Query</t>
  </si>
  <si>
    <t>val_cod_soc_intrgrp</t>
  </si>
  <si>
    <t>val_accntng_clssfctn</t>
  </si>
  <si>
    <t>val_typ_instrmnt</t>
  </si>
  <si>
    <t>val_dflt_stts_instrmnt</t>
  </si>
  <si>
    <t>val_subportfolio_id</t>
  </si>
  <si>
    <t>val_typ_off_blnc_prdct</t>
  </si>
  <si>
    <t>Parte 2</t>
  </si>
  <si>
    <t>val_off_blnc_sht_amnt_instrmnt</t>
  </si>
  <si>
    <t>val_accmltd_chngs_fv_cr_instrmnt</t>
  </si>
  <si>
    <t>val_grss_crryng_amnt_instrmnt</t>
  </si>
  <si>
    <t>val_prfrmng_stts</t>
  </si>
  <si>
    <t>N</t>
  </si>
  <si>
    <t>M</t>
  </si>
  <si>
    <t>C</t>
  </si>
  <si>
    <t>val_imprmnt_stts</t>
  </si>
  <si>
    <t>cnclld_instrmnt_stts</t>
  </si>
  <si>
    <t>Ok</t>
  </si>
  <si>
    <t>val_ead</t>
  </si>
  <si>
    <t>2. EAD</t>
  </si>
  <si>
    <t>val_accmltd_imprmnt_instrmnt</t>
  </si>
  <si>
    <t>count(*)</t>
  </si>
  <si>
    <t>val_prvsns_off_blnc_sht</t>
  </si>
  <si>
    <t>exclusivo IT</t>
  </si>
  <si>
    <t>exclusivo CDG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</si>
  <si>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group by 1,2,3,4,5,6,7,8,9,10,11
order by 12 desc</t>
  </si>
  <si>
    <t>val_rwa</t>
  </si>
  <si>
    <t>val_ccf</t>
  </si>
  <si>
    <t>val_instrmnt</t>
  </si>
  <si>
    <t>1. Tabela Overview</t>
  </si>
  <si>
    <t>Campos cujo valor para cancelados é 11111111111 ou 0</t>
  </si>
  <si>
    <t>Parte 1</t>
  </si>
  <si>
    <t>Ponto 5.1.1.12 da especifiação</t>
  </si>
  <si>
    <t>1. CCF</t>
  </si>
  <si>
    <t>3. Imprmnt_stts</t>
  </si>
  <si>
    <t>5.  Grss_crryng_amnt_instrmnt</t>
  </si>
  <si>
    <t>4. Prfrmng_stts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</si>
  <si>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val_grss_crryng_amnt_instrmnt,
    cnclld_instrmnt_stts,
    count(*)
    -- instrmnt_id_cdg,
    -- grss_crryng_amnt_instrmnt_cdg,
    -- grss_crryng_amnt_instrmnt_it
from dg
where val_grss_crryng_amnt_instrmnt &lt;&gt; 'ver'
and cnclld_instrmnt_stts =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</si>
  <si>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val_grss_crryng_amnt_instrmnt,
    cnclld_instrmnt_stts,
    count(*)
    -- instrmnt_id_cdg,
    -- grss_crryng_amnt_instrmnt_cdg,
    -- grss_crryng_amnt_instrmnt_it
from dg
where val_grss_crryng_amnt_instrmnt &lt;&gt; 'ver'
and cnclld_instrmnt_stts &lt;&gt; 'N'
and instrmnt_id_cdg not like 'SNCO%'
group by 1,2
order by 3 desc, 2
;</t>
  </si>
  <si>
    <t>6. accmltd_chngs_fv_cr_instrmnt</t>
  </si>
  <si>
    <t>BA Secundário</t>
  </si>
  <si>
    <t>Universo Cancelados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</si>
  <si>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val_grss_crryng_amnt_instrmnt,
    cnclld_instrmnt_stts,
    count(*)
    -- instrmnt_id_cdg,
    -- grss_crryng_amnt_instrmnt_cdg,
    -- grss_crryng_amnt_instrmnt_it
from dg
where val_grss_crryng_amnt_instrmnt &lt;&gt; 'ver'
--and cnclld_instrmnt_stts &lt;&gt; 'N'
and instrmnt_id_cdg like 'SNCO%'
group by 1,2
order by 3 desc, 2
;</t>
  </si>
  <si>
    <t>7. off_blnc_sht_amnt_instrmnt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</si>
  <si>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val_Off_blnc_sht_amnt_instrmnt,
    cnclld_instrmnt_stts,
    count(*)
from dg
where val_Off_blnc_sht_amnt_instrmnt &lt;&gt; 'ver'
and cnclld_instrmnt_stts =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</si>
  <si>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val_Off_blnc_sht_amnt_instrmnt,
    cnclld_instrmnt_stts,
    count(*)
from dg
where val_Off_blnc_sht_amnt_instrmnt &lt;&gt; 'ver'
-- and cnclld_instrmnt_stts = 'N'
and instrmnt_id_cdg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</si>
  <si>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val_Off_blnc_sht_amnt_instrmnt,
    cnclld_instrmnt_stts,
    count(*)
from dg
where val_Off_blnc_sht_amnt_instrmnt &lt;&gt; 'ver'
and cnclld_instrmnt_stts &lt;&gt; 'N'
and instrmnt_id_cdg not like 'SNCO%'
group by 1,2
order by 3 desc, 2
;</t>
  </si>
  <si>
    <t>8. prvsns_off_blnc_sht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</si>
  <si>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val_prvsns_off_blnc_sht,
    cnclld_instrmnt_stts,
    count(*)
from dg
where val_prvsns_off_blnc_sht &lt;&gt; 'ver'
and cnclld_instrmnt_stts =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</si>
  <si>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val_prvsns_off_blnc_sht,
    cnclld_instrmnt_stts,
    count(*)
from dg
where val_prvsns_off_blnc_sht &lt;&gt; 'ver'
-- and cnclld_instrmnt_stts = 'N'
and instrmnt_id_cdg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</si>
  <si>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val_prvsns_off_blnc_sht,
    cnclld_instrmnt_stts,
    count(*)
from dg
where val_prvsns_off_blnc_sht &lt;&gt; 'ver'
and cnclld_instrmnt_stts &lt;&gt; 'N'
and instrmnt_id_cdg not like 'SNCO%'
group by 1,2
order by 3 desc, 2
;</t>
  </si>
  <si>
    <t>9. RWA</t>
  </si>
  <si>
    <t>10. accmltd_imprmnt_instrmnt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</si>
  <si>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val_accmltd_imprmnt_instrmnt,
    cnclld_instrmnt_stts,
    count(*)
from dg
where val_accmltd_imprmnt_instrmnt &lt;&gt; 'ver'
and cnclld_instrmnt_stts =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</si>
  <si>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val_accmltd_imprmnt_instrmnt,
    cnclld_instrmnt_stts,
    count(*)
from dg
where val_accmltd_imprmnt_instrmnt &lt;&gt; 'ver'
-- and cnclld_instrmnt_stts = 'N'
and instrmnt_id_cdg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</si>
  <si>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ccf_cdg=ccf_it then 'ok' 
        when ccf_cdg&lt;&gt;ccf_it then 'nok' 
        else 'ver' 
    end as val_ccf,
    case
        when ead_cdg=ead_it then 'ok'
        when ead_cdg&lt;&gt;ead_it then 'nok' 
        else 'ver' 
    end as val_ead,
    case 
        when imprmnt_stts_cdg=imprmnt_stts_it then 'ok' 
        when imprmnt_stts_cdg&lt;&gt;imprmnt_stts_it then 'nok' 
        else 'ver'
    end as val_imprmnt_stts,
    case 
        when prfrmng_stts_cdg=prfrmng_stts_it then 'ok' 
        when prfrmng_stts_cdg&lt;&gt;prfrmng_stts_it then 'nok' 
        else 'ver' 
    end as val_prfrmng_stts,
    case 
        when grss_crryng_amnt_instrmnt_cdg=grss_crryng_amnt_instrmnt_it then 'ok' 
        when grss_crryng_amnt_instrmnt_cdg&lt;&gt;grss_crryng_amnt_instrmnt_it then 'nok' 
        else 'ver' 
    end as val_grss_crryng_amnt_instrmnt,
    case 
        when accmltd_chngs_fv_cr_instrmnt_cdg=accmltd_chngs_fv_cr_instrmnt_it then 'ok' 
        when accmltd_chngs_fv_cr_instrmnt_cdg&lt;&gt;accmltd_chngs_fv_cr_instrmnt_it then 'nok' 
        else 'ver' 
    end as val_accmltd_chngs_fv_cr_instrmnt,
    case
        when off_blnc_sht_amnt_instrmnt_cdg=off_blnc_sht_amnt_instrmnt_it then 'ok' 
        when off_blnc_sht_amnt_instrmnt_cdg&lt;&gt;off_blnc_sht_amnt_instrmnt_it then 'nok' 
        else 'ver'
    end as val_off_blnc_sht_amnt_instrmnt,
    case 
        when prvsns_off_blnc_sht_cdg=prvsns_off_blnc_sht_it then 'ok' 
        when prvsns_off_blnc_sht_cdg&lt;&gt;prvsns_off_blnc_sht_it then 'nok' 
        else 'ver' 
    end as val_prvsns_off_blnc_sht,
    case 
        when rwa_cdg=rwa_it then 'ok' 
        when rwa_cdg&lt;&gt;rwa_it then 'nok' 
        else 'ver' 
    end as val_rwa,
    case 
        when accmltd_imprmnt_instrmnt_cdg=accmltd_imprmnt_instrmnt_it then 'ok' 
        when accmltd_imprmnt_instrmnt_cdg&lt;&gt;accmltd_imprmnt_instrmnt_it then 'nok' 
        else 'ver'
    end as val_accmltd_imprmnt_instrmnt,
    *
    -- count(*)
from
    (
    select distinct
        instrmnt_id as instrmnt_id_cdg,
        CCF as CCF_cdg,
        EAD as EAD_cdg,
        IMPRMNT_STTS as IMPRMNT_STTS_cdg,
        PRFRMNG_STTS as PRFRMNG_STTS_cdg,
        GRSS_CRRYNG_AMNT_INSTRMNT as GRSS_CRRYNG_AMNT_INSTRMNT_cdg,
        ACCMLTD_CHNGS_FV_CR_INSTRMNT as ACCMLTD_CHNGS_FV_CR_INSTRMNT_cdg,
        OFF_BLNC_SHT_AMNT_INSTRMNT as OFF_BLNC_SHT_AMNT_INSTRMNT_cdg,
        PRVSNS_OFF_BLNC_SHT as PRVSNS_OFF_BLNC_SHT_cdg,
        RWA as RWA_cdg,
        ACCMLTD_IMPRMNT_INSTRMNT as ACCMLTD_IMPRMNT_INSTRMNT_cdg,
        cnclld_instrmnt_stts
    from BU_CAPTOOLS_WORK.UNIV_LT_GD_PARTE3_AUX10
    ) a
full join
    (
    select distinct
        instrmnt_id as instrmnt_id_it,
        CCF as CCF_it,
        EAD as EAD_it,
        IMPRMNT_STTS as IMPRMNT_STTS_it,
        PRFRMNG_STTS as PRFRMNG_STTS_it,
        GRSS_CRRYNG_AMNT_INSTRMNT as GRSS_CRRYNG_AMNT_INSTRMNT_it,
        ACCMLTD_CHNGS_FV_CR_INSTRMNT as ACCMLTD_CHNGS_FV_CR_INSTRMNT_it,
        OFF_BLNC_SHT_AMNT_INSTRMNT as OFF_BLNC_SHT_AMNT_INSTRMNT_it,
        PRVSNS_OFF_BLNC_SHT as PRVSNS_OFF_BLNC_SHT_it,
        RWA as RWA_it,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1,2,3,4,5,6,7,8,9,10,11
-- order by 12 desc
)
select 
    val_accmltd_imprmnt_instrmnt,
    cnclld_instrmnt_stts,
    count(*)
from dg
where val_accmltd_imprmnt_instrmnt &lt;&gt; 'ver'
and cnclld_instrmnt_stts &lt;&gt; 'N'
and instrmnt_id_cdg not like 'SNCO%'
group by 1,2
order by 3 desc, 2
;</t>
  </si>
  <si>
    <t>Campos cujo valor para cancelados é o ultimo valor ativo</t>
  </si>
  <si>
    <t>1. typ_off_blnc_prdct</t>
  </si>
  <si>
    <t>2.  subportfolio_id</t>
  </si>
  <si>
    <t>3. dflt_stts_instrmnt</t>
  </si>
  <si>
    <t>4. typ_instrmnt</t>
  </si>
  <si>
    <t>5. accntng_clssfctn</t>
  </si>
  <si>
    <t>6. cod_soc_intrgrp</t>
  </si>
  <si>
    <t>NULL do lado de cdg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</si>
  <si>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val_typ_off_blnc_prdct,
    cnclld_instrmnt_stts,
    count(*)
from dg
where val_typ_off_blnc_prdct not in ('exclusivo IT','exclusivo CDG','NULL do lado de cdg')
and cnclld_instrmnt_stts = 'N'
and instrmnt_id_cdg not like 'SNCO%'
group by 1,2
order by 3 desc, 2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</si>
  <si>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val_typ_off_blnc_prdct,
    cnclld_instrmnt_stts,
    count(*)
from dg
where val_typ_off_blnc_prdct not in ('exclusivo IT','exclusivo CDG','NULL do lado de cdg')
-- and cnclld_instrmnt_stts = 'N'
and instrmnt_id_cdg like 'SNCO%'
group by 1,2
order by 3 desc, 2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</si>
  <si>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val_typ_off_blnc_prdct,
    cnclld_instrmnt_stts,
    count(*)
from dg
where val_typ_off_blnc_prdct not in ('exclusivo IT','exclusivo CDG','NULL do lado de cdg')
and cnclld_instrmnt_stts &lt;&gt; 'N'
and instrmnt_id_cdg not like 'SNCO%'
group by 1,2
order by 3 desc, 2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</si>
  <si>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val_subportfolio_id,
    cnclld_instrmnt_stts,
    count(*)
from dg
where val_typ_off_blnc_prdct not in ('exclusivo IT','exclusivo CDG','NULL do lado de cdg')
and cnclld_instrmnt_stts =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</si>
  <si>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val_subportfolio_id,
    cnclld_instrmnt_stts,
    count(*)
from dg
where val_typ_off_blnc_prdct not in ('exclusivo IT','exclusivo CDG','NULL do lado de cdg')
-- and cnclld_instrmnt_stts = 'N'
and instrmnt_id_cdg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</si>
  <si>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val_dflt_stts_instrmnt,
    cnclld_instrmnt_stts,
    count(*)
from dg
where val_typ_off_blnc_prdct not in ('exclusivo IT','exclusivo CDG','NULL do lado de cdg')
and cnclld_instrmnt_stts =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</si>
  <si>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val_dflt_stts_instrmnt,
    cnclld_instrmnt_stts,
    count(*)
from dg
where val_typ_off_blnc_prdct not in ('exclusivo IT','exclusivo CDG','NULL do lado de cdg')
-- and cnclld_instrmnt_stts = 'N'
and instrmnt_id_cdg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</si>
  <si>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val_dflt_stts_instrmnt,
    cnclld_instrmnt_stts,
    count(*)
from dg
where val_typ_off_blnc_prdct not in ('exclusivo IT','exclusivo CDG','NULL do lado de cdg')
and cnclld_instrmnt_stts &lt;&gt;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</si>
  <si>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val_typ_instrmnt,
    cnclld_instrmnt_stts,
    count(*)
from dg
where val_typ_off_blnc_prdct not in ('exclusivo IT','exclusivo CDG','NULL do lado de cdg')
and cnclld_instrmnt_stts =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</si>
  <si>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val_typ_instrmnt,
    cnclld_instrmnt_stts,
    count(*)
from dg
where val_typ_off_blnc_prdct not in ('exclusivo IT','exclusivo CDG','NULL do lado de cdg')
-- and cnclld_instrmnt_stts = 'N'
and instrmnt_id_cdg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</si>
  <si>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val_accntng_clssfctn,
    cnclld_instrmnt_stts,
    count(*)
from dg
where val_typ_off_blnc_prdct not in ('exclusivo IT','exclusivo CDG','NULL do lado de cdg')
and cnclld_instrmnt_stts =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</si>
  <si>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val_accntng_clssfctn,
    cnclld_instrmnt_stts,
    count(*)
from dg
where val_typ_off_blnc_prdct not in ('exclusivo IT','exclusivo CDG','NULL do lado de cdg')
-- and cnclld_instrmnt_stts &lt;&gt; 'N'
and instrmnt_id_cdg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</si>
  <si>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val_accntng_clssfctn,
    cnclld_instrmnt_stts,
    count(*)
from dg
where val_typ_off_blnc_prdct not in ('exclusivo IT','exclusivo CDG','NULL do lado de cdg')
and cnclld_instrmnt_stts &lt;&gt;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</si>
  <si>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val_cod_soc_intrgrp,
    cnclld_instrmnt_stts,
    count(*)
from dg
where val_typ_off_blnc_prdct not in ('exclusivo IT','exclusivo CDG','NULL do lado de cdg')
and cnclld_instrmnt_stts = 'N'
and instrmnt_id_cdg not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</si>
  <si>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val_cod_soc_intrgrp,
    cnclld_instrmnt_stts,
    count(*)
from dg
where val_typ_off_blnc_prdct not in ('exclusivo IT','exclusivo CDG','NULL do lado de cdg')
-- and cnclld_instrmnt_stts = 'N'
and instrmnt_id_cdg like 'SNCO%'
group by 1,2
order by 3 desc, 2
;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</si>
  <si>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TYP_OFF_BLNC_PRDCT_cdg=TYP_OFF_BLNC_PRDCT_it then 'ok' 
        when TYP_OFF_BLNC_PRDCT_cdg&lt;&gt;TYP_OFF_BLNC_PRDCT_it then 'nok' 
        else 'ver' 
    end as val_TYP_OFF_BLNC_PRDCT,
    case
        when SUBPORTFOLIO_ID_cdg=SUBPORTFOLIO_ID_it then 'ok'
        when SUBPORTFOLIO_ID_cdg&lt;&gt;SUBPORTFOLIO_ID_it then 'nok' 
        else 'ver' 
    end as val_SUBPORTFOLIO_ID,
    case 
        when DFLT_STTS_INSTRMNT_cdg=DFLT_STTS_INSTRMNT_it then 'ok' 
        when DFLT_STTS_INSTRMNT_cdg&lt;&gt;DFLT_STTS_INSTRMNT_it then 'nok' 
        else 'ver'
    end as val_DFLT_STTS_INSTRMNT,
    case 
        when TYP_INSTRMNT_cdg=TYP_INSTRMNT_it then 'ok' 
        when TYP_INSTRMNT_cdg&lt;&gt;TYP_INSTRMNT_it then 'nok' 
        else 'ver'
    end as val_TYP_INSTRMNT,
    case 
        when ACCNTNG_CLSSFCTN_cdg=ACCNTNG_CLSSFCTN_it then 'ok' 
        when ACCNTNG_CLSSFCTN_cdg&lt;&gt;ACCNTNG_CLSSFCTN_it then 'nok' 
        else 'ver'
    end as val_ACCNTNG_CLSSFCTN,
    case 
        when COD_SOC_INTRGRP_cdg=COD_SOC_INTRGRP_it then 'ok' 
        when COD_SOC_INTRGRP_cdg&lt;&gt;COD_SOC_INTRGRP_it then 'nok' 
        else 'ver'
    end as val_COD_SOC_INTRGRP,
    *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    ,cnclld_instrmnt_stts
    from bu_loantape_work.lt002_instrument
    where ref_date = '2025-03-31'
    and ambito = 'GD'
    and segmento = 'ESTR'
    and nome_perimetro = 'Individual Corporativo'
    and cod_visao = 1
    ) b
        on a.instrmnt_id_cdg = b.instrmnt_id_it
-- group by 1,2,3,4,5,6,7
-- order by 8 desc
)
select 
    val_cod_soc_intrgrp,
    cnclld_instrmnt_stts,
    count(*)
from dg
where val_typ_off_blnc_prdct not in ('exclusivo IT','exclusivo CDG','NULL do lado de cdg')
and cnclld_instrmnt_stts &lt;&gt; 'N'
and instrmnt_id_cdg not like 'SNCO%'
group by 1,2
order by 3 desc, 2
;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</si>
  <si>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TYP_OFF_BLNC_PRDCT_cdg=TYP_OFF_BLNC_PRDCT_it then 'ok' 
        when TYP_OFF_BLNC_PRDCT_cdg&lt;&gt;TYP_OFF_BLNC_PRDCT_it then 'nok' 
        when TYP_OFF_BLNC_PRDCT_cdg is null and TYP_OFF_BLNC_PRDCT_it is not null then 'NULL do lado de cdg'
        else 'ver' 
    end as val_TYP_OFF_BLNC_PRDCT,
    case
        when instrmnt_id_cdg is null and instrmnt_id_it is not null then 'exclusivo IT'
        when instrmnt_id_cdg is not null and instrmnt_id_it is null then 'exclusivo CDG'
        when SUBPORTFOLIO_ID_cdg=SUBPORTFOLIO_ID_it then 'ok'
        when SUBPORTFOLIO_ID_cdg&lt;&gt;SUBPORTFOLIO_ID_it then 'nok' 
        when SUBPORTFOLIO_ID_cdg is null and SUBPORTFOLIO_ID_it is not null then 'NULL do lado de cdg'
        else 'ver' 
    end as val_SUBPORTFOLIO_ID,
    case 
        when instrmnt_id_cdg is null and instrmnt_id_it is not null then 'exclusivo IT'
        when instrmnt_id_cdg is not null and instrmnt_id_it is null then 'exclusivo CDG'
        when DFLT_STTS_INSTRMNT_cdg=DFLT_STTS_INSTRMNT_it then 'ok' 
        when DFLT_STTS_INSTRMNT_cdg&lt;&gt;DFLT_STTS_INSTRMNT_it then 'nok' 
        when DFLT_STTS_INSTRMNT_cdg is null and DFLT_STTS_INSTRMNT_it is not null then 'NULL do lado de cdg'
        else 'ver'
    end as val_DFLT_STTS_INSTRMNT,
    case 
        when instrmnt_id_cdg is null and instrmnt_id_it is not null then 'exclusivo IT'
        when instrmnt_id_cdg is not null and instrmnt_id_it is null then 'exclusivo CDG'
        when TYP_INSTRMNT_cdg=TYP_INSTRMNT_it then 'ok' 
        when TYP_INSTRMNT_cdg&lt;&gt;TYP_INSTRMNT_it then 'nok'
        when TYP_INSTRMNT_cdg is null and TYP_INSTRMNT_it is not null then 'NULL do lado de cdg'
        else 'ver'
    end as val_TYP_INSTRMNT,
    case 
        when instrmnt_id_cdg is null and instrmnt_id_it is not null then 'exclusivo IT'
        when instrmnt_id_cdg is not null and instrmnt_id_it is null then 'exclusivo CDG'
        when ACCNTNG_CLSSFCTN_cdg=ACCNTNG_CLSSFCTN_it then 'ok' 
        when ACCNTNG_CLSSFCTN_cdg&lt;&gt;ACCNTNG_CLSSFCTN_it then 'nok'
        when ACCNTNG_CLSSFCTN_cdg is null and ACCNTNG_CLSSFCTN_it is not null then 'NULL do lado de cdg'
        else 'ver'
    end as val_ACCNTNG_CLSSFCTN,
    case 
        when instrmnt_id_cdg is null and instrmnt_id_it is not null then 'exclusivo IT'
        when instrmnt_id_cdg is not null and instrmnt_id_it is null then 'exclusivo CDG'
        when COD_SOC_INTRGRP_cdg=COD_SOC_INTRGRP_it then 'ok' 
        when COD_SOC_INTRGRP_cdg&lt;&gt;COD_SOC_INTRGRP_it then 'nok' 
        when COD_SOC_INTRGRP_cdg is null and COD_SOC_INTRGRP_it is not null then 'NULL do lado de cdg'
        else 'ver'
    end as val_COD_SOC_INTRGRP,
    count(*)
from
    (
    select distinct
        instrmnt_id as instrmnt_id_cdg,
        TYP_OFF_BLNC_PRDCT as TYP_OFF_BLNC_PRDCT_cdg,
        SUBPORTFOLIO_ID as SUBPORTFOLIO_ID_cdg,
        DFLT_STTS_INSTRMNT as DFLT_STTS_INSTRMNT_cdg,
        TYP_INSTRMNT as TYP_INSTRMNT_cdg,
        ACCNTNG_CLSSFCTN as ACCNTNG_CLSSFCTN_cdg,
        COD_SOC_INTRGRP as COD_SOC_INTRGRP_cdg
        -- IDCMB as IDCMB_cdg
    from BU_CAPTOOLS_WORK.UNIV_LT_GD_PARTE3_AUX10
    ) a
full join
    (
    select distinct
        instrmnt_id as instrmnt_id_it,
        TYP_OFF_BLNC_PRDCT as TYP_OFF_BLNC_PRDCT_it,
        SUBPORTFOLIO_ID as SUBPORTFOLIO_ID_it,
        DFLT_STTS_INSTRMNT as DFLT_STTS_INSTRMNT_it,
        TYP_INSTRMNT as TYP_INSTRMNT_it,
        ACCNTNG_CLSSFCTN as ACCNTNG_CLSSFCTN_it,
        COD_SOC_INTRGRP as COD_SOC_INTRGRP_it
        -- IDCMB as IDCMB_it
    from bu_loantape_work.lt002_instrument
    where ref_date = '2025-03-31'
    and ambito = 'GD'
    and segmento = 'ESTR'
    and nome_perimetro = 'Individual Corporativo'
    and cod_visao = 1
    ) b
        on a.instrmnt_id_cdg = b.instrmnt_id_it
group by 1,2,3,4,5,6,7
order by 8 desc</t>
  </si>
  <si>
    <t>Validação - um contrato com mais do que um cod_soc</t>
  </si>
  <si>
    <t>select *
from
    (
    select 
        count(*) over (partition by instrmnt_id) as count_instrmnt_id,
        count(*) over (partition by COD_SOC_INTRGRP, instrmnt_id) as count_COD_SOC_INTRGRP,
        instrmnt_id,
        COD_SOC_INTRGRP,
        cnclld_instrmnt_stts
    from bu_loantape_work.lt002_instrument
    where ref_date = '2025-03-31'
    and ambito = 'GD'
    and segmento = 'ESTR'
    and nome_perimetro = 'Individual Corporativo'
    and cod_visao = 1
    ) a
where count_COD_SOC_INTRGRP &lt;&gt; count_instrmnt_id
;</t>
  </si>
  <si>
    <t>Observações</t>
  </si>
  <si>
    <t>IT não está a considerar o valor de default, está a preencher com 1005.</t>
  </si>
  <si>
    <t>Preenchido com o valor 2020 referente a "Other".</t>
  </si>
  <si>
    <t>Os casos que temos de ver são contratos que na FR001 encontramos uma last_ref_date mas depois a LT002 não se encontra executada para essa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</si>
</sst>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2" borderId="0" xfId="0" applyFont="1" applyFill="1"/>
    <xf numFmtId="0" fontId="2" fillId="0" borderId="6" xfId="0" applyFont="1" applyBorder="1"/>
    <xf numFmtId="0" fontId="0" fillId="0" borderId="6" xfId="0" applyBorder="1"/>
    <xf numFmtId="0" fontId="0" fillId="0" borderId="3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4" fillId="7" borderId="0" xfId="0" applyFont="1" applyFill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3" fontId="0" fillId="0" borderId="8" xfId="0" applyNumberFormat="1" applyBorder="1"/>
    <xf numFmtId="49" fontId="0" fillId="0" borderId="8" xfId="0" applyNumberFormat="1" applyBorder="1"/>
    <xf numFmtId="0" fontId="0" fillId="0" borderId="0" xfId="0" quotePrefix="1"/>
    <xf numFmtId="49" fontId="1" fillId="2" borderId="9" xfId="0" applyNumberFormat="1" applyFont="1" applyFill="1" applyBorder="1" applyAlignment="1">
      <alignment horizontal="center"/>
    </xf>
    <xf numFmtId="0" fontId="0" fillId="0" borderId="8" xfId="0" applyBorder="1"/>
    <xf numFmtId="0" fontId="2" fillId="0" borderId="0" xfId="0" applyFont="1"/>
    <xf numFmtId="49" fontId="2" fillId="0" borderId="6" xfId="0" applyNumberFormat="1" applyFont="1" applyBorder="1"/>
    <xf numFmtId="49" fontId="1" fillId="2" borderId="9" xfId="0" applyNumberFormat="1" applyFont="1" applyFill="1" applyBorder="1" applyAlignment="1">
      <alignment horizontal="left"/>
    </xf>
    <xf numFmtId="3" fontId="0" fillId="0" borderId="0" xfId="0" applyNumberFormat="1"/>
    <xf numFmtId="49" fontId="0" fillId="0" borderId="11" xfId="0" applyNumberFormat="1" applyBorder="1"/>
    <xf numFmtId="49" fontId="1" fillId="2" borderId="10" xfId="0" applyNumberFormat="1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/>
    </xf>
    <xf numFmtId="0" fontId="2" fillId="8" borderId="0" xfId="0" applyFont="1" applyFill="1"/>
    <xf numFmtId="0" fontId="0" fillId="9" borderId="8" xfId="0" applyFill="1" applyBorder="1" applyAlignment="1">
      <alignment horizontal="left"/>
    </xf>
    <xf numFmtId="3" fontId="0" fillId="0" borderId="6" xfId="0" applyNumberFormat="1" applyBorder="1"/>
    <xf numFmtId="0" fontId="0" fillId="0" borderId="13" xfId="0" applyBorder="1"/>
    <xf numFmtId="3" fontId="0" fillId="0" borderId="13" xfId="0" applyNumberFormat="1" applyBorder="1"/>
    <xf numFmtId="3" fontId="0" fillId="9" borderId="8" xfId="0" applyNumberFormat="1" applyFill="1" applyBorder="1"/>
    <xf numFmtId="0" fontId="0" fillId="9" borderId="10" xfId="0" applyFill="1" applyBorder="1"/>
    <xf numFmtId="0" fontId="0" fillId="9" borderId="8" xfId="0" applyFill="1" applyBorder="1"/>
    <xf numFmtId="0" fontId="4" fillId="7" borderId="5" xfId="0" applyFont="1" applyFill="1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10" borderId="3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76200</xdr:rowOff>
    </xdr:from>
    <xdr:to>
      <xdr:col>2</xdr:col>
      <xdr:colOff>627356</xdr:colOff>
      <xdr:row>2</xdr:row>
      <xdr:rowOff>41751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2DDDC8CB-5EFF-4293-AAE7-EF09BDEC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250" y="76200"/>
          <a:ext cx="1779881" cy="32750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5841E787-3237-47A3-B874-A180E7C37D4F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5-06-23T16:07:06.05" personId="{5841E787-3237-47A3-B874-A180E7C37D4F}" id="{F40227BF-4542-4DA9-8FD0-5287B11DD8A6}">
    <text>Ou seja, instrmnt_id like 'SNCO%'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showGridLines="0" tabSelected="1" topLeftCell="A4" workbookViewId="0">
      <selection activeCell="J18" sqref="J18"/>
    </sheetView>
  </sheetViews>
  <sheetFormatPr defaultColWidth="0" defaultRowHeight="15" x14ac:dyDescent="0.25"/>
  <cols>
    <col min="1" max="1" width="3.7109375" customWidth="1"/>
    <col min="2" max="2" width="14.42578125" bestFit="1" customWidth="1"/>
    <col min="3" max="3" width="34.42578125" bestFit="1" customWidth="1"/>
    <col min="4" max="5" width="18.7109375" customWidth="1"/>
    <col min="6" max="6" width="30.42578125" customWidth="1"/>
    <col min="7" max="7" width="2.7109375" customWidth="1"/>
    <col min="8" max="9" width="18.7109375" customWidth="1"/>
    <col min="10" max="10" width="18.7109375" bestFit="1" customWidth="1"/>
    <col min="11" max="13" width="32.42578125" customWidth="1"/>
    <col min="14" max="14" width="3.7109375" customWidth="1"/>
    <col min="15" max="30" width="0" hidden="1" customWidth="1"/>
    <col min="31" max="16384" width="8.85546875" hidden="1"/>
  </cols>
  <sheetData>
    <row r="1" spans="1:14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3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6" spans="1:14" x14ac:dyDescent="0.25">
      <c r="B6" s="10" t="s">
        <v>28</v>
      </c>
      <c r="C6" s="11"/>
      <c r="D6" s="11"/>
      <c r="E6" s="11"/>
      <c r="F6" s="11"/>
      <c r="G6" s="11"/>
      <c r="H6" s="11"/>
      <c r="I6" s="11"/>
      <c r="J6" s="11"/>
    </row>
    <row r="8" spans="1:14" x14ac:dyDescent="0.25">
      <c r="D8" s="42" t="s">
        <v>24</v>
      </c>
      <c r="E8" s="42"/>
      <c r="F8" s="42"/>
      <c r="H8" s="42" t="s">
        <v>25</v>
      </c>
      <c r="I8" s="42"/>
      <c r="J8" s="42"/>
      <c r="K8" s="42" t="s">
        <v>117</v>
      </c>
      <c r="L8" s="42"/>
      <c r="M8" s="42"/>
    </row>
    <row r="9" spans="1:14" x14ac:dyDescent="0.25">
      <c r="D9" s="41" t="s">
        <v>20</v>
      </c>
      <c r="E9" s="41"/>
      <c r="F9" s="41" t="s">
        <v>23</v>
      </c>
      <c r="H9" s="41" t="s">
        <v>20</v>
      </c>
      <c r="I9" s="41"/>
      <c r="J9" s="41" t="s">
        <v>23</v>
      </c>
      <c r="K9" s="41" t="s">
        <v>20</v>
      </c>
      <c r="L9" s="41"/>
      <c r="M9" s="41" t="s">
        <v>23</v>
      </c>
    </row>
    <row r="10" spans="1:14" x14ac:dyDescent="0.25">
      <c r="B10" s="1" t="s">
        <v>0</v>
      </c>
      <c r="C10" s="3" t="s">
        <v>1</v>
      </c>
      <c r="D10" s="6" t="s">
        <v>21</v>
      </c>
      <c r="E10" s="6" t="s">
        <v>22</v>
      </c>
      <c r="F10" s="41"/>
      <c r="H10" s="6" t="s">
        <v>21</v>
      </c>
      <c r="I10" s="6" t="s">
        <v>22</v>
      </c>
      <c r="J10" s="41"/>
      <c r="K10" s="6" t="s">
        <v>21</v>
      </c>
      <c r="L10" s="6" t="s">
        <v>22</v>
      </c>
      <c r="M10" s="41"/>
    </row>
    <row r="11" spans="1:14" ht="15" customHeight="1" x14ac:dyDescent="0.25">
      <c r="B11" s="2" t="s">
        <v>2</v>
      </c>
      <c r="C11" s="38" t="s">
        <v>3</v>
      </c>
      <c r="D11" s="12" t="s">
        <v>26</v>
      </c>
      <c r="E11" s="5">
        <v>11111111111</v>
      </c>
      <c r="F11" s="5">
        <v>11111111111</v>
      </c>
      <c r="G11" s="7"/>
      <c r="H11" s="5" t="s">
        <v>30</v>
      </c>
      <c r="I11" s="5" t="s">
        <v>30</v>
      </c>
      <c r="J11" s="5" t="s">
        <v>30</v>
      </c>
      <c r="K11" s="39"/>
      <c r="L11" s="39"/>
      <c r="M11" s="39"/>
    </row>
    <row r="12" spans="1:14" ht="15" customHeight="1" x14ac:dyDescent="0.25">
      <c r="B12" s="2" t="s">
        <v>2</v>
      </c>
      <c r="C12" s="38" t="s">
        <v>4</v>
      </c>
      <c r="D12" s="12" t="s">
        <v>26</v>
      </c>
      <c r="E12" s="5">
        <v>11111111111</v>
      </c>
      <c r="F12" s="5">
        <v>11111111111</v>
      </c>
      <c r="G12" s="7"/>
      <c r="H12" s="5" t="s">
        <v>30</v>
      </c>
      <c r="I12" s="5" t="s">
        <v>30</v>
      </c>
      <c r="J12" s="5" t="s">
        <v>30</v>
      </c>
      <c r="K12" s="39"/>
      <c r="L12" s="39"/>
      <c r="M12" s="39"/>
    </row>
    <row r="13" spans="1:14" ht="30" x14ac:dyDescent="0.25">
      <c r="B13" s="2" t="s">
        <v>2</v>
      </c>
      <c r="C13" s="4" t="s">
        <v>5</v>
      </c>
      <c r="D13" s="12" t="s">
        <v>26</v>
      </c>
      <c r="E13" s="12" t="s">
        <v>26</v>
      </c>
      <c r="F13" s="13" t="s">
        <v>27</v>
      </c>
      <c r="G13" s="7"/>
      <c r="H13" s="5" t="s">
        <v>30</v>
      </c>
      <c r="I13" s="5" t="s">
        <v>30</v>
      </c>
      <c r="J13" s="5" t="s">
        <v>31</v>
      </c>
      <c r="K13" s="39"/>
      <c r="L13" s="39"/>
      <c r="M13" s="39"/>
    </row>
    <row r="14" spans="1:14" ht="30" x14ac:dyDescent="0.25">
      <c r="B14" s="2" t="s">
        <v>2</v>
      </c>
      <c r="C14" s="4" t="s">
        <v>6</v>
      </c>
      <c r="D14" s="12" t="s">
        <v>26</v>
      </c>
      <c r="E14" s="12" t="s">
        <v>26</v>
      </c>
      <c r="F14" s="13" t="s">
        <v>27</v>
      </c>
      <c r="G14" s="7"/>
      <c r="H14" s="5" t="s">
        <v>31</v>
      </c>
      <c r="I14" s="5" t="s">
        <v>31</v>
      </c>
      <c r="J14" s="5" t="s">
        <v>31</v>
      </c>
      <c r="K14" s="39"/>
      <c r="L14" s="39"/>
      <c r="M14" s="39"/>
    </row>
    <row r="15" spans="1:14" ht="30" x14ac:dyDescent="0.25">
      <c r="B15" s="2" t="s">
        <v>2</v>
      </c>
      <c r="C15" s="4" t="s">
        <v>7</v>
      </c>
      <c r="D15" s="12" t="s">
        <v>26</v>
      </c>
      <c r="E15" s="12" t="s">
        <v>26</v>
      </c>
      <c r="F15" s="13" t="s">
        <v>27</v>
      </c>
      <c r="G15" s="7"/>
      <c r="H15" s="5" t="s">
        <v>31</v>
      </c>
      <c r="I15" s="5" t="s">
        <v>30</v>
      </c>
      <c r="J15" s="5" t="s">
        <v>31</v>
      </c>
      <c r="K15" s="39"/>
      <c r="L15" s="39"/>
      <c r="M15" s="39"/>
    </row>
    <row r="16" spans="1:14" ht="15" customHeight="1" x14ac:dyDescent="0.25">
      <c r="B16" s="2" t="s">
        <v>2</v>
      </c>
      <c r="C16" s="38" t="s">
        <v>8</v>
      </c>
      <c r="D16" s="12" t="s">
        <v>26</v>
      </c>
      <c r="E16" s="12" t="s">
        <v>26</v>
      </c>
      <c r="F16" s="5">
        <v>11111111111</v>
      </c>
      <c r="G16" s="7"/>
      <c r="H16" s="5" t="s">
        <v>30</v>
      </c>
      <c r="I16" s="5" t="s">
        <v>30</v>
      </c>
      <c r="J16" s="5" t="s">
        <v>30</v>
      </c>
      <c r="K16" s="39"/>
      <c r="L16" s="39"/>
      <c r="M16" s="39"/>
    </row>
    <row r="17" spans="2:13" ht="15" customHeight="1" x14ac:dyDescent="0.25">
      <c r="B17" s="2" t="s">
        <v>2</v>
      </c>
      <c r="C17" s="38" t="s">
        <v>9</v>
      </c>
      <c r="D17" s="12" t="s">
        <v>26</v>
      </c>
      <c r="E17" s="12" t="s">
        <v>26</v>
      </c>
      <c r="F17" s="5">
        <v>11111111111</v>
      </c>
      <c r="G17" s="7"/>
      <c r="H17" s="5" t="s">
        <v>30</v>
      </c>
      <c r="I17" s="5" t="s">
        <v>30</v>
      </c>
      <c r="J17" s="5" t="s">
        <v>30</v>
      </c>
      <c r="K17" s="39"/>
      <c r="L17" s="39"/>
      <c r="M17" s="39"/>
    </row>
    <row r="18" spans="2:13" ht="45" x14ac:dyDescent="0.25">
      <c r="B18" s="2" t="s">
        <v>2</v>
      </c>
      <c r="C18" s="4" t="s">
        <v>10</v>
      </c>
      <c r="D18" s="12" t="s">
        <v>26</v>
      </c>
      <c r="E18" s="5">
        <v>11111111111</v>
      </c>
      <c r="F18" s="13" t="s">
        <v>27</v>
      </c>
      <c r="G18" s="7"/>
      <c r="H18" s="5" t="s">
        <v>30</v>
      </c>
      <c r="I18" s="5" t="s">
        <v>31</v>
      </c>
      <c r="J18" s="5" t="s">
        <v>31</v>
      </c>
      <c r="K18" s="39"/>
      <c r="L18" s="39" t="s">
        <v>118</v>
      </c>
      <c r="M18" s="39" t="s">
        <v>119</v>
      </c>
    </row>
    <row r="19" spans="2:13" ht="15" customHeight="1" x14ac:dyDescent="0.25">
      <c r="B19" s="2" t="s">
        <v>2</v>
      </c>
      <c r="C19" s="38" t="s">
        <v>11</v>
      </c>
      <c r="D19" s="12" t="s">
        <v>26</v>
      </c>
      <c r="E19" s="5">
        <v>11111111111</v>
      </c>
      <c r="F19" s="5">
        <v>0</v>
      </c>
      <c r="G19" s="7"/>
      <c r="H19" s="5" t="s">
        <v>31</v>
      </c>
      <c r="I19" s="5" t="s">
        <v>30</v>
      </c>
      <c r="J19" s="5" t="s">
        <v>30</v>
      </c>
      <c r="K19" s="39"/>
      <c r="L19" s="39"/>
      <c r="M19" s="39"/>
    </row>
    <row r="20" spans="2:13" ht="15" customHeight="1" x14ac:dyDescent="0.25">
      <c r="B20" s="2" t="s">
        <v>2</v>
      </c>
      <c r="C20" s="38" t="s">
        <v>12</v>
      </c>
      <c r="D20" s="12" t="s">
        <v>26</v>
      </c>
      <c r="E20" s="5">
        <v>11111111111</v>
      </c>
      <c r="F20" s="5">
        <v>0</v>
      </c>
      <c r="G20" s="7"/>
      <c r="H20" s="5" t="s">
        <v>30</v>
      </c>
      <c r="I20" s="5" t="s">
        <v>30</v>
      </c>
      <c r="J20" s="5" t="s">
        <v>30</v>
      </c>
      <c r="K20" s="39"/>
      <c r="L20" s="39"/>
      <c r="M20" s="39"/>
    </row>
    <row r="21" spans="2:13" ht="30" x14ac:dyDescent="0.25">
      <c r="B21" s="2" t="s">
        <v>2</v>
      </c>
      <c r="C21" s="4" t="s">
        <v>13</v>
      </c>
      <c r="D21" s="12" t="s">
        <v>26</v>
      </c>
      <c r="E21" s="12" t="s">
        <v>26</v>
      </c>
      <c r="F21" s="13" t="s">
        <v>27</v>
      </c>
      <c r="G21" s="7"/>
      <c r="H21" s="5" t="s">
        <v>30</v>
      </c>
      <c r="I21" s="5" t="s">
        <v>30</v>
      </c>
      <c r="J21" s="5" t="s">
        <v>31</v>
      </c>
      <c r="K21" s="39"/>
      <c r="L21" s="39"/>
      <c r="M21" s="39"/>
    </row>
    <row r="22" spans="2:13" ht="15" customHeight="1" x14ac:dyDescent="0.25">
      <c r="B22" s="2" t="s">
        <v>2</v>
      </c>
      <c r="C22" s="38" t="s">
        <v>14</v>
      </c>
      <c r="D22" s="12" t="s">
        <v>26</v>
      </c>
      <c r="E22" s="5">
        <v>11111111111</v>
      </c>
      <c r="F22" s="5">
        <v>0</v>
      </c>
      <c r="G22" s="7"/>
      <c r="H22" s="5" t="s">
        <v>31</v>
      </c>
      <c r="I22" s="5" t="s">
        <v>30</v>
      </c>
      <c r="J22" s="5" t="s">
        <v>30</v>
      </c>
      <c r="K22" s="39"/>
      <c r="L22" s="39"/>
      <c r="M22" s="39"/>
    </row>
    <row r="23" spans="2:13" ht="15" customHeight="1" x14ac:dyDescent="0.25">
      <c r="B23" s="2" t="s">
        <v>2</v>
      </c>
      <c r="C23" s="38" t="s">
        <v>15</v>
      </c>
      <c r="D23" s="12" t="s">
        <v>26</v>
      </c>
      <c r="E23" s="5">
        <v>11111111111</v>
      </c>
      <c r="F23" s="5">
        <v>0</v>
      </c>
      <c r="G23" s="7"/>
      <c r="H23" s="5" t="s">
        <v>31</v>
      </c>
      <c r="I23" s="5" t="s">
        <v>30</v>
      </c>
      <c r="J23" s="5" t="s">
        <v>30</v>
      </c>
      <c r="K23" s="39"/>
      <c r="L23" s="39"/>
      <c r="M23" s="39"/>
    </row>
    <row r="24" spans="2:13" ht="15" customHeight="1" x14ac:dyDescent="0.25">
      <c r="B24" s="2" t="s">
        <v>2</v>
      </c>
      <c r="C24" s="38" t="s">
        <v>16</v>
      </c>
      <c r="D24" s="12" t="s">
        <v>26</v>
      </c>
      <c r="E24" s="5">
        <v>11111111111</v>
      </c>
      <c r="F24" s="5">
        <v>0</v>
      </c>
      <c r="G24" s="7"/>
      <c r="H24" s="5" t="s">
        <v>30</v>
      </c>
      <c r="I24" s="5" t="s">
        <v>30</v>
      </c>
      <c r="J24" s="5" t="s">
        <v>30</v>
      </c>
      <c r="K24" s="39"/>
      <c r="L24" s="39"/>
      <c r="M24" s="39"/>
    </row>
    <row r="25" spans="2:13" ht="15" customHeight="1" x14ac:dyDescent="0.25">
      <c r="B25" s="2" t="s">
        <v>2</v>
      </c>
      <c r="C25" s="38" t="s">
        <v>17</v>
      </c>
      <c r="D25" s="12" t="s">
        <v>26</v>
      </c>
      <c r="E25" s="5">
        <v>11111111111</v>
      </c>
      <c r="F25" s="5">
        <v>0</v>
      </c>
      <c r="G25" s="7"/>
      <c r="H25" s="5" t="s">
        <v>31</v>
      </c>
      <c r="I25" s="5" t="s">
        <v>30</v>
      </c>
      <c r="J25" s="5" t="s">
        <v>30</v>
      </c>
      <c r="K25" s="39"/>
      <c r="L25" s="39"/>
      <c r="M25" s="39"/>
    </row>
    <row r="26" spans="2:13" ht="90" x14ac:dyDescent="0.25">
      <c r="B26" s="2" t="s">
        <v>2</v>
      </c>
      <c r="C26" s="15" t="s">
        <v>18</v>
      </c>
      <c r="D26" s="12" t="s">
        <v>26</v>
      </c>
      <c r="E26" s="12" t="s">
        <v>26</v>
      </c>
      <c r="F26" s="13" t="s">
        <v>27</v>
      </c>
      <c r="G26" s="7"/>
      <c r="H26" s="40" t="s">
        <v>30</v>
      </c>
      <c r="I26" s="40" t="s">
        <v>30</v>
      </c>
      <c r="J26" s="40" t="s">
        <v>30</v>
      </c>
      <c r="K26" s="39" t="s">
        <v>120</v>
      </c>
      <c r="L26" s="39"/>
      <c r="M26" s="39"/>
    </row>
    <row r="27" spans="2:13" ht="30" x14ac:dyDescent="0.25">
      <c r="B27" s="4" t="s">
        <v>2</v>
      </c>
      <c r="C27" s="16" t="s">
        <v>19</v>
      </c>
      <c r="D27" s="12" t="s">
        <v>26</v>
      </c>
      <c r="E27" s="12" t="s">
        <v>26</v>
      </c>
      <c r="F27" s="13" t="s">
        <v>27</v>
      </c>
      <c r="G27" s="7"/>
      <c r="H27" s="5"/>
      <c r="I27" s="5"/>
      <c r="J27" s="5"/>
      <c r="K27" s="39"/>
      <c r="L27" s="39"/>
      <c r="M27" s="39"/>
    </row>
    <row r="28" spans="2:13" x14ac:dyDescent="0.25">
      <c r="C28" s="14" t="s">
        <v>29</v>
      </c>
    </row>
  </sheetData>
  <mergeCells count="9">
    <mergeCell ref="K9:L9"/>
    <mergeCell ref="M9:M10"/>
    <mergeCell ref="K8:M8"/>
    <mergeCell ref="D9:E9"/>
    <mergeCell ref="D8:F8"/>
    <mergeCell ref="F9:F10"/>
    <mergeCell ref="H8:J8"/>
    <mergeCell ref="H9:I9"/>
    <mergeCell ref="J9:J10"/>
  </mergeCells>
  <conditionalFormatting sqref="H11:M27">
    <cfRule type="containsText" dxfId="40" priority="1" operator="containsText" text="nok">
      <formula>NOT(ISERROR(SEARCH("nok",H11)))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CB57-A63C-4E8B-A0AF-631683C1A2BD}">
  <dimension ref="B2:P316"/>
  <sheetViews>
    <sheetView showGridLines="0" workbookViewId="0">
      <selection activeCell="C297" sqref="C297"/>
    </sheetView>
  </sheetViews>
  <sheetFormatPr defaultRowHeight="15" x14ac:dyDescent="0.25"/>
  <cols>
    <col min="1" max="1" width="3.7109375" customWidth="1"/>
    <col min="2" max="2" width="32" bestFit="1" customWidth="1"/>
    <col min="3" max="3" width="29.28515625" bestFit="1" customWidth="1"/>
    <col min="4" max="4" width="33" bestFit="1" customWidth="1"/>
    <col min="5" max="5" width="30.7109375" bestFit="1" customWidth="1"/>
    <col min="6" max="6" width="29" bestFit="1" customWidth="1"/>
    <col min="7" max="7" width="29.140625" bestFit="1" customWidth="1"/>
    <col min="8" max="8" width="32.140625" bestFit="1" customWidth="1"/>
    <col min="9" max="9" width="33" bestFit="1" customWidth="1"/>
    <col min="10" max="10" width="30.140625" bestFit="1" customWidth="1"/>
    <col min="11" max="11" width="22.7109375" bestFit="1" customWidth="1"/>
    <col min="12" max="13" width="29.28515625" bestFit="1" customWidth="1"/>
    <col min="14" max="14" width="18" bestFit="1" customWidth="1"/>
    <col min="15" max="15" width="53.42578125" bestFit="1" customWidth="1"/>
  </cols>
  <sheetData>
    <row r="2" spans="2:16" x14ac:dyDescent="0.25">
      <c r="B2" s="30" t="s">
        <v>66</v>
      </c>
    </row>
    <row r="4" spans="2:16" x14ac:dyDescent="0.25">
      <c r="B4" s="20" t="s">
        <v>65</v>
      </c>
    </row>
    <row r="5" spans="2:16" ht="6.95" customHeight="1" x14ac:dyDescent="0.25"/>
    <row r="6" spans="2:16" x14ac:dyDescent="0.25">
      <c r="B6" s="22" t="s">
        <v>64</v>
      </c>
    </row>
    <row r="7" spans="2:16" ht="6.95" customHeight="1" x14ac:dyDescent="0.25"/>
    <row r="8" spans="2:16" x14ac:dyDescent="0.25">
      <c r="B8" s="21" t="s">
        <v>3</v>
      </c>
      <c r="C8" s="21" t="s">
        <v>8</v>
      </c>
      <c r="D8" s="21" t="s">
        <v>11</v>
      </c>
      <c r="E8" s="21" t="s">
        <v>14</v>
      </c>
      <c r="F8" s="21" t="s">
        <v>16</v>
      </c>
    </row>
    <row r="9" spans="2:16" x14ac:dyDescent="0.25">
      <c r="B9" s="21" t="s">
        <v>4</v>
      </c>
      <c r="C9" s="21" t="s">
        <v>9</v>
      </c>
      <c r="D9" s="21" t="s">
        <v>12</v>
      </c>
      <c r="E9" s="21" t="s">
        <v>15</v>
      </c>
      <c r="F9" s="21" t="s">
        <v>17</v>
      </c>
    </row>
    <row r="12" spans="2:16" x14ac:dyDescent="0.25">
      <c r="B12" s="10" t="s">
        <v>63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2:16" ht="6.95" customHeight="1" x14ac:dyDescent="0.25"/>
    <row r="14" spans="2:16" x14ac:dyDescent="0.25">
      <c r="B14" s="20" t="s">
        <v>62</v>
      </c>
      <c r="C14" s="20" t="s">
        <v>61</v>
      </c>
      <c r="D14" s="20" t="s">
        <v>52</v>
      </c>
      <c r="E14" s="20" t="s">
        <v>49</v>
      </c>
      <c r="F14" s="20" t="s">
        <v>45</v>
      </c>
      <c r="G14" s="20" t="s">
        <v>44</v>
      </c>
      <c r="H14" s="20" t="s">
        <v>43</v>
      </c>
      <c r="I14" s="20" t="s">
        <v>42</v>
      </c>
      <c r="J14" s="20" t="s">
        <v>56</v>
      </c>
      <c r="K14" s="20" t="s">
        <v>60</v>
      </c>
      <c r="L14" s="29" t="s">
        <v>54</v>
      </c>
      <c r="M14" s="28" t="s">
        <v>55</v>
      </c>
      <c r="N14" s="27" t="s">
        <v>34</v>
      </c>
    </row>
    <row r="15" spans="2:16" x14ac:dyDescent="0.25">
      <c r="B15" s="18" t="s">
        <v>30</v>
      </c>
      <c r="C15" s="18" t="s">
        <v>30</v>
      </c>
      <c r="D15" s="18" t="s">
        <v>30</v>
      </c>
      <c r="E15" s="18" t="s">
        <v>30</v>
      </c>
      <c r="F15" s="18" t="s">
        <v>30</v>
      </c>
      <c r="G15" s="18" t="s">
        <v>31</v>
      </c>
      <c r="H15" s="18" t="s">
        <v>30</v>
      </c>
      <c r="I15" s="18" t="s">
        <v>30</v>
      </c>
      <c r="J15" s="18" t="s">
        <v>30</v>
      </c>
      <c r="K15" s="18" t="s">
        <v>30</v>
      </c>
      <c r="L15" s="26" t="s">
        <v>31</v>
      </c>
      <c r="M15" s="17">
        <v>1161194</v>
      </c>
      <c r="N15" s="35" t="s">
        <v>59</v>
      </c>
      <c r="O15" s="19" t="s">
        <v>33</v>
      </c>
      <c r="P15" s="19" t="s">
        <v>33</v>
      </c>
    </row>
    <row r="16" spans="2:16" x14ac:dyDescent="0.25">
      <c r="B16" s="18" t="s">
        <v>30</v>
      </c>
      <c r="C16" s="18" t="s">
        <v>30</v>
      </c>
      <c r="D16" s="18" t="s">
        <v>30</v>
      </c>
      <c r="E16" s="18" t="s">
        <v>30</v>
      </c>
      <c r="F16" s="18" t="s">
        <v>30</v>
      </c>
      <c r="G16" s="18" t="s">
        <v>31</v>
      </c>
      <c r="H16" s="18" t="s">
        <v>30</v>
      </c>
      <c r="I16" s="18" t="s">
        <v>31</v>
      </c>
      <c r="J16" s="18" t="s">
        <v>31</v>
      </c>
      <c r="K16" s="18" t="s">
        <v>30</v>
      </c>
      <c r="L16" s="26" t="s">
        <v>31</v>
      </c>
      <c r="M16" s="17">
        <v>485577</v>
      </c>
      <c r="N16" s="25"/>
      <c r="O16" s="25"/>
    </row>
    <row r="17" spans="2:15" x14ac:dyDescent="0.25">
      <c r="B17" s="18" t="s">
        <v>30</v>
      </c>
      <c r="C17" s="18" t="s">
        <v>30</v>
      </c>
      <c r="D17" s="18" t="s">
        <v>30</v>
      </c>
      <c r="E17" s="18" t="s">
        <v>30</v>
      </c>
      <c r="F17" s="18" t="s">
        <v>30</v>
      </c>
      <c r="G17" s="18" t="s">
        <v>30</v>
      </c>
      <c r="H17" s="18" t="s">
        <v>30</v>
      </c>
      <c r="I17" s="18" t="s">
        <v>31</v>
      </c>
      <c r="J17" s="18" t="s">
        <v>31</v>
      </c>
      <c r="K17" s="18" t="s">
        <v>30</v>
      </c>
      <c r="L17" s="26" t="s">
        <v>30</v>
      </c>
      <c r="M17" s="17">
        <v>255573</v>
      </c>
      <c r="N17" s="25"/>
      <c r="O17" s="25"/>
    </row>
    <row r="18" spans="2:15" x14ac:dyDescent="0.25">
      <c r="B18" s="18" t="s">
        <v>58</v>
      </c>
      <c r="C18" s="18" t="s">
        <v>32</v>
      </c>
      <c r="D18" s="18" t="s">
        <v>32</v>
      </c>
      <c r="E18" s="18" t="s">
        <v>32</v>
      </c>
      <c r="F18" s="18" t="s">
        <v>32</v>
      </c>
      <c r="G18" s="18" t="s">
        <v>32</v>
      </c>
      <c r="H18" s="18" t="s">
        <v>32</v>
      </c>
      <c r="I18" s="18" t="s">
        <v>32</v>
      </c>
      <c r="J18" s="18" t="s">
        <v>32</v>
      </c>
      <c r="K18" s="18" t="s">
        <v>32</v>
      </c>
      <c r="L18" s="26" t="s">
        <v>32</v>
      </c>
      <c r="M18" s="17">
        <v>132615</v>
      </c>
      <c r="N18" s="25"/>
      <c r="O18" s="25"/>
    </row>
    <row r="19" spans="2:15" x14ac:dyDescent="0.25">
      <c r="B19" s="18" t="s">
        <v>30</v>
      </c>
      <c r="C19" s="18" t="s">
        <v>30</v>
      </c>
      <c r="D19" s="18" t="s">
        <v>30</v>
      </c>
      <c r="E19" s="18" t="s">
        <v>30</v>
      </c>
      <c r="F19" s="18" t="s">
        <v>30</v>
      </c>
      <c r="G19" s="18" t="s">
        <v>30</v>
      </c>
      <c r="H19" s="18" t="s">
        <v>30</v>
      </c>
      <c r="I19" s="18" t="s">
        <v>30</v>
      </c>
      <c r="J19" s="18" t="s">
        <v>30</v>
      </c>
      <c r="K19" s="18" t="s">
        <v>30</v>
      </c>
      <c r="L19" s="26" t="s">
        <v>30</v>
      </c>
      <c r="M19" s="17">
        <v>117912</v>
      </c>
      <c r="N19" s="25"/>
      <c r="O19" s="25"/>
    </row>
    <row r="20" spans="2:15" x14ac:dyDescent="0.25">
      <c r="B20" s="18" t="s">
        <v>30</v>
      </c>
      <c r="C20" s="18" t="s">
        <v>30</v>
      </c>
      <c r="D20" s="18" t="s">
        <v>30</v>
      </c>
      <c r="E20" s="18" t="s">
        <v>30</v>
      </c>
      <c r="F20" s="18" t="s">
        <v>30</v>
      </c>
      <c r="G20" s="18" t="s">
        <v>31</v>
      </c>
      <c r="H20" s="18" t="s">
        <v>30</v>
      </c>
      <c r="I20" s="18" t="s">
        <v>31</v>
      </c>
      <c r="J20" s="18" t="s">
        <v>30</v>
      </c>
      <c r="K20" s="18" t="s">
        <v>30</v>
      </c>
      <c r="L20" s="26" t="s">
        <v>31</v>
      </c>
      <c r="M20" s="17">
        <v>82844</v>
      </c>
      <c r="N20" s="25"/>
      <c r="O20" s="25"/>
    </row>
    <row r="21" spans="2:15" x14ac:dyDescent="0.25">
      <c r="B21" s="18" t="s">
        <v>30</v>
      </c>
      <c r="C21" s="18" t="s">
        <v>30</v>
      </c>
      <c r="D21" s="18" t="s">
        <v>30</v>
      </c>
      <c r="E21" s="18" t="s">
        <v>30</v>
      </c>
      <c r="F21" s="18" t="s">
        <v>30</v>
      </c>
      <c r="G21" s="18" t="s">
        <v>31</v>
      </c>
      <c r="H21" s="18" t="s">
        <v>30</v>
      </c>
      <c r="I21" s="18" t="s">
        <v>31</v>
      </c>
      <c r="J21" s="18" t="s">
        <v>31</v>
      </c>
      <c r="K21" s="18" t="s">
        <v>30</v>
      </c>
      <c r="L21" s="26" t="s">
        <v>30</v>
      </c>
      <c r="M21" s="17">
        <v>70465</v>
      </c>
      <c r="N21" s="25"/>
      <c r="O21" s="25"/>
    </row>
    <row r="22" spans="2:15" x14ac:dyDescent="0.25">
      <c r="B22" s="18" t="s">
        <v>30</v>
      </c>
      <c r="C22" s="18" t="s">
        <v>30</v>
      </c>
      <c r="D22" s="18" t="s">
        <v>30</v>
      </c>
      <c r="E22" s="18" t="s">
        <v>30</v>
      </c>
      <c r="F22" s="18" t="s">
        <v>30</v>
      </c>
      <c r="G22" s="18" t="s">
        <v>31</v>
      </c>
      <c r="H22" s="18" t="s">
        <v>30</v>
      </c>
      <c r="I22" s="18" t="s">
        <v>30</v>
      </c>
      <c r="J22" s="18" t="s">
        <v>30</v>
      </c>
      <c r="K22" s="18" t="s">
        <v>30</v>
      </c>
      <c r="L22" s="26" t="s">
        <v>30</v>
      </c>
      <c r="M22" s="17">
        <v>7957</v>
      </c>
      <c r="N22" s="25"/>
      <c r="O22" s="25"/>
    </row>
    <row r="23" spans="2:15" x14ac:dyDescent="0.25">
      <c r="B23" s="18" t="s">
        <v>30</v>
      </c>
      <c r="C23" s="18" t="s">
        <v>30</v>
      </c>
      <c r="D23" s="18" t="s">
        <v>30</v>
      </c>
      <c r="E23" s="18" t="s">
        <v>30</v>
      </c>
      <c r="F23" s="18" t="s">
        <v>30</v>
      </c>
      <c r="G23" s="18" t="s">
        <v>30</v>
      </c>
      <c r="H23" s="18" t="s">
        <v>30</v>
      </c>
      <c r="I23" s="18" t="s">
        <v>31</v>
      </c>
      <c r="J23" s="18" t="s">
        <v>30</v>
      </c>
      <c r="K23" s="18" t="s">
        <v>30</v>
      </c>
      <c r="L23" s="26" t="s">
        <v>30</v>
      </c>
      <c r="M23" s="17">
        <v>2916</v>
      </c>
      <c r="N23" s="25"/>
      <c r="O23" s="25"/>
    </row>
    <row r="24" spans="2:15" x14ac:dyDescent="0.25">
      <c r="B24" s="18" t="s">
        <v>30</v>
      </c>
      <c r="C24" s="18" t="s">
        <v>30</v>
      </c>
      <c r="D24" s="18" t="s">
        <v>30</v>
      </c>
      <c r="E24" s="18" t="s">
        <v>30</v>
      </c>
      <c r="F24" s="18" t="s">
        <v>30</v>
      </c>
      <c r="G24" s="18" t="s">
        <v>31</v>
      </c>
      <c r="H24" s="18" t="s">
        <v>30</v>
      </c>
      <c r="I24" s="18" t="s">
        <v>31</v>
      </c>
      <c r="J24" s="18" t="s">
        <v>30</v>
      </c>
      <c r="K24" s="18" t="s">
        <v>30</v>
      </c>
      <c r="L24" s="26" t="s">
        <v>30</v>
      </c>
      <c r="M24" s="17">
        <v>417</v>
      </c>
      <c r="N24" s="25"/>
      <c r="O24" s="25"/>
    </row>
    <row r="25" spans="2:15" x14ac:dyDescent="0.25">
      <c r="B25" s="18" t="s">
        <v>57</v>
      </c>
      <c r="C25" s="18" t="s">
        <v>32</v>
      </c>
      <c r="D25" s="18" t="s">
        <v>32</v>
      </c>
      <c r="E25" s="18" t="s">
        <v>32</v>
      </c>
      <c r="F25" s="18" t="s">
        <v>32</v>
      </c>
      <c r="G25" s="18" t="s">
        <v>32</v>
      </c>
      <c r="H25" s="18" t="s">
        <v>32</v>
      </c>
      <c r="I25" s="18" t="s">
        <v>32</v>
      </c>
      <c r="J25" s="18" t="s">
        <v>32</v>
      </c>
      <c r="K25" s="18" t="s">
        <v>32</v>
      </c>
      <c r="L25" s="26" t="s">
        <v>32</v>
      </c>
      <c r="M25" s="17">
        <v>340</v>
      </c>
      <c r="N25" s="25"/>
      <c r="O25" s="25"/>
    </row>
    <row r="28" spans="2:15" x14ac:dyDescent="0.25">
      <c r="B28" s="23" t="s">
        <v>67</v>
      </c>
      <c r="C28" s="11"/>
      <c r="D28" s="11"/>
    </row>
    <row r="29" spans="2:15" ht="6.95" customHeight="1" x14ac:dyDescent="0.25"/>
    <row r="30" spans="2:15" x14ac:dyDescent="0.25">
      <c r="B30" s="22" t="s">
        <v>51</v>
      </c>
    </row>
    <row r="33" spans="2:4" x14ac:dyDescent="0.25">
      <c r="B33" s="23" t="s">
        <v>53</v>
      </c>
      <c r="C33" s="11"/>
      <c r="D33" s="11"/>
    </row>
    <row r="34" spans="2:4" ht="6.95" customHeight="1" x14ac:dyDescent="0.25"/>
    <row r="35" spans="2:4" x14ac:dyDescent="0.25">
      <c r="B35" s="22" t="s">
        <v>51</v>
      </c>
    </row>
    <row r="38" spans="2:4" x14ac:dyDescent="0.25">
      <c r="B38" s="23" t="s">
        <v>68</v>
      </c>
      <c r="C38" s="11"/>
      <c r="D38" s="11"/>
    </row>
    <row r="39" spans="2:4" ht="6.95" customHeight="1" x14ac:dyDescent="0.25"/>
    <row r="40" spans="2:4" x14ac:dyDescent="0.25">
      <c r="B40" s="22" t="s">
        <v>51</v>
      </c>
    </row>
    <row r="43" spans="2:4" x14ac:dyDescent="0.25">
      <c r="B43" s="23" t="s">
        <v>70</v>
      </c>
      <c r="C43" s="11"/>
      <c r="D43" s="11"/>
    </row>
    <row r="44" spans="2:4" ht="6.95" customHeight="1" x14ac:dyDescent="0.25"/>
    <row r="45" spans="2:4" x14ac:dyDescent="0.25">
      <c r="B45" s="22" t="s">
        <v>51</v>
      </c>
    </row>
    <row r="48" spans="2:4" s="11" customFormat="1" x14ac:dyDescent="0.25">
      <c r="B48" s="23" t="s">
        <v>69</v>
      </c>
    </row>
    <row r="49" spans="2:6" ht="6.95" customHeight="1" x14ac:dyDescent="0.25"/>
    <row r="50" spans="2:6" x14ac:dyDescent="0.25">
      <c r="B50" s="10" t="s">
        <v>21</v>
      </c>
    </row>
    <row r="51" spans="2:6" ht="6.95" customHeight="1" x14ac:dyDescent="0.25"/>
    <row r="52" spans="2:6" x14ac:dyDescent="0.25">
      <c r="B52" s="20" t="s">
        <v>44</v>
      </c>
      <c r="C52" s="24" t="s">
        <v>50</v>
      </c>
      <c r="D52" s="20" t="s">
        <v>55</v>
      </c>
      <c r="E52" s="20" t="s">
        <v>34</v>
      </c>
    </row>
    <row r="53" spans="2:6" x14ac:dyDescent="0.25">
      <c r="B53" s="21" t="s">
        <v>31</v>
      </c>
      <c r="C53" s="21" t="s">
        <v>46</v>
      </c>
      <c r="D53" s="17">
        <v>1808456</v>
      </c>
      <c r="E53" s="31" t="s">
        <v>71</v>
      </c>
      <c r="F53" s="19" t="s">
        <v>33</v>
      </c>
    </row>
    <row r="54" spans="2:6" x14ac:dyDescent="0.25">
      <c r="B54" s="21" t="s">
        <v>30</v>
      </c>
      <c r="C54" s="21" t="s">
        <v>46</v>
      </c>
      <c r="D54" s="17">
        <v>302613</v>
      </c>
    </row>
    <row r="57" spans="2:6" x14ac:dyDescent="0.25">
      <c r="B57" s="10" t="s">
        <v>74</v>
      </c>
    </row>
    <row r="58" spans="2:6" ht="6.95" customHeight="1" x14ac:dyDescent="0.25"/>
    <row r="59" spans="2:6" x14ac:dyDescent="0.25">
      <c r="B59" s="20" t="s">
        <v>44</v>
      </c>
      <c r="C59" s="24" t="s">
        <v>50</v>
      </c>
      <c r="D59" s="20" t="s">
        <v>55</v>
      </c>
      <c r="E59" s="20" t="s">
        <v>34</v>
      </c>
    </row>
    <row r="60" spans="2:6" x14ac:dyDescent="0.25">
      <c r="B60" s="21" t="s">
        <v>30</v>
      </c>
      <c r="C60" s="21" t="s">
        <v>48</v>
      </c>
      <c r="D60" s="17">
        <v>6</v>
      </c>
      <c r="E60" s="31" t="s">
        <v>76</v>
      </c>
      <c r="F60" s="19" t="s">
        <v>33</v>
      </c>
    </row>
    <row r="61" spans="2:6" x14ac:dyDescent="0.25">
      <c r="B61" s="21" t="s">
        <v>30</v>
      </c>
      <c r="C61" s="21" t="s">
        <v>47</v>
      </c>
      <c r="D61" s="17">
        <v>1</v>
      </c>
    </row>
    <row r="62" spans="2:6" x14ac:dyDescent="0.25">
      <c r="D62" s="25"/>
    </row>
    <row r="63" spans="2:6" x14ac:dyDescent="0.25">
      <c r="D63" s="25"/>
    </row>
    <row r="64" spans="2:6" x14ac:dyDescent="0.25">
      <c r="B64" s="10" t="s">
        <v>75</v>
      </c>
    </row>
    <row r="65" spans="2:6" ht="6.95" customHeight="1" x14ac:dyDescent="0.25"/>
    <row r="66" spans="2:6" x14ac:dyDescent="0.25">
      <c r="B66" s="20" t="s">
        <v>44</v>
      </c>
      <c r="C66" s="24" t="s">
        <v>50</v>
      </c>
      <c r="D66" s="20" t="s">
        <v>55</v>
      </c>
      <c r="E66" s="20" t="s">
        <v>34</v>
      </c>
    </row>
    <row r="67" spans="2:6" x14ac:dyDescent="0.25">
      <c r="B67" s="21" t="s">
        <v>30</v>
      </c>
      <c r="C67" s="21" t="s">
        <v>48</v>
      </c>
      <c r="D67" s="17">
        <v>67077</v>
      </c>
      <c r="E67" s="31" t="s">
        <v>72</v>
      </c>
      <c r="F67" s="19" t="s">
        <v>33</v>
      </c>
    </row>
    <row r="68" spans="2:6" x14ac:dyDescent="0.25">
      <c r="B68" s="21" t="s">
        <v>30</v>
      </c>
      <c r="C68" s="21" t="s">
        <v>47</v>
      </c>
      <c r="D68" s="17">
        <v>7028</v>
      </c>
    </row>
    <row r="71" spans="2:6" s="11" customFormat="1" x14ac:dyDescent="0.25">
      <c r="B71" s="23" t="s">
        <v>73</v>
      </c>
    </row>
    <row r="72" spans="2:6" ht="6.95" customHeight="1" x14ac:dyDescent="0.25"/>
    <row r="73" spans="2:6" x14ac:dyDescent="0.25">
      <c r="B73" s="22" t="s">
        <v>51</v>
      </c>
    </row>
    <row r="75" spans="2:6" s="11" customFormat="1" x14ac:dyDescent="0.25">
      <c r="B75" s="23" t="s">
        <v>77</v>
      </c>
    </row>
    <row r="76" spans="2:6" ht="6.95" customHeight="1" x14ac:dyDescent="0.25"/>
    <row r="77" spans="2:6" x14ac:dyDescent="0.25">
      <c r="B77" s="10" t="s">
        <v>21</v>
      </c>
    </row>
    <row r="78" spans="2:6" ht="6.95" customHeight="1" x14ac:dyDescent="0.25"/>
    <row r="79" spans="2:6" x14ac:dyDescent="0.25">
      <c r="B79" s="20" t="s">
        <v>42</v>
      </c>
      <c r="C79" s="24" t="s">
        <v>50</v>
      </c>
      <c r="D79" s="20" t="s">
        <v>55</v>
      </c>
      <c r="E79" s="20" t="s">
        <v>34</v>
      </c>
    </row>
    <row r="80" spans="2:6" x14ac:dyDescent="0.25">
      <c r="B80" s="21" t="s">
        <v>30</v>
      </c>
      <c r="C80" s="21" t="s">
        <v>46</v>
      </c>
      <c r="D80" s="17">
        <v>1213271</v>
      </c>
      <c r="E80" s="31" t="s">
        <v>78</v>
      </c>
      <c r="F80" s="19" t="s">
        <v>33</v>
      </c>
    </row>
    <row r="81" spans="2:6" x14ac:dyDescent="0.25">
      <c r="B81" s="21" t="s">
        <v>31</v>
      </c>
      <c r="C81" s="21" t="s">
        <v>46</v>
      </c>
      <c r="D81" s="17">
        <v>897798</v>
      </c>
    </row>
    <row r="84" spans="2:6" x14ac:dyDescent="0.25">
      <c r="B84" s="10" t="s">
        <v>74</v>
      </c>
    </row>
    <row r="85" spans="2:6" ht="6.95" customHeight="1" x14ac:dyDescent="0.25"/>
    <row r="86" spans="2:6" x14ac:dyDescent="0.25">
      <c r="B86" s="20" t="s">
        <v>42</v>
      </c>
      <c r="C86" s="24" t="s">
        <v>50</v>
      </c>
      <c r="D86" s="20" t="s">
        <v>55</v>
      </c>
      <c r="E86" s="20" t="s">
        <v>34</v>
      </c>
    </row>
    <row r="87" spans="2:6" x14ac:dyDescent="0.25">
      <c r="B87" s="21" t="s">
        <v>30</v>
      </c>
      <c r="C87" s="21" t="s">
        <v>48</v>
      </c>
      <c r="D87" s="17">
        <v>6</v>
      </c>
      <c r="E87" s="31" t="s">
        <v>79</v>
      </c>
      <c r="F87" s="19" t="s">
        <v>33</v>
      </c>
    </row>
    <row r="88" spans="2:6" x14ac:dyDescent="0.25">
      <c r="B88" s="21" t="s">
        <v>30</v>
      </c>
      <c r="C88" s="21" t="s">
        <v>47</v>
      </c>
      <c r="D88" s="17">
        <v>1</v>
      </c>
    </row>
    <row r="89" spans="2:6" x14ac:dyDescent="0.25">
      <c r="D89" s="25"/>
    </row>
    <row r="90" spans="2:6" x14ac:dyDescent="0.25">
      <c r="D90" s="25"/>
    </row>
    <row r="91" spans="2:6" x14ac:dyDescent="0.25">
      <c r="B91" s="10" t="s">
        <v>75</v>
      </c>
    </row>
    <row r="92" spans="2:6" ht="6.95" customHeight="1" x14ac:dyDescent="0.25"/>
    <row r="93" spans="2:6" x14ac:dyDescent="0.25">
      <c r="B93" s="20" t="s">
        <v>42</v>
      </c>
      <c r="C93" s="24" t="s">
        <v>50</v>
      </c>
      <c r="D93" s="20" t="s">
        <v>55</v>
      </c>
      <c r="E93" s="20" t="s">
        <v>34</v>
      </c>
    </row>
    <row r="94" spans="2:6" x14ac:dyDescent="0.25">
      <c r="B94" s="21" t="s">
        <v>30</v>
      </c>
      <c r="C94" s="21" t="s">
        <v>48</v>
      </c>
      <c r="D94" s="17">
        <v>67077</v>
      </c>
      <c r="E94" s="31" t="s">
        <v>80</v>
      </c>
      <c r="F94" s="19" t="s">
        <v>33</v>
      </c>
    </row>
    <row r="95" spans="2:6" x14ac:dyDescent="0.25">
      <c r="B95" s="21" t="s">
        <v>30</v>
      </c>
      <c r="C95" s="21" t="s">
        <v>47</v>
      </c>
      <c r="D95" s="17">
        <v>7028</v>
      </c>
    </row>
    <row r="96" spans="2:6" x14ac:dyDescent="0.25">
      <c r="B96" s="33"/>
      <c r="C96" s="33"/>
      <c r="D96" s="34"/>
    </row>
    <row r="97" spans="2:6" x14ac:dyDescent="0.25">
      <c r="D97" s="25"/>
    </row>
    <row r="98" spans="2:6" s="11" customFormat="1" x14ac:dyDescent="0.25">
      <c r="B98" s="23" t="s">
        <v>81</v>
      </c>
    </row>
    <row r="99" spans="2:6" ht="6.95" customHeight="1" x14ac:dyDescent="0.25"/>
    <row r="100" spans="2:6" x14ac:dyDescent="0.25">
      <c r="B100" s="10" t="s">
        <v>21</v>
      </c>
    </row>
    <row r="101" spans="2:6" ht="6.95" customHeight="1" x14ac:dyDescent="0.25"/>
    <row r="102" spans="2:6" x14ac:dyDescent="0.25">
      <c r="B102" s="20" t="s">
        <v>56</v>
      </c>
      <c r="C102" s="20" t="s">
        <v>50</v>
      </c>
      <c r="D102" s="20" t="s">
        <v>55</v>
      </c>
      <c r="E102" s="20" t="s">
        <v>34</v>
      </c>
    </row>
    <row r="103" spans="2:6" x14ac:dyDescent="0.25">
      <c r="B103" s="21" t="s">
        <v>30</v>
      </c>
      <c r="C103" s="21" t="s">
        <v>46</v>
      </c>
      <c r="D103" s="17">
        <v>1299433</v>
      </c>
      <c r="E103" s="31" t="s">
        <v>82</v>
      </c>
      <c r="F103" s="19" t="s">
        <v>33</v>
      </c>
    </row>
    <row r="104" spans="2:6" x14ac:dyDescent="0.25">
      <c r="B104" s="21" t="s">
        <v>31</v>
      </c>
      <c r="C104" s="21" t="s">
        <v>46</v>
      </c>
      <c r="D104" s="17">
        <v>811636</v>
      </c>
    </row>
    <row r="107" spans="2:6" x14ac:dyDescent="0.25">
      <c r="B107" s="10" t="s">
        <v>74</v>
      </c>
    </row>
    <row r="108" spans="2:6" ht="6.95" customHeight="1" x14ac:dyDescent="0.25"/>
    <row r="109" spans="2:6" x14ac:dyDescent="0.25">
      <c r="B109" s="20" t="s">
        <v>56</v>
      </c>
      <c r="C109" s="24" t="s">
        <v>50</v>
      </c>
      <c r="D109" s="20" t="s">
        <v>55</v>
      </c>
      <c r="E109" s="20" t="s">
        <v>34</v>
      </c>
    </row>
    <row r="110" spans="2:6" x14ac:dyDescent="0.25">
      <c r="B110" s="21" t="s">
        <v>30</v>
      </c>
      <c r="C110" s="21" t="s">
        <v>48</v>
      </c>
      <c r="D110" s="17">
        <v>6</v>
      </c>
      <c r="E110" s="31" t="s">
        <v>83</v>
      </c>
      <c r="F110" s="19" t="s">
        <v>33</v>
      </c>
    </row>
    <row r="111" spans="2:6" x14ac:dyDescent="0.25">
      <c r="B111" s="21" t="s">
        <v>30</v>
      </c>
      <c r="C111" s="21" t="s">
        <v>47</v>
      </c>
      <c r="D111" s="17">
        <v>1</v>
      </c>
    </row>
    <row r="112" spans="2:6" x14ac:dyDescent="0.25">
      <c r="D112" s="25"/>
    </row>
    <row r="113" spans="2:6" x14ac:dyDescent="0.25">
      <c r="D113" s="25"/>
    </row>
    <row r="114" spans="2:6" x14ac:dyDescent="0.25">
      <c r="B114" s="10" t="s">
        <v>75</v>
      </c>
    </row>
    <row r="115" spans="2:6" ht="6.95" customHeight="1" x14ac:dyDescent="0.25"/>
    <row r="116" spans="2:6" x14ac:dyDescent="0.25">
      <c r="B116" s="20" t="s">
        <v>56</v>
      </c>
      <c r="C116" s="24" t="s">
        <v>50</v>
      </c>
      <c r="D116" s="20" t="s">
        <v>55</v>
      </c>
      <c r="E116" s="20" t="s">
        <v>34</v>
      </c>
    </row>
    <row r="117" spans="2:6" x14ac:dyDescent="0.25">
      <c r="B117" s="21" t="s">
        <v>30</v>
      </c>
      <c r="C117" s="21" t="s">
        <v>48</v>
      </c>
      <c r="D117" s="17">
        <v>67077</v>
      </c>
      <c r="E117" s="31" t="s">
        <v>84</v>
      </c>
      <c r="F117" s="19" t="s">
        <v>33</v>
      </c>
    </row>
    <row r="118" spans="2:6" x14ac:dyDescent="0.25">
      <c r="B118" s="21" t="s">
        <v>30</v>
      </c>
      <c r="C118" s="21" t="s">
        <v>47</v>
      </c>
      <c r="D118" s="17">
        <v>7028</v>
      </c>
    </row>
    <row r="119" spans="2:6" x14ac:dyDescent="0.25">
      <c r="D119" s="25"/>
    </row>
    <row r="120" spans="2:6" x14ac:dyDescent="0.25">
      <c r="D120" s="25"/>
    </row>
    <row r="121" spans="2:6" s="11" customFormat="1" x14ac:dyDescent="0.25">
      <c r="B121" s="23" t="s">
        <v>85</v>
      </c>
    </row>
    <row r="122" spans="2:6" ht="6.95" customHeight="1" x14ac:dyDescent="0.25"/>
    <row r="123" spans="2:6" x14ac:dyDescent="0.25">
      <c r="B123" s="22" t="s">
        <v>51</v>
      </c>
    </row>
    <row r="124" spans="2:6" x14ac:dyDescent="0.25">
      <c r="D124" s="25"/>
    </row>
    <row r="125" spans="2:6" x14ac:dyDescent="0.25">
      <c r="D125" s="25"/>
    </row>
    <row r="126" spans="2:6" s="11" customFormat="1" x14ac:dyDescent="0.25">
      <c r="B126" s="23" t="s">
        <v>86</v>
      </c>
    </row>
    <row r="127" spans="2:6" ht="6.95" customHeight="1" x14ac:dyDescent="0.25"/>
    <row r="128" spans="2:6" x14ac:dyDescent="0.25">
      <c r="B128" s="10" t="s">
        <v>21</v>
      </c>
    </row>
    <row r="129" spans="2:6" ht="6.95" customHeight="1" x14ac:dyDescent="0.25"/>
    <row r="130" spans="2:6" x14ac:dyDescent="0.25">
      <c r="B130" s="20" t="s">
        <v>54</v>
      </c>
      <c r="C130" s="20" t="s">
        <v>50</v>
      </c>
      <c r="D130" s="20" t="s">
        <v>55</v>
      </c>
      <c r="E130" s="20" t="s">
        <v>34</v>
      </c>
    </row>
    <row r="131" spans="2:6" x14ac:dyDescent="0.25">
      <c r="B131" s="21" t="s">
        <v>31</v>
      </c>
      <c r="C131" s="21" t="s">
        <v>46</v>
      </c>
      <c r="D131" s="17">
        <v>1729620</v>
      </c>
      <c r="E131" s="31" t="s">
        <v>87</v>
      </c>
      <c r="F131" s="19" t="s">
        <v>33</v>
      </c>
    </row>
    <row r="132" spans="2:6" x14ac:dyDescent="0.25">
      <c r="B132" s="21" t="s">
        <v>30</v>
      </c>
      <c r="C132" s="21" t="s">
        <v>46</v>
      </c>
      <c r="D132" s="17">
        <v>381449</v>
      </c>
    </row>
    <row r="135" spans="2:6" x14ac:dyDescent="0.25">
      <c r="B135" s="10" t="s">
        <v>74</v>
      </c>
    </row>
    <row r="136" spans="2:6" ht="6.95" customHeight="1" x14ac:dyDescent="0.25"/>
    <row r="137" spans="2:6" x14ac:dyDescent="0.25">
      <c r="B137" s="20" t="s">
        <v>54</v>
      </c>
      <c r="C137" s="24" t="s">
        <v>50</v>
      </c>
      <c r="D137" s="20" t="s">
        <v>55</v>
      </c>
      <c r="E137" s="20" t="s">
        <v>34</v>
      </c>
    </row>
    <row r="138" spans="2:6" x14ac:dyDescent="0.25">
      <c r="B138" s="21" t="s">
        <v>30</v>
      </c>
      <c r="C138" s="21" t="s">
        <v>48</v>
      </c>
      <c r="D138" s="17">
        <v>6</v>
      </c>
      <c r="E138" s="31" t="s">
        <v>88</v>
      </c>
      <c r="F138" s="19" t="s">
        <v>33</v>
      </c>
    </row>
    <row r="139" spans="2:6" x14ac:dyDescent="0.25">
      <c r="B139" s="21" t="s">
        <v>30</v>
      </c>
      <c r="C139" s="21" t="s">
        <v>47</v>
      </c>
      <c r="D139" s="17">
        <v>1</v>
      </c>
    </row>
    <row r="140" spans="2:6" x14ac:dyDescent="0.25">
      <c r="D140" s="25"/>
    </row>
    <row r="141" spans="2:6" x14ac:dyDescent="0.25">
      <c r="D141" s="25"/>
    </row>
    <row r="142" spans="2:6" x14ac:dyDescent="0.25">
      <c r="B142" s="10" t="s">
        <v>75</v>
      </c>
    </row>
    <row r="143" spans="2:6" ht="6.95" customHeight="1" x14ac:dyDescent="0.25"/>
    <row r="144" spans="2:6" x14ac:dyDescent="0.25">
      <c r="B144" s="20" t="s">
        <v>54</v>
      </c>
      <c r="C144" s="24" t="s">
        <v>50</v>
      </c>
      <c r="D144" s="20" t="s">
        <v>55</v>
      </c>
      <c r="E144" s="20" t="s">
        <v>34</v>
      </c>
    </row>
    <row r="145" spans="2:14" x14ac:dyDescent="0.25">
      <c r="B145" s="21" t="s">
        <v>30</v>
      </c>
      <c r="C145" s="21" t="s">
        <v>48</v>
      </c>
      <c r="D145" s="17">
        <v>67077</v>
      </c>
      <c r="E145" s="31" t="s">
        <v>89</v>
      </c>
      <c r="F145" s="19" t="s">
        <v>33</v>
      </c>
    </row>
    <row r="146" spans="2:14" x14ac:dyDescent="0.25">
      <c r="B146" s="21" t="s">
        <v>30</v>
      </c>
      <c r="C146" s="21" t="s">
        <v>47</v>
      </c>
      <c r="D146" s="17">
        <v>7028</v>
      </c>
    </row>
    <row r="147" spans="2:14" x14ac:dyDescent="0.25">
      <c r="D147" s="25"/>
    </row>
    <row r="148" spans="2:14" x14ac:dyDescent="0.25">
      <c r="D148" s="25"/>
    </row>
    <row r="149" spans="2:14" s="11" customFormat="1" x14ac:dyDescent="0.25">
      <c r="D149" s="32"/>
    </row>
    <row r="151" spans="2:14" x14ac:dyDescent="0.25">
      <c r="B151" s="20" t="s">
        <v>41</v>
      </c>
    </row>
    <row r="153" spans="2:14" x14ac:dyDescent="0.25">
      <c r="B153" s="22" t="s">
        <v>90</v>
      </c>
    </row>
    <row r="155" spans="2:14" x14ac:dyDescent="0.25">
      <c r="B155" s="21" t="s">
        <v>5</v>
      </c>
      <c r="C155" s="21" t="s">
        <v>7</v>
      </c>
      <c r="D155" s="21" t="s">
        <v>13</v>
      </c>
      <c r="E155" s="21" t="s">
        <v>19</v>
      </c>
    </row>
    <row r="156" spans="2:14" x14ac:dyDescent="0.25">
      <c r="B156" s="21" t="s">
        <v>6</v>
      </c>
      <c r="C156" s="21" t="s">
        <v>10</v>
      </c>
      <c r="D156" s="21" t="s">
        <v>18</v>
      </c>
    </row>
    <row r="158" spans="2:14" x14ac:dyDescent="0.25">
      <c r="B158" s="10" t="s">
        <v>63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 spans="2:14" ht="6.95" customHeight="1" x14ac:dyDescent="0.25"/>
    <row r="160" spans="2:14" x14ac:dyDescent="0.25">
      <c r="B160" s="20" t="s">
        <v>62</v>
      </c>
      <c r="C160" s="20" t="s">
        <v>40</v>
      </c>
      <c r="D160" s="20" t="s">
        <v>39</v>
      </c>
      <c r="E160" s="20" t="s">
        <v>38</v>
      </c>
      <c r="F160" s="20" t="s">
        <v>37</v>
      </c>
      <c r="G160" s="20" t="s">
        <v>36</v>
      </c>
      <c r="H160" s="20" t="s">
        <v>35</v>
      </c>
      <c r="I160" s="20" t="s">
        <v>55</v>
      </c>
      <c r="J160" s="20" t="s">
        <v>34</v>
      </c>
    </row>
    <row r="161" spans="2:11" x14ac:dyDescent="0.25">
      <c r="B161" s="21" t="s">
        <v>30</v>
      </c>
      <c r="C161" s="21" t="s">
        <v>30</v>
      </c>
      <c r="D161" s="21" t="s">
        <v>30</v>
      </c>
      <c r="E161" s="21" t="s">
        <v>31</v>
      </c>
      <c r="F161" s="21" t="s">
        <v>30</v>
      </c>
      <c r="G161" s="21" t="s">
        <v>30</v>
      </c>
      <c r="H161" s="21" t="s">
        <v>30</v>
      </c>
      <c r="I161" s="17">
        <v>1371673</v>
      </c>
      <c r="J161" s="36" t="s">
        <v>114</v>
      </c>
      <c r="K161" s="19" t="s">
        <v>33</v>
      </c>
    </row>
    <row r="162" spans="2:11" x14ac:dyDescent="0.25">
      <c r="B162" s="21" t="s">
        <v>30</v>
      </c>
      <c r="C162" s="21" t="s">
        <v>30</v>
      </c>
      <c r="D162" s="21" t="s">
        <v>30</v>
      </c>
      <c r="E162" s="21" t="s">
        <v>30</v>
      </c>
      <c r="F162" s="21" t="s">
        <v>30</v>
      </c>
      <c r="G162" s="21" t="s">
        <v>30</v>
      </c>
      <c r="H162" s="21" t="s">
        <v>30</v>
      </c>
      <c r="I162" s="17">
        <v>716847</v>
      </c>
    </row>
    <row r="163" spans="2:11" x14ac:dyDescent="0.25">
      <c r="B163" s="21" t="s">
        <v>58</v>
      </c>
      <c r="C163" s="21" t="s">
        <v>58</v>
      </c>
      <c r="D163" s="21" t="s">
        <v>58</v>
      </c>
      <c r="E163" s="21" t="s">
        <v>58</v>
      </c>
      <c r="F163" s="21" t="s">
        <v>58</v>
      </c>
      <c r="G163" s="21" t="s">
        <v>58</v>
      </c>
      <c r="H163" s="21" t="s">
        <v>58</v>
      </c>
      <c r="I163" s="17">
        <v>132289</v>
      </c>
    </row>
    <row r="164" spans="2:11" x14ac:dyDescent="0.25">
      <c r="B164" s="21" t="s">
        <v>30</v>
      </c>
      <c r="C164" s="21" t="s">
        <v>30</v>
      </c>
      <c r="D164" s="21" t="s">
        <v>31</v>
      </c>
      <c r="E164" s="21" t="s">
        <v>30</v>
      </c>
      <c r="F164" s="21" t="s">
        <v>31</v>
      </c>
      <c r="G164" s="21" t="s">
        <v>30</v>
      </c>
      <c r="H164" s="21" t="s">
        <v>30</v>
      </c>
      <c r="I164" s="17">
        <v>46430</v>
      </c>
    </row>
    <row r="165" spans="2:11" x14ac:dyDescent="0.25">
      <c r="B165" s="21" t="s">
        <v>30</v>
      </c>
      <c r="C165" s="21" t="s">
        <v>97</v>
      </c>
      <c r="D165" s="21" t="s">
        <v>97</v>
      </c>
      <c r="E165" s="21" t="s">
        <v>97</v>
      </c>
      <c r="F165" s="21" t="s">
        <v>97</v>
      </c>
      <c r="G165" s="21" t="s">
        <v>97</v>
      </c>
      <c r="H165" s="21" t="s">
        <v>97</v>
      </c>
      <c r="I165" s="17">
        <v>26292</v>
      </c>
    </row>
    <row r="166" spans="2:11" x14ac:dyDescent="0.25">
      <c r="B166" s="21" t="s">
        <v>30</v>
      </c>
      <c r="C166" s="21" t="s">
        <v>30</v>
      </c>
      <c r="D166" s="21" t="s">
        <v>31</v>
      </c>
      <c r="E166" s="21" t="s">
        <v>31</v>
      </c>
      <c r="F166" s="21" t="s">
        <v>30</v>
      </c>
      <c r="G166" s="21" t="s">
        <v>30</v>
      </c>
      <c r="H166" s="21" t="s">
        <v>30</v>
      </c>
      <c r="I166" s="17">
        <v>13904</v>
      </c>
    </row>
    <row r="167" spans="2:11" x14ac:dyDescent="0.25">
      <c r="B167" s="21" t="s">
        <v>30</v>
      </c>
      <c r="C167" s="21" t="s">
        <v>30</v>
      </c>
      <c r="D167" s="21" t="s">
        <v>31</v>
      </c>
      <c r="E167" s="21" t="s">
        <v>30</v>
      </c>
      <c r="F167" s="21" t="s">
        <v>30</v>
      </c>
      <c r="G167" s="21" t="s">
        <v>30</v>
      </c>
      <c r="H167" s="21" t="s">
        <v>30</v>
      </c>
      <c r="I167" s="17">
        <v>8623</v>
      </c>
    </row>
    <row r="168" spans="2:11" x14ac:dyDescent="0.25">
      <c r="B168" s="21" t="s">
        <v>30</v>
      </c>
      <c r="C168" s="21" t="s">
        <v>30</v>
      </c>
      <c r="D168" s="21" t="s">
        <v>31</v>
      </c>
      <c r="E168" s="21" t="s">
        <v>31</v>
      </c>
      <c r="F168" s="21" t="s">
        <v>31</v>
      </c>
      <c r="G168" s="21" t="s">
        <v>30</v>
      </c>
      <c r="H168" s="21" t="s">
        <v>30</v>
      </c>
      <c r="I168" s="17">
        <v>754</v>
      </c>
    </row>
    <row r="169" spans="2:11" x14ac:dyDescent="0.25">
      <c r="B169" s="21" t="s">
        <v>30</v>
      </c>
      <c r="C169" s="21" t="s">
        <v>30</v>
      </c>
      <c r="D169" s="21" t="s">
        <v>31</v>
      </c>
      <c r="E169" s="21" t="s">
        <v>30</v>
      </c>
      <c r="F169" s="21" t="s">
        <v>31</v>
      </c>
      <c r="G169" s="21" t="s">
        <v>31</v>
      </c>
      <c r="H169" s="21" t="s">
        <v>30</v>
      </c>
      <c r="I169" s="17">
        <v>564</v>
      </c>
    </row>
    <row r="170" spans="2:11" x14ac:dyDescent="0.25">
      <c r="B170" s="21" t="s">
        <v>30</v>
      </c>
      <c r="C170" s="21" t="s">
        <v>30</v>
      </c>
      <c r="D170" s="21" t="s">
        <v>31</v>
      </c>
      <c r="E170" s="21" t="s">
        <v>31</v>
      </c>
      <c r="F170" s="21" t="s">
        <v>30</v>
      </c>
      <c r="G170" s="21" t="s">
        <v>30</v>
      </c>
      <c r="H170" s="21" t="s">
        <v>31</v>
      </c>
      <c r="I170" s="17">
        <v>512</v>
      </c>
    </row>
    <row r="171" spans="2:11" x14ac:dyDescent="0.25">
      <c r="B171" s="21" t="s">
        <v>30</v>
      </c>
      <c r="C171" s="21" t="s">
        <v>30</v>
      </c>
      <c r="D171" s="21" t="s">
        <v>31</v>
      </c>
      <c r="E171" s="21" t="s">
        <v>30</v>
      </c>
      <c r="F171" s="21" t="s">
        <v>30</v>
      </c>
      <c r="G171" s="21" t="s">
        <v>30</v>
      </c>
      <c r="H171" s="21" t="s">
        <v>31</v>
      </c>
      <c r="I171" s="17">
        <v>146</v>
      </c>
    </row>
    <row r="172" spans="2:11" x14ac:dyDescent="0.25">
      <c r="B172" s="21" t="s">
        <v>30</v>
      </c>
      <c r="C172" s="21" t="s">
        <v>31</v>
      </c>
      <c r="D172" s="21" t="s">
        <v>31</v>
      </c>
      <c r="E172" s="21" t="s">
        <v>30</v>
      </c>
      <c r="F172" s="21" t="s">
        <v>31</v>
      </c>
      <c r="G172" s="21" t="s">
        <v>30</v>
      </c>
      <c r="H172" s="21" t="s">
        <v>30</v>
      </c>
      <c r="I172" s="17">
        <v>81</v>
      </c>
    </row>
    <row r="173" spans="2:11" x14ac:dyDescent="0.25">
      <c r="B173" s="21" t="s">
        <v>57</v>
      </c>
      <c r="C173" s="21" t="s">
        <v>57</v>
      </c>
      <c r="D173" s="21" t="s">
        <v>57</v>
      </c>
      <c r="E173" s="21" t="s">
        <v>57</v>
      </c>
      <c r="F173" s="21" t="s">
        <v>57</v>
      </c>
      <c r="G173" s="21" t="s">
        <v>57</v>
      </c>
      <c r="H173" s="21" t="s">
        <v>57</v>
      </c>
      <c r="I173" s="17">
        <v>14</v>
      </c>
    </row>
    <row r="174" spans="2:11" x14ac:dyDescent="0.25">
      <c r="B174" s="21" t="s">
        <v>30</v>
      </c>
      <c r="C174" s="21" t="s">
        <v>30</v>
      </c>
      <c r="D174" s="21" t="s">
        <v>30</v>
      </c>
      <c r="E174" s="21" t="s">
        <v>31</v>
      </c>
      <c r="F174" s="21" t="s">
        <v>30</v>
      </c>
      <c r="G174" s="21" t="s">
        <v>30</v>
      </c>
      <c r="H174" s="21" t="s">
        <v>31</v>
      </c>
      <c r="I174" s="17">
        <v>7</v>
      </c>
    </row>
    <row r="175" spans="2:11" x14ac:dyDescent="0.25">
      <c r="B175" s="21" t="s">
        <v>30</v>
      </c>
      <c r="C175" s="21" t="s">
        <v>31</v>
      </c>
      <c r="D175" s="21" t="s">
        <v>31</v>
      </c>
      <c r="E175" s="21" t="s">
        <v>30</v>
      </c>
      <c r="F175" s="21" t="s">
        <v>31</v>
      </c>
      <c r="G175" s="21" t="s">
        <v>31</v>
      </c>
      <c r="H175" s="21" t="s">
        <v>30</v>
      </c>
      <c r="I175" s="17">
        <v>5</v>
      </c>
    </row>
    <row r="176" spans="2:11" x14ac:dyDescent="0.25">
      <c r="B176" s="21" t="s">
        <v>30</v>
      </c>
      <c r="C176" s="21" t="s">
        <v>97</v>
      </c>
      <c r="D176" s="21" t="s">
        <v>97</v>
      </c>
      <c r="E176" s="21" t="s">
        <v>97</v>
      </c>
      <c r="F176" s="21" t="s">
        <v>31</v>
      </c>
      <c r="G176" s="21" t="s">
        <v>97</v>
      </c>
      <c r="H176" s="21" t="s">
        <v>97</v>
      </c>
      <c r="I176" s="17">
        <v>3</v>
      </c>
    </row>
    <row r="177" spans="2:9" x14ac:dyDescent="0.25">
      <c r="B177" s="21" t="s">
        <v>30</v>
      </c>
      <c r="C177" s="21" t="s">
        <v>30</v>
      </c>
      <c r="D177" s="21" t="s">
        <v>31</v>
      </c>
      <c r="E177" s="21" t="s">
        <v>30</v>
      </c>
      <c r="F177" s="21" t="s">
        <v>30</v>
      </c>
      <c r="G177" s="21" t="s">
        <v>31</v>
      </c>
      <c r="H177" s="21" t="s">
        <v>30</v>
      </c>
      <c r="I177" s="17">
        <v>3</v>
      </c>
    </row>
    <row r="178" spans="2:9" x14ac:dyDescent="0.25">
      <c r="B178" s="21" t="s">
        <v>30</v>
      </c>
      <c r="C178" s="21" t="s">
        <v>31</v>
      </c>
      <c r="D178" s="21" t="s">
        <v>31</v>
      </c>
      <c r="E178" s="21" t="s">
        <v>31</v>
      </c>
      <c r="F178" s="21" t="s">
        <v>31</v>
      </c>
      <c r="G178" s="21" t="s">
        <v>30</v>
      </c>
      <c r="H178" s="21" t="s">
        <v>30</v>
      </c>
      <c r="I178" s="17">
        <v>2</v>
      </c>
    </row>
    <row r="179" spans="2:9" x14ac:dyDescent="0.25">
      <c r="B179" s="21" t="s">
        <v>30</v>
      </c>
      <c r="C179" s="21" t="s">
        <v>30</v>
      </c>
      <c r="D179" s="21" t="s">
        <v>30</v>
      </c>
      <c r="E179" s="21" t="s">
        <v>30</v>
      </c>
      <c r="F179" s="21" t="s">
        <v>30</v>
      </c>
      <c r="G179" s="21" t="s">
        <v>30</v>
      </c>
      <c r="H179" s="21" t="s">
        <v>31</v>
      </c>
      <c r="I179" s="17">
        <v>2</v>
      </c>
    </row>
    <row r="180" spans="2:9" x14ac:dyDescent="0.25">
      <c r="B180" s="21" t="s">
        <v>30</v>
      </c>
      <c r="C180" s="21" t="s">
        <v>31</v>
      </c>
      <c r="D180" s="21" t="s">
        <v>31</v>
      </c>
      <c r="E180" s="21" t="s">
        <v>30</v>
      </c>
      <c r="F180" s="21" t="s">
        <v>30</v>
      </c>
      <c r="G180" s="21" t="s">
        <v>30</v>
      </c>
      <c r="H180" s="21" t="s">
        <v>30</v>
      </c>
      <c r="I180" s="17">
        <v>1</v>
      </c>
    </row>
    <row r="183" spans="2:9" s="11" customFormat="1" x14ac:dyDescent="0.25">
      <c r="B183" s="23" t="s">
        <v>91</v>
      </c>
    </row>
    <row r="184" spans="2:9" ht="6.95" customHeight="1" x14ac:dyDescent="0.25"/>
    <row r="185" spans="2:9" x14ac:dyDescent="0.25">
      <c r="B185" s="10" t="s">
        <v>21</v>
      </c>
    </row>
    <row r="186" spans="2:9" ht="6.95" customHeight="1" x14ac:dyDescent="0.25"/>
    <row r="187" spans="2:9" x14ac:dyDescent="0.25">
      <c r="B187" s="20" t="s">
        <v>40</v>
      </c>
      <c r="C187" s="20" t="s">
        <v>50</v>
      </c>
      <c r="D187" s="20" t="s">
        <v>55</v>
      </c>
      <c r="E187" s="20" t="s">
        <v>34</v>
      </c>
    </row>
    <row r="188" spans="2:9" x14ac:dyDescent="0.25">
      <c r="B188" s="21" t="s">
        <v>30</v>
      </c>
      <c r="C188" s="21" t="s">
        <v>46</v>
      </c>
      <c r="D188" s="17">
        <v>2111469</v>
      </c>
      <c r="E188" s="31" t="s">
        <v>98</v>
      </c>
      <c r="F188" s="19" t="s">
        <v>33</v>
      </c>
    </row>
    <row r="191" spans="2:9" x14ac:dyDescent="0.25">
      <c r="B191" s="10" t="s">
        <v>74</v>
      </c>
    </row>
    <row r="192" spans="2:9" ht="6.95" customHeight="1" x14ac:dyDescent="0.25"/>
    <row r="193" spans="2:6" x14ac:dyDescent="0.25">
      <c r="B193" s="20" t="s">
        <v>40</v>
      </c>
      <c r="C193" s="24" t="s">
        <v>50</v>
      </c>
      <c r="D193" s="20" t="s">
        <v>55</v>
      </c>
      <c r="E193" s="20" t="s">
        <v>34</v>
      </c>
    </row>
    <row r="194" spans="2:6" x14ac:dyDescent="0.25">
      <c r="B194" s="21" t="s">
        <v>30</v>
      </c>
      <c r="C194" s="21" t="s">
        <v>48</v>
      </c>
      <c r="D194" s="17">
        <v>4</v>
      </c>
      <c r="E194" s="31" t="s">
        <v>99</v>
      </c>
      <c r="F194" s="19" t="s">
        <v>33</v>
      </c>
    </row>
    <row r="195" spans="2:6" x14ac:dyDescent="0.25">
      <c r="D195" s="25"/>
    </row>
    <row r="196" spans="2:6" x14ac:dyDescent="0.25">
      <c r="D196" s="25"/>
    </row>
    <row r="197" spans="2:6" x14ac:dyDescent="0.25">
      <c r="B197" s="10" t="s">
        <v>75</v>
      </c>
    </row>
    <row r="198" spans="2:6" ht="6.95" customHeight="1" x14ac:dyDescent="0.25"/>
    <row r="199" spans="2:6" x14ac:dyDescent="0.25">
      <c r="B199" s="20" t="s">
        <v>40</v>
      </c>
      <c r="C199" s="24" t="s">
        <v>50</v>
      </c>
      <c r="D199" s="20" t="s">
        <v>55</v>
      </c>
      <c r="E199" s="20" t="s">
        <v>34</v>
      </c>
    </row>
    <row r="200" spans="2:6" x14ac:dyDescent="0.25">
      <c r="B200" s="21" t="s">
        <v>30</v>
      </c>
      <c r="C200" s="21" t="s">
        <v>48</v>
      </c>
      <c r="D200" s="17">
        <v>44234</v>
      </c>
      <c r="E200" s="31" t="s">
        <v>100</v>
      </c>
      <c r="F200" s="19" t="s">
        <v>33</v>
      </c>
    </row>
    <row r="201" spans="2:6" x14ac:dyDescent="0.25">
      <c r="B201" s="21" t="s">
        <v>30</v>
      </c>
      <c r="C201" s="21" t="s">
        <v>47</v>
      </c>
      <c r="D201" s="17">
        <v>3758</v>
      </c>
    </row>
    <row r="202" spans="2:6" x14ac:dyDescent="0.25">
      <c r="B202" s="21" t="s">
        <v>31</v>
      </c>
      <c r="C202" s="21" t="s">
        <v>48</v>
      </c>
      <c r="D202" s="17">
        <v>89</v>
      </c>
    </row>
    <row r="205" spans="2:6" s="11" customFormat="1" x14ac:dyDescent="0.25">
      <c r="B205" s="23" t="s">
        <v>92</v>
      </c>
    </row>
    <row r="206" spans="2:6" ht="6.95" customHeight="1" x14ac:dyDescent="0.25"/>
    <row r="207" spans="2:6" x14ac:dyDescent="0.25">
      <c r="B207" s="10" t="s">
        <v>21</v>
      </c>
    </row>
    <row r="208" spans="2:6" ht="6.95" customHeight="1" x14ac:dyDescent="0.25"/>
    <row r="209" spans="2:6" x14ac:dyDescent="0.25">
      <c r="B209" s="20" t="s">
        <v>39</v>
      </c>
      <c r="C209" s="20" t="s">
        <v>50</v>
      </c>
      <c r="D209" s="20" t="s">
        <v>55</v>
      </c>
      <c r="E209" s="20" t="s">
        <v>34</v>
      </c>
    </row>
    <row r="210" spans="2:6" x14ac:dyDescent="0.25">
      <c r="B210" s="21" t="s">
        <v>30</v>
      </c>
      <c r="C210" s="21" t="s">
        <v>46</v>
      </c>
      <c r="D210" s="17">
        <v>2088529</v>
      </c>
      <c r="E210" s="31" t="s">
        <v>101</v>
      </c>
      <c r="F210" s="19" t="s">
        <v>33</v>
      </c>
    </row>
    <row r="211" spans="2:6" x14ac:dyDescent="0.25">
      <c r="B211" s="21" t="s">
        <v>31</v>
      </c>
      <c r="C211" s="21" t="s">
        <v>46</v>
      </c>
      <c r="D211" s="17">
        <v>22940</v>
      </c>
    </row>
    <row r="214" spans="2:6" x14ac:dyDescent="0.25">
      <c r="B214" s="10" t="s">
        <v>74</v>
      </c>
    </row>
    <row r="215" spans="2:6" ht="6.95" customHeight="1" x14ac:dyDescent="0.25"/>
    <row r="216" spans="2:6" x14ac:dyDescent="0.25">
      <c r="B216" s="20" t="s">
        <v>39</v>
      </c>
      <c r="C216" s="24" t="s">
        <v>50</v>
      </c>
      <c r="D216" s="20" t="s">
        <v>55</v>
      </c>
      <c r="E216" s="20" t="s">
        <v>34</v>
      </c>
    </row>
    <row r="217" spans="2:6" x14ac:dyDescent="0.25">
      <c r="B217" s="21" t="s">
        <v>31</v>
      </c>
      <c r="C217" s="21" t="s">
        <v>48</v>
      </c>
      <c r="D217" s="17">
        <v>4</v>
      </c>
      <c r="E217" s="31" t="s">
        <v>102</v>
      </c>
      <c r="F217" s="19" t="s">
        <v>33</v>
      </c>
    </row>
    <row r="218" spans="2:6" x14ac:dyDescent="0.25">
      <c r="D218" s="25"/>
    </row>
    <row r="219" spans="2:6" x14ac:dyDescent="0.25">
      <c r="D219" s="25"/>
    </row>
    <row r="220" spans="2:6" x14ac:dyDescent="0.25">
      <c r="B220" s="10" t="s">
        <v>75</v>
      </c>
    </row>
    <row r="221" spans="2:6" ht="6.95" customHeight="1" x14ac:dyDescent="0.25"/>
    <row r="222" spans="2:6" x14ac:dyDescent="0.25">
      <c r="B222" s="20" t="s">
        <v>39</v>
      </c>
      <c r="C222" s="24" t="s">
        <v>50</v>
      </c>
      <c r="D222" s="20" t="s">
        <v>55</v>
      </c>
      <c r="E222" s="20" t="s">
        <v>34</v>
      </c>
    </row>
    <row r="223" spans="2:6" x14ac:dyDescent="0.25">
      <c r="B223" s="21" t="s">
        <v>31</v>
      </c>
      <c r="C223" s="21" t="s">
        <v>48</v>
      </c>
      <c r="D223" s="17">
        <v>44323</v>
      </c>
      <c r="E223" s="31" t="s">
        <v>101</v>
      </c>
      <c r="F223" s="19" t="s">
        <v>33</v>
      </c>
    </row>
    <row r="224" spans="2:6" x14ac:dyDescent="0.25">
      <c r="B224" s="21" t="s">
        <v>31</v>
      </c>
      <c r="C224" s="21" t="s">
        <v>47</v>
      </c>
      <c r="D224" s="17">
        <v>3758</v>
      </c>
    </row>
    <row r="227" spans="2:6" s="11" customFormat="1" x14ac:dyDescent="0.25">
      <c r="B227" s="23" t="s">
        <v>93</v>
      </c>
    </row>
    <row r="228" spans="2:6" ht="6.95" customHeight="1" x14ac:dyDescent="0.25"/>
    <row r="229" spans="2:6" x14ac:dyDescent="0.25">
      <c r="B229" s="10" t="s">
        <v>21</v>
      </c>
    </row>
    <row r="230" spans="2:6" ht="6.95" customHeight="1" x14ac:dyDescent="0.25"/>
    <row r="231" spans="2:6" x14ac:dyDescent="0.25">
      <c r="B231" s="20" t="s">
        <v>38</v>
      </c>
      <c r="C231" s="20" t="s">
        <v>50</v>
      </c>
      <c r="D231" s="20" t="s">
        <v>55</v>
      </c>
      <c r="E231" s="20" t="s">
        <v>34</v>
      </c>
    </row>
    <row r="232" spans="2:6" x14ac:dyDescent="0.25">
      <c r="B232" s="21" t="s">
        <v>31</v>
      </c>
      <c r="C232" s="21" t="s">
        <v>46</v>
      </c>
      <c r="D232" s="17">
        <v>1386096</v>
      </c>
      <c r="E232" s="31" t="s">
        <v>103</v>
      </c>
      <c r="F232" s="19" t="s">
        <v>33</v>
      </c>
    </row>
    <row r="233" spans="2:6" x14ac:dyDescent="0.25">
      <c r="B233" s="21" t="s">
        <v>30</v>
      </c>
      <c r="C233" s="21" t="s">
        <v>46</v>
      </c>
      <c r="D233" s="17">
        <v>725373</v>
      </c>
    </row>
    <row r="236" spans="2:6" x14ac:dyDescent="0.25">
      <c r="B236" s="10" t="s">
        <v>74</v>
      </c>
    </row>
    <row r="237" spans="2:6" ht="6.95" customHeight="1" x14ac:dyDescent="0.25"/>
    <row r="238" spans="2:6" x14ac:dyDescent="0.25">
      <c r="B238" s="20" t="s">
        <v>38</v>
      </c>
      <c r="C238" s="20" t="s">
        <v>50</v>
      </c>
      <c r="D238" s="20" t="s">
        <v>55</v>
      </c>
      <c r="E238" s="20" t="s">
        <v>34</v>
      </c>
    </row>
    <row r="239" spans="2:6" x14ac:dyDescent="0.25">
      <c r="B239" s="21" t="s">
        <v>30</v>
      </c>
      <c r="C239" s="21" t="s">
        <v>48</v>
      </c>
      <c r="D239" s="17">
        <v>4</v>
      </c>
      <c r="E239" s="31" t="s">
        <v>104</v>
      </c>
      <c r="F239" s="19" t="s">
        <v>33</v>
      </c>
    </row>
    <row r="240" spans="2:6" x14ac:dyDescent="0.25">
      <c r="D240" s="25"/>
    </row>
    <row r="241" spans="2:6" x14ac:dyDescent="0.25">
      <c r="D241" s="25"/>
    </row>
    <row r="242" spans="2:6" x14ac:dyDescent="0.25">
      <c r="B242" s="10" t="s">
        <v>75</v>
      </c>
    </row>
    <row r="243" spans="2:6" ht="6.95" customHeight="1" x14ac:dyDescent="0.25"/>
    <row r="244" spans="2:6" x14ac:dyDescent="0.25">
      <c r="B244" s="20" t="s">
        <v>38</v>
      </c>
      <c r="C244" s="20" t="s">
        <v>50</v>
      </c>
      <c r="D244" s="20" t="s">
        <v>55</v>
      </c>
      <c r="E244" s="20" t="s">
        <v>34</v>
      </c>
    </row>
    <row r="245" spans="2:6" x14ac:dyDescent="0.25">
      <c r="B245" s="21" t="s">
        <v>30</v>
      </c>
      <c r="C245" s="21" t="s">
        <v>48</v>
      </c>
      <c r="D245" s="17">
        <v>43567</v>
      </c>
      <c r="E245" s="31" t="s">
        <v>105</v>
      </c>
      <c r="F245" s="19" t="s">
        <v>33</v>
      </c>
    </row>
    <row r="246" spans="2:6" x14ac:dyDescent="0.25">
      <c r="B246" s="21" t="s">
        <v>30</v>
      </c>
      <c r="C246" s="21" t="s">
        <v>47</v>
      </c>
      <c r="D246" s="17">
        <v>3758</v>
      </c>
    </row>
    <row r="247" spans="2:6" x14ac:dyDescent="0.25">
      <c r="B247" s="21" t="s">
        <v>31</v>
      </c>
      <c r="C247" s="21" t="s">
        <v>48</v>
      </c>
      <c r="D247" s="17">
        <v>756</v>
      </c>
    </row>
    <row r="250" spans="2:6" s="11" customFormat="1" x14ac:dyDescent="0.25">
      <c r="B250" s="23" t="s">
        <v>94</v>
      </c>
    </row>
    <row r="251" spans="2:6" ht="6.95" customHeight="1" x14ac:dyDescent="0.25"/>
    <row r="252" spans="2:6" x14ac:dyDescent="0.25">
      <c r="B252" s="10" t="s">
        <v>21</v>
      </c>
    </row>
    <row r="253" spans="2:6" ht="6.95" customHeight="1" x14ac:dyDescent="0.25"/>
    <row r="254" spans="2:6" x14ac:dyDescent="0.25">
      <c r="B254" s="20" t="s">
        <v>37</v>
      </c>
      <c r="C254" s="20" t="s">
        <v>50</v>
      </c>
      <c r="D254" s="20" t="s">
        <v>55</v>
      </c>
      <c r="E254" s="20" t="s">
        <v>34</v>
      </c>
    </row>
    <row r="255" spans="2:6" x14ac:dyDescent="0.25">
      <c r="B255" s="21" t="s">
        <v>30</v>
      </c>
      <c r="C255" s="21" t="s">
        <v>46</v>
      </c>
      <c r="D255" s="17">
        <v>2111469</v>
      </c>
      <c r="E255" s="31" t="s">
        <v>106</v>
      </c>
      <c r="F255" s="19" t="s">
        <v>33</v>
      </c>
    </row>
    <row r="258" spans="2:6" x14ac:dyDescent="0.25">
      <c r="B258" s="10" t="s">
        <v>74</v>
      </c>
    </row>
    <row r="259" spans="2:6" ht="6.95" customHeight="1" x14ac:dyDescent="0.25"/>
    <row r="260" spans="2:6" x14ac:dyDescent="0.25">
      <c r="B260" s="20" t="s">
        <v>37</v>
      </c>
      <c r="C260" s="20" t="s">
        <v>50</v>
      </c>
      <c r="D260" s="20" t="s">
        <v>55</v>
      </c>
      <c r="E260" s="20" t="s">
        <v>34</v>
      </c>
    </row>
    <row r="261" spans="2:6" x14ac:dyDescent="0.25">
      <c r="B261" s="21" t="s">
        <v>31</v>
      </c>
      <c r="C261" s="21" t="s">
        <v>48</v>
      </c>
      <c r="D261" s="17">
        <v>6</v>
      </c>
      <c r="E261" s="31" t="s">
        <v>107</v>
      </c>
      <c r="F261" s="19" t="s">
        <v>33</v>
      </c>
    </row>
    <row r="262" spans="2:6" x14ac:dyDescent="0.25">
      <c r="B262" s="21" t="s">
        <v>31</v>
      </c>
      <c r="C262" s="21" t="s">
        <v>47</v>
      </c>
      <c r="D262" s="17">
        <v>1</v>
      </c>
    </row>
    <row r="263" spans="2:6" x14ac:dyDescent="0.25">
      <c r="D263" s="25"/>
    </row>
    <row r="264" spans="2:6" x14ac:dyDescent="0.25">
      <c r="B264" s="10" t="s">
        <v>75</v>
      </c>
    </row>
    <row r="265" spans="2:6" ht="6.95" customHeight="1" x14ac:dyDescent="0.25"/>
    <row r="266" spans="2:6" x14ac:dyDescent="0.25">
      <c r="B266" s="20" t="s">
        <v>37</v>
      </c>
      <c r="C266" s="20" t="s">
        <v>50</v>
      </c>
      <c r="D266" s="20" t="s">
        <v>55</v>
      </c>
      <c r="E266" s="20" t="s">
        <v>34</v>
      </c>
    </row>
    <row r="267" spans="2:6" x14ac:dyDescent="0.25">
      <c r="B267" s="21" t="s">
        <v>31</v>
      </c>
      <c r="C267" s="21" t="s">
        <v>48</v>
      </c>
      <c r="D267" s="17">
        <v>44096</v>
      </c>
      <c r="E267" s="31" t="s">
        <v>106</v>
      </c>
      <c r="F267" s="19" t="s">
        <v>33</v>
      </c>
    </row>
    <row r="268" spans="2:6" x14ac:dyDescent="0.25">
      <c r="B268" s="21" t="s">
        <v>31</v>
      </c>
      <c r="C268" s="21" t="s">
        <v>47</v>
      </c>
      <c r="D268" s="17">
        <v>3736</v>
      </c>
    </row>
    <row r="269" spans="2:6" x14ac:dyDescent="0.25">
      <c r="B269" s="21" t="s">
        <v>30</v>
      </c>
      <c r="C269" s="21" t="s">
        <v>48</v>
      </c>
      <c r="D269" s="17">
        <v>227</v>
      </c>
    </row>
    <row r="270" spans="2:6" x14ac:dyDescent="0.25">
      <c r="B270" s="21" t="s">
        <v>30</v>
      </c>
      <c r="C270" s="21" t="s">
        <v>47</v>
      </c>
      <c r="D270" s="17">
        <v>22</v>
      </c>
    </row>
    <row r="273" spans="2:6" s="11" customFormat="1" x14ac:dyDescent="0.25">
      <c r="B273" s="23" t="s">
        <v>95</v>
      </c>
    </row>
    <row r="274" spans="2:6" ht="6.95" customHeight="1" x14ac:dyDescent="0.25"/>
    <row r="275" spans="2:6" x14ac:dyDescent="0.25">
      <c r="B275" s="10" t="s">
        <v>21</v>
      </c>
    </row>
    <row r="276" spans="2:6" ht="6.95" customHeight="1" x14ac:dyDescent="0.25"/>
    <row r="277" spans="2:6" x14ac:dyDescent="0.25">
      <c r="B277" s="20" t="s">
        <v>36</v>
      </c>
      <c r="C277" s="20" t="s">
        <v>50</v>
      </c>
      <c r="D277" s="20" t="s">
        <v>55</v>
      </c>
      <c r="E277" s="20" t="s">
        <v>34</v>
      </c>
    </row>
    <row r="278" spans="2:6" x14ac:dyDescent="0.25">
      <c r="B278" s="21" t="s">
        <v>30</v>
      </c>
      <c r="C278" s="21" t="s">
        <v>46</v>
      </c>
      <c r="D278" s="17">
        <v>2111469</v>
      </c>
      <c r="E278" s="31" t="s">
        <v>108</v>
      </c>
      <c r="F278" s="19" t="s">
        <v>33</v>
      </c>
    </row>
    <row r="281" spans="2:6" x14ac:dyDescent="0.25">
      <c r="B281" s="10" t="s">
        <v>74</v>
      </c>
    </row>
    <row r="282" spans="2:6" ht="6.95" customHeight="1" x14ac:dyDescent="0.25"/>
    <row r="283" spans="2:6" x14ac:dyDescent="0.25">
      <c r="B283" s="20" t="s">
        <v>36</v>
      </c>
      <c r="C283" s="20" t="s">
        <v>50</v>
      </c>
      <c r="D283" s="20" t="s">
        <v>55</v>
      </c>
      <c r="E283" s="20" t="s">
        <v>34</v>
      </c>
    </row>
    <row r="284" spans="2:6" x14ac:dyDescent="0.25">
      <c r="B284" s="21" t="s">
        <v>30</v>
      </c>
      <c r="C284" s="21" t="s">
        <v>48</v>
      </c>
      <c r="D284" s="17">
        <v>4</v>
      </c>
      <c r="E284" s="31" t="s">
        <v>109</v>
      </c>
      <c r="F284" s="19" t="s">
        <v>33</v>
      </c>
    </row>
    <row r="285" spans="2:6" x14ac:dyDescent="0.25">
      <c r="D285" s="25"/>
    </row>
    <row r="286" spans="2:6" x14ac:dyDescent="0.25">
      <c r="B286" s="10" t="s">
        <v>75</v>
      </c>
    </row>
    <row r="287" spans="2:6" ht="6.95" customHeight="1" x14ac:dyDescent="0.25"/>
    <row r="288" spans="2:6" x14ac:dyDescent="0.25">
      <c r="B288" s="20" t="s">
        <v>36</v>
      </c>
      <c r="C288" s="20" t="s">
        <v>50</v>
      </c>
      <c r="D288" s="20" t="s">
        <v>55</v>
      </c>
      <c r="E288" s="20" t="s">
        <v>34</v>
      </c>
    </row>
    <row r="289" spans="2:6" x14ac:dyDescent="0.25">
      <c r="B289" s="21" t="s">
        <v>30</v>
      </c>
      <c r="C289" s="21" t="s">
        <v>48</v>
      </c>
      <c r="D289" s="17">
        <v>44015</v>
      </c>
      <c r="E289" s="31" t="s">
        <v>110</v>
      </c>
      <c r="F289" s="19" t="s">
        <v>33</v>
      </c>
    </row>
    <row r="290" spans="2:6" x14ac:dyDescent="0.25">
      <c r="B290" s="21" t="s">
        <v>30</v>
      </c>
      <c r="C290" s="21" t="s">
        <v>47</v>
      </c>
      <c r="D290" s="17">
        <v>3494</v>
      </c>
    </row>
    <row r="291" spans="2:6" x14ac:dyDescent="0.25">
      <c r="B291" s="21" t="s">
        <v>31</v>
      </c>
      <c r="C291" s="21" t="s">
        <v>48</v>
      </c>
      <c r="D291" s="17">
        <v>308</v>
      </c>
    </row>
    <row r="292" spans="2:6" x14ac:dyDescent="0.25">
      <c r="B292" s="21" t="s">
        <v>31</v>
      </c>
      <c r="C292" s="21" t="s">
        <v>47</v>
      </c>
      <c r="D292" s="17">
        <v>264</v>
      </c>
    </row>
    <row r="295" spans="2:6" s="11" customFormat="1" x14ac:dyDescent="0.25">
      <c r="B295" s="23" t="s">
        <v>96</v>
      </c>
    </row>
    <row r="296" spans="2:6" ht="6.95" customHeight="1" x14ac:dyDescent="0.25"/>
    <row r="297" spans="2:6" x14ac:dyDescent="0.25">
      <c r="B297" s="10" t="s">
        <v>21</v>
      </c>
    </row>
    <row r="298" spans="2:6" ht="6.95" customHeight="1" x14ac:dyDescent="0.25"/>
    <row r="299" spans="2:6" x14ac:dyDescent="0.25">
      <c r="B299" s="20" t="s">
        <v>35</v>
      </c>
      <c r="C299" s="20" t="s">
        <v>50</v>
      </c>
      <c r="D299" s="20" t="s">
        <v>55</v>
      </c>
      <c r="E299" s="20" t="s">
        <v>34</v>
      </c>
    </row>
    <row r="300" spans="2:6" x14ac:dyDescent="0.25">
      <c r="B300" s="21" t="s">
        <v>30</v>
      </c>
      <c r="C300" s="21" t="s">
        <v>46</v>
      </c>
      <c r="D300" s="17">
        <v>2110802</v>
      </c>
      <c r="E300" s="31" t="s">
        <v>111</v>
      </c>
      <c r="F300" s="19" t="s">
        <v>33</v>
      </c>
    </row>
    <row r="301" spans="2:6" x14ac:dyDescent="0.25">
      <c r="B301" s="21" t="s">
        <v>31</v>
      </c>
      <c r="C301" s="21" t="s">
        <v>46</v>
      </c>
      <c r="D301" s="17">
        <v>667</v>
      </c>
    </row>
    <row r="303" spans="2:6" x14ac:dyDescent="0.25">
      <c r="B303" s="10" t="s">
        <v>74</v>
      </c>
    </row>
    <row r="304" spans="2:6" ht="6.95" customHeight="1" x14ac:dyDescent="0.25"/>
    <row r="305" spans="2:6" x14ac:dyDescent="0.25">
      <c r="B305" s="20" t="s">
        <v>35</v>
      </c>
      <c r="C305" s="20" t="s">
        <v>50</v>
      </c>
      <c r="D305" s="20" t="s">
        <v>55</v>
      </c>
      <c r="E305" s="20" t="s">
        <v>34</v>
      </c>
    </row>
    <row r="306" spans="2:6" x14ac:dyDescent="0.25">
      <c r="B306" s="21" t="s">
        <v>30</v>
      </c>
      <c r="C306" s="21" t="s">
        <v>48</v>
      </c>
      <c r="D306" s="17">
        <v>4</v>
      </c>
      <c r="E306" s="31" t="s">
        <v>112</v>
      </c>
      <c r="F306" s="19" t="s">
        <v>33</v>
      </c>
    </row>
    <row r="307" spans="2:6" x14ac:dyDescent="0.25">
      <c r="D307" s="25"/>
    </row>
    <row r="308" spans="2:6" x14ac:dyDescent="0.25">
      <c r="B308" s="10" t="s">
        <v>75</v>
      </c>
    </row>
    <row r="309" spans="2:6" ht="6.95" customHeight="1" x14ac:dyDescent="0.25"/>
    <row r="310" spans="2:6" x14ac:dyDescent="0.25">
      <c r="B310" s="20" t="s">
        <v>35</v>
      </c>
      <c r="C310" s="20" t="s">
        <v>50</v>
      </c>
      <c r="D310" s="20" t="s">
        <v>55</v>
      </c>
      <c r="E310" s="20" t="s">
        <v>34</v>
      </c>
    </row>
    <row r="311" spans="2:6" x14ac:dyDescent="0.25">
      <c r="B311" s="21" t="s">
        <v>30</v>
      </c>
      <c r="C311" s="21" t="s">
        <v>48</v>
      </c>
      <c r="D311" s="17">
        <v>44323</v>
      </c>
      <c r="E311" s="31" t="s">
        <v>113</v>
      </c>
      <c r="F311" s="19" t="s">
        <v>33</v>
      </c>
    </row>
    <row r="312" spans="2:6" x14ac:dyDescent="0.25">
      <c r="B312" s="21" t="s">
        <v>30</v>
      </c>
      <c r="C312" s="21" t="s">
        <v>47</v>
      </c>
      <c r="D312" s="17">
        <v>3758</v>
      </c>
    </row>
    <row r="315" spans="2:6" x14ac:dyDescent="0.25">
      <c r="B315" s="22" t="s">
        <v>115</v>
      </c>
    </row>
    <row r="316" spans="2:6" x14ac:dyDescent="0.25">
      <c r="B316" s="37" t="s">
        <v>116</v>
      </c>
      <c r="C316" s="19" t="s">
        <v>33</v>
      </c>
    </row>
  </sheetData>
  <conditionalFormatting sqref="B28">
    <cfRule type="cellIs" dxfId="39" priority="35" operator="equal">
      <formula>"ver"</formula>
    </cfRule>
    <cfRule type="cellIs" dxfId="38" priority="36" operator="equal">
      <formula>"nok"</formula>
    </cfRule>
  </conditionalFormatting>
  <conditionalFormatting sqref="B33">
    <cfRule type="cellIs" dxfId="37" priority="33" operator="equal">
      <formula>"ver"</formula>
    </cfRule>
    <cfRule type="cellIs" dxfId="36" priority="34" operator="equal">
      <formula>"nok"</formula>
    </cfRule>
  </conditionalFormatting>
  <conditionalFormatting sqref="B38">
    <cfRule type="cellIs" dxfId="35" priority="31" operator="equal">
      <formula>"ver"</formula>
    </cfRule>
    <cfRule type="cellIs" dxfId="34" priority="32" operator="equal">
      <formula>"nok"</formula>
    </cfRule>
  </conditionalFormatting>
  <conditionalFormatting sqref="B43">
    <cfRule type="cellIs" dxfId="33" priority="29" operator="equal">
      <formula>"ver"</formula>
    </cfRule>
    <cfRule type="cellIs" dxfId="32" priority="30" operator="equal">
      <formula>"nok"</formula>
    </cfRule>
  </conditionalFormatting>
  <conditionalFormatting sqref="B48">
    <cfRule type="cellIs" dxfId="31" priority="39" operator="equal">
      <formula>"ver"</formula>
    </cfRule>
    <cfRule type="cellIs" dxfId="30" priority="40" operator="equal">
      <formula>"nok"</formula>
    </cfRule>
  </conditionalFormatting>
  <conditionalFormatting sqref="B71">
    <cfRule type="cellIs" dxfId="29" priority="25" operator="equal">
      <formula>"ver"</formula>
    </cfRule>
    <cfRule type="cellIs" dxfId="28" priority="26" operator="equal">
      <formula>"nok"</formula>
    </cfRule>
  </conditionalFormatting>
  <conditionalFormatting sqref="B75">
    <cfRule type="cellIs" dxfId="27" priority="23" operator="equal">
      <formula>"ver"</formula>
    </cfRule>
    <cfRule type="cellIs" dxfId="26" priority="24" operator="equal">
      <formula>"nok"</formula>
    </cfRule>
  </conditionalFormatting>
  <conditionalFormatting sqref="B98">
    <cfRule type="cellIs" dxfId="25" priority="21" operator="equal">
      <formula>"ver"</formula>
    </cfRule>
    <cfRule type="cellIs" dxfId="24" priority="22" operator="equal">
      <formula>"nok"</formula>
    </cfRule>
  </conditionalFormatting>
  <conditionalFormatting sqref="B121">
    <cfRule type="cellIs" dxfId="23" priority="19" operator="equal">
      <formula>"ver"</formula>
    </cfRule>
    <cfRule type="cellIs" dxfId="22" priority="20" operator="equal">
      <formula>"nok"</formula>
    </cfRule>
  </conditionalFormatting>
  <conditionalFormatting sqref="B126">
    <cfRule type="cellIs" dxfId="21" priority="18" operator="equal">
      <formula>"nok"</formula>
    </cfRule>
    <cfRule type="cellIs" dxfId="20" priority="17" operator="equal">
      <formula>"ver"</formula>
    </cfRule>
  </conditionalFormatting>
  <conditionalFormatting sqref="B183">
    <cfRule type="cellIs" dxfId="19" priority="12" operator="equal">
      <formula>"ver"</formula>
    </cfRule>
    <cfRule type="cellIs" dxfId="18" priority="13" operator="equal">
      <formula>"nok"</formula>
    </cfRule>
  </conditionalFormatting>
  <conditionalFormatting sqref="B205">
    <cfRule type="cellIs" dxfId="17" priority="10" operator="equal">
      <formula>"ver"</formula>
    </cfRule>
    <cfRule type="cellIs" dxfId="16" priority="11" operator="equal">
      <formula>"nok"</formula>
    </cfRule>
  </conditionalFormatting>
  <conditionalFormatting sqref="B227">
    <cfRule type="cellIs" dxfId="15" priority="8" operator="equal">
      <formula>"ver"</formula>
    </cfRule>
    <cfRule type="cellIs" dxfId="14" priority="9" operator="equal">
      <formula>"nok"</formula>
    </cfRule>
  </conditionalFormatting>
  <conditionalFormatting sqref="B250">
    <cfRule type="cellIs" dxfId="13" priority="6" operator="equal">
      <formula>"ver"</formula>
    </cfRule>
    <cfRule type="cellIs" dxfId="12" priority="7" operator="equal">
      <formula>"nok"</formula>
    </cfRule>
  </conditionalFormatting>
  <conditionalFormatting sqref="B273">
    <cfRule type="cellIs" dxfId="11" priority="4" operator="equal">
      <formula>"ver"</formula>
    </cfRule>
    <cfRule type="cellIs" dxfId="10" priority="5" operator="equal">
      <formula>"nok"</formula>
    </cfRule>
  </conditionalFormatting>
  <conditionalFormatting sqref="B295">
    <cfRule type="cellIs" dxfId="9" priority="2" operator="equal">
      <formula>"ver"</formula>
    </cfRule>
    <cfRule type="cellIs" dxfId="8" priority="3" operator="equal">
      <formula>"nok"</formula>
    </cfRule>
  </conditionalFormatting>
  <conditionalFormatting sqref="B161:I180">
    <cfRule type="containsText" dxfId="7" priority="1" operator="containsText" text="null">
      <formula>NOT(ISERROR(SEARCH("null",B161)))</formula>
    </cfRule>
    <cfRule type="containsText" dxfId="6" priority="14" operator="containsText" text="ver">
      <formula>NOT(ISERROR(SEARCH("ver",B161)))</formula>
    </cfRule>
    <cfRule type="containsText" dxfId="5" priority="15" operator="containsText" text="exclusivo">
      <formula>NOT(ISERROR(SEARCH("exclusivo",B161)))</formula>
    </cfRule>
    <cfRule type="containsText" dxfId="4" priority="16" operator="containsText" text="nok">
      <formula>NOT(ISERROR(SEARCH("nok",B161)))</formula>
    </cfRule>
  </conditionalFormatting>
  <conditionalFormatting sqref="B15:M25">
    <cfRule type="containsText" dxfId="3" priority="43" operator="containsText" text="nok">
      <formula>NOT(ISERROR(SEARCH("nok",B15)))</formula>
    </cfRule>
    <cfRule type="containsText" dxfId="2" priority="44" operator="containsText" text="Exclusivo">
      <formula>NOT(ISERROR(SEARCH("Exclusivo",B15)))</formula>
    </cfRule>
  </conditionalFormatting>
  <conditionalFormatting sqref="B15:N15 B16:O25">
    <cfRule type="cellIs" dxfId="1" priority="63" operator="equal">
      <formula>"ver"</formula>
    </cfRule>
    <cfRule type="cellIs" dxfId="0" priority="64" operator="equal">
      <formula>"nok"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F7E3096-6306-4B37-96B5-59C836E38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FA4380-3C2F-4E9B-B8A1-E0723B3A2D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4F1218-C82A-4C60-A593-0299DCF0923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Campos 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Duarte Manuel André Gomes</cp:lastModifiedBy>
  <dcterms:created xsi:type="dcterms:W3CDTF">2015-06-05T18:17:20Z</dcterms:created>
  <dcterms:modified xsi:type="dcterms:W3CDTF">2025-07-28T08:38:44Z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2025-06-23T15:39:57Z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0d86ce5c-d2d6-46fe-9c11-1df2766b9b72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