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0" documentId="8_{26D2231A-0E86-479A-A18C-8B2B6C1532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  <sheet name="Sheet1" sheetId="2" r:id="rId2"/>
  </sheets>
  <definedNames>
    <definedName name="_xlnm._FilterDatabase" localSheetId="0" hidden="1">Sheet!$A$1:$J$16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<sst xmlns="http://schemas.openxmlformats.org/spreadsheetml/2006/main" count="156" uniqueCount="57">
  <si>
    <t>instrmnt_id</t>
  </si>
  <si>
    <t>bsnss_area</t>
  </si>
  <si>
    <t>cnclld_instrmnt_stts_sim</t>
  </si>
  <si>
    <t>cnclld_instrmnt_stts_it</t>
  </si>
  <si>
    <t>val_cnclld_instrmnt_stts</t>
  </si>
  <si>
    <t>idcmb_sim</t>
  </si>
  <si>
    <t>idcmb_it</t>
  </si>
  <si>
    <t>val_idcmb</t>
  </si>
  <si>
    <t>31000316752270096000000000000000</t>
  </si>
  <si>
    <t>BA2</t>
  </si>
  <si>
    <t>C</t>
  </si>
  <si>
    <t>OK</t>
  </si>
  <si>
    <t>CONT1;HFS2;B01;MC02;PR0303;ACPF6;SC0304;STAG2;POCI2;SUBO2;DEFA2;FORB2;SSC7;PURP5;COLL1;TYVA01;FVAD3</t>
  </si>
  <si>
    <t>CONT1;HFS2;B01;MC02;PR0303;ACPF6;SC0304;STAG1;SUBO2;DEFA2;FORB2;SSC7;PURP6;COLL1;TYVA01;FVAD3</t>
  </si>
  <si>
    <t>NOK</t>
  </si>
  <si>
    <t>31000360954625020000000000000000</t>
  </si>
  <si>
    <t>CONT1;HFS2;B01;MC02;PR01;ACPF6;SC0304;STAG1;SUBO2;DEFA2;FORB2;SSC7;PURP5;COLL1;TYVA01;FVAD3</t>
  </si>
  <si>
    <t>CONT1;HFS2;B01;MC02;PR01;ACPF6;SC0304;STAG2;POCI2;SUBO2;DEFA2;FORB2;SSC7;PURP5;COLL1;TYVA01;FVAD3</t>
  </si>
  <si>
    <t>31000316278375096000000000000000</t>
  </si>
  <si>
    <t>CONT1;HFS2;B01;MC02;PR0303;ACPF6;SC0304;STAG1;SUBO2;DEFA2;FORB2;SSC7;PURP5;COLL1;TYVA01;FVAD3</t>
  </si>
  <si>
    <t>31000314951635096000000000000000</t>
  </si>
  <si>
    <t>82000000005116141000510000523102</t>
  </si>
  <si>
    <t>BA3</t>
  </si>
  <si>
    <t>CONT1;HFS2;B01;MC02;PR0302;ACPF6;SC0303;STAG1;SUBO2;DEFA2;FORB2;SSC3;PURP6;COLL4;TYVA01;FVAD3</t>
  </si>
  <si>
    <t>CONT1;HFS2;B01;MC02;PR0302;ACPF6;SC0303;STAG1;SUBO2;DEFA2;FORB2;SSC7;PURP6;COLL4;TYVA01;FVAD3</t>
  </si>
  <si>
    <t>31000313026082096000000000000000</t>
  </si>
  <si>
    <t>CONT1;HFS2;B01;MC02;PR0303;ACPF6;SC0304;STAG2;POCI2;SUBO2;DEFA2;FORB2;SSC7;PURP4;COLL1;TYVA01</t>
  </si>
  <si>
    <t>82000000008037624000530000702487</t>
  </si>
  <si>
    <t>CONT1;HFS2;B01;MC02;PR0302;ACPF6;SC0304;STAG1;SUBO2;DEFA2;FORB2;SSC7;PURP5;COLL4;TYVA01;FVAD3</t>
  </si>
  <si>
    <t>CONT1;HFS2;B01;MC02;PR0302;ACPF6;SC0304;STAG1;SUBO2;DEFA2;FORB2;SSC7;PURP6;COLL4;TYVA01;FVAD3</t>
  </si>
  <si>
    <t>31000345122835020000000000000000</t>
  </si>
  <si>
    <t>CONT1;HFS2;B01;MC02;PR01;ACPF6;SC0304;STAG1;SUBO2;DEFA2;FORB2;SSC7;PURP6;COLL1;TYVA01;FVAD3</t>
  </si>
  <si>
    <t>31000311870564096000000000000000</t>
  </si>
  <si>
    <t>BA4</t>
  </si>
  <si>
    <t>CONT1;HFS2;B01;MC02;PR0303;ACPF6;SC0303;STAG2;POCI2;SUBO2;DEFA2;FORB2;SSC4;PURP3;COLL1;TYVA01;FVAD3</t>
  </si>
  <si>
    <t>CONT1;HFS2;B01;MC02;PR0303;ACPF6;SC0303;STAG1;SUBO2;DEFA2;FORB2;SSC4;PURP3;COLL1;TYVA01;FVAD3</t>
  </si>
  <si>
    <t>31000316154238096000000000000000</t>
  </si>
  <si>
    <t>CONT1;HFS2;B01;MC02;PR0303;ACPF6;SC0304;STAG2;POCI2;SUBO2;DEFA2;FORB2;SSC7;PURP6;COLL1;TYVA01;FVAD3</t>
  </si>
  <si>
    <t>SIM</t>
  </si>
  <si>
    <t>IT</t>
  </si>
  <si>
    <t>last ref_date</t>
  </si>
  <si>
    <t>valor em PM</t>
  </si>
  <si>
    <t>31000347726807020000000000000000</t>
  </si>
  <si>
    <t>NULL</t>
  </si>
  <si>
    <t>31000300003308007100086434170000</t>
  </si>
  <si>
    <t>BA17</t>
  </si>
  <si>
    <t>CONT1;HFS2;B01;MC02;PR0304;ACPF6;SC0303;STAG1;SUBO2;DEFA2;FORB2;SSC3;PURP3;COLL1;TYVA01;FVAD3</t>
  </si>
  <si>
    <t>31000320857537096000000000000000</t>
  </si>
  <si>
    <t>M</t>
  </si>
  <si>
    <t>31000355128631020000000000000000</t>
  </si>
  <si>
    <t>CONT1;HFS2;B02;MC14;PR2001;ACPF6;SC0304;SUBO2;SSC7;TYVA0101</t>
  </si>
  <si>
    <t>31663600380008993390103800089939</t>
  </si>
  <si>
    <t>M01;MC4301;PR50;SC0303;STAG1;DEFA2;SSC3;PURP6</t>
  </si>
  <si>
    <t>valor na FR012</t>
  </si>
  <si>
    <t>conclusão</t>
  </si>
  <si>
    <t>IT está correto, para PM na BU a esta data ou não há info (ou seja, não há execuação para essa data) ou o campo está a NULL</t>
  </si>
  <si>
    <t>Não há informação para este contrato a 28/fev/25 na FR012. No entanto o valor para jan corresponde ao que IT 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</si>
</sst>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J23" sqref="J23"/>
    </sheetView>
  </sheetViews>
  <sheetFormatPr defaultColWidth="11.5546875" defaultRowHeight="14.4" x14ac:dyDescent="0.3"/>
  <cols>
    <col min="1" max="1" width="33.6640625" bestFit="1" customWidth="1"/>
    <col min="2" max="2" width="10" bestFit="1" customWidth="1"/>
    <col min="3" max="3" width="21.44140625" bestFit="1" customWidth="1"/>
    <col min="4" max="4" width="19.6640625" bestFit="1" customWidth="1"/>
    <col min="5" max="5" width="20.88671875" bestFit="1" customWidth="1"/>
    <col min="6" max="6" width="99.88671875" bestFit="1" customWidth="1"/>
    <col min="7" max="7" width="97.77734375" bestFit="1" customWidth="1"/>
    <col min="8" max="8" width="9.21875" bestFit="1" customWidth="1"/>
    <col min="10" max="10" width="99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40</v>
      </c>
      <c r="J1" t="s">
        <v>41</v>
      </c>
      <c r="K1" t="s">
        <v>53</v>
      </c>
      <c r="L1" t="s">
        <v>54</v>
      </c>
    </row>
    <row r="2" spans="1:12" x14ac:dyDescent="0.3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s="1">
        <v>45657</v>
      </c>
      <c r="J2" s="2" t="s">
        <v>12</v>
      </c>
    </row>
    <row r="3" spans="1:12" x14ac:dyDescent="0.3">
      <c r="A3" t="s">
        <v>15</v>
      </c>
      <c r="B3" t="s">
        <v>9</v>
      </c>
      <c r="C3" t="s">
        <v>10</v>
      </c>
      <c r="D3" t="s">
        <v>10</v>
      </c>
      <c r="E3" t="s">
        <v>11</v>
      </c>
      <c r="F3" t="s">
        <v>16</v>
      </c>
      <c r="G3" t="s">
        <v>17</v>
      </c>
      <c r="H3" t="s">
        <v>14</v>
      </c>
      <c r="I3" s="1">
        <v>45657</v>
      </c>
      <c r="J3" t="s">
        <v>16</v>
      </c>
    </row>
    <row r="4" spans="1:12" x14ac:dyDescent="0.3">
      <c r="A4" t="s">
        <v>18</v>
      </c>
      <c r="B4" t="s">
        <v>9</v>
      </c>
      <c r="C4" t="s">
        <v>10</v>
      </c>
      <c r="D4" t="s">
        <v>10</v>
      </c>
      <c r="E4" t="s">
        <v>11</v>
      </c>
      <c r="F4" t="s">
        <v>19</v>
      </c>
      <c r="G4" t="s">
        <v>13</v>
      </c>
      <c r="H4" t="s">
        <v>14</v>
      </c>
      <c r="I4" s="1">
        <v>45657</v>
      </c>
      <c r="J4" s="2" t="s">
        <v>19</v>
      </c>
    </row>
    <row r="5" spans="1:12" x14ac:dyDescent="0.3">
      <c r="A5" t="s">
        <v>20</v>
      </c>
      <c r="B5" t="s">
        <v>9</v>
      </c>
      <c r="C5" t="s">
        <v>10</v>
      </c>
      <c r="D5" t="s">
        <v>10</v>
      </c>
      <c r="E5" t="s">
        <v>11</v>
      </c>
      <c r="F5" t="s">
        <v>19</v>
      </c>
      <c r="G5" t="s">
        <v>13</v>
      </c>
      <c r="H5" t="s">
        <v>14</v>
      </c>
      <c r="I5" s="1">
        <v>45657</v>
      </c>
      <c r="J5" s="2" t="s">
        <v>19</v>
      </c>
    </row>
    <row r="6" spans="1:12" x14ac:dyDescent="0.3">
      <c r="A6" t="s">
        <v>21</v>
      </c>
      <c r="B6" t="s">
        <v>22</v>
      </c>
      <c r="C6" t="s">
        <v>10</v>
      </c>
      <c r="D6" t="s">
        <v>10</v>
      </c>
      <c r="E6" t="s">
        <v>11</v>
      </c>
      <c r="F6" t="s">
        <v>23</v>
      </c>
      <c r="G6" t="s">
        <v>24</v>
      </c>
      <c r="H6" t="s">
        <v>14</v>
      </c>
      <c r="I6" s="1">
        <v>45657</v>
      </c>
      <c r="J6" s="2" t="s">
        <v>23</v>
      </c>
    </row>
    <row r="7" spans="1:12" x14ac:dyDescent="0.3">
      <c r="A7" t="s">
        <v>25</v>
      </c>
      <c r="B7" t="s">
        <v>9</v>
      </c>
      <c r="C7" t="s">
        <v>10</v>
      </c>
      <c r="D7" t="s">
        <v>10</v>
      </c>
      <c r="E7" t="s">
        <v>11</v>
      </c>
      <c r="F7" t="s">
        <v>13</v>
      </c>
      <c r="G7" t="s">
        <v>26</v>
      </c>
      <c r="H7" t="s">
        <v>14</v>
      </c>
      <c r="I7" s="1">
        <v>45657</v>
      </c>
      <c r="J7" s="2" t="s">
        <v>13</v>
      </c>
    </row>
    <row r="8" spans="1:12" x14ac:dyDescent="0.3">
      <c r="A8" t="s">
        <v>27</v>
      </c>
      <c r="B8" t="s">
        <v>9</v>
      </c>
      <c r="C8" t="s">
        <v>10</v>
      </c>
      <c r="D8" t="s">
        <v>10</v>
      </c>
      <c r="E8" t="s">
        <v>11</v>
      </c>
      <c r="F8" t="s">
        <v>28</v>
      </c>
      <c r="G8" t="s">
        <v>29</v>
      </c>
      <c r="H8" t="s">
        <v>14</v>
      </c>
      <c r="I8" s="1">
        <v>45657</v>
      </c>
      <c r="J8" s="2" t="s">
        <v>28</v>
      </c>
    </row>
    <row r="9" spans="1:12" x14ac:dyDescent="0.3">
      <c r="A9" t="s">
        <v>30</v>
      </c>
      <c r="B9" t="s">
        <v>9</v>
      </c>
      <c r="C9" t="s">
        <v>10</v>
      </c>
      <c r="D9" t="s">
        <v>10</v>
      </c>
      <c r="E9" t="s">
        <v>11</v>
      </c>
      <c r="F9" t="s">
        <v>16</v>
      </c>
      <c r="G9" t="s">
        <v>31</v>
      </c>
      <c r="H9" t="s">
        <v>14</v>
      </c>
      <c r="I9" s="1">
        <v>45657</v>
      </c>
      <c r="J9" s="2" t="s">
        <v>16</v>
      </c>
    </row>
    <row r="10" spans="1:12" x14ac:dyDescent="0.3">
      <c r="A10" t="s">
        <v>32</v>
      </c>
      <c r="B10" t="s">
        <v>33</v>
      </c>
      <c r="C10" t="s">
        <v>10</v>
      </c>
      <c r="D10" t="s">
        <v>10</v>
      </c>
      <c r="E10" t="s">
        <v>11</v>
      </c>
      <c r="F10" t="s">
        <v>34</v>
      </c>
      <c r="G10" t="s">
        <v>35</v>
      </c>
      <c r="H10" t="s">
        <v>14</v>
      </c>
      <c r="I10" s="1">
        <v>45657</v>
      </c>
      <c r="J10" s="2" t="s">
        <v>34</v>
      </c>
    </row>
    <row r="11" spans="1:12" x14ac:dyDescent="0.3">
      <c r="A11" t="s">
        <v>36</v>
      </c>
      <c r="B11" t="s">
        <v>9</v>
      </c>
      <c r="C11" t="s">
        <v>10</v>
      </c>
      <c r="D11" t="s">
        <v>10</v>
      </c>
      <c r="E11" t="s">
        <v>11</v>
      </c>
      <c r="F11" t="s">
        <v>37</v>
      </c>
      <c r="G11" t="s">
        <v>13</v>
      </c>
      <c r="H11" t="s">
        <v>14</v>
      </c>
      <c r="I11" s="1">
        <v>45657</v>
      </c>
      <c r="J11" s="2" t="s">
        <v>37</v>
      </c>
    </row>
    <row r="12" spans="1:12" x14ac:dyDescent="0.3">
      <c r="A12" t="s">
        <v>42</v>
      </c>
      <c r="B12" t="s">
        <v>9</v>
      </c>
      <c r="C12" t="s">
        <v>10</v>
      </c>
      <c r="D12" t="s">
        <v>10</v>
      </c>
      <c r="E12" t="s">
        <v>11</v>
      </c>
      <c r="F12" t="s">
        <v>43</v>
      </c>
      <c r="G12" t="s">
        <v>17</v>
      </c>
      <c r="H12" t="s">
        <v>14</v>
      </c>
      <c r="I12" s="1">
        <v>45716</v>
      </c>
      <c r="K12" s="2" t="s">
        <v>17</v>
      </c>
      <c r="L12" t="s">
        <v>55</v>
      </c>
    </row>
    <row r="13" spans="1:12" x14ac:dyDescent="0.3">
      <c r="A13" t="s">
        <v>44</v>
      </c>
      <c r="B13" t="s">
        <v>45</v>
      </c>
      <c r="C13" t="s">
        <v>10</v>
      </c>
      <c r="D13" t="s">
        <v>10</v>
      </c>
      <c r="E13" t="s">
        <v>11</v>
      </c>
      <c r="F13" t="s">
        <v>43</v>
      </c>
      <c r="G13" t="s">
        <v>46</v>
      </c>
      <c r="H13" t="s">
        <v>14</v>
      </c>
      <c r="I13" s="1">
        <v>45688</v>
      </c>
      <c r="K13" s="2" t="s">
        <v>46</v>
      </c>
      <c r="L13" t="s">
        <v>55</v>
      </c>
    </row>
    <row r="14" spans="1:12" x14ac:dyDescent="0.3">
      <c r="A14" t="s">
        <v>47</v>
      </c>
      <c r="B14" t="s">
        <v>9</v>
      </c>
      <c r="C14" t="s">
        <v>48</v>
      </c>
      <c r="D14" t="s">
        <v>48</v>
      </c>
      <c r="E14" t="s">
        <v>11</v>
      </c>
      <c r="F14" t="s">
        <v>43</v>
      </c>
      <c r="G14" t="s">
        <v>19</v>
      </c>
      <c r="H14" t="s">
        <v>14</v>
      </c>
      <c r="I14" s="1">
        <v>45688</v>
      </c>
      <c r="K14" s="2" t="s">
        <v>19</v>
      </c>
      <c r="L14" t="s">
        <v>55</v>
      </c>
    </row>
    <row r="15" spans="1:12" x14ac:dyDescent="0.3">
      <c r="A15" t="s">
        <v>49</v>
      </c>
      <c r="B15" t="s">
        <v>9</v>
      </c>
      <c r="C15" t="s">
        <v>10</v>
      </c>
      <c r="D15" t="s">
        <v>10</v>
      </c>
      <c r="E15" t="s">
        <v>11</v>
      </c>
      <c r="F15" t="s">
        <v>43</v>
      </c>
      <c r="G15" t="s">
        <v>50</v>
      </c>
      <c r="H15" t="s">
        <v>14</v>
      </c>
      <c r="I15" s="1">
        <v>45716</v>
      </c>
      <c r="K15" s="2" t="s">
        <v>50</v>
      </c>
      <c r="L15" t="s">
        <v>56</v>
      </c>
    </row>
    <row r="16" spans="1:12" x14ac:dyDescent="0.3">
      <c r="A16" t="s">
        <v>51</v>
      </c>
      <c r="B16" t="s">
        <v>22</v>
      </c>
      <c r="C16" t="s">
        <v>10</v>
      </c>
      <c r="D16" t="s">
        <v>10</v>
      </c>
      <c r="E16" t="s">
        <v>11</v>
      </c>
      <c r="F16" t="s">
        <v>43</v>
      </c>
      <c r="G16" t="s">
        <v>52</v>
      </c>
      <c r="H16" t="s">
        <v>14</v>
      </c>
      <c r="I16" s="1">
        <v>45688</v>
      </c>
      <c r="K16" s="2" t="s">
        <v>50</v>
      </c>
      <c r="L16" t="s">
        <v>55</v>
      </c>
    </row>
  </sheetData>
  <autoFilter ref="A1:J1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3EC5-FEB6-4966-9164-2267F9B363EF}">
  <dimension ref="B2:C9"/>
  <sheetViews>
    <sheetView workbookViewId="0">
      <selection activeCell="C5" sqref="C5"/>
    </sheetView>
  </sheetViews>
  <sheetFormatPr defaultRowHeight="14.4" x14ac:dyDescent="0.3"/>
  <cols>
    <col min="3" max="3" width="103.6640625" bestFit="1" customWidth="1"/>
  </cols>
  <sheetData>
    <row r="2" spans="2:3" x14ac:dyDescent="0.3">
      <c r="B2" t="s">
        <v>38</v>
      </c>
    </row>
    <row r="3" spans="2:3" x14ac:dyDescent="0.3">
      <c r="B3" t="s">
        <v>39</v>
      </c>
      <c r="C3" t="s">
        <v>52</v>
      </c>
    </row>
    <row r="5" spans="2:3" x14ac:dyDescent="0.3">
      <c r="C5" s="2" t="s">
        <v>52</v>
      </c>
    </row>
    <row r="6" spans="2:3" x14ac:dyDescent="0.3">
      <c r="C6" s="2" t="b">
        <f>C5=C3</f>
        <v>1</v>
      </c>
    </row>
    <row r="7" spans="2:3" x14ac:dyDescent="0.3">
      <c r="C7" s="2"/>
    </row>
    <row r="9" spans="2:3" x14ac:dyDescent="0.3">
      <c r="C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47DCC85-056D-4C4B-A7DC-47ECF80D675B}"/>
</file>

<file path=customXml/itemProps2.xml><?xml version="1.0" encoding="utf-8"?>
<ds:datastoreItem xmlns:ds="http://schemas.openxmlformats.org/officeDocument/2006/customXml" ds:itemID="{710C94D9-599E-48DE-95AE-E4AC27EC6092}"/>
</file>

<file path=customXml/itemProps3.xml><?xml version="1.0" encoding="utf-8"?>
<ds:datastoreItem xmlns:ds="http://schemas.openxmlformats.org/officeDocument/2006/customXml" ds:itemID="{B8E93BBC-32C7-4EE3-9FA6-473A20808B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2025-06-22T03:15:38Z</dcterms:created>
  <dcterms:modified xsi:type="dcterms:W3CDTF">2025-07-09T14:28:41Z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2025-07-09T09:01:39Z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375ff9db-8457-4fb0-901c-4d35cb1b7d5d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