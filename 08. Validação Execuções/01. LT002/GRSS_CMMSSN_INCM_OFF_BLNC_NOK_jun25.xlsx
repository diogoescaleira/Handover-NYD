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antandernet.sharepoint.com/sites/LoanTapeGD-Testes/Shared Documents/Geral/08. Validação Execuções/01. LT002/"/>
    </mc:Choice>
  </mc:AlternateContent>
  <xr:revisionPtr revIDLastSave="0" documentId="8_{7D021FEE-D7C0-49E5-85B4-81111EE9D53C}" xr6:coauthVersionLast="47" xr6:coauthVersionMax="47" xr10:uidLastSave="{00000000-0000-0000-0000-000000000000}"/>
  <bookViews>
    <workbookView xWindow="-108" yWindow="-108" windowWidth="23256" windowHeight="12456" xr2:uid="{F4396774-6B48-4A64-842F-4A88417C3199}"/>
  </bookViews>
  <sheets>
    <sheet name="GRSS_CMMSSN_INCM_OFF_BLNC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59" i="1" l="1"/>
  <c r="J57" i="1"/>
  <c r="D9" i="1"/>
</calcChain>
</file>

<file path=xl/sharedStrings.xml><?xml version="1.0" encoding="utf-8"?>
<sst xmlns="http://schemas.openxmlformats.org/spreadsheetml/2006/main" count="288" uniqueCount="57">
  <si>
    <r>
      <t xml:space="preserve">Diferenças detetadas no campo </t>
    </r>
    <r>
      <rPr>
        <b/>
        <i/>
        <sz val="11"/>
        <color theme="1"/>
        <rFont val="Aptos Narrow"/>
        <family val="2"/>
        <scheme val="minor"/>
      </rPr>
      <t>grss_cmmssn_incm_off_blnc</t>
    </r>
    <r>
      <rPr>
        <b/>
        <sz val="11"/>
        <color theme="1"/>
        <rFont val="Aptos Narrow"/>
        <family val="2"/>
        <scheme val="minor"/>
      </rPr>
      <t xml:space="preserve"> da tabela </t>
    </r>
    <r>
      <rPr>
        <b/>
        <i/>
        <sz val="11"/>
        <color theme="1"/>
        <rFont val="Aptos Narrow"/>
        <family val="2"/>
        <scheme val="minor"/>
      </rPr>
      <t>lt002_instrument</t>
    </r>
  </si>
  <si>
    <t># Registos Nok</t>
  </si>
  <si>
    <t>val_univ</t>
  </si>
  <si>
    <t>univ_simul</t>
  </si>
  <si>
    <t>grss_cmmssn_incm_off_blnc_sim</t>
  </si>
  <si>
    <t>grss_cmmssn_incm_off_blnc_it</t>
  </si>
  <si>
    <t>val_grss_cmmssn_incm_off_blnc</t>
  </si>
  <si>
    <t># Registos</t>
  </si>
  <si>
    <t>COMUM</t>
  </si>
  <si>
    <t>COMUM PM</t>
  </si>
  <si>
    <t>NOK</t>
  </si>
  <si>
    <t>instrmnt_id</t>
  </si>
  <si>
    <t>bsnss_area_sim</t>
  </si>
  <si>
    <t>bsnss_area_it</t>
  </si>
  <si>
    <t>val_bsnss_area</t>
  </si>
  <si>
    <t>cnclld_instrmnt_stts_sim</t>
  </si>
  <si>
    <t>cnclld_instrmnt_stts_it</t>
  </si>
  <si>
    <t>val_cnclld_instrmnt_stts</t>
  </si>
  <si>
    <t>89000020220000121000090C117987I1</t>
  </si>
  <si>
    <t>BA4</t>
  </si>
  <si>
    <t>OK</t>
  </si>
  <si>
    <t>N</t>
  </si>
  <si>
    <t>890000202100000350004900C19526I1</t>
  </si>
  <si>
    <t>BA3</t>
  </si>
  <si>
    <t>31000100200004024000000000000000</t>
  </si>
  <si>
    <t>BA11</t>
  </si>
  <si>
    <t>31000337356664020000000000000000</t>
  </si>
  <si>
    <t>BA15</t>
  </si>
  <si>
    <t>BA16</t>
  </si>
  <si>
    <t>31000000000000000962304880469060</t>
  </si>
  <si>
    <t>BA22</t>
  </si>
  <si>
    <t>31663600380029078363603800290780</t>
  </si>
  <si>
    <t>MISS</t>
  </si>
  <si>
    <t>SNCO0000000031000024683802001000000000000000BA16</t>
  </si>
  <si>
    <t>89000020210000035001520250298502</t>
  </si>
  <si>
    <t>31663600380019071363603800190710</t>
  </si>
  <si>
    <t>SNCO0000000031000051701452020000000000000000BA16</t>
  </si>
  <si>
    <t>31663600380010102390103800101021</t>
  </si>
  <si>
    <t>89000020240000129001520250311928</t>
  </si>
  <si>
    <t>89000020240000129000090C119982I1</t>
  </si>
  <si>
    <t>31000000000000000962304880464870</t>
  </si>
  <si>
    <t>BA5</t>
  </si>
  <si>
    <t>31000343477900020000000000000000</t>
  </si>
  <si>
    <t>89000020210000331001520250030472</t>
  </si>
  <si>
    <t>89000020170002262001520250175445</t>
  </si>
  <si>
    <t>89000020220000121001520250311078</t>
  </si>
  <si>
    <t>SNCO0000000031000000000000000962304880464870BA22</t>
  </si>
  <si>
    <t>Detalhe do cálculo para dois contratos:</t>
  </si>
  <si>
    <t>chave MIS</t>
  </si>
  <si>
    <t>c457</t>
  </si>
  <si>
    <t>c458</t>
  </si>
  <si>
    <t>ponderador</t>
  </si>
  <si>
    <t>msaldo_final chave FINREP</t>
  </si>
  <si>
    <t>cálculo</t>
  </si>
  <si>
    <t>31663600380010102039010380010102</t>
  </si>
  <si>
    <t>-</t>
  </si>
  <si>
    <t>31000020240000129000090C119982I1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</si>
</sst>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sz val="8"/>
      <color rgb="FF424242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34998626667073579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/>
      <diagonal/>
    </border>
    <border>
      <left style="thin">
        <color theme="0" tint="-0.249977111117893"/>
      </left>
      <right style="thin">
        <color theme="0" tint="-0.249977111117893"/>
      </right>
      <top/>
      <bottom style="thin">
        <color theme="0" tint="-0.249977111117893"/>
      </bottom>
      <diagonal/>
    </border>
  </borders>
  <cellStyleXfs count="2">
    <xf numFmtId="0" fontId="0" fillId="0" borderId="0"/>
    <xf numFmtId="0" fontId="1" fillId="0" borderId="0"/>
  </cellStyleXfs>
  <cellXfs count="28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1" applyFont="1" applyProtection="1">
      <protection hidden="1"/>
    </xf>
    <xf numFmtId="0" fontId="0" fillId="0" borderId="0" xfId="1" applyFont="1" applyAlignment="1" applyProtection="1">
      <alignment horizontal="center" vertical="center"/>
      <protection hidden="1"/>
    </xf>
    <xf numFmtId="0" fontId="3" fillId="0" borderId="0" xfId="1" applyFont="1" applyAlignment="1" applyProtection="1">
      <alignment horizontal="left"/>
      <protection hidden="1"/>
    </xf>
    <xf numFmtId="0" fontId="0" fillId="0" borderId="0" xfId="1" applyFont="1" applyAlignment="1" applyProtection="1">
      <alignment horizontal="centerContinuous"/>
      <protection hidden="1"/>
    </xf>
    <xf numFmtId="14" fontId="3" fillId="0" borderId="0" xfId="0" applyNumberFormat="1" applyFont="1" applyAlignment="1" applyProtection="1">
      <alignment vertical="top"/>
      <protection hidden="1"/>
    </xf>
    <xf numFmtId="0" fontId="0" fillId="2" borderId="0" xfId="1" applyFont="1" applyFill="1" applyProtection="1">
      <protection hidden="1"/>
    </xf>
    <xf numFmtId="0" fontId="0" fillId="2" borderId="0" xfId="1" applyFont="1" applyFill="1" applyAlignment="1" applyProtection="1">
      <alignment horizontal="center" vertical="center"/>
      <protection hidden="1"/>
    </xf>
    <xf numFmtId="0" fontId="3" fillId="0" borderId="1" xfId="0" applyFont="1" applyBorder="1"/>
    <xf numFmtId="0" fontId="0" fillId="0" borderId="1" xfId="0" applyBorder="1"/>
    <xf numFmtId="0" fontId="0" fillId="3" borderId="2" xfId="0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0" fillId="0" borderId="2" xfId="0" applyBorder="1"/>
    <xf numFmtId="4" fontId="0" fillId="0" borderId="2" xfId="0" applyNumberFormat="1" applyBorder="1"/>
    <xf numFmtId="0" fontId="3" fillId="0" borderId="0" xfId="0" applyFont="1"/>
    <xf numFmtId="0" fontId="2" fillId="4" borderId="2" xfId="0" applyFont="1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3" xfId="0" applyBorder="1" applyAlignment="1">
      <alignment vertical="center"/>
    </xf>
    <xf numFmtId="0" fontId="0" fillId="0" borderId="2" xfId="0" quotePrefix="1" applyBorder="1"/>
    <xf numFmtId="4" fontId="0" fillId="0" borderId="2" xfId="0" applyNumberFormat="1" applyBorder="1" applyAlignment="1">
      <alignment horizontal="right"/>
    </xf>
    <xf numFmtId="2" fontId="0" fillId="0" borderId="2" xfId="0" applyNumberFormat="1" applyBorder="1"/>
    <xf numFmtId="0" fontId="0" fillId="0" borderId="3" xfId="0" applyBorder="1" applyAlignment="1">
      <alignment horizontal="right" vertical="center"/>
    </xf>
    <xf numFmtId="0" fontId="0" fillId="0" borderId="4" xfId="0" applyBorder="1" applyAlignment="1">
      <alignment horizontal="center" vertical="center"/>
    </xf>
    <xf numFmtId="0" fontId="0" fillId="0" borderId="4" xfId="0" applyBorder="1" applyAlignment="1">
      <alignment vertical="center"/>
    </xf>
    <xf numFmtId="0" fontId="0" fillId="0" borderId="4" xfId="0" applyBorder="1" applyAlignment="1">
      <alignment horizontal="right" vertical="center"/>
    </xf>
    <xf numFmtId="4" fontId="5" fillId="0" borderId="0" xfId="0" applyNumberFormat="1" applyFont="1"/>
  </cellXfs>
  <cellStyles count="2">
    <cellStyle name="Normal" xfId="0" builtinId="0"/>
    <cellStyle name="Normal 3" xfId="1" xr:uid="{D46E37E0-A90E-44E3-8FDE-C8032F3C97F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152399" y="190500"/>
    <xdr:ext cx="1776001" cy="312420"/>
    <xdr:pic>
      <xdr:nvPicPr>
        <xdr:cNvPr id="2" name="Gráfico 10">
          <a:extLst>
            <a:ext uri="{FF2B5EF4-FFF2-40B4-BE49-F238E27FC236}">
              <a16:creationId xmlns:a16="http://schemas.microsoft.com/office/drawing/2014/main" id="{11E97942-1537-4D25-9EED-A9F802291E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52399" y="190500"/>
          <a:ext cx="1776001" cy="312420"/>
        </a:xfrm>
        <a:prstGeom prst="rect">
          <a:avLst/>
        </a:prstGeom>
      </xdr:spPr>
    </xdr:pic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8B9536-F629-4648-AC0A-51F7223FC131}">
  <dimension ref="A1:P64"/>
  <sheetViews>
    <sheetView showGridLines="0" tabSelected="1" topLeftCell="A31" workbookViewId="0">
      <selection activeCell="D40" sqref="D40"/>
    </sheetView>
  </sheetViews>
  <sheetFormatPr defaultColWidth="0" defaultRowHeight="14.4" x14ac:dyDescent="0.3"/>
  <cols>
    <col min="1" max="1" width="3.77734375" customWidth="1"/>
    <col min="2" max="2" width="8.109375" bestFit="1" customWidth="1"/>
    <col min="3" max="3" width="11.21875" bestFit="1" customWidth="1"/>
    <col min="4" max="4" width="51" bestFit="1" customWidth="1"/>
    <col min="5" max="5" width="27.77734375" bestFit="1" customWidth="1"/>
    <col min="6" max="6" width="29.109375" bestFit="1" customWidth="1"/>
    <col min="7" max="7" width="13.44140625" bestFit="1" customWidth="1"/>
    <col min="8" max="8" width="21.44140625" bestFit="1" customWidth="1"/>
    <col min="9" max="9" width="24" bestFit="1" customWidth="1"/>
    <col min="10" max="10" width="20.88671875" bestFit="1" customWidth="1"/>
    <col min="11" max="11" width="28.5546875" bestFit="1" customWidth="1"/>
    <col min="12" max="12" width="26.88671875" bestFit="1" customWidth="1"/>
    <col min="13" max="13" width="28.109375" bestFit="1" customWidth="1"/>
    <col min="14" max="14" width="3.77734375" customWidth="1"/>
    <col min="15" max="16" width="3.77734375" hidden="1" customWidth="1"/>
    <col min="17" max="16384" width="11.5546875" hidden="1"/>
  </cols>
  <sheetData>
    <row r="1" spans="1:14" x14ac:dyDescent="0.3">
      <c r="D1" s="1"/>
    </row>
    <row r="2" spans="1:14" x14ac:dyDescent="0.3">
      <c r="A2" s="2"/>
      <c r="B2" s="2"/>
      <c r="C2" s="2"/>
      <c r="D2" s="3"/>
      <c r="E2" s="2"/>
      <c r="F2" s="2"/>
      <c r="G2" s="2"/>
      <c r="H2" s="2"/>
      <c r="I2" s="2"/>
      <c r="J2" s="2"/>
      <c r="K2" s="2"/>
      <c r="L2" s="2"/>
      <c r="M2" s="2"/>
      <c r="N2" s="2"/>
    </row>
    <row r="3" spans="1:14" x14ac:dyDescent="0.3">
      <c r="A3" s="4"/>
      <c r="B3" s="4"/>
      <c r="C3" s="4"/>
      <c r="D3" s="3"/>
      <c r="E3" s="5"/>
      <c r="F3" s="5"/>
      <c r="G3" s="6"/>
      <c r="H3" s="6"/>
      <c r="I3" s="6"/>
      <c r="J3" s="6"/>
      <c r="K3" s="6"/>
      <c r="L3" s="6"/>
      <c r="M3" s="6"/>
      <c r="N3" s="6"/>
    </row>
    <row r="4" spans="1:14" x14ac:dyDescent="0.3">
      <c r="A4" s="2"/>
      <c r="B4" s="2"/>
      <c r="C4" s="2"/>
      <c r="D4" s="3"/>
      <c r="E4" s="2"/>
      <c r="F4" s="2"/>
      <c r="G4" s="2"/>
      <c r="H4" s="2"/>
      <c r="I4" s="2"/>
      <c r="J4" s="2"/>
      <c r="K4" s="2"/>
      <c r="L4" s="2"/>
      <c r="M4" s="2"/>
      <c r="N4" s="2"/>
    </row>
    <row r="5" spans="1:14" ht="3" customHeight="1" x14ac:dyDescent="0.3">
      <c r="A5" s="7"/>
      <c r="B5" s="7"/>
      <c r="C5" s="7"/>
      <c r="D5" s="8"/>
      <c r="E5" s="7"/>
      <c r="F5" s="7"/>
      <c r="G5" s="7"/>
      <c r="H5" s="7"/>
      <c r="I5" s="7"/>
      <c r="J5" s="7"/>
      <c r="K5" s="7"/>
      <c r="L5" s="7"/>
      <c r="M5" s="7"/>
      <c r="N5" s="7"/>
    </row>
    <row r="7" spans="1:14" x14ac:dyDescent="0.3">
      <c r="B7" s="9" t="s">
        <v>0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</row>
    <row r="9" spans="1:14" x14ac:dyDescent="0.3">
      <c r="B9" s="11" t="s">
        <v>1</v>
      </c>
      <c r="C9" s="11"/>
      <c r="D9" s="12">
        <f>SUM(G12:G30)</f>
        <v>19</v>
      </c>
    </row>
    <row r="11" spans="1:14" x14ac:dyDescent="0.3">
      <c r="B11" s="13" t="s">
        <v>2</v>
      </c>
      <c r="C11" s="13" t="s">
        <v>3</v>
      </c>
      <c r="D11" s="13" t="s">
        <v>4</v>
      </c>
      <c r="E11" s="13" t="s">
        <v>5</v>
      </c>
      <c r="F11" s="13" t="s">
        <v>6</v>
      </c>
      <c r="G11" s="13" t="s">
        <v>7</v>
      </c>
    </row>
    <row r="12" spans="1:14" x14ac:dyDescent="0.3">
      <c r="B12" s="14" t="s">
        <v>8</v>
      </c>
      <c r="C12" s="15" t="s">
        <v>9</v>
      </c>
      <c r="D12" s="15">
        <v>20.493194039999999</v>
      </c>
      <c r="E12" s="15">
        <v>10.25</v>
      </c>
      <c r="F12" s="14" t="s">
        <v>10</v>
      </c>
      <c r="G12" s="14">
        <v>1</v>
      </c>
    </row>
    <row r="13" spans="1:14" x14ac:dyDescent="0.3">
      <c r="B13" s="14" t="s">
        <v>8</v>
      </c>
      <c r="C13" s="15" t="s">
        <v>9</v>
      </c>
      <c r="D13" s="15">
        <v>226.17776015999999</v>
      </c>
      <c r="E13" s="15">
        <v>0</v>
      </c>
      <c r="F13" s="14" t="s">
        <v>10</v>
      </c>
      <c r="G13" s="14">
        <v>1</v>
      </c>
    </row>
    <row r="14" spans="1:14" x14ac:dyDescent="0.3">
      <c r="B14" s="14" t="s">
        <v>8</v>
      </c>
      <c r="C14" s="15" t="s">
        <v>9</v>
      </c>
      <c r="D14" s="15">
        <v>10055.549999999999</v>
      </c>
      <c r="E14" s="15">
        <v>0</v>
      </c>
      <c r="F14" s="14" t="s">
        <v>10</v>
      </c>
      <c r="G14" s="14">
        <v>1</v>
      </c>
    </row>
    <row r="15" spans="1:14" x14ac:dyDescent="0.3">
      <c r="B15" s="14" t="s">
        <v>8</v>
      </c>
      <c r="C15" s="15" t="s">
        <v>9</v>
      </c>
      <c r="D15" s="15">
        <v>317.3</v>
      </c>
      <c r="E15" s="15">
        <v>0</v>
      </c>
      <c r="F15" s="14" t="s">
        <v>10</v>
      </c>
      <c r="G15" s="14">
        <v>1</v>
      </c>
    </row>
    <row r="16" spans="1:14" x14ac:dyDescent="0.3">
      <c r="B16" s="14" t="s">
        <v>8</v>
      </c>
      <c r="C16" s="15" t="s">
        <v>9</v>
      </c>
      <c r="D16" s="15">
        <v>24.881450000000001</v>
      </c>
      <c r="E16" s="15">
        <v>12.44</v>
      </c>
      <c r="F16" s="14" t="s">
        <v>10</v>
      </c>
      <c r="G16" s="14">
        <v>1</v>
      </c>
    </row>
    <row r="17" spans="2:7" x14ac:dyDescent="0.3">
      <c r="B17" s="14" t="s">
        <v>8</v>
      </c>
      <c r="C17" s="15" t="s">
        <v>9</v>
      </c>
      <c r="D17" s="15">
        <v>88.315285000000003</v>
      </c>
      <c r="E17" s="15">
        <v>44.16</v>
      </c>
      <c r="F17" s="14" t="s">
        <v>10</v>
      </c>
      <c r="G17" s="14">
        <v>1</v>
      </c>
    </row>
    <row r="18" spans="2:7" x14ac:dyDescent="0.3">
      <c r="B18" s="14" t="s">
        <v>8</v>
      </c>
      <c r="C18" s="15" t="s">
        <v>9</v>
      </c>
      <c r="D18" s="15">
        <v>34.617869370000001</v>
      </c>
      <c r="E18" s="15">
        <v>17.309999999999999</v>
      </c>
      <c r="F18" s="14" t="s">
        <v>10</v>
      </c>
      <c r="G18" s="14">
        <v>1</v>
      </c>
    </row>
    <row r="19" spans="2:7" x14ac:dyDescent="0.3">
      <c r="B19" s="14" t="s">
        <v>8</v>
      </c>
      <c r="C19" s="15" t="s">
        <v>9</v>
      </c>
      <c r="D19" s="15">
        <v>170.42</v>
      </c>
      <c r="E19" s="15">
        <v>85</v>
      </c>
      <c r="F19" s="14" t="s">
        <v>10</v>
      </c>
      <c r="G19" s="14">
        <v>1</v>
      </c>
    </row>
    <row r="20" spans="2:7" x14ac:dyDescent="0.3">
      <c r="B20" s="14" t="s">
        <v>8</v>
      </c>
      <c r="C20" s="15" t="s">
        <v>9</v>
      </c>
      <c r="D20" s="15">
        <v>10055.57</v>
      </c>
      <c r="E20" s="15">
        <v>0</v>
      </c>
      <c r="F20" s="14" t="s">
        <v>10</v>
      </c>
      <c r="G20" s="14">
        <v>1</v>
      </c>
    </row>
    <row r="21" spans="2:7" x14ac:dyDescent="0.3">
      <c r="B21" s="14" t="s">
        <v>8</v>
      </c>
      <c r="C21" s="15" t="s">
        <v>9</v>
      </c>
      <c r="D21" s="15">
        <v>1234.4108616000001</v>
      </c>
      <c r="E21" s="15">
        <v>617.21</v>
      </c>
      <c r="F21" s="14" t="s">
        <v>10</v>
      </c>
      <c r="G21" s="14">
        <v>1</v>
      </c>
    </row>
    <row r="22" spans="2:7" x14ac:dyDescent="0.3">
      <c r="B22" s="14" t="s">
        <v>8</v>
      </c>
      <c r="C22" s="15" t="s">
        <v>9</v>
      </c>
      <c r="D22" s="15">
        <v>1496.84528862</v>
      </c>
      <c r="E22" s="15">
        <v>748.42</v>
      </c>
      <c r="F22" s="14" t="s">
        <v>10</v>
      </c>
      <c r="G22" s="14">
        <v>1</v>
      </c>
    </row>
    <row r="23" spans="2:7" x14ac:dyDescent="0.3">
      <c r="B23" s="14" t="s">
        <v>8</v>
      </c>
      <c r="C23" s="15" t="s">
        <v>9</v>
      </c>
      <c r="D23" s="15">
        <v>0</v>
      </c>
      <c r="E23" s="15">
        <v>1106.02</v>
      </c>
      <c r="F23" s="14" t="s">
        <v>10</v>
      </c>
      <c r="G23" s="14">
        <v>1</v>
      </c>
    </row>
    <row r="24" spans="2:7" x14ac:dyDescent="0.3">
      <c r="B24" s="14" t="s">
        <v>8</v>
      </c>
      <c r="C24" s="15" t="s">
        <v>9</v>
      </c>
      <c r="D24" s="15">
        <v>170.42</v>
      </c>
      <c r="E24" s="15">
        <v>85.42</v>
      </c>
      <c r="F24" s="14" t="s">
        <v>10</v>
      </c>
      <c r="G24" s="14">
        <v>1</v>
      </c>
    </row>
    <row r="25" spans="2:7" x14ac:dyDescent="0.3">
      <c r="B25" s="14" t="s">
        <v>8</v>
      </c>
      <c r="C25" s="15" t="s">
        <v>9</v>
      </c>
      <c r="D25" s="15">
        <v>13873.65</v>
      </c>
      <c r="E25" s="15">
        <v>0</v>
      </c>
      <c r="F25" s="14" t="s">
        <v>10</v>
      </c>
      <c r="G25" s="14">
        <v>1</v>
      </c>
    </row>
    <row r="26" spans="2:7" x14ac:dyDescent="0.3">
      <c r="B26" s="14" t="s">
        <v>8</v>
      </c>
      <c r="C26" s="15" t="s">
        <v>9</v>
      </c>
      <c r="D26" s="15">
        <v>1011.11</v>
      </c>
      <c r="E26" s="15">
        <v>0</v>
      </c>
      <c r="F26" s="14" t="s">
        <v>10</v>
      </c>
      <c r="G26" s="14">
        <v>1</v>
      </c>
    </row>
    <row r="27" spans="2:7" x14ac:dyDescent="0.3">
      <c r="B27" s="14" t="s">
        <v>8</v>
      </c>
      <c r="C27" s="15" t="s">
        <v>9</v>
      </c>
      <c r="D27" s="15">
        <v>100</v>
      </c>
      <c r="E27" s="15">
        <v>0</v>
      </c>
      <c r="F27" s="14" t="s">
        <v>10</v>
      </c>
      <c r="G27" s="14">
        <v>1</v>
      </c>
    </row>
    <row r="28" spans="2:7" x14ac:dyDescent="0.3">
      <c r="B28" s="14" t="s">
        <v>8</v>
      </c>
      <c r="C28" s="15" t="s">
        <v>9</v>
      </c>
      <c r="D28" s="15">
        <v>820.18380649999995</v>
      </c>
      <c r="E28" s="15">
        <v>410.09</v>
      </c>
      <c r="F28" s="14" t="s">
        <v>10</v>
      </c>
      <c r="G28" s="14">
        <v>1</v>
      </c>
    </row>
    <row r="29" spans="2:7" x14ac:dyDescent="0.3">
      <c r="B29" s="14" t="s">
        <v>8</v>
      </c>
      <c r="C29" s="15" t="s">
        <v>9</v>
      </c>
      <c r="D29" s="15">
        <v>48.72</v>
      </c>
      <c r="E29" s="15">
        <v>25</v>
      </c>
      <c r="F29" s="14" t="s">
        <v>10</v>
      </c>
      <c r="G29" s="14">
        <v>1</v>
      </c>
    </row>
    <row r="30" spans="2:7" x14ac:dyDescent="0.3">
      <c r="B30" s="14" t="s">
        <v>8</v>
      </c>
      <c r="C30" s="15" t="s">
        <v>9</v>
      </c>
      <c r="D30" s="15">
        <v>0</v>
      </c>
      <c r="E30" s="15">
        <v>753.78</v>
      </c>
      <c r="F30" s="14" t="s">
        <v>10</v>
      </c>
      <c r="G30" s="14">
        <v>1</v>
      </c>
    </row>
    <row r="33" spans="2:13" x14ac:dyDescent="0.3">
      <c r="B33" s="13" t="s">
        <v>2</v>
      </c>
      <c r="C33" s="13" t="s">
        <v>3</v>
      </c>
      <c r="D33" s="13" t="s">
        <v>11</v>
      </c>
      <c r="E33" s="13" t="s">
        <v>12</v>
      </c>
      <c r="F33" s="13" t="s">
        <v>13</v>
      </c>
      <c r="G33" s="13" t="s">
        <v>14</v>
      </c>
      <c r="H33" s="13" t="s">
        <v>15</v>
      </c>
      <c r="I33" s="13" t="s">
        <v>16</v>
      </c>
      <c r="J33" s="13" t="s">
        <v>17</v>
      </c>
      <c r="K33" s="13" t="s">
        <v>4</v>
      </c>
      <c r="L33" s="13" t="s">
        <v>5</v>
      </c>
      <c r="M33" s="13" t="s">
        <v>6</v>
      </c>
    </row>
    <row r="34" spans="2:13" x14ac:dyDescent="0.3">
      <c r="B34" s="14" t="s">
        <v>8</v>
      </c>
      <c r="C34" s="14" t="s">
        <v>9</v>
      </c>
      <c r="D34" s="14" t="s">
        <v>18</v>
      </c>
      <c r="E34" s="14" t="s">
        <v>19</v>
      </c>
      <c r="F34" s="14" t="s">
        <v>19</v>
      </c>
      <c r="G34" s="14" t="s">
        <v>20</v>
      </c>
      <c r="H34" s="14" t="s">
        <v>21</v>
      </c>
      <c r="I34" s="14" t="s">
        <v>21</v>
      </c>
      <c r="J34" s="14" t="s">
        <v>20</v>
      </c>
      <c r="K34" s="15">
        <v>34.617869370000001</v>
      </c>
      <c r="L34" s="15">
        <v>17.309999999999999</v>
      </c>
      <c r="M34" s="14" t="s">
        <v>10</v>
      </c>
    </row>
    <row r="35" spans="2:13" x14ac:dyDescent="0.3">
      <c r="B35" s="14" t="s">
        <v>8</v>
      </c>
      <c r="C35" s="14" t="s">
        <v>9</v>
      </c>
      <c r="D35" s="14" t="s">
        <v>22</v>
      </c>
      <c r="E35" s="14" t="s">
        <v>23</v>
      </c>
      <c r="F35" s="14" t="s">
        <v>23</v>
      </c>
      <c r="G35" s="14" t="s">
        <v>20</v>
      </c>
      <c r="H35" s="14" t="s">
        <v>21</v>
      </c>
      <c r="I35" s="14" t="s">
        <v>21</v>
      </c>
      <c r="J35" s="14" t="s">
        <v>20</v>
      </c>
      <c r="K35" s="15">
        <v>20.493194039999999</v>
      </c>
      <c r="L35" s="15">
        <v>10.25</v>
      </c>
      <c r="M35" s="14" t="s">
        <v>10</v>
      </c>
    </row>
    <row r="36" spans="2:13" x14ac:dyDescent="0.3">
      <c r="B36" s="14" t="s">
        <v>8</v>
      </c>
      <c r="C36" s="14" t="s">
        <v>9</v>
      </c>
      <c r="D36" s="14" t="s">
        <v>24</v>
      </c>
      <c r="E36" s="14" t="s">
        <v>23</v>
      </c>
      <c r="F36" s="14" t="s">
        <v>25</v>
      </c>
      <c r="G36" s="14" t="s">
        <v>10</v>
      </c>
      <c r="H36" s="14" t="s">
        <v>21</v>
      </c>
      <c r="I36" s="14" t="s">
        <v>21</v>
      </c>
      <c r="J36" s="14" t="s">
        <v>20</v>
      </c>
      <c r="K36" s="15">
        <v>100</v>
      </c>
      <c r="L36" s="15">
        <v>0</v>
      </c>
      <c r="M36" s="14" t="s">
        <v>10</v>
      </c>
    </row>
    <row r="37" spans="2:13" x14ac:dyDescent="0.3">
      <c r="B37" s="14" t="s">
        <v>8</v>
      </c>
      <c r="C37" s="14" t="s">
        <v>9</v>
      </c>
      <c r="D37" s="14" t="s">
        <v>26</v>
      </c>
      <c r="E37" s="14" t="s">
        <v>27</v>
      </c>
      <c r="F37" s="14" t="s">
        <v>28</v>
      </c>
      <c r="G37" s="14" t="s">
        <v>10</v>
      </c>
      <c r="H37" s="14" t="s">
        <v>21</v>
      </c>
      <c r="I37" s="14" t="s">
        <v>21</v>
      </c>
      <c r="J37" s="14" t="s">
        <v>20</v>
      </c>
      <c r="K37" s="15">
        <v>10055.57</v>
      </c>
      <c r="L37" s="15">
        <v>0</v>
      </c>
      <c r="M37" s="14" t="s">
        <v>10</v>
      </c>
    </row>
    <row r="38" spans="2:13" x14ac:dyDescent="0.3">
      <c r="B38" s="14" t="s">
        <v>8</v>
      </c>
      <c r="C38" s="14" t="s">
        <v>9</v>
      </c>
      <c r="D38" s="14" t="s">
        <v>29</v>
      </c>
      <c r="E38" s="14" t="s">
        <v>19</v>
      </c>
      <c r="F38" s="14" t="s">
        <v>30</v>
      </c>
      <c r="G38" s="14" t="s">
        <v>10</v>
      </c>
      <c r="H38" s="14" t="s">
        <v>21</v>
      </c>
      <c r="I38" s="14" t="s">
        <v>21</v>
      </c>
      <c r="J38" s="14" t="s">
        <v>20</v>
      </c>
      <c r="K38" s="15">
        <v>48.72</v>
      </c>
      <c r="L38" s="15">
        <v>25</v>
      </c>
      <c r="M38" s="14" t="s">
        <v>10</v>
      </c>
    </row>
    <row r="39" spans="2:13" x14ac:dyDescent="0.3">
      <c r="B39" s="14" t="s">
        <v>8</v>
      </c>
      <c r="C39" s="14" t="s">
        <v>9</v>
      </c>
      <c r="D39" s="14" t="s">
        <v>31</v>
      </c>
      <c r="E39" s="14" t="s">
        <v>32</v>
      </c>
      <c r="F39" s="14" t="s">
        <v>32</v>
      </c>
      <c r="G39" s="14" t="s">
        <v>20</v>
      </c>
      <c r="H39" s="14" t="s">
        <v>21</v>
      </c>
      <c r="I39" s="14" t="s">
        <v>21</v>
      </c>
      <c r="J39" s="14" t="s">
        <v>20</v>
      </c>
      <c r="K39" s="15">
        <v>0</v>
      </c>
      <c r="L39" s="15">
        <v>753.78</v>
      </c>
      <c r="M39" s="14" t="s">
        <v>10</v>
      </c>
    </row>
    <row r="40" spans="2:13" x14ac:dyDescent="0.3">
      <c r="B40" s="14" t="s">
        <v>8</v>
      </c>
      <c r="C40" s="14" t="s">
        <v>9</v>
      </c>
      <c r="D40" s="14" t="s">
        <v>33</v>
      </c>
      <c r="E40" s="14" t="s">
        <v>28</v>
      </c>
      <c r="F40" s="14" t="s">
        <v>28</v>
      </c>
      <c r="G40" s="14" t="s">
        <v>20</v>
      </c>
      <c r="H40" s="14" t="s">
        <v>21</v>
      </c>
      <c r="I40" s="14" t="s">
        <v>21</v>
      </c>
      <c r="J40" s="14" t="s">
        <v>20</v>
      </c>
      <c r="K40" s="15">
        <v>10055.549999999999</v>
      </c>
      <c r="L40" s="15">
        <v>0</v>
      </c>
      <c r="M40" s="14" t="s">
        <v>10</v>
      </c>
    </row>
    <row r="41" spans="2:13" x14ac:dyDescent="0.3">
      <c r="B41" s="14" t="s">
        <v>8</v>
      </c>
      <c r="C41" s="14" t="s">
        <v>9</v>
      </c>
      <c r="D41" s="14" t="s">
        <v>34</v>
      </c>
      <c r="E41" s="14" t="s">
        <v>23</v>
      </c>
      <c r="F41" s="14" t="s">
        <v>23</v>
      </c>
      <c r="G41" s="14" t="s">
        <v>20</v>
      </c>
      <c r="H41" s="14" t="s">
        <v>21</v>
      </c>
      <c r="I41" s="14" t="s">
        <v>21</v>
      </c>
      <c r="J41" s="14" t="s">
        <v>20</v>
      </c>
      <c r="K41" s="15">
        <v>1496.84528862</v>
      </c>
      <c r="L41" s="15">
        <v>748.42</v>
      </c>
      <c r="M41" s="14" t="s">
        <v>10</v>
      </c>
    </row>
    <row r="42" spans="2:13" x14ac:dyDescent="0.3">
      <c r="B42" s="14" t="s">
        <v>8</v>
      </c>
      <c r="C42" s="14" t="s">
        <v>9</v>
      </c>
      <c r="D42" s="14" t="s">
        <v>35</v>
      </c>
      <c r="E42" s="14" t="s">
        <v>32</v>
      </c>
      <c r="F42" s="14" t="s">
        <v>32</v>
      </c>
      <c r="G42" s="14" t="s">
        <v>20</v>
      </c>
      <c r="H42" s="14" t="s">
        <v>21</v>
      </c>
      <c r="I42" s="14" t="s">
        <v>21</v>
      </c>
      <c r="J42" s="14" t="s">
        <v>20</v>
      </c>
      <c r="K42" s="15">
        <v>0</v>
      </c>
      <c r="L42" s="15">
        <v>1106.02</v>
      </c>
      <c r="M42" s="14" t="s">
        <v>10</v>
      </c>
    </row>
    <row r="43" spans="2:13" x14ac:dyDescent="0.3">
      <c r="B43" s="14" t="s">
        <v>8</v>
      </c>
      <c r="C43" s="14" t="s">
        <v>9</v>
      </c>
      <c r="D43" s="14" t="s">
        <v>36</v>
      </c>
      <c r="E43" s="14" t="s">
        <v>28</v>
      </c>
      <c r="F43" s="14" t="s">
        <v>28</v>
      </c>
      <c r="G43" s="14" t="s">
        <v>20</v>
      </c>
      <c r="H43" s="14" t="s">
        <v>21</v>
      </c>
      <c r="I43" s="14" t="s">
        <v>21</v>
      </c>
      <c r="J43" s="14" t="s">
        <v>20</v>
      </c>
      <c r="K43" s="15">
        <v>13873.65</v>
      </c>
      <c r="L43" s="15">
        <v>0</v>
      </c>
      <c r="M43" s="14" t="s">
        <v>10</v>
      </c>
    </row>
    <row r="44" spans="2:13" x14ac:dyDescent="0.3">
      <c r="B44" s="14" t="s">
        <v>8</v>
      </c>
      <c r="C44" s="14" t="s">
        <v>9</v>
      </c>
      <c r="D44" s="14" t="s">
        <v>37</v>
      </c>
      <c r="E44" s="14" t="s">
        <v>19</v>
      </c>
      <c r="F44" s="14" t="s">
        <v>19</v>
      </c>
      <c r="G44" s="14" t="s">
        <v>20</v>
      </c>
      <c r="H44" s="14" t="s">
        <v>21</v>
      </c>
      <c r="I44" s="14" t="s">
        <v>21</v>
      </c>
      <c r="J44" s="14" t="s">
        <v>20</v>
      </c>
      <c r="K44" s="15">
        <v>317.3</v>
      </c>
      <c r="L44" s="15">
        <v>0</v>
      </c>
      <c r="M44" s="14" t="s">
        <v>10</v>
      </c>
    </row>
    <row r="45" spans="2:13" x14ac:dyDescent="0.3">
      <c r="B45" s="14" t="s">
        <v>8</v>
      </c>
      <c r="C45" s="14" t="s">
        <v>9</v>
      </c>
      <c r="D45" s="14" t="s">
        <v>38</v>
      </c>
      <c r="E45" s="14" t="s">
        <v>19</v>
      </c>
      <c r="F45" s="14" t="s">
        <v>19</v>
      </c>
      <c r="G45" s="14" t="s">
        <v>20</v>
      </c>
      <c r="H45" s="14" t="s">
        <v>21</v>
      </c>
      <c r="I45" s="14" t="s">
        <v>21</v>
      </c>
      <c r="J45" s="14" t="s">
        <v>20</v>
      </c>
      <c r="K45" s="15">
        <v>820.18380649999995</v>
      </c>
      <c r="L45" s="15">
        <v>410.09</v>
      </c>
      <c r="M45" s="14" t="s">
        <v>10</v>
      </c>
    </row>
    <row r="46" spans="2:13" x14ac:dyDescent="0.3">
      <c r="B46" s="14" t="s">
        <v>8</v>
      </c>
      <c r="C46" s="14" t="s">
        <v>9</v>
      </c>
      <c r="D46" s="14" t="s">
        <v>39</v>
      </c>
      <c r="E46" s="14" t="s">
        <v>19</v>
      </c>
      <c r="F46" s="14" t="s">
        <v>19</v>
      </c>
      <c r="G46" s="14" t="s">
        <v>20</v>
      </c>
      <c r="H46" s="14" t="s">
        <v>21</v>
      </c>
      <c r="I46" s="14" t="s">
        <v>21</v>
      </c>
      <c r="J46" s="14" t="s">
        <v>20</v>
      </c>
      <c r="K46" s="15">
        <v>88.315285000000003</v>
      </c>
      <c r="L46" s="15">
        <v>44.16</v>
      </c>
      <c r="M46" s="14" t="s">
        <v>10</v>
      </c>
    </row>
    <row r="47" spans="2:13" x14ac:dyDescent="0.3">
      <c r="B47" s="14" t="s">
        <v>8</v>
      </c>
      <c r="C47" s="14" t="s">
        <v>9</v>
      </c>
      <c r="D47" s="14" t="s">
        <v>40</v>
      </c>
      <c r="E47" s="14" t="s">
        <v>41</v>
      </c>
      <c r="F47" s="14" t="s">
        <v>41</v>
      </c>
      <c r="G47" s="14" t="s">
        <v>20</v>
      </c>
      <c r="H47" s="14" t="s">
        <v>21</v>
      </c>
      <c r="I47" s="14" t="s">
        <v>21</v>
      </c>
      <c r="J47" s="14" t="s">
        <v>20</v>
      </c>
      <c r="K47" s="15">
        <v>170.42</v>
      </c>
      <c r="L47" s="15">
        <v>85.42</v>
      </c>
      <c r="M47" s="14" t="s">
        <v>10</v>
      </c>
    </row>
    <row r="48" spans="2:13" x14ac:dyDescent="0.3">
      <c r="B48" s="14" t="s">
        <v>8</v>
      </c>
      <c r="C48" s="14" t="s">
        <v>9</v>
      </c>
      <c r="D48" s="14" t="s">
        <v>42</v>
      </c>
      <c r="E48" s="14" t="s">
        <v>27</v>
      </c>
      <c r="F48" s="14" t="s">
        <v>28</v>
      </c>
      <c r="G48" s="14" t="s">
        <v>10</v>
      </c>
      <c r="H48" s="14" t="s">
        <v>21</v>
      </c>
      <c r="I48" s="14" t="s">
        <v>21</v>
      </c>
      <c r="J48" s="14" t="s">
        <v>20</v>
      </c>
      <c r="K48" s="15">
        <v>1011.11</v>
      </c>
      <c r="L48" s="15">
        <v>0</v>
      </c>
      <c r="M48" s="14" t="s">
        <v>10</v>
      </c>
    </row>
    <row r="49" spans="2:13" x14ac:dyDescent="0.3">
      <c r="B49" s="14" t="s">
        <v>8</v>
      </c>
      <c r="C49" s="14" t="s">
        <v>9</v>
      </c>
      <c r="D49" s="14" t="s">
        <v>43</v>
      </c>
      <c r="E49" s="14" t="s">
        <v>19</v>
      </c>
      <c r="F49" s="14" t="s">
        <v>41</v>
      </c>
      <c r="G49" s="14" t="s">
        <v>10</v>
      </c>
      <c r="H49" s="14" t="s">
        <v>21</v>
      </c>
      <c r="I49" s="14" t="s">
        <v>21</v>
      </c>
      <c r="J49" s="14" t="s">
        <v>20</v>
      </c>
      <c r="K49" s="15">
        <v>226.17776015999999</v>
      </c>
      <c r="L49" s="15">
        <v>0</v>
      </c>
      <c r="M49" s="14" t="s">
        <v>10</v>
      </c>
    </row>
    <row r="50" spans="2:13" x14ac:dyDescent="0.3">
      <c r="B50" s="14" t="s">
        <v>8</v>
      </c>
      <c r="C50" s="14" t="s">
        <v>9</v>
      </c>
      <c r="D50" s="14" t="s">
        <v>44</v>
      </c>
      <c r="E50" s="14" t="s">
        <v>23</v>
      </c>
      <c r="F50" s="14" t="s">
        <v>23</v>
      </c>
      <c r="G50" s="14" t="s">
        <v>20</v>
      </c>
      <c r="H50" s="14" t="s">
        <v>21</v>
      </c>
      <c r="I50" s="14" t="s">
        <v>21</v>
      </c>
      <c r="J50" s="14" t="s">
        <v>20</v>
      </c>
      <c r="K50" s="15">
        <v>24.881450000000001</v>
      </c>
      <c r="L50" s="15">
        <v>12.44</v>
      </c>
      <c r="M50" s="14" t="s">
        <v>10</v>
      </c>
    </row>
    <row r="51" spans="2:13" x14ac:dyDescent="0.3">
      <c r="B51" s="14" t="s">
        <v>8</v>
      </c>
      <c r="C51" s="14" t="s">
        <v>9</v>
      </c>
      <c r="D51" s="14" t="s">
        <v>45</v>
      </c>
      <c r="E51" s="14" t="s">
        <v>19</v>
      </c>
      <c r="F51" s="14" t="s">
        <v>19</v>
      </c>
      <c r="G51" s="14" t="s">
        <v>20</v>
      </c>
      <c r="H51" s="14" t="s">
        <v>21</v>
      </c>
      <c r="I51" s="14" t="s">
        <v>21</v>
      </c>
      <c r="J51" s="14" t="s">
        <v>20</v>
      </c>
      <c r="K51" s="15">
        <v>1234.4108616000001</v>
      </c>
      <c r="L51" s="15">
        <v>617.21</v>
      </c>
      <c r="M51" s="14" t="s">
        <v>10</v>
      </c>
    </row>
    <row r="52" spans="2:13" x14ac:dyDescent="0.3">
      <c r="B52" s="14" t="s">
        <v>8</v>
      </c>
      <c r="C52" s="14" t="s">
        <v>9</v>
      </c>
      <c r="D52" s="14" t="s">
        <v>46</v>
      </c>
      <c r="E52" s="14" t="s">
        <v>30</v>
      </c>
      <c r="F52" s="14" t="s">
        <v>30</v>
      </c>
      <c r="G52" s="14" t="s">
        <v>20</v>
      </c>
      <c r="H52" s="14" t="s">
        <v>21</v>
      </c>
      <c r="I52" s="14" t="s">
        <v>21</v>
      </c>
      <c r="J52" s="14" t="s">
        <v>20</v>
      </c>
      <c r="K52" s="15">
        <v>170.42</v>
      </c>
      <c r="L52" s="15">
        <v>85</v>
      </c>
      <c r="M52" s="14" t="s">
        <v>10</v>
      </c>
    </row>
    <row r="54" spans="2:13" x14ac:dyDescent="0.3">
      <c r="B54" s="16" t="s">
        <v>47</v>
      </c>
    </row>
    <row r="55" spans="2:13" ht="7.05" customHeight="1" x14ac:dyDescent="0.3"/>
    <row r="56" spans="2:13" x14ac:dyDescent="0.3">
      <c r="B56" s="13" t="s">
        <v>2</v>
      </c>
      <c r="C56" s="13" t="s">
        <v>3</v>
      </c>
      <c r="D56" s="13" t="s">
        <v>11</v>
      </c>
      <c r="E56" s="17" t="s">
        <v>48</v>
      </c>
      <c r="F56" s="17" t="s">
        <v>49</v>
      </c>
      <c r="G56" s="17" t="s">
        <v>50</v>
      </c>
      <c r="H56" s="17" t="s">
        <v>51</v>
      </c>
      <c r="I56" s="17" t="s">
        <v>52</v>
      </c>
      <c r="J56" s="17" t="s">
        <v>53</v>
      </c>
    </row>
    <row r="57" spans="2:13" x14ac:dyDescent="0.3">
      <c r="B57" s="18" t="s">
        <v>8</v>
      </c>
      <c r="C57" s="18" t="s">
        <v>9</v>
      </c>
      <c r="D57" s="19" t="s">
        <v>37</v>
      </c>
      <c r="E57" s="20" t="s">
        <v>54</v>
      </c>
      <c r="F57" s="21">
        <v>317.3</v>
      </c>
      <c r="G57" s="21">
        <v>0</v>
      </c>
      <c r="H57" s="22">
        <v>1</v>
      </c>
      <c r="I57" s="15">
        <v>88608.52</v>
      </c>
      <c r="J57" s="23">
        <f>H57*(F57-G57)</f>
        <v>317.3</v>
      </c>
    </row>
    <row r="58" spans="2:13" x14ac:dyDescent="0.3">
      <c r="B58" s="24"/>
      <c r="C58" s="24"/>
      <c r="D58" s="25"/>
      <c r="E58" s="20" t="s">
        <v>37</v>
      </c>
      <c r="F58" s="21" t="s">
        <v>55</v>
      </c>
      <c r="G58" s="21" t="s">
        <v>55</v>
      </c>
      <c r="H58" s="22">
        <v>1</v>
      </c>
      <c r="I58" s="15">
        <v>88608.52</v>
      </c>
      <c r="J58" s="26"/>
    </row>
    <row r="59" spans="2:13" x14ac:dyDescent="0.3">
      <c r="B59" s="14" t="s">
        <v>8</v>
      </c>
      <c r="C59" s="14" t="s">
        <v>9</v>
      </c>
      <c r="D59" s="14" t="s">
        <v>38</v>
      </c>
      <c r="E59" s="20" t="s">
        <v>56</v>
      </c>
      <c r="F59" s="15">
        <v>908.5</v>
      </c>
      <c r="G59" s="21">
        <v>0</v>
      </c>
      <c r="H59" s="22">
        <v>0.90278899999999995</v>
      </c>
      <c r="I59" s="15">
        <v>9827.5499999999993</v>
      </c>
      <c r="J59" s="15">
        <f>H59*(F59-G59)</f>
        <v>820.18380649999995</v>
      </c>
    </row>
    <row r="62" spans="2:13" x14ac:dyDescent="0.3">
      <c r="F62" s="27"/>
    </row>
    <row r="63" spans="2:13" x14ac:dyDescent="0.3">
      <c r="F63" s="27"/>
    </row>
    <row r="64" spans="2:13" x14ac:dyDescent="0.3">
      <c r="F64" s="27"/>
    </row>
  </sheetData>
  <mergeCells count="5">
    <mergeCell ref="B9:C9"/>
    <mergeCell ref="B57:B58"/>
    <mergeCell ref="C57:C58"/>
    <mergeCell ref="D57:D58"/>
    <mergeCell ref="J57:J58"/>
  </mergeCells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0F2CD0D646C4A4BA134F31D4B24B40E" ma:contentTypeVersion="6" ma:contentTypeDescription="Create a new document." ma:contentTypeScope="" ma:versionID="44d084d22cffce93bfdc479ece46efdb">
  <xsd:schema xmlns:xsd="http://www.w3.org/2001/XMLSchema" xmlns:xs="http://www.w3.org/2001/XMLSchema" xmlns:p="http://schemas.microsoft.com/office/2006/metadata/properties" xmlns:ns1="http://schemas.microsoft.com/sharepoint/v3" xmlns:ns2="452ab218-3f18-4af3-9aea-c75ce8322b25" targetNamespace="http://schemas.microsoft.com/office/2006/metadata/properties" ma:root="true" ma:fieldsID="4c48daec1cac35560ca4f83510ab44c9" ns1:_="" ns2:_="">
    <xsd:import namespace="http://schemas.microsoft.com/sharepoint/v3"/>
    <xsd:import namespace="452ab218-3f18-4af3-9aea-c75ce8322b2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2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3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52ab218-3f18-4af3-9aea-c75ce8322b2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87DFF038-0944-495E-B3C4-EF1DE5946EF9}"/>
</file>

<file path=customXml/itemProps2.xml><?xml version="1.0" encoding="utf-8"?>
<ds:datastoreItem xmlns:ds="http://schemas.openxmlformats.org/officeDocument/2006/customXml" ds:itemID="{CA8B7652-61C0-459C-B216-FD19127990BE}"/>
</file>

<file path=customXml/itemProps3.xml><?xml version="1.0" encoding="utf-8"?>
<ds:datastoreItem xmlns:ds="http://schemas.openxmlformats.org/officeDocument/2006/customXml" ds:itemID="{AAAD8473-CB2B-4F9E-BB6D-CE50857E022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GRSS_CMMSSN_INCM_OFF_BLNC</vt:lpstr>
    </vt:vector>
  </TitlesOfParts>
  <Company>Banco Santander Portugal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 Filipa Silva Carreira</dc:creator>
  <cp:lastModifiedBy>Ana Filipa Silva Carreira</cp:lastModifiedBy>
  <dcterms:created xsi:type="dcterms:W3CDTF">2025-08-05T09:51:30Z</dcterms:created>
  <dcterms:modified xsi:type="dcterms:W3CDTF">2025-08-05T09:55:42Z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c2abd79-57a9-4473-8700-c843f76a1e37_Enabled">
    <vt:lpwstr>true</vt:lpwstr>
  </property>
  <property fmtid="{D5CDD505-2E9C-101B-9397-08002B2CF9AE}" pid="3" name="MSIP_Label_0c2abd79-57a9-4473-8700-c843f76a1e37_SetDate">
    <vt:lpwstr>2025-08-05T09:55:42Z</vt:lpwstr>
  </property>
  <property fmtid="{D5CDD505-2E9C-101B-9397-08002B2CF9AE}" pid="4" name="MSIP_Label_0c2abd79-57a9-4473-8700-c843f76a1e37_Method">
    <vt:lpwstr>Privileged</vt:lpwstr>
  </property>
  <property fmtid="{D5CDD505-2E9C-101B-9397-08002B2CF9AE}" pid="5" name="MSIP_Label_0c2abd79-57a9-4473-8700-c843f76a1e37_Name">
    <vt:lpwstr>Internal</vt:lpwstr>
  </property>
  <property fmtid="{D5CDD505-2E9C-101B-9397-08002B2CF9AE}" pid="6" name="MSIP_Label_0c2abd79-57a9-4473-8700-c843f76a1e37_SiteId">
    <vt:lpwstr>35595a02-4d6d-44ac-99e1-f9ab4cd872db</vt:lpwstr>
  </property>
  <property fmtid="{D5CDD505-2E9C-101B-9397-08002B2CF9AE}" pid="7" name="MSIP_Label_0c2abd79-57a9-4473-8700-c843f76a1e37_ActionId">
    <vt:lpwstr>685f6dae-665c-427d-81b2-d0cbdf9f84fe</vt:lpwstr>
  </property>
  <property fmtid="{D5CDD505-2E9C-101B-9397-08002B2CF9AE}" pid="8" name="MSIP_Label_0c2abd79-57a9-4473-8700-c843f76a1e37_ContentBits">
    <vt:lpwstr>0</vt:lpwstr>
  </property>
  <property fmtid="{D5CDD505-2E9C-101B-9397-08002B2CF9AE}" pid="9" name="MSIP_Label_0c2abd79-57a9-4473-8700-c843f76a1e37_Tag">
    <vt:lpwstr>10, 0, 1, 1</vt:lpwstr>
  </property>
  <property fmtid="{D5CDD505-2E9C-101B-9397-08002B2CF9AE}" pid="10" name="ContentTypeId">
    <vt:lpwstr>0x010100B0F2CD0D646C4A4BA134F31D4B24B40E</vt:lpwstr>
  </property>
</Properties>
</file>