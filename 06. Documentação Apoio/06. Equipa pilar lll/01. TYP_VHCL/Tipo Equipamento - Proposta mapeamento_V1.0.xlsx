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21" documentId="8_{14B34B76-882C-404C-9020-DA2848015206}" xr6:coauthVersionLast="47" xr6:coauthVersionMax="47" xr10:uidLastSave="{7692A5A7-9177-4040-BC66-4262E30E66D3}"/>
  <bookViews>
    <workbookView xWindow="-120" yWindow="-16320" windowWidth="29040" windowHeight="15720" activeTab="3" xr2:uid="{00000000-000D-0000-FFFF-FFFF00000000}"/>
  </bookViews>
  <sheets>
    <sheet name="Resumo" sheetId="7" r:id="rId1"/>
    <sheet name="1. TAT (1) - Equip. Lease" sheetId="1" r:id="rId2"/>
    <sheet name="1. TAT (2) - Equip. Lease" sheetId="6" r:id="rId3"/>
    <sheet name="2. Mapeamento a validar" sheetId="8" r:id="rId4"/>
    <sheet name="Sheet2" sheetId="9" r:id="rId5"/>
    <sheet name="Sheet1" sheetId="5" state="hidden" r:id="rId6"/>
  </sheets>
  <definedNames>
    <definedName name="_xlnm._FilterDatabase" localSheetId="1" hidden="1">'1. TAT (1) - Equip. Lease'!$B$5:$F$224</definedName>
    <definedName name="_xlnm._FilterDatabase" localSheetId="2" hidden="1">'1. TAT (2) - Equip. Lease'!$B$5:$F$33</definedName>
    <definedName name="_xlnm._FilterDatabase" localSheetId="3" hidden="1">'2. Mapeamento a validar'!$B$5:$F$232</definedName>
    <definedName name="_xlcn.WorksheetConnection_1.TAT1Equip.LeaseB5F2241" hidden="1">'1. TAT (1) - Equip. Lease'!$B$5:$F$224</definedName>
  </definedNames>
  <calcPr calcId="191029"/>
  <pivotCaches>
    <pivotCache cacheId="0" r:id="rId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1. TAT (1) - Equip. Lease!$B$5:$F$22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4" i="1" l="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F31" i="5" l="1"/>
  <c r="G31" i="5" s="1"/>
  <c r="F30" i="5"/>
  <c r="G30" i="5" s="1"/>
  <c r="F29" i="5"/>
  <c r="G29" i="5" s="1"/>
  <c r="F28" i="5"/>
  <c r="G28" i="5" s="1"/>
  <c r="F27" i="5"/>
  <c r="G27" i="5" s="1"/>
  <c r="F26" i="5"/>
  <c r="G26" i="5" s="1"/>
  <c r="F25" i="5"/>
  <c r="G25" i="5" s="1"/>
  <c r="F24" i="5"/>
  <c r="G24" i="5" s="1"/>
  <c r="F23" i="5"/>
  <c r="G23" i="5" s="1"/>
  <c r="F22" i="5"/>
  <c r="G22" i="5" s="1"/>
  <c r="F21" i="5"/>
  <c r="G21" i="5" s="1"/>
  <c r="F5" i="5"/>
  <c r="G5" i="5" s="1"/>
  <c r="D6" i="5"/>
  <c r="D7" i="5" s="1"/>
  <c r="D8" i="5" s="1"/>
  <c r="D9" i="5" s="1"/>
  <c r="D10" i="5" s="1"/>
  <c r="D11" i="5" s="1"/>
  <c r="D12" i="5" s="1"/>
  <c r="D13" i="5" s="1"/>
  <c r="D14" i="5" s="1"/>
  <c r="D15" i="5" s="1"/>
  <c r="D16" i="5" s="1"/>
  <c r="D17" i="5" s="1"/>
  <c r="D18" i="5" s="1"/>
  <c r="D19" i="5" s="1"/>
  <c r="D20" i="5" s="1"/>
  <c r="F20" i="5" s="1"/>
  <c r="G20" i="5" s="1"/>
  <c r="F12" i="5" l="1"/>
  <c r="G12" i="5" s="1"/>
  <c r="F13" i="5"/>
  <c r="G13" i="5" s="1"/>
  <c r="F6" i="5"/>
  <c r="G6" i="5" s="1"/>
  <c r="F14" i="5"/>
  <c r="G14" i="5" s="1"/>
  <c r="F7" i="5"/>
  <c r="G7" i="5" s="1"/>
  <c r="F15" i="5"/>
  <c r="G15" i="5" s="1"/>
  <c r="F8" i="5"/>
  <c r="G8" i="5" s="1"/>
  <c r="F16" i="5"/>
  <c r="G16" i="5" s="1"/>
  <c r="F9" i="5"/>
  <c r="G9" i="5" s="1"/>
  <c r="F17" i="5"/>
  <c r="G17" i="5" s="1"/>
  <c r="F10" i="5"/>
  <c r="G10" i="5" s="1"/>
  <c r="F18" i="5"/>
  <c r="G18" i="5" s="1"/>
  <c r="F11" i="5"/>
  <c r="G11" i="5" s="1"/>
  <c r="F19" i="5"/>
  <c r="G19"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1. TAT (1) - Equip. Lease!$B$5:$F$224" type="102" refreshedVersion="8" minRefreshableVersion="5">
    <extLst>
      <ext xmlns:x15="http://schemas.microsoft.com/office/spreadsheetml/2010/11/main" uri="{DE250136-89BD-433C-8126-D09CA5730AF9}">
        <x15:connection id="Range" autoDelete="1">
          <x15:rangePr sourceName="_xlcn.WorksheetConnection_1.TAT1Equip.LeaseB5F2241"/>
        </x15:connection>
      </ext>
    </extLst>
  </connection>
</connections>
</file>

<file path=xl/sharedStrings.xml><?xml version="1.0" encoding="utf-8"?>
<sst xmlns="http://schemas.openxmlformats.org/spreadsheetml/2006/main" count="1330" uniqueCount="378">
  <si>
    <t>EQUIPAMENTO P/ AGRICULTURA E PESCA</t>
  </si>
  <si>
    <t>SEMEAR E TRATAR</t>
  </si>
  <si>
    <t>COLHEITA</t>
  </si>
  <si>
    <t>REGA</t>
  </si>
  <si>
    <t>TRANSPORTE S/ MATRICULA</t>
  </si>
  <si>
    <t>EQ.AGRICOLA C/ MATRICULA</t>
  </si>
  <si>
    <t>MAQ. IND. ALIMENTAR (S/SEGURO)</t>
  </si>
  <si>
    <t>PESCA</t>
  </si>
  <si>
    <t>INST. HIDRAULICAS E DE TRATAMENTO AGUAS</t>
  </si>
  <si>
    <t>EQUIPAMENTO P/ INDUSTRIA TRANSFORMADORA</t>
  </si>
  <si>
    <t>MAQ. IND. ALIMENTAR</t>
  </si>
  <si>
    <t>MAQ. IND. TEXTIL, COURO E CALCADO</t>
  </si>
  <si>
    <t>MAQ. IND. MADEIRA E CORTICA</t>
  </si>
  <si>
    <t>MAQ. IND. PAPEL, CARTAO E ARTES GRAFICA</t>
  </si>
  <si>
    <t>CERAMICA E VIDRO</t>
  </si>
  <si>
    <t>MAQ. IND. QUIMICA</t>
  </si>
  <si>
    <t>BORRACHA</t>
  </si>
  <si>
    <t>MAQ. IND. ROCHAS, CERAMICA E INERTES MIN</t>
  </si>
  <si>
    <t>MAQ. IND. METALOMECANICA</t>
  </si>
  <si>
    <t>EQUIPAMENTO PARA CONSTRUCAO CIVIL</t>
  </si>
  <si>
    <t>EQUIPAMENTO ESCAVACAO E TERRAPLANAGEM</t>
  </si>
  <si>
    <t>EQUIPAMENTO DE ELEVACAO E TRANSPORTE</t>
  </si>
  <si>
    <t>AUTOBETONEIRAS</t>
  </si>
  <si>
    <t>EQUIPAMENTO DE MOVIMENTACAO E ARMAZENAGE</t>
  </si>
  <si>
    <t>OUTROS EQUIP. PARA A CONSTRUCAO CIVIL</t>
  </si>
  <si>
    <t>EQUIPAMENTO DE COMERCIO E SERVICOS</t>
  </si>
  <si>
    <t>RESTAURAÇÃO</t>
  </si>
  <si>
    <t>HOTELARIA</t>
  </si>
  <si>
    <t>LAVANDARIAS</t>
  </si>
  <si>
    <t>OUTROS EQUIPAMENTOS</t>
  </si>
  <si>
    <t>EQUIPAMENTO ESCRITÓRIO E INFORMÁTICO</t>
  </si>
  <si>
    <t>INFORMÁTICA</t>
  </si>
  <si>
    <t>MOBILIÁRIO</t>
  </si>
  <si>
    <t>FOTOCOPIADORAS</t>
  </si>
  <si>
    <t>CENTRAIS TELEFÓNICAS E DE COMUNICAÇÃO</t>
  </si>
  <si>
    <t>AR CONDICIONADO</t>
  </si>
  <si>
    <t>EQUIPAMENTO FIXO - EDUCAÇÃO</t>
  </si>
  <si>
    <t>EQUIPAMENTO ELECTRÓNICO EDUCAÇÃO</t>
  </si>
  <si>
    <t>OUTROS EQUIPAMENTOS ELECTRÓNICOS</t>
  </si>
  <si>
    <t>EQUIPAMENTO SERVIÇOS DE SAUDE</t>
  </si>
  <si>
    <t>LABORATÓRIOS</t>
  </si>
  <si>
    <t>EQUIPAMENTO ELECTRONICO DE MEDICINA</t>
  </si>
  <si>
    <t>EQUIPAMENTOS DIVERSOS</t>
  </si>
  <si>
    <t>SERVIÇOS AUTO</t>
  </si>
  <si>
    <t>TELEMÓVEIS</t>
  </si>
  <si>
    <t>GRUAS</t>
  </si>
  <si>
    <t>FOTOGRAFIA</t>
  </si>
  <si>
    <t>EQUIPAMENTOS DE TRANSPORTE</t>
  </si>
  <si>
    <t>FERROVIÁRIO</t>
  </si>
  <si>
    <t>MARITIMO</t>
  </si>
  <si>
    <t>EMBARCACOES</t>
  </si>
  <si>
    <t>NAVIOS</t>
  </si>
  <si>
    <t>AEREO</t>
  </si>
  <si>
    <t>AVIÕES</t>
  </si>
  <si>
    <t>HELICOPTEROS</t>
  </si>
  <si>
    <t>ULTRALEVES</t>
  </si>
  <si>
    <t>AERONAVES</t>
  </si>
  <si>
    <t>RODOVIÁRIO</t>
  </si>
  <si>
    <t>VEICULOS LIGEIROS DE PASSAGEIROS</t>
  </si>
  <si>
    <t>VEICULOS LIGEIROS DE MERCADORIAS</t>
  </si>
  <si>
    <t>VEICULOS PESADOS DE PASSAGEIROS</t>
  </si>
  <si>
    <t>VEICULOS PESADOS DE MERCADORIAS</t>
  </si>
  <si>
    <t>VEICULOS TRANSPORTES MATERIAS PERIGOSAS</t>
  </si>
  <si>
    <t>MOTOCICLOS CILINDRADA SUPERIOR A 50CM3</t>
  </si>
  <si>
    <t>TODO TERRENO</t>
  </si>
  <si>
    <t>REBOQUE/SEMI-REBOQUE C/MATRICULA</t>
  </si>
  <si>
    <t>VIATURA MISTA</t>
  </si>
  <si>
    <t>PAS CARREGADORES,ESCAVADORES,RETROESCAVA</t>
  </si>
  <si>
    <t>TRACTOR,TRACTOR BASCULANTE,DUMPERS</t>
  </si>
  <si>
    <t>EMPILHADOR</t>
  </si>
  <si>
    <t>MULTIRISCOS COMÉRCIO-EDIFICIO ATÉ 25 ANO</t>
  </si>
  <si>
    <t>MULTIRISCOS COMÉRCIO-EDIFICIO 25-50 ANOS</t>
  </si>
  <si>
    <t>MULTIRISCOS COMÉRCIO-EDIFICIO + 50 ANOS</t>
  </si>
  <si>
    <t>REBOQUE C/MATRICULA P/LIGEIROS PASSAGEIR</t>
  </si>
  <si>
    <t>REBOQUE C/MATRICULA P/LIGEIROS MERCADORI</t>
  </si>
  <si>
    <t>REBOQUE C/MATRICULA P/TODO TERRENO</t>
  </si>
  <si>
    <t>REBOQUE C/MATRICULA P/TRACTOR</t>
  </si>
  <si>
    <t>CICLOMOTOR OU MOTOCICLO ATÉ 50CM3</t>
  </si>
  <si>
    <t>TRICICLO OU QUADRICICLO ATÉ 50CM3</t>
  </si>
  <si>
    <t>EQUIPAMENTOS BANCO EFISA</t>
  </si>
  <si>
    <t>INSTALAÇÕES</t>
  </si>
  <si>
    <t>EQUIPAMENTO ANTI-POLUICAO</t>
  </si>
  <si>
    <t>CAIXA FRIGORIFICA</t>
  </si>
  <si>
    <t>CARAVANAS</t>
  </si>
  <si>
    <t>ESTRUTURAS DE CONST CIVIL</t>
  </si>
  <si>
    <t>TELEMOVEIS</t>
  </si>
  <si>
    <t>AUTOBETONEIRA</t>
  </si>
  <si>
    <t>AUTOGRUA</t>
  </si>
  <si>
    <t>AUTOVARREDORA</t>
  </si>
  <si>
    <t>BOMBA LANCA BETAO</t>
  </si>
  <si>
    <t>CILINDRO COMPACTADOR</t>
  </si>
  <si>
    <t>ESCAVADORA</t>
  </si>
  <si>
    <t>GRUPO COMPRESSOR</t>
  </si>
  <si>
    <t>GRUPO GERADOR</t>
  </si>
  <si>
    <t>MARCADOR DE RODOVIA</t>
  </si>
  <si>
    <t>MOTONIVELADORA</t>
  </si>
  <si>
    <t>PA CARREGADORA</t>
  </si>
  <si>
    <t>PERFURADORA</t>
  </si>
  <si>
    <t>PLANTAFORMA ELEVATORIA</t>
  </si>
  <si>
    <t>PAVIMENTADORA</t>
  </si>
  <si>
    <t>RETROESCAVADORA</t>
  </si>
  <si>
    <t>TRACTOR INDUSTRIAL</t>
  </si>
  <si>
    <t>UNIDADE DE TRANSPORTE</t>
  </si>
  <si>
    <t>TT E COMERCIAIS ATE 1600KG</t>
  </si>
  <si>
    <t>TT E COMERCIAIS DE 1601KG A 2600KG</t>
  </si>
  <si>
    <t>TT E COMERCIAIS DE 2601KG A 3500KG</t>
  </si>
  <si>
    <t>COMERCIAIS ATE 1600KG</t>
  </si>
  <si>
    <t>COMERCIAIS DE 1601KG A 2600KG</t>
  </si>
  <si>
    <t>COMERCIAIS DE 2601KG A 3500KG</t>
  </si>
  <si>
    <t>TT ATE 1600KG</t>
  </si>
  <si>
    <t>TT DE 1601KG A 2600KG</t>
  </si>
  <si>
    <t>TT DE 2601KG A 3500KG</t>
  </si>
  <si>
    <t>MOBILIARIO DE COZINHA</t>
  </si>
  <si>
    <t>COLCHOES</t>
  </si>
  <si>
    <t>DECORACAO</t>
  </si>
  <si>
    <t>EQUIP. TRANSMISSAO</t>
  </si>
  <si>
    <t>OUTROS EQUIPAMENTOS MOVEIS (S/RESP.CIVIL</t>
  </si>
  <si>
    <t>LAZER/DIVERSOES</t>
  </si>
  <si>
    <t>VIAGENS</t>
  </si>
  <si>
    <t>BRINQUEDOS</t>
  </si>
  <si>
    <t>OURIVESARIA</t>
  </si>
  <si>
    <t>RELOJARIA</t>
  </si>
  <si>
    <t>VESTUARIO</t>
  </si>
  <si>
    <t>EQUIPAMENTO PARA SERVIÇOS AUTO</t>
  </si>
  <si>
    <t>ELECTRODOMESTICOS</t>
  </si>
  <si>
    <t>ELECTRODOMESTICOS - LINHA CASTANHA</t>
  </si>
  <si>
    <t>INSTRUMENTOS MUSICAIS</t>
  </si>
  <si>
    <t>MAQUINAS NAO ESPECIFICADAS (MAQ. FIXAS)</t>
  </si>
  <si>
    <t>EQUIPAMENTO DIVERSO (ELECTRONICO)</t>
  </si>
  <si>
    <t>EQUIPAMENTO ELECTRONICO - POS</t>
  </si>
  <si>
    <t>MATERIAL FOTOGRAFICO</t>
  </si>
  <si>
    <t>EQUIPAMENTO DIVERSO (MULTIRISCOS)</t>
  </si>
  <si>
    <t>EQUIPAMENTOS TERMICOS</t>
  </si>
  <si>
    <t>EQUIPAMENTOS FOTOVOLTAICOS</t>
  </si>
  <si>
    <t>MICROGERACAO EOLICO</t>
  </si>
  <si>
    <t>OUTRAS ENERGIAS RENOVAVEIS</t>
  </si>
  <si>
    <t>COFRES DE ALUGUER - ATE 20 DM3</t>
  </si>
  <si>
    <t>COFRES DE ALUGUER - DE 21 A 30 DM3</t>
  </si>
  <si>
    <t>COFRES DE ALUGUER - DE 31 A 75 DM3</t>
  </si>
  <si>
    <t>COFRES DE ALUGUER - DE 76 A 130 DM3</t>
  </si>
  <si>
    <t>COFRES DE ALUGUER - SUPERIOR A 130 DM3</t>
  </si>
  <si>
    <t>CM 24/B - RECICLADOR NOTAS</t>
  </si>
  <si>
    <t>CM 24 - RECICLADOR NOTAS</t>
  </si>
  <si>
    <t>CM 18 - RECICLADOR NOTAS</t>
  </si>
  <si>
    <t>CM 14 - RECICLADOR NOTAS</t>
  </si>
  <si>
    <t>SID - MOD.DEPOSITO NOTAS</t>
  </si>
  <si>
    <t>DIMO - DISPENSADOR MOEDAS</t>
  </si>
  <si>
    <t>DIMO-LIGHT - DISPENSADOR MOEDAS</t>
  </si>
  <si>
    <t>CONTA - MOD.DEPOSITO MOEDAS</t>
  </si>
  <si>
    <t>MINI-CONTA - MOD.DEPOSITO MOEDAS</t>
  </si>
  <si>
    <t>DIBI - MOD.DEPOSITO NOTAS</t>
  </si>
  <si>
    <t>PC - COMPUTADOR</t>
  </si>
  <si>
    <t>IMPR - IMPRESSORA</t>
  </si>
  <si>
    <t>CCTV - CAMARA FILMAR</t>
  </si>
  <si>
    <t>CTS LS100 - LEITOR DE CHEQUES</t>
  </si>
  <si>
    <t>MÁQUINAS PARA OBRAS PÍBLICAS QUE CIRCULE</t>
  </si>
  <si>
    <t>EQUIPAMENTOS PARA USO INDUSTRIAL</t>
  </si>
  <si>
    <t>EQUIPAMENTOS PARA USO COMERCIAL</t>
  </si>
  <si>
    <t>MÁQUINAS PARA USO COMERCIAL</t>
  </si>
  <si>
    <t>Veículos que não circulam na via pública</t>
  </si>
  <si>
    <t>IMPOSTO MUNICIPAL DE TRASMIõES</t>
  </si>
  <si>
    <t>IMPOSTO DE SELO</t>
  </si>
  <si>
    <t>FACT CONSTRU LEASING MOBIL EN CONSTRUCCI</t>
  </si>
  <si>
    <t>EQUIPAMIENTO GENERAL DEL HOGAR</t>
  </si>
  <si>
    <t>PISCINA</t>
  </si>
  <si>
    <t>TURISMO</t>
  </si>
  <si>
    <t>TURISMO COMERCIAL</t>
  </si>
  <si>
    <t>FURGONETA</t>
  </si>
  <si>
    <t>FURGÕES</t>
  </si>
  <si>
    <t>VALOR MOBILIARIO, EN GENERAL</t>
  </si>
  <si>
    <t>VALOR MOBILIARIO CON COTIZACION</t>
  </si>
  <si>
    <t>VALOR MOBILIARIO SIN COTIZACION</t>
  </si>
  <si>
    <t>PARTICIPACIONES EN SOCIEDADES/NEGOCIOS</t>
  </si>
  <si>
    <t>EMBARCACIONES O AERONAVES</t>
  </si>
  <si>
    <t>FONDOS PÚBLICOS</t>
  </si>
  <si>
    <t>EFECTO</t>
  </si>
  <si>
    <t>FACTURA</t>
  </si>
  <si>
    <t>CERTIFICACIONES DEL SECTOR PUBLICO</t>
  </si>
  <si>
    <t>DEPOSITO A PLAZO EN ENTIDADES</t>
  </si>
  <si>
    <t>DEPOSITO A LA VISTA EN ENTIDADES</t>
  </si>
  <si>
    <t>FONDOS DE INVERSION</t>
  </si>
  <si>
    <t>SALDOS DE CLIENTES (ACLARAR)</t>
  </si>
  <si>
    <t>PLANES DE PENSIONES Y JUBILACION</t>
  </si>
  <si>
    <t>SEGUROS DE AHORRO</t>
  </si>
  <si>
    <t>COMBUSTIBLES</t>
  </si>
  <si>
    <t>REPUESTOS</t>
  </si>
  <si>
    <t>EMBALAJES</t>
  </si>
  <si>
    <t>ENVASES</t>
  </si>
  <si>
    <t>MATERIAL DE OFICINA</t>
  </si>
  <si>
    <t>UTILLAJE</t>
  </si>
  <si>
    <t>ACTIVOS INMATERIALES</t>
  </si>
  <si>
    <t>EXISTENCIAS DE MATERIAS PRIMAS</t>
  </si>
  <si>
    <t>EXISTENCIAS DE PRODUCTOS EN CURSO</t>
  </si>
  <si>
    <t>EXISTENCIAS DE PRODUCTOS TERMINADOS</t>
  </si>
  <si>
    <t>GANADO, EN GENERAL</t>
  </si>
  <si>
    <t>JOYAS</t>
  </si>
  <si>
    <t>OBJETOS ARTISTICOS</t>
  </si>
  <si>
    <t>ANTIGUIEDADES</t>
  </si>
  <si>
    <t>VIAJES/VACACIONES (USO EXCLUSIVO EN T209</t>
  </si>
  <si>
    <t>GASTOS PERSONALES (USO EXCLUSIVO EN T209</t>
  </si>
  <si>
    <t>ESTUDIOS/CURSOS (USO EXCLUSIVO EN T2097D</t>
  </si>
  <si>
    <t>OUTROS BAPOP</t>
  </si>
  <si>
    <t>Nelemc01</t>
  </si>
  <si>
    <t>Nelemc02</t>
  </si>
  <si>
    <t>Nelemc03</t>
  </si>
  <si>
    <t>EQUIPAMENTO</t>
  </si>
  <si>
    <t>VIATURA</t>
  </si>
  <si>
    <t>dados a 31/07/2024</t>
  </si>
  <si>
    <t>Viatura - Indefinido</t>
  </si>
  <si>
    <t>Viatura - Agricultura</t>
  </si>
  <si>
    <t>Viatura - Construção</t>
  </si>
  <si>
    <t>Viatura - Maritimo</t>
  </si>
  <si>
    <t>Viatura - Avião</t>
  </si>
  <si>
    <t>Viatura - Ligeiro passageiros</t>
  </si>
  <si>
    <t>Viatura - Ligeiro mercadorias</t>
  </si>
  <si>
    <t>Viatura - Pesado passageiros</t>
  </si>
  <si>
    <t>Viatura - Pesado mercadorias</t>
  </si>
  <si>
    <t>Viatura - Motociclo</t>
  </si>
  <si>
    <t>Viatura - Reboque</t>
  </si>
  <si>
    <t>Equip. - Agricultura</t>
  </si>
  <si>
    <t>Equip. - Indústria</t>
  </si>
  <si>
    <t>Equip. - Pecuária</t>
  </si>
  <si>
    <t>Equip. - Energia Hidráulica</t>
  </si>
  <si>
    <t>Equip. - Construção</t>
  </si>
  <si>
    <t>Equip. - Comércio</t>
  </si>
  <si>
    <t>Equip. - Hotelaria</t>
  </si>
  <si>
    <t>Equip. - Indefinido</t>
  </si>
  <si>
    <t>Equip. - Escritório</t>
  </si>
  <si>
    <t>Equip. - Saúde</t>
  </si>
  <si>
    <t>Equip. - Transporte</t>
  </si>
  <si>
    <t>Equip. - Lazer</t>
  </si>
  <si>
    <t>Equip. - Fotovoltaico</t>
  </si>
  <si>
    <t>Equip. - Energia éolica</t>
  </si>
  <si>
    <t>Equip. - Outras E. Renováveis</t>
  </si>
  <si>
    <t>Equip. - Restauracão</t>
  </si>
  <si>
    <t>Contagem registos</t>
  </si>
  <si>
    <t>celemtab</t>
  </si>
  <si>
    <t>gelemtab</t>
  </si>
  <si>
    <t>Agricultura</t>
  </si>
  <si>
    <t>Comércio</t>
  </si>
  <si>
    <t>Construção</t>
  </si>
  <si>
    <t>Escritório</t>
  </si>
  <si>
    <t>Hotelaria</t>
  </si>
  <si>
    <t>Indefinido</t>
  </si>
  <si>
    <t>Indústria</t>
  </si>
  <si>
    <t>Lazer</t>
  </si>
  <si>
    <t>Pecuária</t>
  </si>
  <si>
    <t>Restauracão</t>
  </si>
  <si>
    <t>Saúde</t>
  </si>
  <si>
    <t>Transporte</t>
  </si>
  <si>
    <t>Avião</t>
  </si>
  <si>
    <t>Maritimo</t>
  </si>
  <si>
    <t>Motociclo</t>
  </si>
  <si>
    <t>Reboque</t>
  </si>
  <si>
    <t>En. Éolica</t>
  </si>
  <si>
    <t>En. Hidraúl</t>
  </si>
  <si>
    <t>En. Solar</t>
  </si>
  <si>
    <t>Out. E. Ren.</t>
  </si>
  <si>
    <t>Lig. Merc.</t>
  </si>
  <si>
    <t>Lig. Pass.</t>
  </si>
  <si>
    <t>Pes. Merc.</t>
  </si>
  <si>
    <t>Pes. Pass.</t>
  </si>
  <si>
    <t>101</t>
  </si>
  <si>
    <t>204</t>
  </si>
  <si>
    <t>201</t>
  </si>
  <si>
    <t>110</t>
  </si>
  <si>
    <t>113</t>
  </si>
  <si>
    <t>105</t>
  </si>
  <si>
    <t>103</t>
  </si>
  <si>
    <t>203</t>
  </si>
  <si>
    <t>102</t>
  </si>
  <si>
    <t>114</t>
  </si>
  <si>
    <t>108</t>
  </si>
  <si>
    <t>109</t>
  </si>
  <si>
    <t>106</t>
  </si>
  <si>
    <t>115</t>
  </si>
  <si>
    <t>116</t>
  </si>
  <si>
    <t>212</t>
  </si>
  <si>
    <t>207</t>
  </si>
  <si>
    <t>202</t>
  </si>
  <si>
    <t>206</t>
  </si>
  <si>
    <t>205</t>
  </si>
  <si>
    <t>210</t>
  </si>
  <si>
    <t>209</t>
  </si>
  <si>
    <t>208</t>
  </si>
  <si>
    <t>211</t>
  </si>
  <si>
    <t>111</t>
  </si>
  <si>
    <t>107</t>
  </si>
  <si>
    <t>104</t>
  </si>
  <si>
    <t>112</t>
  </si>
  <si>
    <t>Equipamento - Agricultura</t>
  </si>
  <si>
    <t>Equipamento - Indústria</t>
  </si>
  <si>
    <t>Equipamento - Pecuária</t>
  </si>
  <si>
    <t>Equipamento - Construção</t>
  </si>
  <si>
    <t>Equipamento - Comércio</t>
  </si>
  <si>
    <t>Equipamento - Restauracão</t>
  </si>
  <si>
    <t>Equipamento - Hotelaria</t>
  </si>
  <si>
    <t>Equipamento - Indefinido</t>
  </si>
  <si>
    <t>Equipamento - Escritório</t>
  </si>
  <si>
    <t>Equipamento - Saúde</t>
  </si>
  <si>
    <t>Equipamento - Transporte</t>
  </si>
  <si>
    <t>Equipamento - Lazer</t>
  </si>
  <si>
    <t>Viatura - Ferroviário</t>
  </si>
  <si>
    <t>Viatura - Embarcação</t>
  </si>
  <si>
    <t>Viatura - Aeronave</t>
  </si>
  <si>
    <t>TAT 1 - Mapeamento do código TIP_EQP do Lease para NELEMC01 (agregação Viatura/Equipamento) e NELEMC02 (códigos mais agrupadores)</t>
  </si>
  <si>
    <t>Consultar sheet "1. TAT (2) - Equip. Lease" para mapeamento dos códigos NELEMC02 para descritivo</t>
  </si>
  <si>
    <t>Mapeamento NELEMC02 para descritivos</t>
  </si>
  <si>
    <t>Equipamento - Energia Éolica</t>
  </si>
  <si>
    <t>Equipamento - Energia Hidraúl</t>
  </si>
  <si>
    <t>Equipamento - Energia Solar</t>
  </si>
  <si>
    <t>Equipamento - Out. Energias Renováveis</t>
  </si>
  <si>
    <t>Viatura - Ligeiro Mercadorias</t>
  </si>
  <si>
    <t>Viatura - Ligeiro Passageiros</t>
  </si>
  <si>
    <t>Viatura - Pesado Mercadorias</t>
  </si>
  <si>
    <t>Viatura - Pesado Passageiros</t>
  </si>
  <si>
    <t>TAT 2 - descritivos sobre NELEMC02 da TAT1</t>
  </si>
  <si>
    <t>Row Labels</t>
  </si>
  <si>
    <t>Grand Total</t>
  </si>
  <si>
    <t>Count of celemtab</t>
  </si>
  <si>
    <t>Não Aplicável</t>
  </si>
  <si>
    <t>N/A</t>
  </si>
  <si>
    <t>Dúvida se fará mais sentido estar mapeado numa outra categoria.</t>
  </si>
  <si>
    <t>Artigo 8  decreto lei nº107 2006</t>
  </si>
  <si>
    <t>R - Agricultural trailer</t>
  </si>
  <si>
    <t>VEH21</t>
  </si>
  <si>
    <t>S - Interchangeable towed equipment</t>
  </si>
  <si>
    <t>VEH20</t>
  </si>
  <si>
    <t>Dúvida se fará mais sentido estar mapeado para o G ou N1 (de acordo com a TAT). A nossa proposta é G.</t>
  </si>
  <si>
    <t>Dúvida se fará mais sentido estar mapeado para o G ou M1 (de acordo com a TAT). A nossa proposta é G.</t>
  </si>
  <si>
    <t>G - Off-road vehicles</t>
  </si>
  <si>
    <t>VEH19</t>
  </si>
  <si>
    <t>T - Motorised, wheeled or tracked agricultural or forestry vehicle having at least two axles and a maximum design speed of not less than 6 km/h</t>
  </si>
  <si>
    <t>VEH18</t>
  </si>
  <si>
    <t>Sem mapeamento</t>
  </si>
  <si>
    <t>O4 - Trailers with a maximum mass exceeding 10 tonnes</t>
  </si>
  <si>
    <t>VEH17</t>
  </si>
  <si>
    <t>O3 - Trailers with a maximum mass exceeding 3.5 tonnes, but not exceeding 10 tonnes</t>
  </si>
  <si>
    <t>VEH16</t>
  </si>
  <si>
    <t>O2 - Trailers with a maximum mass exceeding 0.75 tonnes, but not exceeding 3.5 tonnes</t>
  </si>
  <si>
    <t>VEH15</t>
  </si>
  <si>
    <t>O1 - Trailers with a maximum mass not exceeding 0.75 tonnes</t>
  </si>
  <si>
    <t>VEH14</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</si>
  <si>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</si>
  <si>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VEH13</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</si>
  <si>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</si>
  <si>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VEH12</t>
  </si>
  <si>
    <t>L5 - A vehicle with three wheels symmetrically arranged in relation to the longitudinal median plane with an engine cylinder capacity in the case of a thermic engine exceeding 50 cm3 or whatever the means of propulsion a maximum design speed exceeding 50 km/h</t>
  </si>
  <si>
    <t>VEH11</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</si>
  <si>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</si>
  <si>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VEH10</t>
  </si>
  <si>
    <t>L3 - A two-wheeled vehicle with an engine cylinder capacity in the case of a thermic engine exceeding 50 cm3 or whatever the means of propulsion a maximum design speed exceeding 50 km/h</t>
  </si>
  <si>
    <t>VEH09</t>
  </si>
  <si>
    <t>No L2 só entram triciclos, mas não existe desagregação.</t>
  </si>
  <si>
    <t>L2 - A three-wheeled vehicle of any wheel arrangement with an engine cylinder capacity not exceeding 50 cm3 and whatever the means of propulsion a maximum design speed not exceeding 50 km/h</t>
  </si>
  <si>
    <t>VEH08</t>
  </si>
  <si>
    <t>L1 - A two-wheeled vehicle with an engine cylinder capacity not exceeding 50 cm3 and whatever the means of propulsion a maximum design speed not exceeding 50 km/h</t>
  </si>
  <si>
    <t>VEH07</t>
  </si>
  <si>
    <t>N3 - Vehicles used for the carriage of goods and having a maximum mass exceeding 12 tonnes</t>
  </si>
  <si>
    <t>VEH06</t>
  </si>
  <si>
    <t>Dúvida se fará mais sentido estar mapeado para o N2 ou N3. A nossa proposta é N2.</t>
  </si>
  <si>
    <t>N2 - Vehicles used for the carriage of goods and having a maximum mass exceeding 3.5 tonnes but not exceeding 12 tonnes</t>
  </si>
  <si>
    <t>VEH05</t>
  </si>
  <si>
    <t>N1 - Vehicles used for the carriage of goods and having a maximum mass not exceeding 3.5 tonnes</t>
  </si>
  <si>
    <t>VEH04</t>
  </si>
  <si>
    <t>Dúvida se fará mais sentido estar mapeado para o M2 ou M3. A nossa proposta é M3.</t>
  </si>
  <si>
    <t>M3 - Vehicles used for the carriage of passengers, comprising more than eight seats in addition to the driver's seat, and having a maximum mass exceeding 5 tonnes</t>
  </si>
  <si>
    <t>VEH03</t>
  </si>
  <si>
    <t>M2 - Vehicles used for the carriage of passengers, comprising more than eight seats in addition to the driver's seat, and having a maximum mass not exceeding 5 tonnes</t>
  </si>
  <si>
    <t>VEH02</t>
  </si>
  <si>
    <t>M1 - Vehicles used for the carriage of passengers and comprising not more than eight seats in addition to the driver's seat</t>
  </si>
  <si>
    <t>VEH01</t>
  </si>
  <si>
    <t>Comentário</t>
  </si>
  <si>
    <t>Descritivo Tipo Equipamento</t>
  </si>
  <si>
    <t>Tipo Equipamento (gt013)</t>
  </si>
  <si>
    <t>Descritivo</t>
  </si>
  <si>
    <t>Código</t>
  </si>
  <si>
    <t>Mapeamento do código TIP_EQP do Lease para Código da Corporação (coluna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</si>
</sst>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11"/>
      <color rgb="FF9C0006"/>
      <name val="Calibri"/>
      <family val="2"/>
      <scheme val="minor"/>
    </font>
    <font>
      <b/>
      <sz val="11"/>
      <color theme="1"/>
      <name val="Calibri"/>
      <family val="2"/>
      <scheme val="minor"/>
    </font>
    <font>
      <b/>
      <u/>
      <sz val="14"/>
      <color theme="1"/>
      <name val="Calibri"/>
      <family val="2"/>
      <scheme val="minor"/>
    </font>
    <font>
      <b/>
      <sz val="14"/>
      <color theme="1"/>
      <name val="Calibri"/>
      <family val="2"/>
      <scheme val="minor"/>
    </font>
    <font>
      <sz val="11"/>
      <name val="Calibri"/>
      <family val="2"/>
      <scheme val="minor"/>
    </font>
  </fonts>
  <fills count="9">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7CE"/>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C000"/>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4" borderId="0" applyNumberFormat="0" applyBorder="0" applyAlignment="0" applyProtection="0"/>
  </cellStyleXfs>
  <cellXfs count="54">
    <xf numFmtId="0" fontId="0" fillId="0" borderId="0" xfId="0"/>
    <xf numFmtId="0" fontId="0" fillId="0" borderId="0" xfId="0" applyAlignment="1">
      <alignment horizontal="left"/>
    </xf>
    <xf numFmtId="0" fontId="0" fillId="0" borderId="0" xfId="0" applyAlignment="1">
      <alignment horizontal="left" vertical="center"/>
    </xf>
    <xf numFmtId="0" fontId="0" fillId="0" borderId="0" xfId="0" quotePrefix="1"/>
    <xf numFmtId="14" fontId="0" fillId="0" borderId="0" xfId="0" applyNumberFormat="1" applyAlignment="1">
      <alignment horizontal="left"/>
    </xf>
    <xf numFmtId="0" fontId="1" fillId="2" borderId="1" xfId="0" applyFont="1" applyFill="1" applyBorder="1"/>
    <xf numFmtId="0" fontId="1" fillId="2" borderId="1" xfId="0" applyFont="1" applyFill="1" applyBorder="1" applyAlignment="1">
      <alignment horizontal="left"/>
    </xf>
    <xf numFmtId="0" fontId="0" fillId="0" borderId="1" xfId="0" applyBorder="1"/>
    <xf numFmtId="0" fontId="0" fillId="0" borderId="1" xfId="0" applyBorder="1" applyAlignment="1">
      <alignment horizontal="left"/>
    </xf>
    <xf numFmtId="0" fontId="0" fillId="3" borderId="1" xfId="0" applyFill="1" applyBorder="1" applyAlignment="1">
      <alignment horizontal="left" vertical="center"/>
    </xf>
    <xf numFmtId="0" fontId="0" fillId="3" borderId="1" xfId="0" applyFill="1" applyBorder="1" applyAlignment="1">
      <alignment horizontal="left"/>
    </xf>
    <xf numFmtId="0" fontId="0" fillId="0" borderId="1" xfId="0" applyBorder="1" applyAlignment="1">
      <alignment horizontal="left" vertical="center"/>
    </xf>
    <xf numFmtId="0" fontId="2" fillId="4" borderId="1" xfId="1" applyBorder="1"/>
    <xf numFmtId="0" fontId="1" fillId="5" borderId="1" xfId="0" applyFont="1" applyFill="1" applyBorder="1"/>
    <xf numFmtId="0" fontId="0" fillId="6" borderId="0" xfId="0" applyFill="1"/>
    <xf numFmtId="0" fontId="3" fillId="6" borderId="0" xfId="0" applyFont="1" applyFill="1"/>
    <xf numFmtId="0" fontId="0" fillId="7" borderId="1" xfId="0" applyFill="1" applyBorder="1" applyAlignment="1">
      <alignment horizontal="left"/>
    </xf>
    <xf numFmtId="0" fontId="0" fillId="7" borderId="1" xfId="0" applyFill="1" applyBorder="1" applyAlignment="1">
      <alignment horizontal="left" vertical="center"/>
    </xf>
    <xf numFmtId="0" fontId="4" fillId="0" borderId="0" xfId="0" applyFont="1"/>
    <xf numFmtId="0" fontId="5" fillId="0" borderId="0" xfId="0" applyFont="1"/>
    <xf numFmtId="0" fontId="0" fillId="0" borderId="0" xfId="0" pivotButton="1"/>
    <xf numFmtId="0" fontId="0" fillId="0" borderId="0" xfId="0" applyAlignment="1">
      <alignment horizontal="left" indent="1"/>
    </xf>
    <xf numFmtId="0" fontId="0" fillId="0" borderId="1" xfId="0" applyBorder="1" applyAlignment="1">
      <alignment vertical="center"/>
    </xf>
    <xf numFmtId="0" fontId="0" fillId="6" borderId="1" xfId="0" applyFill="1" applyBorder="1" applyAlignment="1">
      <alignment vertical="center"/>
    </xf>
    <xf numFmtId="0" fontId="0" fillId="6" borderId="1" xfId="0" applyFill="1" applyBorder="1" applyAlignment="1">
      <alignment horizontal="left" vertical="center"/>
    </xf>
    <xf numFmtId="0" fontId="0" fillId="6" borderId="3" xfId="0" applyFill="1" applyBorder="1" applyAlignment="1">
      <alignment horizontal="left" vertical="center" wrapText="1"/>
    </xf>
    <xf numFmtId="0" fontId="0" fillId="6" borderId="3" xfId="0" applyFill="1" applyBorder="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vertical="center"/>
    </xf>
    <xf numFmtId="0" fontId="1" fillId="2" borderId="0" xfId="0" applyFont="1" applyFill="1" applyAlignment="1">
      <alignment vertical="center"/>
    </xf>
    <xf numFmtId="0" fontId="4" fillId="0" borderId="0" xfId="0" applyFont="1" applyAlignment="1">
      <alignment vertical="center"/>
    </xf>
    <xf numFmtId="0" fontId="0" fillId="0" borderId="1" xfId="0" applyBorder="1" applyAlignment="1">
      <alignment vertical="center" wrapText="1"/>
    </xf>
    <xf numFmtId="0" fontId="0" fillId="6" borderId="1" xfId="0" applyFill="1" applyBorder="1" applyAlignment="1">
      <alignmen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center" vertical="center"/>
    </xf>
    <xf numFmtId="0" fontId="6" fillId="8" borderId="4" xfId="0" applyFont="1" applyFill="1" applyBorder="1" applyAlignment="1">
      <alignment horizontal="left" vertical="center" wrapText="1"/>
    </xf>
    <xf numFmtId="0" fontId="6" fillId="8" borderId="2" xfId="0" applyFont="1" applyFill="1" applyBorder="1" applyAlignment="1">
      <alignment horizontal="left" vertical="center" wrapText="1"/>
    </xf>
    <xf numFmtId="0" fontId="0" fillId="6" borderId="4" xfId="0" applyFill="1" applyBorder="1" applyAlignment="1">
      <alignment horizontal="center" vertical="center"/>
    </xf>
    <xf numFmtId="0" fontId="0" fillId="6" borderId="2" xfId="0" applyFill="1" applyBorder="1" applyAlignment="1">
      <alignment horizontal="center" vertical="center"/>
    </xf>
    <xf numFmtId="0" fontId="0" fillId="6" borderId="4" xfId="0" applyFill="1" applyBorder="1" applyAlignment="1">
      <alignment horizontal="left" vertical="center" wrapText="1"/>
    </xf>
    <xf numFmtId="0" fontId="0" fillId="6" borderId="3" xfId="0" applyFill="1" applyBorder="1" applyAlignment="1">
      <alignment horizontal="left" vertical="center" wrapText="1"/>
    </xf>
    <xf numFmtId="0" fontId="0" fillId="6" borderId="2" xfId="0" applyFill="1" applyBorder="1" applyAlignment="1">
      <alignment horizontal="left" vertical="center" wrapText="1"/>
    </xf>
    <xf numFmtId="0" fontId="0" fillId="6" borderId="3" xfId="0" applyFill="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6" borderId="1" xfId="0" applyFill="1" applyBorder="1" applyAlignment="1">
      <alignment horizontal="left" vertical="center" wrapText="1"/>
    </xf>
    <xf numFmtId="0" fontId="0" fillId="6" borderId="1" xfId="0" applyFill="1" applyBorder="1" applyAlignment="1">
      <alignment horizontal="center" vertical="center"/>
    </xf>
    <xf numFmtId="0" fontId="0" fillId="0" borderId="1" xfId="0" applyBorder="1" applyAlignment="1">
      <alignment horizontal="left" vertical="center" wrapText="1"/>
    </xf>
    <xf numFmtId="0" fontId="0" fillId="8" borderId="1" xfId="0" applyFill="1" applyBorder="1" applyAlignment="1">
      <alignment horizontal="left" vertical="center" wrapText="1"/>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565.796292361112" backgroundQuery="1" createdVersion="8" refreshedVersion="8" minRefreshableVersion="3" recordCount="0" supportSubquery="1" supportAdvancedDrill="1" xr:uid="{00000000-000A-0000-FFFF-FFFF13000000}">
  <cacheSource type="external" connectionId="1"/>
  <cacheFields count="3">
    <cacheField name="[Range].[Nelemc01].[Nelemc01]" caption="Nelemc01" numFmtId="0" hierarchy="2" level="1">
      <sharedItems count="2">
        <s v="EQUIPAMENTO"/>
        <s v="VIATURA"/>
      </sharedItems>
    </cacheField>
    <cacheField name="[Range].[Nelemc02].[Nelemc02]" caption="Nelemc02" numFmtId="0" hierarchy="3" level="1">
      <sharedItems count="28">
        <s v="101"/>
        <s v="102"/>
        <s v="103"/>
        <s v="104"/>
        <s v="105"/>
        <s v="106"/>
        <s v="107"/>
        <s v="108"/>
        <s v="109"/>
        <s v="110"/>
        <s v="111"/>
        <s v="112"/>
        <s v="113"/>
        <s v="114"/>
        <s v="115"/>
        <s v="116"/>
        <s v="201"/>
        <s v="202"/>
        <s v="203"/>
        <s v="204"/>
        <s v="205"/>
        <s v="206"/>
        <s v="207"/>
        <s v="208"/>
        <s v="209"/>
        <s v="210"/>
        <s v="211"/>
        <s v="212"/>
      </sharedItems>
    </cacheField>
    <cacheField name="[Measures].[Count of celemtab]" caption="Count of celemtab" numFmtId="0" hierarchy="8" level="32767"/>
  </cacheFields>
  <cacheHierarchies count="9">
    <cacheHierarchy uniqueName="[Range].[celemtab]" caption="celemtab" attribute="1" defaultMemberUniqueName="[Range].[celemtab].[All]" allUniqueName="[Range].[celemtab].[All]" dimensionUniqueName="[Range]" displayFolder="" count="0" memberValueDatatype="20" unbalanced="0"/>
    <cacheHierarchy uniqueName="[Range].[gelemtab]" caption="gelemtab" attribute="1" defaultMemberUniqueName="[Range].[gelemtab].[All]" allUniqueName="[Range].[gelemtab].[All]" dimensionUniqueName="[Range]" displayFolder="" count="0" memberValueDatatype="130" unbalanced="0"/>
    <cacheHierarchy uniqueName="[Range].[Nelemc01]" caption="Nelemc01" attribute="1" defaultMemberUniqueName="[Range].[Nelemc01].[All]" allUniqueName="[Range].[Nelemc01].[All]" dimensionUniqueName="[Range]" displayFolder="" count="2" memberValueDatatype="130" unbalanced="0">
      <fieldsUsage count="2">
        <fieldUsage x="-1"/>
        <fieldUsage x="0"/>
      </fieldsUsage>
    </cacheHierarchy>
    <cacheHierarchy uniqueName="[Range].[Nelemc02]" caption="Nelemc02" attribute="1" defaultMemberUniqueName="[Range].[Nelemc02].[All]" allUniqueName="[Range].[Nelemc02].[All]" dimensionUniqueName="[Range]" displayFolder="" count="2" memberValueDatatype="130" unbalanced="0">
      <fieldsUsage count="2">
        <fieldUsage x="-1"/>
        <fieldUsage x="1"/>
      </fieldsUsage>
    </cacheHierarchy>
    <cacheHierarchy uniqueName="[Range].[Nelemc03]" caption="Nelemc03" attribute="1" defaultMemberUniqueName="[Range].[Nelemc03].[All]" allUniqueName="[Range].[Nelemc03].[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elemtab]" caption="Sum of celemtab" measure="1" displayFolder="" measureGroup="Range" count="0" hidden="1">
      <extLst>
        <ext xmlns:x15="http://schemas.microsoft.com/office/spreadsheetml/2010/11/main" uri="{B97F6D7D-B522-45F9-BDA1-12C45D357490}">
          <x15:cacheHierarchy aggregatedColumn="0"/>
        </ext>
      </extLst>
    </cacheHierarchy>
    <cacheHierarchy uniqueName="[Measures].[Count of celemtab]" caption="Count of celemtab"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33"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s>
  <rowFields count="2">
    <field x="0"/>
    <field x="1"/>
  </rowFields>
  <rowItems count="31">
    <i>
      <x/>
    </i>
    <i r="1">
      <x/>
    </i>
    <i r="1">
      <x v="1"/>
    </i>
    <i r="1">
      <x v="2"/>
    </i>
    <i r="1">
      <x v="3"/>
    </i>
    <i r="1">
      <x v="4"/>
    </i>
    <i r="1">
      <x v="5"/>
    </i>
    <i r="1">
      <x v="6"/>
    </i>
    <i r="1">
      <x v="7"/>
    </i>
    <i r="1">
      <x v="8"/>
    </i>
    <i r="1">
      <x v="9"/>
    </i>
    <i r="1">
      <x v="10"/>
    </i>
    <i r="1">
      <x v="11"/>
    </i>
    <i r="1">
      <x v="12"/>
    </i>
    <i r="1">
      <x v="13"/>
    </i>
    <i r="1">
      <x v="14"/>
    </i>
    <i r="1">
      <x v="15"/>
    </i>
    <i>
      <x v="1"/>
    </i>
    <i r="1">
      <x v="16"/>
    </i>
    <i r="1">
      <x v="17"/>
    </i>
    <i r="1">
      <x v="18"/>
    </i>
    <i r="1">
      <x v="19"/>
    </i>
    <i r="1">
      <x v="20"/>
    </i>
    <i r="1">
      <x v="21"/>
    </i>
    <i r="1">
      <x v="22"/>
    </i>
    <i r="1">
      <x v="23"/>
    </i>
    <i r="1">
      <x v="24"/>
    </i>
    <i r="1">
      <x v="25"/>
    </i>
    <i r="1">
      <x v="26"/>
    </i>
    <i r="1">
      <x v="27"/>
    </i>
    <i t="grand">
      <x/>
    </i>
  </rowItems>
  <colItems count="1">
    <i/>
  </colItems>
  <dataFields count="1">
    <dataField name="Count of celemtab" fld="2" subtotal="count" baseField="1" baseItem="0"/>
  </dataFields>
  <pivotHierarchies count="9">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elemtab"/>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 TAT (1) - Equip. Lease!$B$5:$F$22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3"/>
  <sheetViews>
    <sheetView showGridLines="0" workbookViewId="0"/>
  </sheetViews>
  <sheetFormatPr defaultRowHeight="14.4" x14ac:dyDescent="0.3"/>
  <cols>
    <col min="2" max="2" width="16.109375" bestFit="1" customWidth="1"/>
    <col min="3" max="3" width="16.6640625" bestFit="1" customWidth="1"/>
  </cols>
  <sheetData>
    <row r="2" spans="2:3" x14ac:dyDescent="0.3">
      <c r="B2" s="20" t="s">
        <v>317</v>
      </c>
      <c r="C2" t="s">
        <v>319</v>
      </c>
    </row>
    <row r="3" spans="2:3" x14ac:dyDescent="0.3">
      <c r="B3" s="1" t="s">
        <v>205</v>
      </c>
    </row>
    <row r="4" spans="2:3" x14ac:dyDescent="0.3">
      <c r="B4" s="21" t="s">
        <v>262</v>
      </c>
      <c r="C4">
        <v>4</v>
      </c>
    </row>
    <row r="5" spans="2:3" x14ac:dyDescent="0.3">
      <c r="B5" s="21" t="s">
        <v>270</v>
      </c>
      <c r="C5">
        <v>15</v>
      </c>
    </row>
    <row r="6" spans="2:3" x14ac:dyDescent="0.3">
      <c r="B6" s="21" t="s">
        <v>268</v>
      </c>
      <c r="C6">
        <v>8</v>
      </c>
    </row>
    <row r="7" spans="2:3" x14ac:dyDescent="0.3">
      <c r="B7" s="21" t="s">
        <v>288</v>
      </c>
      <c r="C7">
        <v>1</v>
      </c>
    </row>
    <row r="8" spans="2:3" x14ac:dyDescent="0.3">
      <c r="B8" s="21" t="s">
        <v>267</v>
      </c>
      <c r="C8">
        <v>1</v>
      </c>
    </row>
    <row r="9" spans="2:3" x14ac:dyDescent="0.3">
      <c r="B9" s="21" t="s">
        <v>274</v>
      </c>
      <c r="C9">
        <v>41</v>
      </c>
    </row>
    <row r="10" spans="2:3" x14ac:dyDescent="0.3">
      <c r="B10" s="21" t="s">
        <v>287</v>
      </c>
      <c r="C10">
        <v>1</v>
      </c>
    </row>
    <row r="11" spans="2:3" x14ac:dyDescent="0.3">
      <c r="B11" s="21" t="s">
        <v>272</v>
      </c>
      <c r="C11">
        <v>4</v>
      </c>
    </row>
    <row r="12" spans="2:3" x14ac:dyDescent="0.3">
      <c r="B12" s="21" t="s">
        <v>273</v>
      </c>
      <c r="C12">
        <v>42</v>
      </c>
    </row>
    <row r="13" spans="2:3" x14ac:dyDescent="0.3">
      <c r="B13" s="21" t="s">
        <v>265</v>
      </c>
      <c r="C13">
        <v>22</v>
      </c>
    </row>
    <row r="14" spans="2:3" x14ac:dyDescent="0.3">
      <c r="B14" s="21" t="s">
        <v>286</v>
      </c>
      <c r="C14">
        <v>3</v>
      </c>
    </row>
    <row r="15" spans="2:3" x14ac:dyDescent="0.3">
      <c r="B15" s="21" t="s">
        <v>289</v>
      </c>
      <c r="C15">
        <v>1</v>
      </c>
    </row>
    <row r="16" spans="2:3" x14ac:dyDescent="0.3">
      <c r="B16" s="21" t="s">
        <v>266</v>
      </c>
      <c r="C16">
        <v>1</v>
      </c>
    </row>
    <row r="17" spans="2:3" x14ac:dyDescent="0.3">
      <c r="B17" s="21" t="s">
        <v>271</v>
      </c>
      <c r="C17">
        <v>4</v>
      </c>
    </row>
    <row r="18" spans="2:3" x14ac:dyDescent="0.3">
      <c r="B18" s="21" t="s">
        <v>275</v>
      </c>
      <c r="C18">
        <v>3</v>
      </c>
    </row>
    <row r="19" spans="2:3" x14ac:dyDescent="0.3">
      <c r="B19" s="21" t="s">
        <v>276</v>
      </c>
      <c r="C19">
        <v>6</v>
      </c>
    </row>
    <row r="20" spans="2:3" x14ac:dyDescent="0.3">
      <c r="B20" s="1" t="s">
        <v>206</v>
      </c>
    </row>
    <row r="21" spans="2:3" x14ac:dyDescent="0.3">
      <c r="B21" s="21" t="s">
        <v>264</v>
      </c>
      <c r="C21">
        <v>1</v>
      </c>
    </row>
    <row r="22" spans="2:3" x14ac:dyDescent="0.3">
      <c r="B22" s="21" t="s">
        <v>279</v>
      </c>
      <c r="C22">
        <v>6</v>
      </c>
    </row>
    <row r="23" spans="2:3" x14ac:dyDescent="0.3">
      <c r="B23" s="21" t="s">
        <v>269</v>
      </c>
      <c r="C23">
        <v>19</v>
      </c>
    </row>
    <row r="24" spans="2:3" x14ac:dyDescent="0.3">
      <c r="B24" s="21" t="s">
        <v>263</v>
      </c>
      <c r="C24">
        <v>5</v>
      </c>
    </row>
    <row r="25" spans="2:3" x14ac:dyDescent="0.3">
      <c r="B25" s="21" t="s">
        <v>281</v>
      </c>
      <c r="C25">
        <v>8</v>
      </c>
    </row>
    <row r="26" spans="2:3" x14ac:dyDescent="0.3">
      <c r="B26" s="21" t="s">
        <v>280</v>
      </c>
      <c r="C26">
        <v>9</v>
      </c>
    </row>
    <row r="27" spans="2:3" x14ac:dyDescent="0.3">
      <c r="B27" s="21" t="s">
        <v>278</v>
      </c>
      <c r="C27">
        <v>3</v>
      </c>
    </row>
    <row r="28" spans="2:3" x14ac:dyDescent="0.3">
      <c r="B28" s="21" t="s">
        <v>284</v>
      </c>
      <c r="C28">
        <v>3</v>
      </c>
    </row>
    <row r="29" spans="2:3" x14ac:dyDescent="0.3">
      <c r="B29" s="21" t="s">
        <v>283</v>
      </c>
      <c r="C29">
        <v>3</v>
      </c>
    </row>
    <row r="30" spans="2:3" x14ac:dyDescent="0.3">
      <c r="B30" s="21" t="s">
        <v>282</v>
      </c>
      <c r="C30">
        <v>1</v>
      </c>
    </row>
    <row r="31" spans="2:3" x14ac:dyDescent="0.3">
      <c r="B31" s="21" t="s">
        <v>285</v>
      </c>
      <c r="C31">
        <v>3</v>
      </c>
    </row>
    <row r="32" spans="2:3" x14ac:dyDescent="0.3">
      <c r="B32" s="21" t="s">
        <v>277</v>
      </c>
      <c r="C32">
        <v>1</v>
      </c>
    </row>
    <row r="33" spans="2:3" x14ac:dyDescent="0.3">
      <c r="B33" s="1" t="s">
        <v>318</v>
      </c>
      <c r="C33">
        <v>219</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228"/>
  <sheetViews>
    <sheetView showGridLines="0" workbookViewId="0">
      <selection activeCell="C232" sqref="C232"/>
    </sheetView>
  </sheetViews>
  <sheetFormatPr defaultRowHeight="14.4" x14ac:dyDescent="0.3"/>
  <cols>
    <col min="1" max="1" width="3.77734375" customWidth="1"/>
    <col min="2" max="2" width="23.6640625" customWidth="1"/>
    <col min="3" max="3" width="44" customWidth="1"/>
    <col min="4" max="6" width="22" style="2" customWidth="1"/>
    <col min="8" max="8" width="16.6640625" bestFit="1" customWidth="1"/>
    <col min="11" max="11" width="26.5546875" bestFit="1" customWidth="1"/>
  </cols>
  <sheetData>
    <row r="1" spans="2:11" x14ac:dyDescent="0.3">
      <c r="D1"/>
      <c r="E1"/>
      <c r="F1"/>
      <c r="H1" s="4"/>
    </row>
    <row r="2" spans="2:11" ht="18" x14ac:dyDescent="0.35">
      <c r="B2" s="18" t="s">
        <v>305</v>
      </c>
      <c r="D2"/>
      <c r="E2"/>
      <c r="F2"/>
      <c r="H2" s="4"/>
    </row>
    <row r="3" spans="2:11" x14ac:dyDescent="0.3">
      <c r="B3" t="s">
        <v>306</v>
      </c>
      <c r="D3"/>
      <c r="E3"/>
      <c r="F3"/>
      <c r="H3" s="4"/>
    </row>
    <row r="4" spans="2:11" x14ac:dyDescent="0.3">
      <c r="D4"/>
      <c r="E4"/>
      <c r="F4"/>
      <c r="H4" s="4" t="s">
        <v>207</v>
      </c>
    </row>
    <row r="5" spans="2:11" x14ac:dyDescent="0.3">
      <c r="B5" s="5" t="s">
        <v>236</v>
      </c>
      <c r="C5" s="5" t="s">
        <v>237</v>
      </c>
      <c r="D5" s="6" t="s">
        <v>202</v>
      </c>
      <c r="E5" s="6" t="s">
        <v>203</v>
      </c>
      <c r="F5" s="6" t="s">
        <v>204</v>
      </c>
      <c r="H5" s="13" t="s">
        <v>235</v>
      </c>
      <c r="K5" s="15" t="s">
        <v>307</v>
      </c>
    </row>
    <row r="6" spans="2:11" x14ac:dyDescent="0.3">
      <c r="B6" s="8">
        <v>10</v>
      </c>
      <c r="C6" s="7" t="s">
        <v>0</v>
      </c>
      <c r="D6" s="8" t="s">
        <v>205</v>
      </c>
      <c r="E6" s="8" t="s">
        <v>262</v>
      </c>
      <c r="F6" s="8"/>
      <c r="H6" s="7">
        <v>181</v>
      </c>
      <c r="K6" s="14" t="str">
        <f>VLOOKUP(E6,'1. TAT (2) - Equip. Lease'!$B$5:$C$33,2,0)</f>
        <v>Equipamento - Agricultura</v>
      </c>
    </row>
    <row r="7" spans="2:11" x14ac:dyDescent="0.3">
      <c r="B7" s="8">
        <v>11</v>
      </c>
      <c r="C7" s="7" t="s">
        <v>1</v>
      </c>
      <c r="D7" s="8" t="s">
        <v>205</v>
      </c>
      <c r="E7" s="8" t="s">
        <v>262</v>
      </c>
      <c r="F7" s="8"/>
      <c r="H7" s="7">
        <v>8</v>
      </c>
      <c r="K7" s="14" t="str">
        <f>VLOOKUP(E7,'1. TAT (2) - Equip. Lease'!$B$5:$C$33,2,0)</f>
        <v>Equipamento - Agricultura</v>
      </c>
    </row>
    <row r="8" spans="2:11" x14ac:dyDescent="0.3">
      <c r="B8" s="8">
        <v>12</v>
      </c>
      <c r="C8" s="7" t="s">
        <v>2</v>
      </c>
      <c r="D8" s="8" t="s">
        <v>205</v>
      </c>
      <c r="E8" s="8" t="s">
        <v>262</v>
      </c>
      <c r="F8" s="8"/>
      <c r="H8" s="7">
        <v>3</v>
      </c>
      <c r="K8" s="14" t="str">
        <f>VLOOKUP(E8,'1. TAT (2) - Equip. Lease'!$B$5:$C$33,2,0)</f>
        <v>Equipamento - Agricultura</v>
      </c>
    </row>
    <row r="9" spans="2:11" x14ac:dyDescent="0.3">
      <c r="B9" s="8">
        <v>13</v>
      </c>
      <c r="C9" s="7" t="s">
        <v>3</v>
      </c>
      <c r="D9" s="8" t="s">
        <v>205</v>
      </c>
      <c r="E9" s="8" t="s">
        <v>262</v>
      </c>
      <c r="F9" s="8"/>
      <c r="H9" s="7">
        <v>7</v>
      </c>
      <c r="K9" s="14" t="str">
        <f>VLOOKUP(E9,'1. TAT (2) - Equip. Lease'!$B$5:$C$33,2,0)</f>
        <v>Equipamento - Agricultura</v>
      </c>
    </row>
    <row r="10" spans="2:11" x14ac:dyDescent="0.3">
      <c r="B10" s="8">
        <v>14</v>
      </c>
      <c r="C10" s="7" t="s">
        <v>4</v>
      </c>
      <c r="D10" s="11" t="s">
        <v>206</v>
      </c>
      <c r="E10" s="11" t="s">
        <v>263</v>
      </c>
      <c r="F10" s="8"/>
      <c r="H10" s="12">
        <v>0</v>
      </c>
      <c r="K10" s="14" t="str">
        <f>VLOOKUP(E10,'1. TAT (2) - Equip. Lease'!$B$5:$C$33,2,0)</f>
        <v>Viatura - Indefinido</v>
      </c>
    </row>
    <row r="11" spans="2:11" x14ac:dyDescent="0.3">
      <c r="B11" s="8">
        <v>15</v>
      </c>
      <c r="C11" s="7" t="s">
        <v>5</v>
      </c>
      <c r="D11" s="8" t="s">
        <v>206</v>
      </c>
      <c r="E11" s="8" t="s">
        <v>264</v>
      </c>
      <c r="F11" s="8"/>
      <c r="H11" s="7">
        <v>4</v>
      </c>
      <c r="K11" s="14" t="str">
        <f>VLOOKUP(E11,'1. TAT (2) - Equip. Lease'!$B$5:$C$33,2,0)</f>
        <v>Viatura - Agricultura</v>
      </c>
    </row>
    <row r="12" spans="2:11" x14ac:dyDescent="0.3">
      <c r="B12" s="8">
        <v>17</v>
      </c>
      <c r="C12" s="7" t="s">
        <v>6</v>
      </c>
      <c r="D12" s="8" t="s">
        <v>205</v>
      </c>
      <c r="E12" s="8" t="s">
        <v>265</v>
      </c>
      <c r="F12" s="8"/>
      <c r="H12" s="7">
        <v>3</v>
      </c>
      <c r="K12" s="14" t="str">
        <f>VLOOKUP(E12,'1. TAT (2) - Equip. Lease'!$B$5:$C$33,2,0)</f>
        <v>Equipamento - Indústria</v>
      </c>
    </row>
    <row r="13" spans="2:11" x14ac:dyDescent="0.3">
      <c r="B13" s="8">
        <v>18</v>
      </c>
      <c r="C13" s="7" t="s">
        <v>7</v>
      </c>
      <c r="D13" s="8" t="s">
        <v>205</v>
      </c>
      <c r="E13" s="8" t="s">
        <v>266</v>
      </c>
      <c r="F13" s="8"/>
      <c r="H13" s="12">
        <v>0</v>
      </c>
      <c r="K13" s="14" t="str">
        <f>VLOOKUP(E13,'1. TAT (2) - Equip. Lease'!$B$5:$C$33,2,0)</f>
        <v>Equipamento - Pecuária</v>
      </c>
    </row>
    <row r="14" spans="2:11" x14ac:dyDescent="0.3">
      <c r="B14" s="8">
        <v>19</v>
      </c>
      <c r="C14" s="7" t="s">
        <v>8</v>
      </c>
      <c r="D14" s="8" t="s">
        <v>205</v>
      </c>
      <c r="E14" s="8" t="s">
        <v>267</v>
      </c>
      <c r="F14" s="8"/>
      <c r="H14" s="7">
        <v>10</v>
      </c>
      <c r="K14" s="14" t="str">
        <f>VLOOKUP(E14,'1. TAT (2) - Equip. Lease'!$B$5:$C$33,2,0)</f>
        <v>Equipamento - Energia Hidraúl</v>
      </c>
    </row>
    <row r="15" spans="2:11" x14ac:dyDescent="0.3">
      <c r="B15" s="8">
        <v>20</v>
      </c>
      <c r="C15" s="7" t="s">
        <v>9</v>
      </c>
      <c r="D15" s="8" t="s">
        <v>205</v>
      </c>
      <c r="E15" s="8" t="s">
        <v>265</v>
      </c>
      <c r="F15" s="8"/>
      <c r="H15" s="7">
        <v>128</v>
      </c>
      <c r="K15" s="14" t="str">
        <f>VLOOKUP(E15,'1. TAT (2) - Equip. Lease'!$B$5:$C$33,2,0)</f>
        <v>Equipamento - Indústria</v>
      </c>
    </row>
    <row r="16" spans="2:11" x14ac:dyDescent="0.3">
      <c r="B16" s="8">
        <v>21</v>
      </c>
      <c r="C16" s="7" t="s">
        <v>10</v>
      </c>
      <c r="D16" s="8" t="s">
        <v>205</v>
      </c>
      <c r="E16" s="8" t="s">
        <v>265</v>
      </c>
      <c r="F16" s="8"/>
      <c r="H16" s="7">
        <v>153</v>
      </c>
      <c r="K16" s="14" t="str">
        <f>VLOOKUP(E16,'1. TAT (2) - Equip. Lease'!$B$5:$C$33,2,0)</f>
        <v>Equipamento - Indústria</v>
      </c>
    </row>
    <row r="17" spans="2:11" x14ac:dyDescent="0.3">
      <c r="B17" s="8">
        <v>22</v>
      </c>
      <c r="C17" s="7" t="s">
        <v>11</v>
      </c>
      <c r="D17" s="8" t="s">
        <v>205</v>
      </c>
      <c r="E17" s="8" t="s">
        <v>265</v>
      </c>
      <c r="F17" s="8"/>
      <c r="H17" s="7">
        <v>253</v>
      </c>
      <c r="K17" s="14" t="str">
        <f>VLOOKUP(E17,'1. TAT (2) - Equip. Lease'!$B$5:$C$33,2,0)</f>
        <v>Equipamento - Indústria</v>
      </c>
    </row>
    <row r="18" spans="2:11" x14ac:dyDescent="0.3">
      <c r="B18" s="8">
        <v>23</v>
      </c>
      <c r="C18" s="7" t="s">
        <v>12</v>
      </c>
      <c r="D18" s="8" t="s">
        <v>205</v>
      </c>
      <c r="E18" s="8" t="s">
        <v>265</v>
      </c>
      <c r="F18" s="8"/>
      <c r="H18" s="7">
        <v>186</v>
      </c>
      <c r="K18" s="14" t="str">
        <f>VLOOKUP(E18,'1. TAT (2) - Equip. Lease'!$B$5:$C$33,2,0)</f>
        <v>Equipamento - Indústria</v>
      </c>
    </row>
    <row r="19" spans="2:11" x14ac:dyDescent="0.3">
      <c r="B19" s="8">
        <v>24</v>
      </c>
      <c r="C19" s="7" t="s">
        <v>13</v>
      </c>
      <c r="D19" s="8" t="s">
        <v>205</v>
      </c>
      <c r="E19" s="8" t="s">
        <v>265</v>
      </c>
      <c r="F19" s="8"/>
      <c r="H19" s="7">
        <v>97</v>
      </c>
      <c r="K19" s="14" t="str">
        <f>VLOOKUP(E19,'1. TAT (2) - Equip. Lease'!$B$5:$C$33,2,0)</f>
        <v>Equipamento - Indústria</v>
      </c>
    </row>
    <row r="20" spans="2:11" x14ac:dyDescent="0.3">
      <c r="B20" s="8">
        <v>25</v>
      </c>
      <c r="C20" s="7" t="s">
        <v>14</v>
      </c>
      <c r="D20" s="8" t="s">
        <v>205</v>
      </c>
      <c r="E20" s="8" t="s">
        <v>265</v>
      </c>
      <c r="F20" s="8"/>
      <c r="H20" s="7">
        <v>11</v>
      </c>
      <c r="K20" s="14" t="str">
        <f>VLOOKUP(E20,'1. TAT (2) - Equip. Lease'!$B$5:$C$33,2,0)</f>
        <v>Equipamento - Indústria</v>
      </c>
    </row>
    <row r="21" spans="2:11" x14ac:dyDescent="0.3">
      <c r="B21" s="8">
        <v>26</v>
      </c>
      <c r="C21" s="7" t="s">
        <v>15</v>
      </c>
      <c r="D21" s="8" t="s">
        <v>205</v>
      </c>
      <c r="E21" s="8" t="s">
        <v>265</v>
      </c>
      <c r="F21" s="8"/>
      <c r="H21" s="7">
        <v>2</v>
      </c>
      <c r="K21" s="14" t="str">
        <f>VLOOKUP(E21,'1. TAT (2) - Equip. Lease'!$B$5:$C$33,2,0)</f>
        <v>Equipamento - Indústria</v>
      </c>
    </row>
    <row r="22" spans="2:11" x14ac:dyDescent="0.3">
      <c r="B22" s="8">
        <v>27</v>
      </c>
      <c r="C22" s="7" t="s">
        <v>16</v>
      </c>
      <c r="D22" s="8" t="s">
        <v>205</v>
      </c>
      <c r="E22" s="8" t="s">
        <v>265</v>
      </c>
      <c r="F22" s="8"/>
      <c r="H22" s="12">
        <v>0</v>
      </c>
      <c r="K22" s="14" t="str">
        <f>VLOOKUP(E22,'1. TAT (2) - Equip. Lease'!$B$5:$C$33,2,0)</f>
        <v>Equipamento - Indústria</v>
      </c>
    </row>
    <row r="23" spans="2:11" x14ac:dyDescent="0.3">
      <c r="B23" s="8">
        <v>28</v>
      </c>
      <c r="C23" s="7" t="s">
        <v>17</v>
      </c>
      <c r="D23" s="8" t="s">
        <v>205</v>
      </c>
      <c r="E23" s="8" t="s">
        <v>265</v>
      </c>
      <c r="F23" s="8"/>
      <c r="H23" s="7">
        <v>45</v>
      </c>
      <c r="K23" s="14" t="str">
        <f>VLOOKUP(E23,'1. TAT (2) - Equip. Lease'!$B$5:$C$33,2,0)</f>
        <v>Equipamento - Indústria</v>
      </c>
    </row>
    <row r="24" spans="2:11" x14ac:dyDescent="0.3">
      <c r="B24" s="8">
        <v>29</v>
      </c>
      <c r="C24" s="7" t="s">
        <v>18</v>
      </c>
      <c r="D24" s="8" t="s">
        <v>205</v>
      </c>
      <c r="E24" s="8" t="s">
        <v>265</v>
      </c>
      <c r="F24" s="8"/>
      <c r="H24" s="7">
        <v>203</v>
      </c>
      <c r="K24" s="14" t="str">
        <f>VLOOKUP(E24,'1. TAT (2) - Equip. Lease'!$B$5:$C$33,2,0)</f>
        <v>Equipamento - Indústria</v>
      </c>
    </row>
    <row r="25" spans="2:11" x14ac:dyDescent="0.3">
      <c r="B25" s="8">
        <v>30</v>
      </c>
      <c r="C25" s="7" t="s">
        <v>19</v>
      </c>
      <c r="D25" s="8" t="s">
        <v>205</v>
      </c>
      <c r="E25" s="8" t="s">
        <v>268</v>
      </c>
      <c r="F25" s="8"/>
      <c r="H25" s="7">
        <v>101</v>
      </c>
      <c r="K25" s="14" t="str">
        <f>VLOOKUP(E25,'1. TAT (2) - Equip. Lease'!$B$5:$C$33,2,0)</f>
        <v>Equipamento - Construção</v>
      </c>
    </row>
    <row r="26" spans="2:11" x14ac:dyDescent="0.3">
      <c r="B26" s="8">
        <v>31</v>
      </c>
      <c r="C26" s="7" t="s">
        <v>20</v>
      </c>
      <c r="D26" s="8" t="s">
        <v>205</v>
      </c>
      <c r="E26" s="8" t="s">
        <v>268</v>
      </c>
      <c r="F26" s="8"/>
      <c r="H26" s="7">
        <v>274</v>
      </c>
      <c r="K26" s="14" t="str">
        <f>VLOOKUP(E26,'1. TAT (2) - Equip. Lease'!$B$5:$C$33,2,0)</f>
        <v>Equipamento - Construção</v>
      </c>
    </row>
    <row r="27" spans="2:11" x14ac:dyDescent="0.3">
      <c r="B27" s="8">
        <v>32</v>
      </c>
      <c r="C27" s="7" t="s">
        <v>21</v>
      </c>
      <c r="D27" s="8" t="s">
        <v>205</v>
      </c>
      <c r="E27" s="8" t="s">
        <v>268</v>
      </c>
      <c r="F27" s="8"/>
      <c r="H27" s="7">
        <v>260</v>
      </c>
      <c r="K27" s="14" t="str">
        <f>VLOOKUP(E27,'1. TAT (2) - Equip. Lease'!$B$5:$C$33,2,0)</f>
        <v>Equipamento - Construção</v>
      </c>
    </row>
    <row r="28" spans="2:11" x14ac:dyDescent="0.3">
      <c r="B28" s="8">
        <v>33</v>
      </c>
      <c r="C28" s="7" t="s">
        <v>22</v>
      </c>
      <c r="D28" s="8" t="s">
        <v>206</v>
      </c>
      <c r="E28" s="8" t="s">
        <v>269</v>
      </c>
      <c r="F28" s="8"/>
      <c r="H28" s="7">
        <v>13</v>
      </c>
      <c r="K28" s="14" t="str">
        <f>VLOOKUP(E28,'1. TAT (2) - Equip. Lease'!$B$5:$C$33,2,0)</f>
        <v>Viatura - Construção</v>
      </c>
    </row>
    <row r="29" spans="2:11" x14ac:dyDescent="0.3">
      <c r="B29" s="8">
        <v>34</v>
      </c>
      <c r="C29" s="7" t="s">
        <v>23</v>
      </c>
      <c r="D29" s="8" t="s">
        <v>205</v>
      </c>
      <c r="E29" s="8" t="s">
        <v>265</v>
      </c>
      <c r="F29" s="8"/>
      <c r="H29" s="7">
        <v>138</v>
      </c>
      <c r="K29" s="14" t="str">
        <f>VLOOKUP(E29,'1. TAT (2) - Equip. Lease'!$B$5:$C$33,2,0)</f>
        <v>Equipamento - Indústria</v>
      </c>
    </row>
    <row r="30" spans="2:11" x14ac:dyDescent="0.3">
      <c r="B30" s="8">
        <v>39</v>
      </c>
      <c r="C30" s="7" t="s">
        <v>24</v>
      </c>
      <c r="D30" s="8" t="s">
        <v>205</v>
      </c>
      <c r="E30" s="8" t="s">
        <v>268</v>
      </c>
      <c r="F30" s="8"/>
      <c r="H30" s="7">
        <v>112</v>
      </c>
      <c r="K30" s="14" t="str">
        <f>VLOOKUP(E30,'1. TAT (2) - Equip. Lease'!$B$5:$C$33,2,0)</f>
        <v>Equipamento - Construção</v>
      </c>
    </row>
    <row r="31" spans="2:11" x14ac:dyDescent="0.3">
      <c r="B31" s="8">
        <v>40</v>
      </c>
      <c r="C31" s="7" t="s">
        <v>25</v>
      </c>
      <c r="D31" s="8" t="s">
        <v>205</v>
      </c>
      <c r="E31" s="8" t="s">
        <v>270</v>
      </c>
      <c r="F31" s="8"/>
      <c r="H31" s="7">
        <v>975</v>
      </c>
      <c r="K31" s="14" t="str">
        <f>VLOOKUP(E31,'1. TAT (2) - Equip. Lease'!$B$5:$C$33,2,0)</f>
        <v>Equipamento - Comércio</v>
      </c>
    </row>
    <row r="32" spans="2:11" x14ac:dyDescent="0.3">
      <c r="B32" s="8">
        <v>41</v>
      </c>
      <c r="C32" s="7" t="s">
        <v>26</v>
      </c>
      <c r="D32" s="8" t="s">
        <v>205</v>
      </c>
      <c r="E32" s="8" t="s">
        <v>271</v>
      </c>
      <c r="F32" s="8"/>
      <c r="H32" s="7">
        <v>29</v>
      </c>
      <c r="K32" s="14" t="str">
        <f>VLOOKUP(E32,'1. TAT (2) - Equip. Lease'!$B$5:$C$33,2,0)</f>
        <v>Equipamento - Restauracão</v>
      </c>
    </row>
    <row r="33" spans="2:11" x14ac:dyDescent="0.3">
      <c r="B33" s="8">
        <v>42</v>
      </c>
      <c r="C33" s="7" t="s">
        <v>27</v>
      </c>
      <c r="D33" s="8" t="s">
        <v>205</v>
      </c>
      <c r="E33" s="8" t="s">
        <v>272</v>
      </c>
      <c r="F33" s="8"/>
      <c r="H33" s="12">
        <v>0</v>
      </c>
      <c r="K33" s="14" t="str">
        <f>VLOOKUP(E33,'1. TAT (2) - Equip. Lease'!$B$5:$C$33,2,0)</f>
        <v>Equipamento - Hotelaria</v>
      </c>
    </row>
    <row r="34" spans="2:11" x14ac:dyDescent="0.3">
      <c r="B34" s="8">
        <v>43</v>
      </c>
      <c r="C34" s="7" t="s">
        <v>28</v>
      </c>
      <c r="D34" s="8" t="s">
        <v>205</v>
      </c>
      <c r="E34" s="8" t="s">
        <v>270</v>
      </c>
      <c r="F34" s="8"/>
      <c r="H34" s="7">
        <v>25</v>
      </c>
      <c r="K34" s="14" t="str">
        <f>VLOOKUP(E34,'1. TAT (2) - Equip. Lease'!$B$5:$C$33,2,0)</f>
        <v>Equipamento - Comércio</v>
      </c>
    </row>
    <row r="35" spans="2:11" x14ac:dyDescent="0.3">
      <c r="B35" s="8">
        <v>49</v>
      </c>
      <c r="C35" s="7" t="s">
        <v>29</v>
      </c>
      <c r="D35" s="8" t="s">
        <v>205</v>
      </c>
      <c r="E35" s="8" t="s">
        <v>273</v>
      </c>
      <c r="F35" s="8"/>
      <c r="H35" s="7">
        <v>11</v>
      </c>
      <c r="K35" s="14" t="str">
        <f>VLOOKUP(E35,'1. TAT (2) - Equip. Lease'!$B$5:$C$33,2,0)</f>
        <v>Equipamento - Indefinido</v>
      </c>
    </row>
    <row r="36" spans="2:11" x14ac:dyDescent="0.3">
      <c r="B36" s="8">
        <v>50</v>
      </c>
      <c r="C36" s="7" t="s">
        <v>30</v>
      </c>
      <c r="D36" s="8" t="s">
        <v>205</v>
      </c>
      <c r="E36" s="8" t="s">
        <v>274</v>
      </c>
      <c r="F36" s="8"/>
      <c r="H36" s="7">
        <v>46</v>
      </c>
      <c r="K36" s="14" t="str">
        <f>VLOOKUP(E36,'1. TAT (2) - Equip. Lease'!$B$5:$C$33,2,0)</f>
        <v>Equipamento - Escritório</v>
      </c>
    </row>
    <row r="37" spans="2:11" x14ac:dyDescent="0.3">
      <c r="B37" s="8">
        <v>51</v>
      </c>
      <c r="C37" s="7" t="s">
        <v>31</v>
      </c>
      <c r="D37" s="8" t="s">
        <v>205</v>
      </c>
      <c r="E37" s="8" t="s">
        <v>274</v>
      </c>
      <c r="F37" s="8"/>
      <c r="H37" s="7">
        <v>48</v>
      </c>
      <c r="K37" s="14" t="str">
        <f>VLOOKUP(E37,'1. TAT (2) - Equip. Lease'!$B$5:$C$33,2,0)</f>
        <v>Equipamento - Escritório</v>
      </c>
    </row>
    <row r="38" spans="2:11" x14ac:dyDescent="0.3">
      <c r="B38" s="8">
        <v>52</v>
      </c>
      <c r="C38" s="7" t="s">
        <v>32</v>
      </c>
      <c r="D38" s="8" t="s">
        <v>205</v>
      </c>
      <c r="E38" s="8" t="s">
        <v>274</v>
      </c>
      <c r="F38" s="8"/>
      <c r="H38" s="7">
        <v>81</v>
      </c>
      <c r="K38" s="14" t="str">
        <f>VLOOKUP(E38,'1. TAT (2) - Equip. Lease'!$B$5:$C$33,2,0)</f>
        <v>Equipamento - Escritório</v>
      </c>
    </row>
    <row r="39" spans="2:11" x14ac:dyDescent="0.3">
      <c r="B39" s="8">
        <v>53</v>
      </c>
      <c r="C39" s="7" t="s">
        <v>33</v>
      </c>
      <c r="D39" s="8" t="s">
        <v>205</v>
      </c>
      <c r="E39" s="8" t="s">
        <v>274</v>
      </c>
      <c r="F39" s="8"/>
      <c r="H39" s="7">
        <v>18</v>
      </c>
      <c r="K39" s="14" t="str">
        <f>VLOOKUP(E39,'1. TAT (2) - Equip. Lease'!$B$5:$C$33,2,0)</f>
        <v>Equipamento - Escritório</v>
      </c>
    </row>
    <row r="40" spans="2:11" x14ac:dyDescent="0.3">
      <c r="B40" s="8">
        <v>54</v>
      </c>
      <c r="C40" s="7" t="s">
        <v>34</v>
      </c>
      <c r="D40" s="8" t="s">
        <v>205</v>
      </c>
      <c r="E40" s="8" t="s">
        <v>274</v>
      </c>
      <c r="F40" s="8"/>
      <c r="H40" s="7">
        <v>3</v>
      </c>
      <c r="K40" s="14" t="str">
        <f>VLOOKUP(E40,'1. TAT (2) - Equip. Lease'!$B$5:$C$33,2,0)</f>
        <v>Equipamento - Escritório</v>
      </c>
    </row>
    <row r="41" spans="2:11" x14ac:dyDescent="0.3">
      <c r="B41" s="8">
        <v>55</v>
      </c>
      <c r="C41" s="7" t="s">
        <v>35</v>
      </c>
      <c r="D41" s="8" t="s">
        <v>205</v>
      </c>
      <c r="E41" s="8" t="s">
        <v>274</v>
      </c>
      <c r="F41" s="8"/>
      <c r="H41" s="7">
        <v>10</v>
      </c>
      <c r="K41" s="14" t="str">
        <f>VLOOKUP(E41,'1. TAT (2) - Equip. Lease'!$B$5:$C$33,2,0)</f>
        <v>Equipamento - Escritório</v>
      </c>
    </row>
    <row r="42" spans="2:11" x14ac:dyDescent="0.3">
      <c r="B42" s="8">
        <v>57</v>
      </c>
      <c r="C42" s="7" t="s">
        <v>36</v>
      </c>
      <c r="D42" s="8" t="s">
        <v>205</v>
      </c>
      <c r="E42" s="8" t="s">
        <v>274</v>
      </c>
      <c r="F42" s="8"/>
      <c r="H42" s="12">
        <v>0</v>
      </c>
      <c r="K42" s="14" t="str">
        <f>VLOOKUP(E42,'1. TAT (2) - Equip. Lease'!$B$5:$C$33,2,0)</f>
        <v>Equipamento - Escritório</v>
      </c>
    </row>
    <row r="43" spans="2:11" x14ac:dyDescent="0.3">
      <c r="B43" s="8">
        <v>58</v>
      </c>
      <c r="C43" s="7" t="s">
        <v>37</v>
      </c>
      <c r="D43" s="8" t="s">
        <v>205</v>
      </c>
      <c r="E43" s="8" t="s">
        <v>274</v>
      </c>
      <c r="F43" s="8"/>
      <c r="H43" s="12">
        <v>0</v>
      </c>
      <c r="K43" s="14" t="str">
        <f>VLOOKUP(E43,'1. TAT (2) - Equip. Lease'!$B$5:$C$33,2,0)</f>
        <v>Equipamento - Escritório</v>
      </c>
    </row>
    <row r="44" spans="2:11" x14ac:dyDescent="0.3">
      <c r="B44" s="8">
        <v>59</v>
      </c>
      <c r="C44" s="7" t="s">
        <v>38</v>
      </c>
      <c r="D44" s="8" t="s">
        <v>205</v>
      </c>
      <c r="E44" s="8" t="s">
        <v>273</v>
      </c>
      <c r="F44" s="8"/>
      <c r="H44" s="7">
        <v>227</v>
      </c>
      <c r="K44" s="14" t="str">
        <f>VLOOKUP(E44,'1. TAT (2) - Equip. Lease'!$B$5:$C$33,2,0)</f>
        <v>Equipamento - Indefinido</v>
      </c>
    </row>
    <row r="45" spans="2:11" x14ac:dyDescent="0.3">
      <c r="B45" s="8">
        <v>60</v>
      </c>
      <c r="C45" s="7" t="s">
        <v>39</v>
      </c>
      <c r="D45" s="8" t="s">
        <v>205</v>
      </c>
      <c r="E45" s="8" t="s">
        <v>275</v>
      </c>
      <c r="F45" s="8"/>
      <c r="H45" s="7">
        <v>621</v>
      </c>
      <c r="K45" s="14" t="str">
        <f>VLOOKUP(E45,'1. TAT (2) - Equip. Lease'!$B$5:$C$33,2,0)</f>
        <v>Equipamento - Saúde</v>
      </c>
    </row>
    <row r="46" spans="2:11" x14ac:dyDescent="0.3">
      <c r="B46" s="8">
        <v>61</v>
      </c>
      <c r="C46" s="7" t="s">
        <v>40</v>
      </c>
      <c r="D46" s="8" t="s">
        <v>205</v>
      </c>
      <c r="E46" s="8" t="s">
        <v>275</v>
      </c>
      <c r="F46" s="8"/>
      <c r="H46" s="12">
        <v>0</v>
      </c>
      <c r="K46" s="14" t="str">
        <f>VLOOKUP(E46,'1. TAT (2) - Equip. Lease'!$B$5:$C$33,2,0)</f>
        <v>Equipamento - Saúde</v>
      </c>
    </row>
    <row r="47" spans="2:11" x14ac:dyDescent="0.3">
      <c r="B47" s="8">
        <v>62</v>
      </c>
      <c r="C47" s="7" t="s">
        <v>41</v>
      </c>
      <c r="D47" s="8" t="s">
        <v>205</v>
      </c>
      <c r="E47" s="8" t="s">
        <v>275</v>
      </c>
      <c r="F47" s="8"/>
      <c r="H47" s="7">
        <v>558</v>
      </c>
      <c r="K47" s="14" t="str">
        <f>VLOOKUP(E47,'1. TAT (2) - Equip. Lease'!$B$5:$C$33,2,0)</f>
        <v>Equipamento - Saúde</v>
      </c>
    </row>
    <row r="48" spans="2:11" x14ac:dyDescent="0.3">
      <c r="B48" s="8">
        <v>69</v>
      </c>
      <c r="C48" s="7" t="s">
        <v>29</v>
      </c>
      <c r="D48" s="8" t="s">
        <v>205</v>
      </c>
      <c r="E48" s="8" t="s">
        <v>273</v>
      </c>
      <c r="F48" s="8"/>
      <c r="H48" s="7">
        <v>10</v>
      </c>
      <c r="K48" s="14" t="str">
        <f>VLOOKUP(E48,'1. TAT (2) - Equip. Lease'!$B$5:$C$33,2,0)</f>
        <v>Equipamento - Indefinido</v>
      </c>
    </row>
    <row r="49" spans="2:11" x14ac:dyDescent="0.3">
      <c r="B49" s="8">
        <v>70</v>
      </c>
      <c r="C49" s="7" t="s">
        <v>42</v>
      </c>
      <c r="D49" s="8" t="s">
        <v>205</v>
      </c>
      <c r="E49" s="8" t="s">
        <v>273</v>
      </c>
      <c r="F49" s="8"/>
      <c r="H49" s="7">
        <v>22</v>
      </c>
      <c r="K49" s="14" t="str">
        <f>VLOOKUP(E49,'1. TAT (2) - Equip. Lease'!$B$5:$C$33,2,0)</f>
        <v>Equipamento - Indefinido</v>
      </c>
    </row>
    <row r="50" spans="2:11" x14ac:dyDescent="0.3">
      <c r="B50" s="8">
        <v>71</v>
      </c>
      <c r="C50" s="7" t="s">
        <v>43</v>
      </c>
      <c r="D50" s="8" t="s">
        <v>205</v>
      </c>
      <c r="E50" s="8" t="s">
        <v>276</v>
      </c>
      <c r="F50" s="8"/>
      <c r="H50" s="7">
        <v>97</v>
      </c>
      <c r="K50" s="14" t="str">
        <f>VLOOKUP(E50,'1. TAT (2) - Equip. Lease'!$B$5:$C$33,2,0)</f>
        <v>Equipamento - Transporte</v>
      </c>
    </row>
    <row r="51" spans="2:11" x14ac:dyDescent="0.3">
      <c r="B51" s="8">
        <v>72</v>
      </c>
      <c r="C51" s="7" t="s">
        <v>44</v>
      </c>
      <c r="D51" s="8" t="s">
        <v>205</v>
      </c>
      <c r="E51" s="8" t="s">
        <v>274</v>
      </c>
      <c r="F51" s="8"/>
      <c r="H51" s="12">
        <v>0</v>
      </c>
      <c r="K51" s="14" t="str">
        <f>VLOOKUP(E51,'1. TAT (2) - Equip. Lease'!$B$5:$C$33,2,0)</f>
        <v>Equipamento - Escritório</v>
      </c>
    </row>
    <row r="52" spans="2:11" x14ac:dyDescent="0.3">
      <c r="B52" s="8">
        <v>73</v>
      </c>
      <c r="C52" s="7" t="s">
        <v>45</v>
      </c>
      <c r="D52" s="8" t="s">
        <v>205</v>
      </c>
      <c r="E52" s="16" t="s">
        <v>268</v>
      </c>
      <c r="F52" s="8"/>
      <c r="H52" s="7">
        <v>70</v>
      </c>
      <c r="K52" s="14" t="str">
        <f>VLOOKUP(E52,'1. TAT (2) - Equip. Lease'!$B$5:$C$33,2,0)</f>
        <v>Equipamento - Construção</v>
      </c>
    </row>
    <row r="53" spans="2:11" x14ac:dyDescent="0.3">
      <c r="B53" s="8">
        <v>74</v>
      </c>
      <c r="C53" s="7" t="s">
        <v>46</v>
      </c>
      <c r="D53" s="8" t="s">
        <v>205</v>
      </c>
      <c r="E53" s="8" t="s">
        <v>274</v>
      </c>
      <c r="F53" s="8"/>
      <c r="H53" s="12">
        <v>0</v>
      </c>
      <c r="K53" s="14" t="str">
        <f>VLOOKUP(E53,'1. TAT (2) - Equip. Lease'!$B$5:$C$33,2,0)</f>
        <v>Equipamento - Escritório</v>
      </c>
    </row>
    <row r="54" spans="2:11" x14ac:dyDescent="0.3">
      <c r="B54" s="8">
        <v>79</v>
      </c>
      <c r="C54" s="7" t="s">
        <v>29</v>
      </c>
      <c r="D54" s="8" t="s">
        <v>205</v>
      </c>
      <c r="E54" s="8" t="s">
        <v>273</v>
      </c>
      <c r="F54" s="8"/>
      <c r="H54" s="12">
        <v>0</v>
      </c>
      <c r="K54" s="14" t="str">
        <f>VLOOKUP(E54,'1. TAT (2) - Equip. Lease'!$B$5:$C$33,2,0)</f>
        <v>Equipamento - Indefinido</v>
      </c>
    </row>
    <row r="55" spans="2:11" x14ac:dyDescent="0.3">
      <c r="B55" s="8">
        <v>100</v>
      </c>
      <c r="C55" s="7" t="s">
        <v>47</v>
      </c>
      <c r="D55" s="8" t="s">
        <v>205</v>
      </c>
      <c r="E55" s="8" t="s">
        <v>276</v>
      </c>
      <c r="F55" s="8"/>
      <c r="H55" s="7">
        <v>2</v>
      </c>
      <c r="K55" s="14" t="str">
        <f>VLOOKUP(E55,'1. TAT (2) - Equip. Lease'!$B$5:$C$33,2,0)</f>
        <v>Equipamento - Transporte</v>
      </c>
    </row>
    <row r="56" spans="2:11" x14ac:dyDescent="0.3">
      <c r="B56" s="8">
        <v>110</v>
      </c>
      <c r="C56" s="7" t="s">
        <v>48</v>
      </c>
      <c r="D56" s="8" t="s">
        <v>206</v>
      </c>
      <c r="E56" s="16" t="s">
        <v>277</v>
      </c>
      <c r="F56" s="8"/>
      <c r="H56" s="12">
        <v>0</v>
      </c>
      <c r="K56" s="14" t="str">
        <f>VLOOKUP(E56,'1. TAT (2) - Equip. Lease'!$B$5:$C$33,2,0)</f>
        <v>Viatura - Ferroviário</v>
      </c>
    </row>
    <row r="57" spans="2:11" x14ac:dyDescent="0.3">
      <c r="B57" s="8">
        <v>120</v>
      </c>
      <c r="C57" s="7" t="s">
        <v>49</v>
      </c>
      <c r="D57" s="8" t="s">
        <v>206</v>
      </c>
      <c r="E57" s="16" t="s">
        <v>278</v>
      </c>
      <c r="F57" s="8"/>
      <c r="H57" s="7">
        <v>1</v>
      </c>
      <c r="K57" s="14" t="str">
        <f>VLOOKUP(E57,'1. TAT (2) - Equip. Lease'!$B$5:$C$33,2,0)</f>
        <v>Viatura - Embarcação</v>
      </c>
    </row>
    <row r="58" spans="2:11" x14ac:dyDescent="0.3">
      <c r="B58" s="8">
        <v>121</v>
      </c>
      <c r="C58" s="7" t="s">
        <v>50</v>
      </c>
      <c r="D58" s="8" t="s">
        <v>206</v>
      </c>
      <c r="E58" s="16" t="s">
        <v>278</v>
      </c>
      <c r="F58" s="8"/>
      <c r="H58" s="7">
        <v>6</v>
      </c>
      <c r="K58" s="14" t="str">
        <f>VLOOKUP(E58,'1. TAT (2) - Equip. Lease'!$B$5:$C$33,2,0)</f>
        <v>Viatura - Embarcação</v>
      </c>
    </row>
    <row r="59" spans="2:11" x14ac:dyDescent="0.3">
      <c r="B59" s="8">
        <v>122</v>
      </c>
      <c r="C59" s="7" t="s">
        <v>51</v>
      </c>
      <c r="D59" s="8" t="s">
        <v>206</v>
      </c>
      <c r="E59" s="16" t="s">
        <v>278</v>
      </c>
      <c r="F59" s="8"/>
      <c r="H59" s="12">
        <v>0</v>
      </c>
      <c r="K59" s="14" t="str">
        <f>VLOOKUP(E59,'1. TAT (2) - Equip. Lease'!$B$5:$C$33,2,0)</f>
        <v>Viatura - Embarcação</v>
      </c>
    </row>
    <row r="60" spans="2:11" x14ac:dyDescent="0.3">
      <c r="B60" s="8">
        <v>130</v>
      </c>
      <c r="C60" s="7" t="s">
        <v>52</v>
      </c>
      <c r="D60" s="8" t="s">
        <v>206</v>
      </c>
      <c r="E60" s="16" t="s">
        <v>279</v>
      </c>
      <c r="F60" s="8"/>
      <c r="H60" s="7">
        <v>4</v>
      </c>
      <c r="K60" s="14" t="str">
        <f>VLOOKUP(E60,'1. TAT (2) - Equip. Lease'!$B$5:$C$33,2,0)</f>
        <v>Viatura - Aeronave</v>
      </c>
    </row>
    <row r="61" spans="2:11" x14ac:dyDescent="0.3">
      <c r="B61" s="8">
        <v>131</v>
      </c>
      <c r="C61" s="7" t="s">
        <v>53</v>
      </c>
      <c r="D61" s="8" t="s">
        <v>206</v>
      </c>
      <c r="E61" s="8" t="s">
        <v>279</v>
      </c>
      <c r="F61" s="8"/>
      <c r="H61" s="7">
        <v>3</v>
      </c>
      <c r="K61" s="14" t="str">
        <f>VLOOKUP(E61,'1. TAT (2) - Equip. Lease'!$B$5:$C$33,2,0)</f>
        <v>Viatura - Aeronave</v>
      </c>
    </row>
    <row r="62" spans="2:11" x14ac:dyDescent="0.3">
      <c r="B62" s="8">
        <v>132</v>
      </c>
      <c r="C62" s="7" t="s">
        <v>54</v>
      </c>
      <c r="D62" s="8" t="s">
        <v>206</v>
      </c>
      <c r="E62" s="8" t="s">
        <v>279</v>
      </c>
      <c r="F62" s="8"/>
      <c r="H62" s="12">
        <v>0</v>
      </c>
      <c r="K62" s="14" t="str">
        <f>VLOOKUP(E62,'1. TAT (2) - Equip. Lease'!$B$5:$C$33,2,0)</f>
        <v>Viatura - Aeronave</v>
      </c>
    </row>
    <row r="63" spans="2:11" x14ac:dyDescent="0.3">
      <c r="B63" s="8">
        <v>133</v>
      </c>
      <c r="C63" s="7" t="s">
        <v>55</v>
      </c>
      <c r="D63" s="8" t="s">
        <v>206</v>
      </c>
      <c r="E63" s="8" t="s">
        <v>279</v>
      </c>
      <c r="F63" s="8"/>
      <c r="H63" s="12">
        <v>0</v>
      </c>
      <c r="K63" s="14" t="str">
        <f>VLOOKUP(E63,'1. TAT (2) - Equip. Lease'!$B$5:$C$33,2,0)</f>
        <v>Viatura - Aeronave</v>
      </c>
    </row>
    <row r="64" spans="2:11" x14ac:dyDescent="0.3">
      <c r="B64" s="8">
        <v>134</v>
      </c>
      <c r="C64" s="7" t="s">
        <v>56</v>
      </c>
      <c r="D64" s="8" t="s">
        <v>206</v>
      </c>
      <c r="E64" s="8" t="s">
        <v>279</v>
      </c>
      <c r="F64" s="8"/>
      <c r="H64" s="12">
        <v>0</v>
      </c>
      <c r="K64" s="14" t="str">
        <f>VLOOKUP(E64,'1. TAT (2) - Equip. Lease'!$B$5:$C$33,2,0)</f>
        <v>Viatura - Aeronave</v>
      </c>
    </row>
    <row r="65" spans="2:11" x14ac:dyDescent="0.3">
      <c r="B65" s="8">
        <v>140</v>
      </c>
      <c r="C65" s="7" t="s">
        <v>57</v>
      </c>
      <c r="D65" s="8" t="s">
        <v>206</v>
      </c>
      <c r="E65" s="17" t="s">
        <v>263</v>
      </c>
      <c r="F65" s="8"/>
      <c r="H65" s="12">
        <v>0</v>
      </c>
      <c r="K65" s="14" t="str">
        <f>VLOOKUP(E65,'1. TAT (2) - Equip. Lease'!$B$5:$C$33,2,0)</f>
        <v>Viatura - Indefinido</v>
      </c>
    </row>
    <row r="66" spans="2:11" x14ac:dyDescent="0.3">
      <c r="B66" s="8">
        <v>141</v>
      </c>
      <c r="C66" s="7" t="s">
        <v>58</v>
      </c>
      <c r="D66" s="11" t="s">
        <v>206</v>
      </c>
      <c r="E66" s="11" t="s">
        <v>280</v>
      </c>
      <c r="F66" s="8"/>
      <c r="H66" s="7">
        <v>34</v>
      </c>
      <c r="K66" s="14" t="str">
        <f>VLOOKUP(E66,'1. TAT (2) - Equip. Lease'!$B$5:$C$33,2,0)</f>
        <v>Viatura - Ligeiro Passageiros</v>
      </c>
    </row>
    <row r="67" spans="2:11" x14ac:dyDescent="0.3">
      <c r="B67" s="8">
        <v>142</v>
      </c>
      <c r="C67" s="7" t="s">
        <v>59</v>
      </c>
      <c r="D67" s="11" t="s">
        <v>206</v>
      </c>
      <c r="E67" s="11" t="s">
        <v>281</v>
      </c>
      <c r="F67" s="8"/>
      <c r="H67" s="7">
        <v>4</v>
      </c>
      <c r="K67" s="14" t="str">
        <f>VLOOKUP(E67,'1. TAT (2) - Equip. Lease'!$B$5:$C$33,2,0)</f>
        <v>Viatura - Ligeiro Mercadorias</v>
      </c>
    </row>
    <row r="68" spans="2:11" x14ac:dyDescent="0.3">
      <c r="B68" s="8">
        <v>143</v>
      </c>
      <c r="C68" s="7" t="s">
        <v>60</v>
      </c>
      <c r="D68" s="11" t="s">
        <v>206</v>
      </c>
      <c r="E68" s="11" t="s">
        <v>282</v>
      </c>
      <c r="F68" s="8"/>
      <c r="H68" s="7">
        <v>262</v>
      </c>
      <c r="K68" s="14" t="str">
        <f>VLOOKUP(E68,'1. TAT (2) - Equip. Lease'!$B$5:$C$33,2,0)</f>
        <v>Viatura - Pesado Passageiros</v>
      </c>
    </row>
    <row r="69" spans="2:11" x14ac:dyDescent="0.3">
      <c r="B69" s="8">
        <v>144</v>
      </c>
      <c r="C69" s="7" t="s">
        <v>61</v>
      </c>
      <c r="D69" s="11" t="s">
        <v>206</v>
      </c>
      <c r="E69" s="11" t="s">
        <v>283</v>
      </c>
      <c r="F69" s="8"/>
      <c r="H69" s="7">
        <v>1273</v>
      </c>
      <c r="K69" s="14" t="str">
        <f>VLOOKUP(E69,'1. TAT (2) - Equip. Lease'!$B$5:$C$33,2,0)</f>
        <v>Viatura - Pesado Mercadorias</v>
      </c>
    </row>
    <row r="70" spans="2:11" x14ac:dyDescent="0.3">
      <c r="B70" s="8">
        <v>145</v>
      </c>
      <c r="C70" s="7" t="s">
        <v>62</v>
      </c>
      <c r="D70" s="11" t="s">
        <v>206</v>
      </c>
      <c r="E70" s="11" t="s">
        <v>283</v>
      </c>
      <c r="F70" s="8"/>
      <c r="H70" s="7">
        <v>6</v>
      </c>
      <c r="K70" s="14" t="str">
        <f>VLOOKUP(E70,'1. TAT (2) - Equip. Lease'!$B$5:$C$33,2,0)</f>
        <v>Viatura - Pesado Mercadorias</v>
      </c>
    </row>
    <row r="71" spans="2:11" x14ac:dyDescent="0.3">
      <c r="B71" s="8">
        <v>146</v>
      </c>
      <c r="C71" s="7" t="s">
        <v>63</v>
      </c>
      <c r="D71" s="11" t="s">
        <v>206</v>
      </c>
      <c r="E71" s="11" t="s">
        <v>284</v>
      </c>
      <c r="F71" s="8"/>
      <c r="H71" s="7">
        <v>102</v>
      </c>
      <c r="K71" s="14" t="str">
        <f>VLOOKUP(E71,'1. TAT (2) - Equip. Lease'!$B$5:$C$33,2,0)</f>
        <v>Viatura - Motociclo</v>
      </c>
    </row>
    <row r="72" spans="2:11" x14ac:dyDescent="0.3">
      <c r="B72" s="8">
        <v>147</v>
      </c>
      <c r="C72" s="7" t="s">
        <v>64</v>
      </c>
      <c r="D72" s="11" t="s">
        <v>206</v>
      </c>
      <c r="E72" s="11" t="s">
        <v>280</v>
      </c>
      <c r="F72" s="8"/>
      <c r="H72" s="12">
        <v>0</v>
      </c>
      <c r="K72" s="14" t="str">
        <f>VLOOKUP(E72,'1. TAT (2) - Equip. Lease'!$B$5:$C$33,2,0)</f>
        <v>Viatura - Ligeiro Passageiros</v>
      </c>
    </row>
    <row r="73" spans="2:11" x14ac:dyDescent="0.3">
      <c r="B73" s="8">
        <v>148</v>
      </c>
      <c r="C73" s="7" t="s">
        <v>65</v>
      </c>
      <c r="D73" s="11" t="s">
        <v>206</v>
      </c>
      <c r="E73" s="11" t="s">
        <v>283</v>
      </c>
      <c r="F73" s="8"/>
      <c r="H73" s="7">
        <v>574</v>
      </c>
      <c r="K73" s="14" t="str">
        <f>VLOOKUP(E73,'1. TAT (2) - Equip. Lease'!$B$5:$C$33,2,0)</f>
        <v>Viatura - Pesado Mercadorias</v>
      </c>
    </row>
    <row r="74" spans="2:11" x14ac:dyDescent="0.3">
      <c r="B74" s="8">
        <v>149</v>
      </c>
      <c r="C74" s="7" t="s">
        <v>66</v>
      </c>
      <c r="D74" s="11" t="s">
        <v>206</v>
      </c>
      <c r="E74" s="11" t="s">
        <v>263</v>
      </c>
      <c r="F74" s="8"/>
      <c r="H74" s="12">
        <v>0</v>
      </c>
      <c r="K74" s="14" t="str">
        <f>VLOOKUP(E74,'1. TAT (2) - Equip. Lease'!$B$5:$C$33,2,0)</f>
        <v>Viatura - Indefinido</v>
      </c>
    </row>
    <row r="75" spans="2:11" x14ac:dyDescent="0.3">
      <c r="B75" s="8">
        <v>150</v>
      </c>
      <c r="C75" s="7" t="s">
        <v>67</v>
      </c>
      <c r="D75" s="8" t="s">
        <v>206</v>
      </c>
      <c r="E75" s="8" t="s">
        <v>269</v>
      </c>
      <c r="F75" s="8"/>
      <c r="H75" s="7">
        <v>87</v>
      </c>
      <c r="K75" s="14" t="str">
        <f>VLOOKUP(E75,'1. TAT (2) - Equip. Lease'!$B$5:$C$33,2,0)</f>
        <v>Viatura - Construção</v>
      </c>
    </row>
    <row r="76" spans="2:11" x14ac:dyDescent="0.3">
      <c r="B76" s="8">
        <v>151</v>
      </c>
      <c r="C76" s="7" t="s">
        <v>68</v>
      </c>
      <c r="D76" s="8" t="s">
        <v>206</v>
      </c>
      <c r="E76" s="8" t="s">
        <v>269</v>
      </c>
      <c r="F76" s="8"/>
      <c r="H76" s="7">
        <v>137</v>
      </c>
      <c r="K76" s="14" t="str">
        <f>VLOOKUP(E76,'1. TAT (2) - Equip. Lease'!$B$5:$C$33,2,0)</f>
        <v>Viatura - Construção</v>
      </c>
    </row>
    <row r="77" spans="2:11" x14ac:dyDescent="0.3">
      <c r="B77" s="8">
        <v>152</v>
      </c>
      <c r="C77" s="7" t="s">
        <v>69</v>
      </c>
      <c r="D77" s="8" t="s">
        <v>206</v>
      </c>
      <c r="E77" s="8" t="s">
        <v>269</v>
      </c>
      <c r="F77" s="8"/>
      <c r="H77" s="7">
        <v>42</v>
      </c>
      <c r="K77" s="14" t="str">
        <f>VLOOKUP(E77,'1. TAT (2) - Equip. Lease'!$B$5:$C$33,2,0)</f>
        <v>Viatura - Construção</v>
      </c>
    </row>
    <row r="78" spans="2:11" x14ac:dyDescent="0.3">
      <c r="B78" s="8">
        <v>153</v>
      </c>
      <c r="C78" s="7" t="s">
        <v>70</v>
      </c>
      <c r="D78" s="8" t="s">
        <v>205</v>
      </c>
      <c r="E78" s="8" t="s">
        <v>273</v>
      </c>
      <c r="F78" s="8"/>
      <c r="H78" s="12">
        <v>0</v>
      </c>
      <c r="K78" s="14" t="str">
        <f>VLOOKUP(E78,'1. TAT (2) - Equip. Lease'!$B$5:$C$33,2,0)</f>
        <v>Equipamento - Indefinido</v>
      </c>
    </row>
    <row r="79" spans="2:11" x14ac:dyDescent="0.3">
      <c r="B79" s="8">
        <v>154</v>
      </c>
      <c r="C79" s="7" t="s">
        <v>71</v>
      </c>
      <c r="D79" s="8" t="s">
        <v>205</v>
      </c>
      <c r="E79" s="8" t="s">
        <v>273</v>
      </c>
      <c r="F79" s="8"/>
      <c r="H79" s="12">
        <v>0</v>
      </c>
      <c r="K79" s="14" t="str">
        <f>VLOOKUP(E79,'1. TAT (2) - Equip. Lease'!$B$5:$C$33,2,0)</f>
        <v>Equipamento - Indefinido</v>
      </c>
    </row>
    <row r="80" spans="2:11" x14ac:dyDescent="0.3">
      <c r="B80" s="8">
        <v>155</v>
      </c>
      <c r="C80" s="7" t="s">
        <v>72</v>
      </c>
      <c r="D80" s="8" t="s">
        <v>205</v>
      </c>
      <c r="E80" s="8" t="s">
        <v>273</v>
      </c>
      <c r="F80" s="8"/>
      <c r="H80" s="12">
        <v>0</v>
      </c>
      <c r="K80" s="14" t="str">
        <f>VLOOKUP(E80,'1. TAT (2) - Equip. Lease'!$B$5:$C$33,2,0)</f>
        <v>Equipamento - Indefinido</v>
      </c>
    </row>
    <row r="81" spans="2:11" x14ac:dyDescent="0.3">
      <c r="B81" s="8">
        <v>161</v>
      </c>
      <c r="C81" s="7" t="s">
        <v>73</v>
      </c>
      <c r="D81" s="11" t="s">
        <v>206</v>
      </c>
      <c r="E81" s="11" t="s">
        <v>285</v>
      </c>
      <c r="F81" s="8"/>
      <c r="H81" s="12">
        <v>0</v>
      </c>
      <c r="K81" s="14" t="str">
        <f>VLOOKUP(E81,'1. TAT (2) - Equip. Lease'!$B$5:$C$33,2,0)</f>
        <v>Viatura - Reboque</v>
      </c>
    </row>
    <row r="82" spans="2:11" x14ac:dyDescent="0.3">
      <c r="B82" s="8">
        <v>162</v>
      </c>
      <c r="C82" s="7" t="s">
        <v>74</v>
      </c>
      <c r="D82" s="11" t="s">
        <v>206</v>
      </c>
      <c r="E82" s="11" t="s">
        <v>285</v>
      </c>
      <c r="F82" s="8"/>
      <c r="H82" s="12">
        <v>0</v>
      </c>
      <c r="K82" s="14" t="str">
        <f>VLOOKUP(E82,'1. TAT (2) - Equip. Lease'!$B$5:$C$33,2,0)</f>
        <v>Viatura - Reboque</v>
      </c>
    </row>
    <row r="83" spans="2:11" x14ac:dyDescent="0.3">
      <c r="B83" s="8">
        <v>167</v>
      </c>
      <c r="C83" s="7" t="s">
        <v>75</v>
      </c>
      <c r="D83" s="11" t="s">
        <v>206</v>
      </c>
      <c r="E83" s="11" t="s">
        <v>285</v>
      </c>
      <c r="F83" s="8"/>
      <c r="H83" s="12">
        <v>0</v>
      </c>
      <c r="K83" s="14" t="str">
        <f>VLOOKUP(E83,'1. TAT (2) - Equip. Lease'!$B$5:$C$33,2,0)</f>
        <v>Viatura - Reboque</v>
      </c>
    </row>
    <row r="84" spans="2:11" x14ac:dyDescent="0.3">
      <c r="B84" s="8">
        <v>171</v>
      </c>
      <c r="C84" s="7" t="s">
        <v>76</v>
      </c>
      <c r="D84" s="8" t="s">
        <v>206</v>
      </c>
      <c r="E84" s="8" t="s">
        <v>269</v>
      </c>
      <c r="F84" s="8"/>
      <c r="H84" s="7">
        <v>3</v>
      </c>
      <c r="K84" s="14" t="str">
        <f>VLOOKUP(E84,'1. TAT (2) - Equip. Lease'!$B$5:$C$33,2,0)</f>
        <v>Viatura - Construção</v>
      </c>
    </row>
    <row r="85" spans="2:11" x14ac:dyDescent="0.3">
      <c r="B85" s="8">
        <v>180</v>
      </c>
      <c r="C85" s="7" t="s">
        <v>77</v>
      </c>
      <c r="D85" s="11" t="s">
        <v>206</v>
      </c>
      <c r="E85" s="11" t="s">
        <v>284</v>
      </c>
      <c r="F85" s="8"/>
      <c r="H85" s="7">
        <v>171</v>
      </c>
      <c r="K85" s="14" t="str">
        <f>VLOOKUP(E85,'1. TAT (2) - Equip. Lease'!$B$5:$C$33,2,0)</f>
        <v>Viatura - Motociclo</v>
      </c>
    </row>
    <row r="86" spans="2:11" x14ac:dyDescent="0.3">
      <c r="B86" s="8">
        <v>181</v>
      </c>
      <c r="C86" s="7" t="s">
        <v>78</v>
      </c>
      <c r="D86" s="11" t="s">
        <v>206</v>
      </c>
      <c r="E86" s="11" t="s">
        <v>284</v>
      </c>
      <c r="F86" s="8"/>
      <c r="H86" s="7">
        <v>1</v>
      </c>
      <c r="K86" s="14" t="str">
        <f>VLOOKUP(E86,'1. TAT (2) - Equip. Lease'!$B$5:$C$33,2,0)</f>
        <v>Viatura - Motociclo</v>
      </c>
    </row>
    <row r="87" spans="2:11" x14ac:dyDescent="0.3">
      <c r="B87" s="8">
        <v>199</v>
      </c>
      <c r="C87" s="7" t="s">
        <v>79</v>
      </c>
      <c r="D87" s="8" t="s">
        <v>205</v>
      </c>
      <c r="E87" s="8" t="s">
        <v>273</v>
      </c>
      <c r="F87" s="8"/>
      <c r="H87" s="12">
        <v>0</v>
      </c>
      <c r="K87" s="14" t="str">
        <f>VLOOKUP(E87,'1. TAT (2) - Equip. Lease'!$B$5:$C$33,2,0)</f>
        <v>Equipamento - Indefinido</v>
      </c>
    </row>
    <row r="88" spans="2:11" x14ac:dyDescent="0.3">
      <c r="B88" s="8">
        <v>200</v>
      </c>
      <c r="C88" s="7" t="s">
        <v>80</v>
      </c>
      <c r="D88" s="8" t="s">
        <v>205</v>
      </c>
      <c r="E88" s="8" t="s">
        <v>273</v>
      </c>
      <c r="F88" s="8"/>
      <c r="H88" s="12">
        <v>0</v>
      </c>
      <c r="K88" s="14" t="str">
        <f>VLOOKUP(E88,'1. TAT (2) - Equip. Lease'!$B$5:$C$33,2,0)</f>
        <v>Equipamento - Indefinido</v>
      </c>
    </row>
    <row r="89" spans="2:11" x14ac:dyDescent="0.3">
      <c r="B89" s="8">
        <v>201</v>
      </c>
      <c r="C89" s="7" t="s">
        <v>81</v>
      </c>
      <c r="D89" s="8" t="s">
        <v>205</v>
      </c>
      <c r="E89" s="8" t="s">
        <v>273</v>
      </c>
      <c r="F89" s="8"/>
      <c r="H89" s="12">
        <v>0</v>
      </c>
      <c r="K89" s="14" t="str">
        <f>VLOOKUP(E89,'1. TAT (2) - Equip. Lease'!$B$5:$C$33,2,0)</f>
        <v>Equipamento - Indefinido</v>
      </c>
    </row>
    <row r="90" spans="2:11" x14ac:dyDescent="0.3">
      <c r="B90" s="8">
        <v>202</v>
      </c>
      <c r="C90" s="7" t="s">
        <v>82</v>
      </c>
      <c r="D90" s="8" t="s">
        <v>205</v>
      </c>
      <c r="E90" s="8" t="s">
        <v>265</v>
      </c>
      <c r="F90" s="8"/>
      <c r="H90" s="7">
        <v>271</v>
      </c>
      <c r="K90" s="14" t="str">
        <f>VLOOKUP(E90,'1. TAT (2) - Equip. Lease'!$B$5:$C$33,2,0)</f>
        <v>Equipamento - Indústria</v>
      </c>
    </row>
    <row r="91" spans="2:11" x14ac:dyDescent="0.3">
      <c r="B91" s="8">
        <v>203</v>
      </c>
      <c r="C91" s="7" t="s">
        <v>83</v>
      </c>
      <c r="D91" s="8" t="s">
        <v>206</v>
      </c>
      <c r="E91" s="11" t="s">
        <v>280</v>
      </c>
      <c r="F91" s="8"/>
      <c r="H91" s="7">
        <v>1</v>
      </c>
      <c r="K91" s="14" t="str">
        <f>VLOOKUP(E91,'1. TAT (2) - Equip. Lease'!$B$5:$C$33,2,0)</f>
        <v>Viatura - Ligeiro Passageiros</v>
      </c>
    </row>
    <row r="92" spans="2:11" x14ac:dyDescent="0.3">
      <c r="B92" s="8">
        <v>204</v>
      </c>
      <c r="C92" s="7" t="s">
        <v>84</v>
      </c>
      <c r="D92" s="8" t="s">
        <v>205</v>
      </c>
      <c r="E92" s="8" t="s">
        <v>268</v>
      </c>
      <c r="F92" s="8"/>
      <c r="H92" s="7">
        <v>18</v>
      </c>
      <c r="K92" s="14" t="str">
        <f>VLOOKUP(E92,'1. TAT (2) - Equip. Lease'!$B$5:$C$33,2,0)</f>
        <v>Equipamento - Construção</v>
      </c>
    </row>
    <row r="93" spans="2:11" x14ac:dyDescent="0.3">
      <c r="B93" s="8">
        <v>205</v>
      </c>
      <c r="C93" s="7" t="s">
        <v>85</v>
      </c>
      <c r="D93" s="8" t="s">
        <v>205</v>
      </c>
      <c r="E93" s="8" t="s">
        <v>274</v>
      </c>
      <c r="F93" s="8"/>
      <c r="H93" s="12">
        <v>0</v>
      </c>
      <c r="K93" s="14" t="str">
        <f>VLOOKUP(E93,'1. TAT (2) - Equip. Lease'!$B$5:$C$33,2,0)</f>
        <v>Equipamento - Escritório</v>
      </c>
    </row>
    <row r="94" spans="2:11" x14ac:dyDescent="0.3">
      <c r="B94" s="8">
        <v>210</v>
      </c>
      <c r="C94" s="7" t="s">
        <v>86</v>
      </c>
      <c r="D94" s="8" t="s">
        <v>206</v>
      </c>
      <c r="E94" s="8" t="s">
        <v>269</v>
      </c>
      <c r="F94" s="8"/>
      <c r="H94" s="7">
        <v>1</v>
      </c>
      <c r="K94" s="14" t="str">
        <f>VLOOKUP(E94,'1. TAT (2) - Equip. Lease'!$B$5:$C$33,2,0)</f>
        <v>Viatura - Construção</v>
      </c>
    </row>
    <row r="95" spans="2:11" x14ac:dyDescent="0.3">
      <c r="B95" s="8">
        <v>211</v>
      </c>
      <c r="C95" s="7" t="s">
        <v>87</v>
      </c>
      <c r="D95" s="8" t="s">
        <v>206</v>
      </c>
      <c r="E95" s="8" t="s">
        <v>269</v>
      </c>
      <c r="F95" s="8"/>
      <c r="H95" s="7">
        <v>3</v>
      </c>
      <c r="K95" s="14" t="str">
        <f>VLOOKUP(E95,'1. TAT (2) - Equip. Lease'!$B$5:$C$33,2,0)</f>
        <v>Viatura - Construção</v>
      </c>
    </row>
    <row r="96" spans="2:11" x14ac:dyDescent="0.3">
      <c r="B96" s="8">
        <v>212</v>
      </c>
      <c r="C96" s="7" t="s">
        <v>88</v>
      </c>
      <c r="D96" s="8" t="s">
        <v>206</v>
      </c>
      <c r="E96" s="8" t="s">
        <v>269</v>
      </c>
      <c r="F96" s="8"/>
      <c r="H96" s="7">
        <v>1</v>
      </c>
      <c r="K96" s="14" t="str">
        <f>VLOOKUP(E96,'1. TAT (2) - Equip. Lease'!$B$5:$C$33,2,0)</f>
        <v>Viatura - Construção</v>
      </c>
    </row>
    <row r="97" spans="2:11" x14ac:dyDescent="0.3">
      <c r="B97" s="8">
        <v>213</v>
      </c>
      <c r="C97" s="7" t="s">
        <v>89</v>
      </c>
      <c r="D97" s="8" t="s">
        <v>206</v>
      </c>
      <c r="E97" s="8" t="s">
        <v>269</v>
      </c>
      <c r="F97" s="8"/>
      <c r="H97" s="12">
        <v>0</v>
      </c>
      <c r="K97" s="14" t="str">
        <f>VLOOKUP(E97,'1. TAT (2) - Equip. Lease'!$B$5:$C$33,2,0)</f>
        <v>Viatura - Construção</v>
      </c>
    </row>
    <row r="98" spans="2:11" x14ac:dyDescent="0.3">
      <c r="B98" s="8">
        <v>214</v>
      </c>
      <c r="C98" s="7" t="s">
        <v>90</v>
      </c>
      <c r="D98" s="8" t="s">
        <v>206</v>
      </c>
      <c r="E98" s="8" t="s">
        <v>269</v>
      </c>
      <c r="F98" s="8"/>
      <c r="H98" s="7">
        <v>1</v>
      </c>
      <c r="K98" s="14" t="str">
        <f>VLOOKUP(E98,'1. TAT (2) - Equip. Lease'!$B$5:$C$33,2,0)</f>
        <v>Viatura - Construção</v>
      </c>
    </row>
    <row r="99" spans="2:11" x14ac:dyDescent="0.3">
      <c r="B99" s="8">
        <v>215</v>
      </c>
      <c r="C99" s="7" t="s">
        <v>91</v>
      </c>
      <c r="D99" s="8" t="s">
        <v>206</v>
      </c>
      <c r="E99" s="8" t="s">
        <v>269</v>
      </c>
      <c r="F99" s="8"/>
      <c r="H99" s="12">
        <v>0</v>
      </c>
      <c r="K99" s="14" t="str">
        <f>VLOOKUP(E99,'1. TAT (2) - Equip. Lease'!$B$5:$C$33,2,0)</f>
        <v>Viatura - Construção</v>
      </c>
    </row>
    <row r="100" spans="2:11" x14ac:dyDescent="0.3">
      <c r="B100" s="8">
        <v>216</v>
      </c>
      <c r="C100" s="7" t="s">
        <v>69</v>
      </c>
      <c r="D100" s="8" t="s">
        <v>206</v>
      </c>
      <c r="E100" s="8" t="s">
        <v>269</v>
      </c>
      <c r="F100" s="8"/>
      <c r="H100" s="12">
        <v>0</v>
      </c>
      <c r="K100" s="14" t="str">
        <f>VLOOKUP(E100,'1. TAT (2) - Equip. Lease'!$B$5:$C$33,2,0)</f>
        <v>Viatura - Construção</v>
      </c>
    </row>
    <row r="101" spans="2:11" x14ac:dyDescent="0.3">
      <c r="B101" s="8">
        <v>217</v>
      </c>
      <c r="C101" s="7" t="s">
        <v>92</v>
      </c>
      <c r="D101" s="8" t="s">
        <v>205</v>
      </c>
      <c r="E101" s="8" t="s">
        <v>265</v>
      </c>
      <c r="F101" s="8"/>
      <c r="H101" s="7">
        <v>5</v>
      </c>
      <c r="K101" s="14" t="str">
        <f>VLOOKUP(E101,'1. TAT (2) - Equip. Lease'!$B$5:$C$33,2,0)</f>
        <v>Equipamento - Indústria</v>
      </c>
    </row>
    <row r="102" spans="2:11" x14ac:dyDescent="0.3">
      <c r="B102" s="8">
        <v>218</v>
      </c>
      <c r="C102" s="7" t="s">
        <v>93</v>
      </c>
      <c r="D102" s="8" t="s">
        <v>205</v>
      </c>
      <c r="E102" s="8" t="s">
        <v>273</v>
      </c>
      <c r="F102" s="8"/>
      <c r="H102" s="12">
        <v>0</v>
      </c>
      <c r="K102" s="14" t="str">
        <f>VLOOKUP(E102,'1. TAT (2) - Equip. Lease'!$B$5:$C$33,2,0)</f>
        <v>Equipamento - Indefinido</v>
      </c>
    </row>
    <row r="103" spans="2:11" x14ac:dyDescent="0.3">
      <c r="B103" s="8">
        <v>219</v>
      </c>
      <c r="C103" s="7" t="s">
        <v>94</v>
      </c>
      <c r="D103" s="8" t="s">
        <v>205</v>
      </c>
      <c r="E103" s="8" t="s">
        <v>276</v>
      </c>
      <c r="F103" s="8"/>
      <c r="H103" s="12">
        <v>0</v>
      </c>
      <c r="K103" s="14" t="str">
        <f>VLOOKUP(E103,'1. TAT (2) - Equip. Lease'!$B$5:$C$33,2,0)</f>
        <v>Equipamento - Transporte</v>
      </c>
    </row>
    <row r="104" spans="2:11" x14ac:dyDescent="0.3">
      <c r="B104" s="8">
        <v>220</v>
      </c>
      <c r="C104" s="7" t="s">
        <v>95</v>
      </c>
      <c r="D104" s="8" t="s">
        <v>206</v>
      </c>
      <c r="E104" s="8" t="s">
        <v>269</v>
      </c>
      <c r="F104" s="8"/>
      <c r="H104" s="12">
        <v>0</v>
      </c>
      <c r="K104" s="14" t="str">
        <f>VLOOKUP(E104,'1. TAT (2) - Equip. Lease'!$B$5:$C$33,2,0)</f>
        <v>Viatura - Construção</v>
      </c>
    </row>
    <row r="105" spans="2:11" x14ac:dyDescent="0.3">
      <c r="B105" s="8">
        <v>221</v>
      </c>
      <c r="C105" s="7" t="s">
        <v>96</v>
      </c>
      <c r="D105" s="8" t="s">
        <v>206</v>
      </c>
      <c r="E105" s="8" t="s">
        <v>269</v>
      </c>
      <c r="F105" s="8"/>
      <c r="H105" s="7">
        <v>1</v>
      </c>
      <c r="K105" s="14" t="str">
        <f>VLOOKUP(E105,'1. TAT (2) - Equip. Lease'!$B$5:$C$33,2,0)</f>
        <v>Viatura - Construção</v>
      </c>
    </row>
    <row r="106" spans="2:11" x14ac:dyDescent="0.3">
      <c r="B106" s="8">
        <v>222</v>
      </c>
      <c r="C106" s="7" t="s">
        <v>97</v>
      </c>
      <c r="D106" s="8" t="s">
        <v>206</v>
      </c>
      <c r="E106" s="8" t="s">
        <v>269</v>
      </c>
      <c r="F106" s="8"/>
      <c r="H106" s="12">
        <v>0</v>
      </c>
      <c r="K106" s="14" t="str">
        <f>VLOOKUP(E106,'1. TAT (2) - Equip. Lease'!$B$5:$C$33,2,0)</f>
        <v>Viatura - Construção</v>
      </c>
    </row>
    <row r="107" spans="2:11" x14ac:dyDescent="0.3">
      <c r="B107" s="8">
        <v>223</v>
      </c>
      <c r="C107" s="7" t="s">
        <v>98</v>
      </c>
      <c r="D107" s="8" t="s">
        <v>206</v>
      </c>
      <c r="E107" s="8" t="s">
        <v>269</v>
      </c>
      <c r="F107" s="8"/>
      <c r="H107" s="7">
        <v>5</v>
      </c>
      <c r="K107" s="14" t="str">
        <f>VLOOKUP(E107,'1. TAT (2) - Equip. Lease'!$B$5:$C$33,2,0)</f>
        <v>Viatura - Construção</v>
      </c>
    </row>
    <row r="108" spans="2:11" x14ac:dyDescent="0.3">
      <c r="B108" s="8">
        <v>224</v>
      </c>
      <c r="C108" s="7" t="s">
        <v>99</v>
      </c>
      <c r="D108" s="8" t="s">
        <v>206</v>
      </c>
      <c r="E108" s="8" t="s">
        <v>269</v>
      </c>
      <c r="F108" s="8"/>
      <c r="H108" s="7">
        <v>2</v>
      </c>
      <c r="K108" s="14" t="str">
        <f>VLOOKUP(E108,'1. TAT (2) - Equip. Lease'!$B$5:$C$33,2,0)</f>
        <v>Viatura - Construção</v>
      </c>
    </row>
    <row r="109" spans="2:11" x14ac:dyDescent="0.3">
      <c r="B109" s="8">
        <v>225</v>
      </c>
      <c r="C109" s="7" t="s">
        <v>100</v>
      </c>
      <c r="D109" s="8" t="s">
        <v>206</v>
      </c>
      <c r="E109" s="8" t="s">
        <v>269</v>
      </c>
      <c r="F109" s="8"/>
      <c r="H109" s="12">
        <v>0</v>
      </c>
      <c r="K109" s="14" t="str">
        <f>VLOOKUP(E109,'1. TAT (2) - Equip. Lease'!$B$5:$C$33,2,0)</f>
        <v>Viatura - Construção</v>
      </c>
    </row>
    <row r="110" spans="2:11" x14ac:dyDescent="0.3">
      <c r="B110" s="8">
        <v>226</v>
      </c>
      <c r="C110" s="7" t="s">
        <v>101</v>
      </c>
      <c r="D110" s="8" t="s">
        <v>206</v>
      </c>
      <c r="E110" s="8" t="s">
        <v>269</v>
      </c>
      <c r="F110" s="8"/>
      <c r="H110" s="12">
        <v>0</v>
      </c>
      <c r="K110" s="14" t="str">
        <f>VLOOKUP(E110,'1. TAT (2) - Equip. Lease'!$B$5:$C$33,2,0)</f>
        <v>Viatura - Construção</v>
      </c>
    </row>
    <row r="111" spans="2:11" x14ac:dyDescent="0.3">
      <c r="B111" s="8">
        <v>227</v>
      </c>
      <c r="C111" s="7" t="s">
        <v>102</v>
      </c>
      <c r="D111" s="11" t="s">
        <v>206</v>
      </c>
      <c r="E111" s="11" t="s">
        <v>263</v>
      </c>
      <c r="F111" s="8"/>
      <c r="H111" s="12">
        <v>0</v>
      </c>
      <c r="K111" s="14" t="str">
        <f>VLOOKUP(E111,'1. TAT (2) - Equip. Lease'!$B$5:$C$33,2,0)</f>
        <v>Viatura - Indefinido</v>
      </c>
    </row>
    <row r="112" spans="2:11" x14ac:dyDescent="0.3">
      <c r="B112" s="8">
        <v>241</v>
      </c>
      <c r="C112" s="7" t="s">
        <v>58</v>
      </c>
      <c r="D112" s="11" t="s">
        <v>206</v>
      </c>
      <c r="E112" s="11" t="s">
        <v>280</v>
      </c>
      <c r="F112" s="8"/>
      <c r="H112" s="12">
        <v>0</v>
      </c>
      <c r="K112" s="14" t="str">
        <f>VLOOKUP(E112,'1. TAT (2) - Equip. Lease'!$B$5:$C$33,2,0)</f>
        <v>Viatura - Ligeiro Passageiros</v>
      </c>
    </row>
    <row r="113" spans="2:11" x14ac:dyDescent="0.3">
      <c r="B113" s="8">
        <v>242</v>
      </c>
      <c r="C113" s="7" t="s">
        <v>103</v>
      </c>
      <c r="D113" s="11" t="s">
        <v>206</v>
      </c>
      <c r="E113" s="11" t="s">
        <v>281</v>
      </c>
      <c r="F113" s="8"/>
      <c r="H113" s="12">
        <v>0</v>
      </c>
      <c r="K113" s="14" t="str">
        <f>VLOOKUP(E113,'1. TAT (2) - Equip. Lease'!$B$5:$C$33,2,0)</f>
        <v>Viatura - Ligeiro Mercadorias</v>
      </c>
    </row>
    <row r="114" spans="2:11" x14ac:dyDescent="0.3">
      <c r="B114" s="8">
        <v>243</v>
      </c>
      <c r="C114" s="7" t="s">
        <v>104</v>
      </c>
      <c r="D114" s="11" t="s">
        <v>206</v>
      </c>
      <c r="E114" s="11" t="s">
        <v>281</v>
      </c>
      <c r="F114" s="8"/>
      <c r="H114" s="12">
        <v>0</v>
      </c>
      <c r="K114" s="14" t="str">
        <f>VLOOKUP(E114,'1. TAT (2) - Equip. Lease'!$B$5:$C$33,2,0)</f>
        <v>Viatura - Ligeiro Mercadorias</v>
      </c>
    </row>
    <row r="115" spans="2:11" x14ac:dyDescent="0.3">
      <c r="B115" s="8">
        <v>244</v>
      </c>
      <c r="C115" s="7" t="s">
        <v>105</v>
      </c>
      <c r="D115" s="11" t="s">
        <v>206</v>
      </c>
      <c r="E115" s="11" t="s">
        <v>281</v>
      </c>
      <c r="F115" s="8"/>
      <c r="H115" s="12">
        <v>0</v>
      </c>
      <c r="K115" s="14" t="str">
        <f>VLOOKUP(E115,'1. TAT (2) - Equip. Lease'!$B$5:$C$33,2,0)</f>
        <v>Viatura - Ligeiro Mercadorias</v>
      </c>
    </row>
    <row r="116" spans="2:11" x14ac:dyDescent="0.3">
      <c r="B116" s="8">
        <v>251</v>
      </c>
      <c r="C116" s="7" t="s">
        <v>58</v>
      </c>
      <c r="D116" s="11" t="s">
        <v>206</v>
      </c>
      <c r="E116" s="11" t="s">
        <v>280</v>
      </c>
      <c r="F116" s="8"/>
      <c r="H116" s="7">
        <v>11292</v>
      </c>
      <c r="K116" s="14" t="str">
        <f>VLOOKUP(E116,'1. TAT (2) - Equip. Lease'!$B$5:$C$33,2,0)</f>
        <v>Viatura - Ligeiro Passageiros</v>
      </c>
    </row>
    <row r="117" spans="2:11" x14ac:dyDescent="0.3">
      <c r="B117" s="8">
        <v>252</v>
      </c>
      <c r="C117" s="7" t="s">
        <v>106</v>
      </c>
      <c r="D117" s="11" t="s">
        <v>206</v>
      </c>
      <c r="E117" s="11" t="s">
        <v>281</v>
      </c>
      <c r="F117" s="8"/>
      <c r="H117" s="7">
        <v>176</v>
      </c>
      <c r="K117" s="14" t="str">
        <f>VLOOKUP(E117,'1. TAT (2) - Equip. Lease'!$B$5:$C$33,2,0)</f>
        <v>Viatura - Ligeiro Mercadorias</v>
      </c>
    </row>
    <row r="118" spans="2:11" x14ac:dyDescent="0.3">
      <c r="B118" s="8">
        <v>253</v>
      </c>
      <c r="C118" s="7" t="s">
        <v>107</v>
      </c>
      <c r="D118" s="11" t="s">
        <v>206</v>
      </c>
      <c r="E118" s="11" t="s">
        <v>281</v>
      </c>
      <c r="F118" s="8"/>
      <c r="H118" s="7">
        <v>1954</v>
      </c>
      <c r="K118" s="14" t="str">
        <f>VLOOKUP(E118,'1. TAT (2) - Equip. Lease'!$B$5:$C$33,2,0)</f>
        <v>Viatura - Ligeiro Mercadorias</v>
      </c>
    </row>
    <row r="119" spans="2:11" x14ac:dyDescent="0.3">
      <c r="B119" s="8">
        <v>254</v>
      </c>
      <c r="C119" s="7" t="s">
        <v>108</v>
      </c>
      <c r="D119" s="11" t="s">
        <v>206</v>
      </c>
      <c r="E119" s="11" t="s">
        <v>281</v>
      </c>
      <c r="F119" s="8"/>
      <c r="H119" s="7">
        <v>1775</v>
      </c>
      <c r="K119" s="14" t="str">
        <f>VLOOKUP(E119,'1. TAT (2) - Equip. Lease'!$B$5:$C$33,2,0)</f>
        <v>Viatura - Ligeiro Mercadorias</v>
      </c>
    </row>
    <row r="120" spans="2:11" x14ac:dyDescent="0.3">
      <c r="B120" s="8">
        <v>255</v>
      </c>
      <c r="C120" s="7" t="s">
        <v>109</v>
      </c>
      <c r="D120" s="11" t="s">
        <v>206</v>
      </c>
      <c r="E120" s="11" t="s">
        <v>280</v>
      </c>
      <c r="F120" s="8"/>
      <c r="H120" s="7">
        <v>64</v>
      </c>
      <c r="K120" s="14" t="str">
        <f>VLOOKUP(E120,'1. TAT (2) - Equip. Lease'!$B$5:$C$33,2,0)</f>
        <v>Viatura - Ligeiro Passageiros</v>
      </c>
    </row>
    <row r="121" spans="2:11" x14ac:dyDescent="0.3">
      <c r="B121" s="8">
        <v>256</v>
      </c>
      <c r="C121" s="7" t="s">
        <v>110</v>
      </c>
      <c r="D121" s="11" t="s">
        <v>206</v>
      </c>
      <c r="E121" s="11" t="s">
        <v>280</v>
      </c>
      <c r="F121" s="8"/>
      <c r="H121" s="7">
        <v>1156</v>
      </c>
      <c r="K121" s="14" t="str">
        <f>VLOOKUP(E121,'1. TAT (2) - Equip. Lease'!$B$5:$C$33,2,0)</f>
        <v>Viatura - Ligeiro Passageiros</v>
      </c>
    </row>
    <row r="122" spans="2:11" x14ac:dyDescent="0.3">
      <c r="B122" s="8">
        <v>257</v>
      </c>
      <c r="C122" s="7" t="s">
        <v>111</v>
      </c>
      <c r="D122" s="11" t="s">
        <v>206</v>
      </c>
      <c r="E122" s="11" t="s">
        <v>280</v>
      </c>
      <c r="F122" s="8"/>
      <c r="H122" s="7">
        <v>513</v>
      </c>
      <c r="K122" s="14" t="str">
        <f>VLOOKUP(E122,'1. TAT (2) - Equip. Lease'!$B$5:$C$33,2,0)</f>
        <v>Viatura - Ligeiro Passageiros</v>
      </c>
    </row>
    <row r="123" spans="2:11" x14ac:dyDescent="0.3">
      <c r="B123" s="8">
        <v>300</v>
      </c>
      <c r="C123" s="7" t="s">
        <v>112</v>
      </c>
      <c r="D123" s="8" t="s">
        <v>205</v>
      </c>
      <c r="E123" s="8" t="s">
        <v>271</v>
      </c>
      <c r="F123" s="8"/>
      <c r="H123" s="7">
        <v>1</v>
      </c>
      <c r="K123" s="14" t="str">
        <f>VLOOKUP(E123,'1. TAT (2) - Equip. Lease'!$B$5:$C$33,2,0)</f>
        <v>Equipamento - Restauracão</v>
      </c>
    </row>
    <row r="124" spans="2:11" x14ac:dyDescent="0.3">
      <c r="B124" s="8">
        <v>305</v>
      </c>
      <c r="C124" s="7" t="s">
        <v>113</v>
      </c>
      <c r="D124" s="8" t="s">
        <v>205</v>
      </c>
      <c r="E124" s="8" t="s">
        <v>270</v>
      </c>
      <c r="F124" s="8"/>
      <c r="H124" s="12">
        <v>0</v>
      </c>
      <c r="K124" s="14" t="str">
        <f>VLOOKUP(E124,'1. TAT (2) - Equip. Lease'!$B$5:$C$33,2,0)</f>
        <v>Equipamento - Comércio</v>
      </c>
    </row>
    <row r="125" spans="2:11" x14ac:dyDescent="0.3">
      <c r="B125" s="8">
        <v>310</v>
      </c>
      <c r="C125" s="7" t="s">
        <v>114</v>
      </c>
      <c r="D125" s="8" t="s">
        <v>205</v>
      </c>
      <c r="E125" s="8" t="s">
        <v>270</v>
      </c>
      <c r="F125" s="8"/>
      <c r="H125" s="12">
        <v>0</v>
      </c>
      <c r="K125" s="14" t="str">
        <f>VLOOKUP(E125,'1. TAT (2) - Equip. Lease'!$B$5:$C$33,2,0)</f>
        <v>Equipamento - Comércio</v>
      </c>
    </row>
    <row r="126" spans="2:11" x14ac:dyDescent="0.3">
      <c r="B126" s="8">
        <v>315</v>
      </c>
      <c r="C126" s="7" t="s">
        <v>115</v>
      </c>
      <c r="D126" s="8" t="s">
        <v>205</v>
      </c>
      <c r="E126" s="8" t="s">
        <v>273</v>
      </c>
      <c r="F126" s="8"/>
      <c r="H126" s="12">
        <v>0</v>
      </c>
      <c r="K126" s="14" t="str">
        <f>VLOOKUP(E126,'1. TAT (2) - Equip. Lease'!$B$5:$C$33,2,0)</f>
        <v>Equipamento - Indefinido</v>
      </c>
    </row>
    <row r="127" spans="2:11" x14ac:dyDescent="0.3">
      <c r="B127" s="8">
        <v>320</v>
      </c>
      <c r="C127" s="7" t="s">
        <v>116</v>
      </c>
      <c r="D127" s="8" t="s">
        <v>205</v>
      </c>
      <c r="E127" s="8" t="s">
        <v>273</v>
      </c>
      <c r="F127" s="8"/>
      <c r="H127" s="12">
        <v>0</v>
      </c>
      <c r="K127" s="14" t="str">
        <f>VLOOKUP(E127,'1. TAT (2) - Equip. Lease'!$B$5:$C$33,2,0)</f>
        <v>Equipamento - Indefinido</v>
      </c>
    </row>
    <row r="128" spans="2:11" x14ac:dyDescent="0.3">
      <c r="B128" s="8">
        <v>325</v>
      </c>
      <c r="C128" s="7" t="s">
        <v>29</v>
      </c>
      <c r="D128" s="8" t="s">
        <v>205</v>
      </c>
      <c r="E128" s="8" t="s">
        <v>273</v>
      </c>
      <c r="F128" s="8"/>
      <c r="H128" s="12">
        <v>0</v>
      </c>
      <c r="K128" s="14" t="str">
        <f>VLOOKUP(E128,'1. TAT (2) - Equip. Lease'!$B$5:$C$33,2,0)</f>
        <v>Equipamento - Indefinido</v>
      </c>
    </row>
    <row r="129" spans="2:11" x14ac:dyDescent="0.3">
      <c r="B129" s="8">
        <v>330</v>
      </c>
      <c r="C129" s="7" t="s">
        <v>117</v>
      </c>
      <c r="D129" s="8" t="s">
        <v>205</v>
      </c>
      <c r="E129" s="8" t="s">
        <v>286</v>
      </c>
      <c r="F129" s="8"/>
      <c r="H129" s="12">
        <v>0</v>
      </c>
      <c r="K129" s="14" t="str">
        <f>VLOOKUP(E129,'1. TAT (2) - Equip. Lease'!$B$5:$C$33,2,0)</f>
        <v>Equipamento - Lazer</v>
      </c>
    </row>
    <row r="130" spans="2:11" x14ac:dyDescent="0.3">
      <c r="B130" s="8">
        <v>335</v>
      </c>
      <c r="C130" s="7" t="s">
        <v>118</v>
      </c>
      <c r="D130" s="8" t="s">
        <v>205</v>
      </c>
      <c r="E130" s="8" t="s">
        <v>286</v>
      </c>
      <c r="F130" s="8"/>
      <c r="H130" s="12">
        <v>0</v>
      </c>
      <c r="K130" s="14" t="str">
        <f>VLOOKUP(E130,'1. TAT (2) - Equip. Lease'!$B$5:$C$33,2,0)</f>
        <v>Equipamento - Lazer</v>
      </c>
    </row>
    <row r="131" spans="2:11" x14ac:dyDescent="0.3">
      <c r="B131" s="8">
        <v>340</v>
      </c>
      <c r="C131" s="7" t="s">
        <v>119</v>
      </c>
      <c r="D131" s="8" t="s">
        <v>205</v>
      </c>
      <c r="E131" s="8" t="s">
        <v>270</v>
      </c>
      <c r="F131" s="8"/>
      <c r="H131" s="12">
        <v>0</v>
      </c>
      <c r="K131" s="14" t="str">
        <f>VLOOKUP(E131,'1. TAT (2) - Equip. Lease'!$B$5:$C$33,2,0)</f>
        <v>Equipamento - Comércio</v>
      </c>
    </row>
    <row r="132" spans="2:11" x14ac:dyDescent="0.3">
      <c r="B132" s="8">
        <v>345</v>
      </c>
      <c r="C132" s="7" t="s">
        <v>120</v>
      </c>
      <c r="D132" s="8" t="s">
        <v>205</v>
      </c>
      <c r="E132" s="8" t="s">
        <v>270</v>
      </c>
      <c r="F132" s="8"/>
      <c r="H132" s="12">
        <v>0</v>
      </c>
      <c r="K132" s="14" t="str">
        <f>VLOOKUP(E132,'1. TAT (2) - Equip. Lease'!$B$5:$C$33,2,0)</f>
        <v>Equipamento - Comércio</v>
      </c>
    </row>
    <row r="133" spans="2:11" x14ac:dyDescent="0.3">
      <c r="B133" s="8">
        <v>350</v>
      </c>
      <c r="C133" s="7" t="s">
        <v>121</v>
      </c>
      <c r="D133" s="8" t="s">
        <v>205</v>
      </c>
      <c r="E133" s="8" t="s">
        <v>270</v>
      </c>
      <c r="F133" s="8"/>
      <c r="H133" s="12">
        <v>0</v>
      </c>
      <c r="K133" s="14" t="str">
        <f>VLOOKUP(E133,'1. TAT (2) - Equip. Lease'!$B$5:$C$33,2,0)</f>
        <v>Equipamento - Comércio</v>
      </c>
    </row>
    <row r="134" spans="2:11" x14ac:dyDescent="0.3">
      <c r="B134" s="8">
        <v>355</v>
      </c>
      <c r="C134" s="7" t="s">
        <v>122</v>
      </c>
      <c r="D134" s="8" t="s">
        <v>205</v>
      </c>
      <c r="E134" s="8" t="s">
        <v>270</v>
      </c>
      <c r="F134" s="8"/>
      <c r="H134" s="12">
        <v>0</v>
      </c>
      <c r="K134" s="14" t="str">
        <f>VLOOKUP(E134,'1. TAT (2) - Equip. Lease'!$B$5:$C$33,2,0)</f>
        <v>Equipamento - Comércio</v>
      </c>
    </row>
    <row r="135" spans="2:11" x14ac:dyDescent="0.3">
      <c r="B135" s="8">
        <v>360</v>
      </c>
      <c r="C135" s="7" t="s">
        <v>123</v>
      </c>
      <c r="D135" s="8" t="s">
        <v>205</v>
      </c>
      <c r="E135" s="8" t="s">
        <v>276</v>
      </c>
      <c r="F135" s="8"/>
      <c r="H135" s="7">
        <v>33</v>
      </c>
      <c r="K135" s="14" t="str">
        <f>VLOOKUP(E135,'1. TAT (2) - Equip. Lease'!$B$5:$C$33,2,0)</f>
        <v>Equipamento - Transporte</v>
      </c>
    </row>
    <row r="136" spans="2:11" x14ac:dyDescent="0.3">
      <c r="B136" s="8">
        <v>365</v>
      </c>
      <c r="C136" s="7" t="s">
        <v>29</v>
      </c>
      <c r="D136" s="8" t="s">
        <v>205</v>
      </c>
      <c r="E136" s="8" t="s">
        <v>273</v>
      </c>
      <c r="F136" s="8"/>
      <c r="H136" s="12">
        <v>0</v>
      </c>
      <c r="K136" s="14" t="str">
        <f>VLOOKUP(E136,'1. TAT (2) - Equip. Lease'!$B$5:$C$33,2,0)</f>
        <v>Equipamento - Indefinido</v>
      </c>
    </row>
    <row r="137" spans="2:11" x14ac:dyDescent="0.3">
      <c r="B137" s="8">
        <v>370</v>
      </c>
      <c r="C137" s="7" t="s">
        <v>124</v>
      </c>
      <c r="D137" s="8" t="s">
        <v>205</v>
      </c>
      <c r="E137" s="8" t="s">
        <v>271</v>
      </c>
      <c r="F137" s="8"/>
      <c r="H137" s="7">
        <v>1</v>
      </c>
      <c r="K137" s="14" t="str">
        <f>VLOOKUP(E137,'1. TAT (2) - Equip. Lease'!$B$5:$C$33,2,0)</f>
        <v>Equipamento - Restauracão</v>
      </c>
    </row>
    <row r="138" spans="2:11" x14ac:dyDescent="0.3">
      <c r="B138" s="8">
        <v>375</v>
      </c>
      <c r="C138" s="7" t="s">
        <v>125</v>
      </c>
      <c r="D138" s="8" t="s">
        <v>205</v>
      </c>
      <c r="E138" s="8" t="s">
        <v>271</v>
      </c>
      <c r="F138" s="8"/>
      <c r="H138" s="12">
        <v>0</v>
      </c>
      <c r="K138" s="14" t="str">
        <f>VLOOKUP(E138,'1. TAT (2) - Equip. Lease'!$B$5:$C$33,2,0)</f>
        <v>Equipamento - Restauracão</v>
      </c>
    </row>
    <row r="139" spans="2:11" x14ac:dyDescent="0.3">
      <c r="B139" s="8">
        <v>380</v>
      </c>
      <c r="C139" s="7" t="s">
        <v>126</v>
      </c>
      <c r="D139" s="8" t="s">
        <v>205</v>
      </c>
      <c r="E139" s="8" t="s">
        <v>270</v>
      </c>
      <c r="F139" s="8"/>
      <c r="H139" s="12">
        <v>0</v>
      </c>
      <c r="K139" s="14" t="str">
        <f>VLOOKUP(E139,'1. TAT (2) - Equip. Lease'!$B$5:$C$33,2,0)</f>
        <v>Equipamento - Comércio</v>
      </c>
    </row>
    <row r="140" spans="2:11" x14ac:dyDescent="0.3">
      <c r="B140" s="8">
        <v>385</v>
      </c>
      <c r="C140" s="7" t="s">
        <v>127</v>
      </c>
      <c r="D140" s="8" t="s">
        <v>205</v>
      </c>
      <c r="E140" s="8" t="s">
        <v>273</v>
      </c>
      <c r="F140" s="8"/>
      <c r="H140" s="12">
        <v>0</v>
      </c>
      <c r="K140" s="14" t="str">
        <f>VLOOKUP(E140,'1. TAT (2) - Equip. Lease'!$B$5:$C$33,2,0)</f>
        <v>Equipamento - Indefinido</v>
      </c>
    </row>
    <row r="141" spans="2:11" x14ac:dyDescent="0.3">
      <c r="B141" s="8">
        <v>390</v>
      </c>
      <c r="C141" s="7" t="s">
        <v>128</v>
      </c>
      <c r="D141" s="8" t="s">
        <v>205</v>
      </c>
      <c r="E141" s="8" t="s">
        <v>273</v>
      </c>
      <c r="F141" s="8"/>
      <c r="H141" s="12">
        <v>0</v>
      </c>
      <c r="K141" s="14" t="str">
        <f>VLOOKUP(E141,'1. TAT (2) - Equip. Lease'!$B$5:$C$33,2,0)</f>
        <v>Equipamento - Indefinido</v>
      </c>
    </row>
    <row r="142" spans="2:11" x14ac:dyDescent="0.3">
      <c r="B142" s="8">
        <v>391</v>
      </c>
      <c r="C142" s="7" t="s">
        <v>129</v>
      </c>
      <c r="D142" s="8" t="s">
        <v>205</v>
      </c>
      <c r="E142" s="8" t="s">
        <v>273</v>
      </c>
      <c r="F142" s="8"/>
      <c r="H142" s="12">
        <v>0</v>
      </c>
      <c r="K142" s="14" t="str">
        <f>VLOOKUP(E142,'1. TAT (2) - Equip. Lease'!$B$5:$C$33,2,0)</f>
        <v>Equipamento - Indefinido</v>
      </c>
    </row>
    <row r="143" spans="2:11" x14ac:dyDescent="0.3">
      <c r="B143" s="8">
        <v>395</v>
      </c>
      <c r="C143" s="7" t="s">
        <v>130</v>
      </c>
      <c r="D143" s="8" t="s">
        <v>205</v>
      </c>
      <c r="E143" s="8" t="s">
        <v>274</v>
      </c>
      <c r="F143" s="8"/>
      <c r="H143" s="7">
        <v>1</v>
      </c>
      <c r="K143" s="14" t="str">
        <f>VLOOKUP(E143,'1. TAT (2) - Equip. Lease'!$B$5:$C$33,2,0)</f>
        <v>Equipamento - Escritório</v>
      </c>
    </row>
    <row r="144" spans="2:11" x14ac:dyDescent="0.3">
      <c r="B144" s="8">
        <v>400</v>
      </c>
      <c r="C144" s="7" t="s">
        <v>131</v>
      </c>
      <c r="D144" s="8" t="s">
        <v>205</v>
      </c>
      <c r="E144" s="8" t="s">
        <v>273</v>
      </c>
      <c r="F144" s="8"/>
      <c r="H144" s="7">
        <v>7</v>
      </c>
      <c r="K144" s="14" t="str">
        <f>VLOOKUP(E144,'1. TAT (2) - Equip. Lease'!$B$5:$C$33,2,0)</f>
        <v>Equipamento - Indefinido</v>
      </c>
    </row>
    <row r="145" spans="2:11" x14ac:dyDescent="0.3">
      <c r="B145" s="8">
        <v>405</v>
      </c>
      <c r="C145" s="7" t="s">
        <v>132</v>
      </c>
      <c r="D145" s="8" t="s">
        <v>205</v>
      </c>
      <c r="E145" s="8" t="s">
        <v>265</v>
      </c>
      <c r="F145" s="8"/>
      <c r="H145" s="7">
        <v>10</v>
      </c>
      <c r="K145" s="14" t="str">
        <f>VLOOKUP(E145,'1. TAT (2) - Equip. Lease'!$B$5:$C$33,2,0)</f>
        <v>Equipamento - Indústria</v>
      </c>
    </row>
    <row r="146" spans="2:11" x14ac:dyDescent="0.3">
      <c r="B146" s="8">
        <v>410</v>
      </c>
      <c r="C146" s="7" t="s">
        <v>133</v>
      </c>
      <c r="D146" s="8" t="s">
        <v>205</v>
      </c>
      <c r="E146" s="8" t="s">
        <v>287</v>
      </c>
      <c r="F146" s="8"/>
      <c r="H146" s="7">
        <v>59</v>
      </c>
      <c r="K146" s="14" t="str">
        <f>VLOOKUP(E146,'1. TAT (2) - Equip. Lease'!$B$5:$C$33,2,0)</f>
        <v>Equipamento - Energia Solar</v>
      </c>
    </row>
    <row r="147" spans="2:11" x14ac:dyDescent="0.3">
      <c r="B147" s="8">
        <v>415</v>
      </c>
      <c r="C147" s="7" t="s">
        <v>134</v>
      </c>
      <c r="D147" s="8" t="s">
        <v>205</v>
      </c>
      <c r="E147" s="8" t="s">
        <v>288</v>
      </c>
      <c r="F147" s="8"/>
      <c r="H147" s="12">
        <v>0</v>
      </c>
      <c r="K147" s="14" t="str">
        <f>VLOOKUP(E147,'1. TAT (2) - Equip. Lease'!$B$5:$C$33,2,0)</f>
        <v>Equipamento - Energia Éolica</v>
      </c>
    </row>
    <row r="148" spans="2:11" x14ac:dyDescent="0.3">
      <c r="B148" s="8">
        <v>420</v>
      </c>
      <c r="C148" s="7" t="s">
        <v>135</v>
      </c>
      <c r="D148" s="8" t="s">
        <v>205</v>
      </c>
      <c r="E148" s="8" t="s">
        <v>289</v>
      </c>
      <c r="F148" s="8"/>
      <c r="H148" s="12">
        <v>0</v>
      </c>
      <c r="K148" s="14" t="str">
        <f>VLOOKUP(E148,'1. TAT (2) - Equip. Lease'!$B$5:$C$33,2,0)</f>
        <v>Equipamento - Out. Energias Renováveis</v>
      </c>
    </row>
    <row r="149" spans="2:11" x14ac:dyDescent="0.3">
      <c r="B149" s="8">
        <v>500</v>
      </c>
      <c r="C149" s="7" t="s">
        <v>136</v>
      </c>
      <c r="D149" s="8" t="s">
        <v>205</v>
      </c>
      <c r="E149" s="8" t="s">
        <v>274</v>
      </c>
      <c r="F149" s="8"/>
      <c r="H149" s="12">
        <v>0</v>
      </c>
      <c r="K149" s="14" t="str">
        <f>VLOOKUP(E149,'1. TAT (2) - Equip. Lease'!$B$5:$C$33,2,0)</f>
        <v>Equipamento - Escritório</v>
      </c>
    </row>
    <row r="150" spans="2:11" x14ac:dyDescent="0.3">
      <c r="B150" s="8">
        <v>505</v>
      </c>
      <c r="C150" s="7" t="s">
        <v>136</v>
      </c>
      <c r="D150" s="8" t="s">
        <v>205</v>
      </c>
      <c r="E150" s="8" t="s">
        <v>274</v>
      </c>
      <c r="F150" s="8"/>
      <c r="H150" s="12">
        <v>0</v>
      </c>
      <c r="K150" s="14" t="str">
        <f>VLOOKUP(E150,'1. TAT (2) - Equip. Lease'!$B$5:$C$33,2,0)</f>
        <v>Equipamento - Escritório</v>
      </c>
    </row>
    <row r="151" spans="2:11" x14ac:dyDescent="0.3">
      <c r="B151" s="8">
        <v>510</v>
      </c>
      <c r="C151" s="7" t="s">
        <v>137</v>
      </c>
      <c r="D151" s="8" t="s">
        <v>205</v>
      </c>
      <c r="E151" s="8" t="s">
        <v>274</v>
      </c>
      <c r="F151" s="8"/>
      <c r="H151" s="12">
        <v>0</v>
      </c>
      <c r="K151" s="14" t="str">
        <f>VLOOKUP(E151,'1. TAT (2) - Equip. Lease'!$B$5:$C$33,2,0)</f>
        <v>Equipamento - Escritório</v>
      </c>
    </row>
    <row r="152" spans="2:11" x14ac:dyDescent="0.3">
      <c r="B152" s="8">
        <v>515</v>
      </c>
      <c r="C152" s="7" t="s">
        <v>138</v>
      </c>
      <c r="D152" s="8" t="s">
        <v>205</v>
      </c>
      <c r="E152" s="8" t="s">
        <v>274</v>
      </c>
      <c r="F152" s="8"/>
      <c r="H152" s="12">
        <v>0</v>
      </c>
      <c r="K152" s="14" t="str">
        <f>VLOOKUP(E152,'1. TAT (2) - Equip. Lease'!$B$5:$C$33,2,0)</f>
        <v>Equipamento - Escritório</v>
      </c>
    </row>
    <row r="153" spans="2:11" x14ac:dyDescent="0.3">
      <c r="B153" s="8">
        <v>520</v>
      </c>
      <c r="C153" s="7" t="s">
        <v>138</v>
      </c>
      <c r="D153" s="8" t="s">
        <v>205</v>
      </c>
      <c r="E153" s="8" t="s">
        <v>274</v>
      </c>
      <c r="F153" s="8"/>
      <c r="H153" s="12">
        <v>0</v>
      </c>
      <c r="K153" s="14" t="str">
        <f>VLOOKUP(E153,'1. TAT (2) - Equip. Lease'!$B$5:$C$33,2,0)</f>
        <v>Equipamento - Escritório</v>
      </c>
    </row>
    <row r="154" spans="2:11" x14ac:dyDescent="0.3">
      <c r="B154" s="8">
        <v>525</v>
      </c>
      <c r="C154" s="7" t="s">
        <v>138</v>
      </c>
      <c r="D154" s="8" t="s">
        <v>205</v>
      </c>
      <c r="E154" s="8" t="s">
        <v>274</v>
      </c>
      <c r="F154" s="8"/>
      <c r="H154" s="12">
        <v>0</v>
      </c>
      <c r="K154" s="14" t="str">
        <f>VLOOKUP(E154,'1. TAT (2) - Equip. Lease'!$B$5:$C$33,2,0)</f>
        <v>Equipamento - Escritório</v>
      </c>
    </row>
    <row r="155" spans="2:11" x14ac:dyDescent="0.3">
      <c r="B155" s="8">
        <v>530</v>
      </c>
      <c r="C155" s="7" t="s">
        <v>139</v>
      </c>
      <c r="D155" s="8" t="s">
        <v>205</v>
      </c>
      <c r="E155" s="8" t="s">
        <v>274</v>
      </c>
      <c r="F155" s="8"/>
      <c r="H155" s="7">
        <v>1</v>
      </c>
      <c r="K155" s="14" t="str">
        <f>VLOOKUP(E155,'1. TAT (2) - Equip. Lease'!$B$5:$C$33,2,0)</f>
        <v>Equipamento - Escritório</v>
      </c>
    </row>
    <row r="156" spans="2:11" x14ac:dyDescent="0.3">
      <c r="B156" s="8">
        <v>535</v>
      </c>
      <c r="C156" s="7" t="s">
        <v>139</v>
      </c>
      <c r="D156" s="8" t="s">
        <v>205</v>
      </c>
      <c r="E156" s="8" t="s">
        <v>274</v>
      </c>
      <c r="F156" s="8"/>
      <c r="H156" s="12">
        <v>0</v>
      </c>
      <c r="K156" s="14" t="str">
        <f>VLOOKUP(E156,'1. TAT (2) - Equip. Lease'!$B$5:$C$33,2,0)</f>
        <v>Equipamento - Escritório</v>
      </c>
    </row>
    <row r="157" spans="2:11" x14ac:dyDescent="0.3">
      <c r="B157" s="8">
        <v>540</v>
      </c>
      <c r="C157" s="7" t="s">
        <v>140</v>
      </c>
      <c r="D157" s="8" t="s">
        <v>205</v>
      </c>
      <c r="E157" s="8" t="s">
        <v>274</v>
      </c>
      <c r="F157" s="8"/>
      <c r="H157" s="12">
        <v>0</v>
      </c>
      <c r="K157" s="14" t="str">
        <f>VLOOKUP(E157,'1. TAT (2) - Equip. Lease'!$B$5:$C$33,2,0)</f>
        <v>Equipamento - Escritório</v>
      </c>
    </row>
    <row r="158" spans="2:11" x14ac:dyDescent="0.3">
      <c r="B158" s="8">
        <v>545</v>
      </c>
      <c r="C158" s="7" t="s">
        <v>140</v>
      </c>
      <c r="D158" s="8" t="s">
        <v>205</v>
      </c>
      <c r="E158" s="8" t="s">
        <v>274</v>
      </c>
      <c r="F158" s="8"/>
      <c r="H158" s="12">
        <v>0</v>
      </c>
      <c r="K158" s="14" t="str">
        <f>VLOOKUP(E158,'1. TAT (2) - Equip. Lease'!$B$5:$C$33,2,0)</f>
        <v>Equipamento - Escritório</v>
      </c>
    </row>
    <row r="159" spans="2:11" x14ac:dyDescent="0.3">
      <c r="B159" s="8">
        <v>550</v>
      </c>
      <c r="C159" s="7" t="s">
        <v>140</v>
      </c>
      <c r="D159" s="8" t="s">
        <v>205</v>
      </c>
      <c r="E159" s="8" t="s">
        <v>274</v>
      </c>
      <c r="F159" s="8"/>
      <c r="H159" s="12">
        <v>0</v>
      </c>
      <c r="K159" s="14" t="str">
        <f>VLOOKUP(E159,'1. TAT (2) - Equip. Lease'!$B$5:$C$33,2,0)</f>
        <v>Equipamento - Escritório</v>
      </c>
    </row>
    <row r="160" spans="2:11" x14ac:dyDescent="0.3">
      <c r="B160" s="8">
        <v>555</v>
      </c>
      <c r="C160" s="7" t="s">
        <v>140</v>
      </c>
      <c r="D160" s="8" t="s">
        <v>205</v>
      </c>
      <c r="E160" s="8" t="s">
        <v>274</v>
      </c>
      <c r="F160" s="8"/>
      <c r="H160" s="12">
        <v>0</v>
      </c>
      <c r="K160" s="14" t="str">
        <f>VLOOKUP(E160,'1. TAT (2) - Equip. Lease'!$B$5:$C$33,2,0)</f>
        <v>Equipamento - Escritório</v>
      </c>
    </row>
    <row r="161" spans="2:11" x14ac:dyDescent="0.3">
      <c r="B161" s="8">
        <v>560</v>
      </c>
      <c r="C161" s="7" t="s">
        <v>140</v>
      </c>
      <c r="D161" s="8" t="s">
        <v>205</v>
      </c>
      <c r="E161" s="8" t="s">
        <v>274</v>
      </c>
      <c r="F161" s="8"/>
      <c r="H161" s="12">
        <v>0</v>
      </c>
      <c r="K161" s="14" t="str">
        <f>VLOOKUP(E161,'1. TAT (2) - Equip. Lease'!$B$5:$C$33,2,0)</f>
        <v>Equipamento - Escritório</v>
      </c>
    </row>
    <row r="162" spans="2:11" x14ac:dyDescent="0.3">
      <c r="B162" s="8">
        <v>565</v>
      </c>
      <c r="C162" s="7" t="s">
        <v>140</v>
      </c>
      <c r="D162" s="8" t="s">
        <v>205</v>
      </c>
      <c r="E162" s="8" t="s">
        <v>274</v>
      </c>
      <c r="F162" s="8"/>
      <c r="H162" s="12">
        <v>0</v>
      </c>
      <c r="K162" s="14" t="str">
        <f>VLOOKUP(E162,'1. TAT (2) - Equip. Lease'!$B$5:$C$33,2,0)</f>
        <v>Equipamento - Escritório</v>
      </c>
    </row>
    <row r="163" spans="2:11" x14ac:dyDescent="0.3">
      <c r="B163" s="8">
        <v>570</v>
      </c>
      <c r="C163" s="7" t="s">
        <v>140</v>
      </c>
      <c r="D163" s="8" t="s">
        <v>205</v>
      </c>
      <c r="E163" s="8" t="s">
        <v>274</v>
      </c>
      <c r="F163" s="8"/>
      <c r="H163" s="12">
        <v>0</v>
      </c>
      <c r="K163" s="14" t="str">
        <f>VLOOKUP(E163,'1. TAT (2) - Equip. Lease'!$B$5:$C$33,2,0)</f>
        <v>Equipamento - Escritório</v>
      </c>
    </row>
    <row r="164" spans="2:11" x14ac:dyDescent="0.3">
      <c r="B164" s="8">
        <v>600</v>
      </c>
      <c r="C164" s="7" t="s">
        <v>141</v>
      </c>
      <c r="D164" s="8" t="s">
        <v>205</v>
      </c>
      <c r="E164" s="8" t="s">
        <v>274</v>
      </c>
      <c r="F164" s="8"/>
      <c r="H164" s="12">
        <v>0</v>
      </c>
      <c r="K164" s="14" t="str">
        <f>VLOOKUP(E164,'1. TAT (2) - Equip. Lease'!$B$5:$C$33,2,0)</f>
        <v>Equipamento - Escritório</v>
      </c>
    </row>
    <row r="165" spans="2:11" x14ac:dyDescent="0.3">
      <c r="B165" s="8">
        <v>601</v>
      </c>
      <c r="C165" s="7" t="s">
        <v>142</v>
      </c>
      <c r="D165" s="8" t="s">
        <v>205</v>
      </c>
      <c r="E165" s="8" t="s">
        <v>274</v>
      </c>
      <c r="F165" s="8"/>
      <c r="H165" s="12">
        <v>0</v>
      </c>
      <c r="K165" s="14" t="str">
        <f>VLOOKUP(E165,'1. TAT (2) - Equip. Lease'!$B$5:$C$33,2,0)</f>
        <v>Equipamento - Escritório</v>
      </c>
    </row>
    <row r="166" spans="2:11" x14ac:dyDescent="0.3">
      <c r="B166" s="8">
        <v>602</v>
      </c>
      <c r="C166" s="7" t="s">
        <v>143</v>
      </c>
      <c r="D166" s="8" t="s">
        <v>205</v>
      </c>
      <c r="E166" s="8" t="s">
        <v>274</v>
      </c>
      <c r="F166" s="8"/>
      <c r="H166" s="12">
        <v>0</v>
      </c>
      <c r="K166" s="14" t="str">
        <f>VLOOKUP(E166,'1. TAT (2) - Equip. Lease'!$B$5:$C$33,2,0)</f>
        <v>Equipamento - Escritório</v>
      </c>
    </row>
    <row r="167" spans="2:11" x14ac:dyDescent="0.3">
      <c r="B167" s="8">
        <v>603</v>
      </c>
      <c r="C167" s="7" t="s">
        <v>144</v>
      </c>
      <c r="D167" s="8" t="s">
        <v>205</v>
      </c>
      <c r="E167" s="8" t="s">
        <v>274</v>
      </c>
      <c r="F167" s="8"/>
      <c r="H167" s="12">
        <v>0</v>
      </c>
      <c r="K167" s="14" t="str">
        <f>VLOOKUP(E167,'1. TAT (2) - Equip. Lease'!$B$5:$C$33,2,0)</f>
        <v>Equipamento - Escritório</v>
      </c>
    </row>
    <row r="168" spans="2:11" x14ac:dyDescent="0.3">
      <c r="B168" s="8">
        <v>604</v>
      </c>
      <c r="C168" s="7" t="s">
        <v>145</v>
      </c>
      <c r="D168" s="8" t="s">
        <v>205</v>
      </c>
      <c r="E168" s="8" t="s">
        <v>274</v>
      </c>
      <c r="F168" s="8"/>
      <c r="H168" s="12">
        <v>0</v>
      </c>
      <c r="K168" s="14" t="str">
        <f>VLOOKUP(E168,'1. TAT (2) - Equip. Lease'!$B$5:$C$33,2,0)</f>
        <v>Equipamento - Escritório</v>
      </c>
    </row>
    <row r="169" spans="2:11" x14ac:dyDescent="0.3">
      <c r="B169" s="8">
        <v>605</v>
      </c>
      <c r="C169" s="7" t="s">
        <v>146</v>
      </c>
      <c r="D169" s="8" t="s">
        <v>205</v>
      </c>
      <c r="E169" s="8" t="s">
        <v>274</v>
      </c>
      <c r="F169" s="8"/>
      <c r="H169" s="12">
        <v>0</v>
      </c>
      <c r="K169" s="14" t="str">
        <f>VLOOKUP(E169,'1. TAT (2) - Equip. Lease'!$B$5:$C$33,2,0)</f>
        <v>Equipamento - Escritório</v>
      </c>
    </row>
    <row r="170" spans="2:11" x14ac:dyDescent="0.3">
      <c r="B170" s="8">
        <v>606</v>
      </c>
      <c r="C170" s="7" t="s">
        <v>147</v>
      </c>
      <c r="D170" s="8" t="s">
        <v>205</v>
      </c>
      <c r="E170" s="8" t="s">
        <v>274</v>
      </c>
      <c r="F170" s="8"/>
      <c r="H170" s="12">
        <v>0</v>
      </c>
      <c r="K170" s="14" t="str">
        <f>VLOOKUP(E170,'1. TAT (2) - Equip. Lease'!$B$5:$C$33,2,0)</f>
        <v>Equipamento - Escritório</v>
      </c>
    </row>
    <row r="171" spans="2:11" x14ac:dyDescent="0.3">
      <c r="B171" s="8">
        <v>607</v>
      </c>
      <c r="C171" s="7" t="s">
        <v>148</v>
      </c>
      <c r="D171" s="8" t="s">
        <v>205</v>
      </c>
      <c r="E171" s="8" t="s">
        <v>274</v>
      </c>
      <c r="F171" s="8"/>
      <c r="H171" s="12">
        <v>0</v>
      </c>
      <c r="K171" s="14" t="str">
        <f>VLOOKUP(E171,'1. TAT (2) - Equip. Lease'!$B$5:$C$33,2,0)</f>
        <v>Equipamento - Escritório</v>
      </c>
    </row>
    <row r="172" spans="2:11" x14ac:dyDescent="0.3">
      <c r="B172" s="8">
        <v>608</v>
      </c>
      <c r="C172" s="7" t="s">
        <v>149</v>
      </c>
      <c r="D172" s="8" t="s">
        <v>205</v>
      </c>
      <c r="E172" s="8" t="s">
        <v>274</v>
      </c>
      <c r="F172" s="8"/>
      <c r="H172" s="12">
        <v>0</v>
      </c>
      <c r="K172" s="14" t="str">
        <f>VLOOKUP(E172,'1. TAT (2) - Equip. Lease'!$B$5:$C$33,2,0)</f>
        <v>Equipamento - Escritório</v>
      </c>
    </row>
    <row r="173" spans="2:11" x14ac:dyDescent="0.3">
      <c r="B173" s="8">
        <v>609</v>
      </c>
      <c r="C173" s="7" t="s">
        <v>150</v>
      </c>
      <c r="D173" s="8" t="s">
        <v>205</v>
      </c>
      <c r="E173" s="8" t="s">
        <v>274</v>
      </c>
      <c r="F173" s="8"/>
      <c r="H173" s="12">
        <v>0</v>
      </c>
      <c r="K173" s="14" t="str">
        <f>VLOOKUP(E173,'1. TAT (2) - Equip. Lease'!$B$5:$C$33,2,0)</f>
        <v>Equipamento - Escritório</v>
      </c>
    </row>
    <row r="174" spans="2:11" x14ac:dyDescent="0.3">
      <c r="B174" s="8">
        <v>610</v>
      </c>
      <c r="C174" s="7" t="s">
        <v>151</v>
      </c>
      <c r="D174" s="8" t="s">
        <v>205</v>
      </c>
      <c r="E174" s="8" t="s">
        <v>274</v>
      </c>
      <c r="F174" s="8"/>
      <c r="H174" s="12">
        <v>0</v>
      </c>
      <c r="K174" s="14" t="str">
        <f>VLOOKUP(E174,'1. TAT (2) - Equip. Lease'!$B$5:$C$33,2,0)</f>
        <v>Equipamento - Escritório</v>
      </c>
    </row>
    <row r="175" spans="2:11" x14ac:dyDescent="0.3">
      <c r="B175" s="8">
        <v>611</v>
      </c>
      <c r="C175" s="7" t="s">
        <v>152</v>
      </c>
      <c r="D175" s="8" t="s">
        <v>205</v>
      </c>
      <c r="E175" s="8" t="s">
        <v>274</v>
      </c>
      <c r="F175" s="8"/>
      <c r="H175" s="12">
        <v>0</v>
      </c>
      <c r="K175" s="14" t="str">
        <f>VLOOKUP(E175,'1. TAT (2) - Equip. Lease'!$B$5:$C$33,2,0)</f>
        <v>Equipamento - Escritório</v>
      </c>
    </row>
    <row r="176" spans="2:11" x14ac:dyDescent="0.3">
      <c r="B176" s="8">
        <v>612</v>
      </c>
      <c r="C176" s="7" t="s">
        <v>153</v>
      </c>
      <c r="D176" s="8" t="s">
        <v>205</v>
      </c>
      <c r="E176" s="8" t="s">
        <v>274</v>
      </c>
      <c r="F176" s="8"/>
      <c r="H176" s="7">
        <v>1</v>
      </c>
      <c r="K176" s="14" t="str">
        <f>VLOOKUP(E176,'1. TAT (2) - Equip. Lease'!$B$5:$C$33,2,0)</f>
        <v>Equipamento - Escritório</v>
      </c>
    </row>
    <row r="177" spans="2:11" x14ac:dyDescent="0.3">
      <c r="B177" s="8">
        <v>613</v>
      </c>
      <c r="C177" s="7" t="s">
        <v>154</v>
      </c>
      <c r="D177" s="8" t="s">
        <v>205</v>
      </c>
      <c r="E177" s="8" t="s">
        <v>274</v>
      </c>
      <c r="F177" s="8"/>
      <c r="H177" s="12">
        <v>0</v>
      </c>
      <c r="K177" s="14" t="str">
        <f>VLOOKUP(E177,'1. TAT (2) - Equip. Lease'!$B$5:$C$33,2,0)</f>
        <v>Equipamento - Escritório</v>
      </c>
    </row>
    <row r="178" spans="2:11" x14ac:dyDescent="0.3">
      <c r="B178" s="8">
        <v>700</v>
      </c>
      <c r="C178" s="7" t="s">
        <v>155</v>
      </c>
      <c r="D178" s="8" t="s">
        <v>205</v>
      </c>
      <c r="E178" s="8" t="s">
        <v>268</v>
      </c>
      <c r="F178" s="8"/>
      <c r="H178" s="12">
        <v>0</v>
      </c>
      <c r="K178" s="14" t="str">
        <f>VLOOKUP(E178,'1. TAT (2) - Equip. Lease'!$B$5:$C$33,2,0)</f>
        <v>Equipamento - Construção</v>
      </c>
    </row>
    <row r="179" spans="2:11" x14ac:dyDescent="0.3">
      <c r="B179" s="8">
        <v>701</v>
      </c>
      <c r="C179" s="7" t="s">
        <v>156</v>
      </c>
      <c r="D179" s="8" t="s">
        <v>205</v>
      </c>
      <c r="E179" s="8" t="s">
        <v>265</v>
      </c>
      <c r="F179" s="8"/>
      <c r="H179" s="12">
        <v>0</v>
      </c>
      <c r="K179" s="14" t="str">
        <f>VLOOKUP(E179,'1. TAT (2) - Equip. Lease'!$B$5:$C$33,2,0)</f>
        <v>Equipamento - Indústria</v>
      </c>
    </row>
    <row r="180" spans="2:11" x14ac:dyDescent="0.3">
      <c r="B180" s="8">
        <v>702</v>
      </c>
      <c r="C180" s="7" t="s">
        <v>157</v>
      </c>
      <c r="D180" s="8" t="s">
        <v>205</v>
      </c>
      <c r="E180" s="8" t="s">
        <v>270</v>
      </c>
      <c r="F180" s="8"/>
      <c r="H180" s="12">
        <v>0</v>
      </c>
      <c r="K180" s="14" t="str">
        <f>VLOOKUP(E180,'1. TAT (2) - Equip. Lease'!$B$5:$C$33,2,0)</f>
        <v>Equipamento - Comércio</v>
      </c>
    </row>
    <row r="181" spans="2:11" x14ac:dyDescent="0.3">
      <c r="B181" s="8">
        <v>703</v>
      </c>
      <c r="C181" s="7" t="s">
        <v>158</v>
      </c>
      <c r="D181" s="8" t="s">
        <v>205</v>
      </c>
      <c r="E181" s="8" t="s">
        <v>270</v>
      </c>
      <c r="F181" s="8"/>
      <c r="H181" s="12">
        <v>0</v>
      </c>
      <c r="K181" s="14" t="str">
        <f>VLOOKUP(E181,'1. TAT (2) - Equip. Lease'!$B$5:$C$33,2,0)</f>
        <v>Equipamento - Comércio</v>
      </c>
    </row>
    <row r="182" spans="2:11" x14ac:dyDescent="0.3">
      <c r="B182" s="8">
        <v>704</v>
      </c>
      <c r="C182" s="7" t="s">
        <v>159</v>
      </c>
      <c r="D182" s="8" t="s">
        <v>206</v>
      </c>
      <c r="E182" s="8" t="s">
        <v>263</v>
      </c>
      <c r="F182" s="8"/>
      <c r="H182" s="12">
        <v>0</v>
      </c>
      <c r="K182" s="14" t="str">
        <f>VLOOKUP(E182,'1. TAT (2) - Equip. Lease'!$B$5:$C$33,2,0)</f>
        <v>Viatura - Indefinido</v>
      </c>
    </row>
    <row r="183" spans="2:11" x14ac:dyDescent="0.3">
      <c r="B183" s="8">
        <v>705</v>
      </c>
      <c r="C183" s="7" t="s">
        <v>160</v>
      </c>
      <c r="D183" s="8" t="s">
        <v>205</v>
      </c>
      <c r="E183" s="8" t="s">
        <v>273</v>
      </c>
      <c r="F183" s="8"/>
      <c r="H183" s="12">
        <v>0</v>
      </c>
      <c r="K183" s="14" t="str">
        <f>VLOOKUP(E183,'1. TAT (2) - Equip. Lease'!$B$5:$C$33,2,0)</f>
        <v>Equipamento - Indefinido</v>
      </c>
    </row>
    <row r="184" spans="2:11" x14ac:dyDescent="0.3">
      <c r="B184" s="8">
        <v>706</v>
      </c>
      <c r="C184" s="7" t="s">
        <v>161</v>
      </c>
      <c r="D184" s="8" t="s">
        <v>205</v>
      </c>
      <c r="E184" s="8" t="s">
        <v>273</v>
      </c>
      <c r="F184" s="8"/>
      <c r="H184" s="12">
        <v>0</v>
      </c>
      <c r="K184" s="14" t="str">
        <f>VLOOKUP(E184,'1. TAT (2) - Equip. Lease'!$B$5:$C$33,2,0)</f>
        <v>Equipamento - Indefinido</v>
      </c>
    </row>
    <row r="185" spans="2:11" x14ac:dyDescent="0.3">
      <c r="B185" s="8">
        <v>707</v>
      </c>
      <c r="C185" s="7" t="s">
        <v>162</v>
      </c>
      <c r="D185" s="8" t="s">
        <v>205</v>
      </c>
      <c r="E185" s="8" t="s">
        <v>268</v>
      </c>
      <c r="F185" s="8"/>
      <c r="H185" s="12">
        <v>0</v>
      </c>
      <c r="K185" s="14" t="str">
        <f>VLOOKUP(E185,'1. TAT (2) - Equip. Lease'!$B$5:$C$33,2,0)</f>
        <v>Equipamento - Construção</v>
      </c>
    </row>
    <row r="186" spans="2:11" x14ac:dyDescent="0.3">
      <c r="B186" s="8">
        <v>708</v>
      </c>
      <c r="C186" s="7" t="s">
        <v>163</v>
      </c>
      <c r="D186" s="8" t="s">
        <v>205</v>
      </c>
      <c r="E186" s="8" t="s">
        <v>273</v>
      </c>
      <c r="F186" s="8"/>
      <c r="H186" s="12">
        <v>0</v>
      </c>
      <c r="K186" s="14" t="str">
        <f>VLOOKUP(E186,'1. TAT (2) - Equip. Lease'!$B$5:$C$33,2,0)</f>
        <v>Equipamento - Indefinido</v>
      </c>
    </row>
    <row r="187" spans="2:11" x14ac:dyDescent="0.3">
      <c r="B187" s="8">
        <v>709</v>
      </c>
      <c r="C187" s="7" t="s">
        <v>164</v>
      </c>
      <c r="D187" s="8" t="s">
        <v>205</v>
      </c>
      <c r="E187" s="8" t="s">
        <v>286</v>
      </c>
      <c r="F187" s="8"/>
      <c r="H187" s="12">
        <v>0</v>
      </c>
      <c r="K187" s="14" t="str">
        <f>VLOOKUP(E187,'1. TAT (2) - Equip. Lease'!$B$5:$C$33,2,0)</f>
        <v>Equipamento - Lazer</v>
      </c>
    </row>
    <row r="188" spans="2:11" x14ac:dyDescent="0.3">
      <c r="B188" s="8">
        <v>710</v>
      </c>
      <c r="C188" s="7" t="s">
        <v>165</v>
      </c>
      <c r="D188" s="8" t="s">
        <v>205</v>
      </c>
      <c r="E188" s="8" t="s">
        <v>272</v>
      </c>
      <c r="F188" s="8"/>
      <c r="H188" s="12">
        <v>0</v>
      </c>
      <c r="K188" s="14" t="str">
        <f>VLOOKUP(E188,'1. TAT (2) - Equip. Lease'!$B$5:$C$33,2,0)</f>
        <v>Equipamento - Hotelaria</v>
      </c>
    </row>
    <row r="189" spans="2:11" x14ac:dyDescent="0.3">
      <c r="B189" s="8">
        <v>711</v>
      </c>
      <c r="C189" s="7" t="s">
        <v>166</v>
      </c>
      <c r="D189" s="8" t="s">
        <v>205</v>
      </c>
      <c r="E189" s="8" t="s">
        <v>272</v>
      </c>
      <c r="F189" s="8"/>
      <c r="H189" s="12">
        <v>0</v>
      </c>
      <c r="K189" s="14" t="str">
        <f>VLOOKUP(E189,'1. TAT (2) - Equip. Lease'!$B$5:$C$33,2,0)</f>
        <v>Equipamento - Hotelaria</v>
      </c>
    </row>
    <row r="190" spans="2:11" x14ac:dyDescent="0.3">
      <c r="B190" s="8">
        <v>712</v>
      </c>
      <c r="C190" s="7" t="s">
        <v>167</v>
      </c>
      <c r="D190" s="8" t="s">
        <v>206</v>
      </c>
      <c r="E190" s="8" t="s">
        <v>280</v>
      </c>
      <c r="F190" s="8"/>
      <c r="H190" s="12">
        <v>0</v>
      </c>
      <c r="K190" s="14" t="str">
        <f>VLOOKUP(E190,'1. TAT (2) - Equip. Lease'!$B$5:$C$33,2,0)</f>
        <v>Viatura - Ligeiro Passageiros</v>
      </c>
    </row>
    <row r="191" spans="2:11" x14ac:dyDescent="0.3">
      <c r="B191" s="8">
        <v>713</v>
      </c>
      <c r="C191" s="7" t="s">
        <v>168</v>
      </c>
      <c r="D191" s="8" t="s">
        <v>206</v>
      </c>
      <c r="E191" s="8" t="s">
        <v>281</v>
      </c>
      <c r="F191" s="8"/>
      <c r="H191" s="12">
        <v>0</v>
      </c>
      <c r="K191" s="14" t="str">
        <f>VLOOKUP(E191,'1. TAT (2) - Equip. Lease'!$B$5:$C$33,2,0)</f>
        <v>Viatura - Ligeiro Mercadorias</v>
      </c>
    </row>
    <row r="192" spans="2:11" x14ac:dyDescent="0.3">
      <c r="B192" s="8">
        <v>714</v>
      </c>
      <c r="C192" s="7" t="s">
        <v>169</v>
      </c>
      <c r="D192" s="8" t="s">
        <v>205</v>
      </c>
      <c r="E192" s="8" t="s">
        <v>273</v>
      </c>
      <c r="F192" s="8"/>
      <c r="H192" s="12">
        <v>0</v>
      </c>
      <c r="K192" s="14" t="str">
        <f>VLOOKUP(E192,'1. TAT (2) - Equip. Lease'!$B$5:$C$33,2,0)</f>
        <v>Equipamento - Indefinido</v>
      </c>
    </row>
    <row r="193" spans="2:11" x14ac:dyDescent="0.3">
      <c r="B193" s="8">
        <v>715</v>
      </c>
      <c r="C193" s="7" t="s">
        <v>170</v>
      </c>
      <c r="D193" s="8" t="s">
        <v>205</v>
      </c>
      <c r="E193" s="8" t="s">
        <v>273</v>
      </c>
      <c r="F193" s="8"/>
      <c r="H193" s="12">
        <v>0</v>
      </c>
      <c r="K193" s="14" t="str">
        <f>VLOOKUP(E193,'1. TAT (2) - Equip. Lease'!$B$5:$C$33,2,0)</f>
        <v>Equipamento - Indefinido</v>
      </c>
    </row>
    <row r="194" spans="2:11" x14ac:dyDescent="0.3">
      <c r="B194" s="8">
        <v>716</v>
      </c>
      <c r="C194" s="7" t="s">
        <v>171</v>
      </c>
      <c r="D194" s="8" t="s">
        <v>205</v>
      </c>
      <c r="E194" s="8" t="s">
        <v>273</v>
      </c>
      <c r="F194" s="8"/>
      <c r="H194" s="12">
        <v>0</v>
      </c>
      <c r="K194" s="14" t="str">
        <f>VLOOKUP(E194,'1. TAT (2) - Equip. Lease'!$B$5:$C$33,2,0)</f>
        <v>Equipamento - Indefinido</v>
      </c>
    </row>
    <row r="195" spans="2:11" x14ac:dyDescent="0.3">
      <c r="B195" s="8">
        <v>717</v>
      </c>
      <c r="C195" s="7" t="s">
        <v>172</v>
      </c>
      <c r="D195" s="8" t="s">
        <v>205</v>
      </c>
      <c r="E195" s="8" t="s">
        <v>273</v>
      </c>
      <c r="F195" s="8"/>
      <c r="H195" s="12">
        <v>0</v>
      </c>
      <c r="K195" s="14" t="str">
        <f>VLOOKUP(E195,'1. TAT (2) - Equip. Lease'!$B$5:$C$33,2,0)</f>
        <v>Equipamento - Indefinido</v>
      </c>
    </row>
    <row r="196" spans="2:11" x14ac:dyDescent="0.3">
      <c r="B196" s="8">
        <v>718</v>
      </c>
      <c r="C196" s="7" t="s">
        <v>173</v>
      </c>
      <c r="D196" s="8" t="s">
        <v>206</v>
      </c>
      <c r="E196" s="8" t="s">
        <v>279</v>
      </c>
      <c r="F196" s="8"/>
      <c r="H196" s="12">
        <v>0</v>
      </c>
      <c r="K196" s="14" t="str">
        <f>VLOOKUP(E196,'1. TAT (2) - Equip. Lease'!$B$5:$C$33,2,0)</f>
        <v>Viatura - Aeronave</v>
      </c>
    </row>
    <row r="197" spans="2:11" x14ac:dyDescent="0.3">
      <c r="B197" s="8">
        <v>719</v>
      </c>
      <c r="C197" s="7" t="s">
        <v>174</v>
      </c>
      <c r="D197" s="8" t="s">
        <v>205</v>
      </c>
      <c r="E197" s="8" t="s">
        <v>273</v>
      </c>
      <c r="F197" s="8"/>
      <c r="H197" s="12">
        <v>0</v>
      </c>
      <c r="K197" s="14" t="str">
        <f>VLOOKUP(E197,'1. TAT (2) - Equip. Lease'!$B$5:$C$33,2,0)</f>
        <v>Equipamento - Indefinido</v>
      </c>
    </row>
    <row r="198" spans="2:11" x14ac:dyDescent="0.3">
      <c r="B198" s="8">
        <v>720</v>
      </c>
      <c r="C198" s="7" t="s">
        <v>175</v>
      </c>
      <c r="D198" s="8" t="s">
        <v>205</v>
      </c>
      <c r="E198" s="8" t="s">
        <v>273</v>
      </c>
      <c r="F198" s="8"/>
      <c r="H198" s="12">
        <v>0</v>
      </c>
      <c r="K198" s="14" t="str">
        <f>VLOOKUP(E198,'1. TAT (2) - Equip. Lease'!$B$5:$C$33,2,0)</f>
        <v>Equipamento - Indefinido</v>
      </c>
    </row>
    <row r="199" spans="2:11" x14ac:dyDescent="0.3">
      <c r="B199" s="8">
        <v>721</v>
      </c>
      <c r="C199" s="7" t="s">
        <v>176</v>
      </c>
      <c r="D199" s="8" t="s">
        <v>205</v>
      </c>
      <c r="E199" s="8" t="s">
        <v>273</v>
      </c>
      <c r="F199" s="8"/>
      <c r="H199" s="12">
        <v>0</v>
      </c>
      <c r="K199" s="14" t="str">
        <f>VLOOKUP(E199,'1. TAT (2) - Equip. Lease'!$B$5:$C$33,2,0)</f>
        <v>Equipamento - Indefinido</v>
      </c>
    </row>
    <row r="200" spans="2:11" x14ac:dyDescent="0.3">
      <c r="B200" s="8">
        <v>722</v>
      </c>
      <c r="C200" s="7" t="s">
        <v>177</v>
      </c>
      <c r="D200" s="8" t="s">
        <v>205</v>
      </c>
      <c r="E200" s="8" t="s">
        <v>273</v>
      </c>
      <c r="F200" s="8"/>
      <c r="H200" s="12">
        <v>0</v>
      </c>
      <c r="K200" s="14" t="str">
        <f>VLOOKUP(E200,'1. TAT (2) - Equip. Lease'!$B$5:$C$33,2,0)</f>
        <v>Equipamento - Indefinido</v>
      </c>
    </row>
    <row r="201" spans="2:11" x14ac:dyDescent="0.3">
      <c r="B201" s="8">
        <v>723</v>
      </c>
      <c r="C201" s="7" t="s">
        <v>178</v>
      </c>
      <c r="D201" s="8" t="s">
        <v>205</v>
      </c>
      <c r="E201" s="8" t="s">
        <v>273</v>
      </c>
      <c r="F201" s="8"/>
      <c r="H201" s="12">
        <v>0</v>
      </c>
      <c r="K201" s="14" t="str">
        <f>VLOOKUP(E201,'1. TAT (2) - Equip. Lease'!$B$5:$C$33,2,0)</f>
        <v>Equipamento - Indefinido</v>
      </c>
    </row>
    <row r="202" spans="2:11" x14ac:dyDescent="0.3">
      <c r="B202" s="8">
        <v>724</v>
      </c>
      <c r="C202" s="7" t="s">
        <v>179</v>
      </c>
      <c r="D202" s="8" t="s">
        <v>205</v>
      </c>
      <c r="E202" s="8" t="s">
        <v>273</v>
      </c>
      <c r="F202" s="8"/>
      <c r="H202" s="12">
        <v>0</v>
      </c>
      <c r="K202" s="14" t="str">
        <f>VLOOKUP(E202,'1. TAT (2) - Equip. Lease'!$B$5:$C$33,2,0)</f>
        <v>Equipamento - Indefinido</v>
      </c>
    </row>
    <row r="203" spans="2:11" x14ac:dyDescent="0.3">
      <c r="B203" s="8">
        <v>725</v>
      </c>
      <c r="C203" s="7" t="s">
        <v>180</v>
      </c>
      <c r="D203" s="8" t="s">
        <v>205</v>
      </c>
      <c r="E203" s="8" t="s">
        <v>273</v>
      </c>
      <c r="F203" s="8"/>
      <c r="H203" s="12">
        <v>0</v>
      </c>
      <c r="K203" s="14" t="str">
        <f>VLOOKUP(E203,'1. TAT (2) - Equip. Lease'!$B$5:$C$33,2,0)</f>
        <v>Equipamento - Indefinido</v>
      </c>
    </row>
    <row r="204" spans="2:11" x14ac:dyDescent="0.3">
      <c r="B204" s="8">
        <v>726</v>
      </c>
      <c r="C204" s="7" t="s">
        <v>181</v>
      </c>
      <c r="D204" s="8" t="s">
        <v>205</v>
      </c>
      <c r="E204" s="8" t="s">
        <v>273</v>
      </c>
      <c r="F204" s="8"/>
      <c r="H204" s="12">
        <v>0</v>
      </c>
      <c r="K204" s="14" t="str">
        <f>VLOOKUP(E204,'1. TAT (2) - Equip. Lease'!$B$5:$C$33,2,0)</f>
        <v>Equipamento - Indefinido</v>
      </c>
    </row>
    <row r="205" spans="2:11" x14ac:dyDescent="0.3">
      <c r="B205" s="8">
        <v>727</v>
      </c>
      <c r="C205" s="7" t="s">
        <v>182</v>
      </c>
      <c r="D205" s="8" t="s">
        <v>205</v>
      </c>
      <c r="E205" s="8" t="s">
        <v>273</v>
      </c>
      <c r="F205" s="8"/>
      <c r="H205" s="12">
        <v>0</v>
      </c>
      <c r="K205" s="14" t="str">
        <f>VLOOKUP(E205,'1. TAT (2) - Equip. Lease'!$B$5:$C$33,2,0)</f>
        <v>Equipamento - Indefinido</v>
      </c>
    </row>
    <row r="206" spans="2:11" x14ac:dyDescent="0.3">
      <c r="B206" s="8">
        <v>728</v>
      </c>
      <c r="C206" s="7" t="s">
        <v>183</v>
      </c>
      <c r="D206" s="8" t="s">
        <v>205</v>
      </c>
      <c r="E206" s="8" t="s">
        <v>273</v>
      </c>
      <c r="F206" s="8"/>
      <c r="H206" s="12">
        <v>0</v>
      </c>
      <c r="K206" s="14" t="str">
        <f>VLOOKUP(E206,'1. TAT (2) - Equip. Lease'!$B$5:$C$33,2,0)</f>
        <v>Equipamento - Indefinido</v>
      </c>
    </row>
    <row r="207" spans="2:11" x14ac:dyDescent="0.3">
      <c r="B207" s="8">
        <v>729</v>
      </c>
      <c r="C207" s="7" t="s">
        <v>184</v>
      </c>
      <c r="D207" s="8" t="s">
        <v>205</v>
      </c>
      <c r="E207" s="8" t="s">
        <v>276</v>
      </c>
      <c r="F207" s="8"/>
      <c r="H207" s="12">
        <v>0</v>
      </c>
      <c r="K207" s="14" t="str">
        <f>VLOOKUP(E207,'1. TAT (2) - Equip. Lease'!$B$5:$C$33,2,0)</f>
        <v>Equipamento - Transporte</v>
      </c>
    </row>
    <row r="208" spans="2:11" x14ac:dyDescent="0.3">
      <c r="B208" s="8">
        <v>730</v>
      </c>
      <c r="C208" s="7" t="s">
        <v>185</v>
      </c>
      <c r="D208" s="8" t="s">
        <v>205</v>
      </c>
      <c r="E208" s="8" t="s">
        <v>276</v>
      </c>
      <c r="F208" s="8"/>
      <c r="H208" s="12">
        <v>0</v>
      </c>
      <c r="K208" s="14" t="str">
        <f>VLOOKUP(E208,'1. TAT (2) - Equip. Lease'!$B$5:$C$33,2,0)</f>
        <v>Equipamento - Transporte</v>
      </c>
    </row>
    <row r="209" spans="2:11" x14ac:dyDescent="0.3">
      <c r="B209" s="8">
        <v>731</v>
      </c>
      <c r="C209" s="7" t="s">
        <v>186</v>
      </c>
      <c r="D209" s="8" t="s">
        <v>205</v>
      </c>
      <c r="E209" s="8" t="s">
        <v>265</v>
      </c>
      <c r="F209" s="8"/>
      <c r="H209" s="12">
        <v>0</v>
      </c>
      <c r="K209" s="14" t="str">
        <f>VLOOKUP(E209,'1. TAT (2) - Equip. Lease'!$B$5:$C$33,2,0)</f>
        <v>Equipamento - Indústria</v>
      </c>
    </row>
    <row r="210" spans="2:11" x14ac:dyDescent="0.3">
      <c r="B210" s="8">
        <v>732</v>
      </c>
      <c r="C210" s="7" t="s">
        <v>187</v>
      </c>
      <c r="D210" s="8" t="s">
        <v>205</v>
      </c>
      <c r="E210" s="8" t="s">
        <v>270</v>
      </c>
      <c r="F210" s="8"/>
      <c r="H210" s="12">
        <v>0</v>
      </c>
      <c r="K210" s="14" t="str">
        <f>VLOOKUP(E210,'1. TAT (2) - Equip. Lease'!$B$5:$C$33,2,0)</f>
        <v>Equipamento - Comércio</v>
      </c>
    </row>
    <row r="211" spans="2:11" x14ac:dyDescent="0.3">
      <c r="B211" s="8">
        <v>733</v>
      </c>
      <c r="C211" s="7" t="s">
        <v>188</v>
      </c>
      <c r="D211" s="8" t="s">
        <v>205</v>
      </c>
      <c r="E211" s="8" t="s">
        <v>265</v>
      </c>
      <c r="F211" s="8"/>
      <c r="H211" s="12">
        <v>0</v>
      </c>
      <c r="K211" s="14" t="str">
        <f>VLOOKUP(E211,'1. TAT (2) - Equip. Lease'!$B$5:$C$33,2,0)</f>
        <v>Equipamento - Indústria</v>
      </c>
    </row>
    <row r="212" spans="2:11" x14ac:dyDescent="0.3">
      <c r="B212" s="8">
        <v>734</v>
      </c>
      <c r="C212" s="7" t="s">
        <v>189</v>
      </c>
      <c r="D212" s="8" t="s">
        <v>205</v>
      </c>
      <c r="E212" s="8" t="s">
        <v>265</v>
      </c>
      <c r="F212" s="8"/>
      <c r="H212" s="12">
        <v>0</v>
      </c>
      <c r="K212" s="14" t="str">
        <f>VLOOKUP(E212,'1. TAT (2) - Equip. Lease'!$B$5:$C$33,2,0)</f>
        <v>Equipamento - Indústria</v>
      </c>
    </row>
    <row r="213" spans="2:11" x14ac:dyDescent="0.3">
      <c r="B213" s="8">
        <v>735</v>
      </c>
      <c r="C213" s="7" t="s">
        <v>190</v>
      </c>
      <c r="D213" s="8" t="s">
        <v>205</v>
      </c>
      <c r="E213" s="8" t="s">
        <v>273</v>
      </c>
      <c r="F213" s="8"/>
      <c r="H213" s="12">
        <v>0</v>
      </c>
      <c r="K213" s="14" t="str">
        <f>VLOOKUP(E213,'1. TAT (2) - Equip. Lease'!$B$5:$C$33,2,0)</f>
        <v>Equipamento - Indefinido</v>
      </c>
    </row>
    <row r="214" spans="2:11" x14ac:dyDescent="0.3">
      <c r="B214" s="8">
        <v>736</v>
      </c>
      <c r="C214" s="7" t="s">
        <v>191</v>
      </c>
      <c r="D214" s="8" t="s">
        <v>205</v>
      </c>
      <c r="E214" s="8" t="s">
        <v>265</v>
      </c>
      <c r="F214" s="8"/>
      <c r="H214" s="12">
        <v>0</v>
      </c>
      <c r="K214" s="14" t="str">
        <f>VLOOKUP(E214,'1. TAT (2) - Equip. Lease'!$B$5:$C$33,2,0)</f>
        <v>Equipamento - Indústria</v>
      </c>
    </row>
    <row r="215" spans="2:11" x14ac:dyDescent="0.3">
      <c r="B215" s="8">
        <v>737</v>
      </c>
      <c r="C215" s="7" t="s">
        <v>192</v>
      </c>
      <c r="D215" s="8" t="s">
        <v>205</v>
      </c>
      <c r="E215" s="8" t="s">
        <v>265</v>
      </c>
      <c r="F215" s="8"/>
      <c r="H215" s="12">
        <v>0</v>
      </c>
      <c r="K215" s="14" t="str">
        <f>VLOOKUP(E215,'1. TAT (2) - Equip. Lease'!$B$5:$C$33,2,0)</f>
        <v>Equipamento - Indústria</v>
      </c>
    </row>
    <row r="216" spans="2:11" x14ac:dyDescent="0.3">
      <c r="B216" s="8">
        <v>738</v>
      </c>
      <c r="C216" s="7" t="s">
        <v>193</v>
      </c>
      <c r="D216" s="8" t="s">
        <v>205</v>
      </c>
      <c r="E216" s="8" t="s">
        <v>265</v>
      </c>
      <c r="F216" s="8"/>
      <c r="H216" s="12">
        <v>0</v>
      </c>
      <c r="K216" s="14" t="str">
        <f>VLOOKUP(E216,'1. TAT (2) - Equip. Lease'!$B$5:$C$33,2,0)</f>
        <v>Equipamento - Indústria</v>
      </c>
    </row>
    <row r="217" spans="2:11" x14ac:dyDescent="0.3">
      <c r="B217" s="8">
        <v>739</v>
      </c>
      <c r="C217" s="7" t="s">
        <v>194</v>
      </c>
      <c r="D217" s="8" t="s">
        <v>205</v>
      </c>
      <c r="E217" s="8" t="s">
        <v>273</v>
      </c>
      <c r="F217" s="8"/>
      <c r="H217" s="12">
        <v>0</v>
      </c>
      <c r="K217" s="14" t="str">
        <f>VLOOKUP(E217,'1. TAT (2) - Equip. Lease'!$B$5:$C$33,2,0)</f>
        <v>Equipamento - Indefinido</v>
      </c>
    </row>
    <row r="218" spans="2:11" x14ac:dyDescent="0.3">
      <c r="B218" s="8">
        <v>740</v>
      </c>
      <c r="C218" s="7" t="s">
        <v>195</v>
      </c>
      <c r="D218" s="8" t="s">
        <v>205</v>
      </c>
      <c r="E218" s="8" t="s">
        <v>270</v>
      </c>
      <c r="F218" s="8"/>
      <c r="H218" s="12">
        <v>0</v>
      </c>
      <c r="K218" s="14" t="str">
        <f>VLOOKUP(E218,'1. TAT (2) - Equip. Lease'!$B$5:$C$33,2,0)</f>
        <v>Equipamento - Comércio</v>
      </c>
    </row>
    <row r="219" spans="2:11" x14ac:dyDescent="0.3">
      <c r="B219" s="8">
        <v>741</v>
      </c>
      <c r="C219" s="7" t="s">
        <v>196</v>
      </c>
      <c r="D219" s="8" t="s">
        <v>205</v>
      </c>
      <c r="E219" s="8" t="s">
        <v>270</v>
      </c>
      <c r="F219" s="8"/>
      <c r="H219" s="12">
        <v>0</v>
      </c>
      <c r="K219" s="14" t="str">
        <f>VLOOKUP(E219,'1. TAT (2) - Equip. Lease'!$B$5:$C$33,2,0)</f>
        <v>Equipamento - Comércio</v>
      </c>
    </row>
    <row r="220" spans="2:11" x14ac:dyDescent="0.3">
      <c r="B220" s="8">
        <v>742</v>
      </c>
      <c r="C220" s="7" t="s">
        <v>197</v>
      </c>
      <c r="D220" s="8" t="s">
        <v>205</v>
      </c>
      <c r="E220" s="8" t="s">
        <v>270</v>
      </c>
      <c r="F220" s="8"/>
      <c r="H220" s="12">
        <v>0</v>
      </c>
      <c r="K220" s="14" t="str">
        <f>VLOOKUP(E220,'1. TAT (2) - Equip. Lease'!$B$5:$C$33,2,0)</f>
        <v>Equipamento - Comércio</v>
      </c>
    </row>
    <row r="221" spans="2:11" x14ac:dyDescent="0.3">
      <c r="B221" s="8">
        <v>743</v>
      </c>
      <c r="C221" s="7" t="s">
        <v>198</v>
      </c>
      <c r="D221" s="8" t="s">
        <v>205</v>
      </c>
      <c r="E221" s="8" t="s">
        <v>272</v>
      </c>
      <c r="F221" s="8"/>
      <c r="H221" s="12">
        <v>0</v>
      </c>
      <c r="K221" s="14" t="str">
        <f>VLOOKUP(E221,'1. TAT (2) - Equip. Lease'!$B$5:$C$33,2,0)</f>
        <v>Equipamento - Hotelaria</v>
      </c>
    </row>
    <row r="222" spans="2:11" x14ac:dyDescent="0.3">
      <c r="B222" s="8">
        <v>744</v>
      </c>
      <c r="C222" s="7" t="s">
        <v>199</v>
      </c>
      <c r="D222" s="8" t="s">
        <v>205</v>
      </c>
      <c r="E222" s="8" t="s">
        <v>273</v>
      </c>
      <c r="F222" s="8"/>
      <c r="H222" s="12">
        <v>0</v>
      </c>
      <c r="K222" s="14" t="str">
        <f>VLOOKUP(E222,'1. TAT (2) - Equip. Lease'!$B$5:$C$33,2,0)</f>
        <v>Equipamento - Indefinido</v>
      </c>
    </row>
    <row r="223" spans="2:11" x14ac:dyDescent="0.3">
      <c r="B223" s="8">
        <v>745</v>
      </c>
      <c r="C223" s="7" t="s">
        <v>200</v>
      </c>
      <c r="D223" s="8" t="s">
        <v>205</v>
      </c>
      <c r="E223" s="8" t="s">
        <v>273</v>
      </c>
      <c r="F223" s="8"/>
      <c r="H223" s="12">
        <v>0</v>
      </c>
      <c r="K223" s="14" t="str">
        <f>VLOOKUP(E223,'1. TAT (2) - Equip. Lease'!$B$5:$C$33,2,0)</f>
        <v>Equipamento - Indefinido</v>
      </c>
    </row>
    <row r="224" spans="2:11" x14ac:dyDescent="0.3">
      <c r="B224" s="8">
        <v>999</v>
      </c>
      <c r="C224" s="7" t="s">
        <v>201</v>
      </c>
      <c r="D224" s="8" t="s">
        <v>205</v>
      </c>
      <c r="E224" s="8" t="s">
        <v>273</v>
      </c>
      <c r="F224" s="8"/>
      <c r="H224" s="12">
        <v>0</v>
      </c>
      <c r="K224" s="14" t="str">
        <f>VLOOKUP(E224,'1. TAT (2) - Equip. Lease'!$B$5:$C$33,2,0)</f>
        <v>Equipamento - Indefinido</v>
      </c>
    </row>
    <row r="225" spans="2:2" x14ac:dyDescent="0.3">
      <c r="B225" s="1"/>
    </row>
    <row r="228" spans="2:2" x14ac:dyDescent="0.3">
      <c r="B228" s="3"/>
    </row>
  </sheetData>
  <autoFilter ref="B5:F224"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228"/>
  <sheetViews>
    <sheetView showGridLines="0" workbookViewId="0">
      <selection activeCell="C14" sqref="C14"/>
    </sheetView>
  </sheetViews>
  <sheetFormatPr defaultRowHeight="14.4" x14ac:dyDescent="0.3"/>
  <cols>
    <col min="1" max="1" width="3.77734375" customWidth="1"/>
    <col min="2" max="2" width="20" bestFit="1" customWidth="1"/>
    <col min="3" max="3" width="44" customWidth="1"/>
    <col min="4" max="6" width="22" style="2" customWidth="1"/>
  </cols>
  <sheetData>
    <row r="1" spans="2:6" x14ac:dyDescent="0.3">
      <c r="D1"/>
      <c r="E1"/>
      <c r="F1"/>
    </row>
    <row r="2" spans="2:6" s="19" customFormat="1" ht="18" x14ac:dyDescent="0.35">
      <c r="B2" s="18" t="s">
        <v>316</v>
      </c>
    </row>
    <row r="3" spans="2:6" x14ac:dyDescent="0.3">
      <c r="D3"/>
      <c r="E3"/>
      <c r="F3"/>
    </row>
    <row r="4" spans="2:6" x14ac:dyDescent="0.3">
      <c r="D4"/>
      <c r="E4"/>
      <c r="F4"/>
    </row>
    <row r="5" spans="2:6" x14ac:dyDescent="0.3">
      <c r="B5" s="5" t="s">
        <v>236</v>
      </c>
      <c r="C5" s="5" t="s">
        <v>237</v>
      </c>
      <c r="D5" s="6" t="s">
        <v>202</v>
      </c>
      <c r="E5" s="6" t="s">
        <v>203</v>
      </c>
      <c r="F5" s="6" t="s">
        <v>204</v>
      </c>
    </row>
    <row r="6" spans="2:6" x14ac:dyDescent="0.3">
      <c r="B6" s="8" t="s">
        <v>262</v>
      </c>
      <c r="C6" s="7" t="s">
        <v>290</v>
      </c>
      <c r="D6" s="8"/>
      <c r="E6" s="8"/>
      <c r="F6" s="8"/>
    </row>
    <row r="7" spans="2:6" x14ac:dyDescent="0.3">
      <c r="B7" s="8" t="s">
        <v>270</v>
      </c>
      <c r="C7" s="7" t="s">
        <v>294</v>
      </c>
      <c r="D7" s="8"/>
      <c r="E7" s="8"/>
      <c r="F7" s="8"/>
    </row>
    <row r="8" spans="2:6" x14ac:dyDescent="0.3">
      <c r="B8" s="8" t="s">
        <v>268</v>
      </c>
      <c r="C8" s="7" t="s">
        <v>293</v>
      </c>
      <c r="D8" s="8"/>
      <c r="E8" s="8"/>
      <c r="F8" s="8"/>
    </row>
    <row r="9" spans="2:6" x14ac:dyDescent="0.3">
      <c r="B9" s="8" t="s">
        <v>288</v>
      </c>
      <c r="C9" s="7" t="s">
        <v>308</v>
      </c>
      <c r="D9" s="8"/>
      <c r="E9" s="8"/>
      <c r="F9" s="8"/>
    </row>
    <row r="10" spans="2:6" x14ac:dyDescent="0.3">
      <c r="B10" s="8" t="s">
        <v>267</v>
      </c>
      <c r="C10" s="7" t="s">
        <v>309</v>
      </c>
      <c r="D10" s="8"/>
      <c r="E10" s="8"/>
      <c r="F10" s="8"/>
    </row>
    <row r="11" spans="2:6" x14ac:dyDescent="0.3">
      <c r="B11" s="8" t="s">
        <v>274</v>
      </c>
      <c r="C11" s="7" t="s">
        <v>298</v>
      </c>
      <c r="D11" s="8"/>
      <c r="E11" s="8"/>
      <c r="F11" s="8"/>
    </row>
    <row r="12" spans="2:6" x14ac:dyDescent="0.3">
      <c r="B12" s="8" t="s">
        <v>287</v>
      </c>
      <c r="C12" s="7" t="s">
        <v>310</v>
      </c>
      <c r="D12" s="8"/>
      <c r="E12" s="8"/>
      <c r="F12" s="8"/>
    </row>
    <row r="13" spans="2:6" x14ac:dyDescent="0.3">
      <c r="B13" s="8" t="s">
        <v>272</v>
      </c>
      <c r="C13" s="7" t="s">
        <v>296</v>
      </c>
      <c r="D13" s="8"/>
      <c r="E13" s="8"/>
      <c r="F13" s="8"/>
    </row>
    <row r="14" spans="2:6" x14ac:dyDescent="0.3">
      <c r="B14" s="8" t="s">
        <v>273</v>
      </c>
      <c r="C14" s="7" t="s">
        <v>297</v>
      </c>
      <c r="D14" s="8"/>
      <c r="E14" s="8"/>
      <c r="F14" s="8"/>
    </row>
    <row r="15" spans="2:6" x14ac:dyDescent="0.3">
      <c r="B15" s="8" t="s">
        <v>265</v>
      </c>
      <c r="C15" s="7" t="s">
        <v>291</v>
      </c>
      <c r="D15" s="8"/>
      <c r="E15" s="8"/>
      <c r="F15" s="8"/>
    </row>
    <row r="16" spans="2:6" x14ac:dyDescent="0.3">
      <c r="B16" s="8" t="s">
        <v>286</v>
      </c>
      <c r="C16" s="7" t="s">
        <v>301</v>
      </c>
      <c r="D16" s="8"/>
      <c r="E16" s="8"/>
      <c r="F16" s="8"/>
    </row>
    <row r="17" spans="2:6" x14ac:dyDescent="0.3">
      <c r="B17" s="8" t="s">
        <v>289</v>
      </c>
      <c r="C17" s="7" t="s">
        <v>311</v>
      </c>
      <c r="D17" s="8"/>
      <c r="E17" s="8"/>
      <c r="F17" s="8"/>
    </row>
    <row r="18" spans="2:6" x14ac:dyDescent="0.3">
      <c r="B18" s="8" t="s">
        <v>266</v>
      </c>
      <c r="C18" s="7" t="s">
        <v>292</v>
      </c>
      <c r="D18" s="8"/>
      <c r="E18" s="8"/>
      <c r="F18" s="8"/>
    </row>
    <row r="19" spans="2:6" x14ac:dyDescent="0.3">
      <c r="B19" s="8" t="s">
        <v>271</v>
      </c>
      <c r="C19" s="7" t="s">
        <v>295</v>
      </c>
      <c r="D19" s="8"/>
      <c r="E19" s="8"/>
      <c r="F19" s="8"/>
    </row>
    <row r="20" spans="2:6" x14ac:dyDescent="0.3">
      <c r="B20" s="8" t="s">
        <v>275</v>
      </c>
      <c r="C20" s="7" t="s">
        <v>299</v>
      </c>
      <c r="D20" s="8"/>
      <c r="E20" s="8"/>
      <c r="F20" s="8"/>
    </row>
    <row r="21" spans="2:6" x14ac:dyDescent="0.3">
      <c r="B21" s="8" t="s">
        <v>276</v>
      </c>
      <c r="C21" s="7" t="s">
        <v>300</v>
      </c>
      <c r="D21" s="8"/>
      <c r="E21" s="8"/>
      <c r="F21" s="8"/>
    </row>
    <row r="22" spans="2:6" x14ac:dyDescent="0.3">
      <c r="B22" s="8" t="s">
        <v>264</v>
      </c>
      <c r="C22" s="7" t="s">
        <v>209</v>
      </c>
      <c r="D22" s="8"/>
      <c r="E22" s="8"/>
      <c r="F22" s="8"/>
    </row>
    <row r="23" spans="2:6" x14ac:dyDescent="0.3">
      <c r="B23" s="8" t="s">
        <v>279</v>
      </c>
      <c r="C23" s="7" t="s">
        <v>304</v>
      </c>
      <c r="D23" s="8"/>
      <c r="E23" s="8"/>
      <c r="F23" s="8"/>
    </row>
    <row r="24" spans="2:6" x14ac:dyDescent="0.3">
      <c r="B24" s="8" t="s">
        <v>269</v>
      </c>
      <c r="C24" s="7" t="s">
        <v>210</v>
      </c>
      <c r="D24" s="8"/>
      <c r="E24" s="8"/>
      <c r="F24" s="8"/>
    </row>
    <row r="25" spans="2:6" x14ac:dyDescent="0.3">
      <c r="B25" s="8" t="s">
        <v>263</v>
      </c>
      <c r="C25" s="7" t="s">
        <v>208</v>
      </c>
      <c r="D25" s="11"/>
      <c r="E25" s="11"/>
      <c r="F25" s="11"/>
    </row>
    <row r="26" spans="2:6" x14ac:dyDescent="0.3">
      <c r="B26" s="8" t="s">
        <v>281</v>
      </c>
      <c r="C26" s="7" t="s">
        <v>312</v>
      </c>
      <c r="D26" s="11"/>
      <c r="E26" s="11"/>
      <c r="F26" s="11"/>
    </row>
    <row r="27" spans="2:6" x14ac:dyDescent="0.3">
      <c r="B27" s="8" t="s">
        <v>280</v>
      </c>
      <c r="C27" s="7" t="s">
        <v>313</v>
      </c>
      <c r="D27" s="11"/>
      <c r="E27" s="11"/>
      <c r="F27" s="11"/>
    </row>
    <row r="28" spans="2:6" x14ac:dyDescent="0.3">
      <c r="B28" s="8" t="s">
        <v>278</v>
      </c>
      <c r="C28" s="7" t="s">
        <v>303</v>
      </c>
      <c r="D28" s="8"/>
      <c r="E28" s="8"/>
      <c r="F28" s="8"/>
    </row>
    <row r="29" spans="2:6" x14ac:dyDescent="0.3">
      <c r="B29" s="8" t="s">
        <v>284</v>
      </c>
      <c r="C29" s="7" t="s">
        <v>217</v>
      </c>
      <c r="D29" s="11"/>
      <c r="E29" s="11"/>
      <c r="F29" s="11"/>
    </row>
    <row r="30" spans="2:6" x14ac:dyDescent="0.3">
      <c r="B30" s="8" t="s">
        <v>283</v>
      </c>
      <c r="C30" s="7" t="s">
        <v>314</v>
      </c>
      <c r="D30" s="11"/>
      <c r="E30" s="11"/>
      <c r="F30" s="11"/>
    </row>
    <row r="31" spans="2:6" x14ac:dyDescent="0.3">
      <c r="B31" s="8" t="s">
        <v>282</v>
      </c>
      <c r="C31" s="7" t="s">
        <v>315</v>
      </c>
      <c r="D31" s="11"/>
      <c r="E31" s="11"/>
      <c r="F31" s="11"/>
    </row>
    <row r="32" spans="2:6" x14ac:dyDescent="0.3">
      <c r="B32" s="8" t="s">
        <v>285</v>
      </c>
      <c r="C32" s="7" t="s">
        <v>218</v>
      </c>
      <c r="D32" s="11"/>
      <c r="E32" s="11"/>
      <c r="F32" s="11"/>
    </row>
    <row r="33" spans="2:6" x14ac:dyDescent="0.3">
      <c r="B33" s="8" t="s">
        <v>277</v>
      </c>
      <c r="C33" s="7" t="s">
        <v>302</v>
      </c>
      <c r="D33" s="8"/>
      <c r="E33" s="8"/>
      <c r="F33" s="8"/>
    </row>
    <row r="34" spans="2:6" x14ac:dyDescent="0.3">
      <c r="D34"/>
      <c r="E34"/>
      <c r="F34"/>
    </row>
    <row r="35" spans="2:6" x14ac:dyDescent="0.3">
      <c r="D35"/>
      <c r="E35"/>
      <c r="F35"/>
    </row>
    <row r="36" spans="2:6" x14ac:dyDescent="0.3">
      <c r="D36"/>
      <c r="E36"/>
      <c r="F36"/>
    </row>
    <row r="37" spans="2:6" x14ac:dyDescent="0.3">
      <c r="D37"/>
      <c r="E37"/>
      <c r="F37"/>
    </row>
    <row r="38" spans="2:6" x14ac:dyDescent="0.3">
      <c r="D38"/>
      <c r="E38"/>
      <c r="F38"/>
    </row>
    <row r="39" spans="2:6" x14ac:dyDescent="0.3">
      <c r="D39"/>
      <c r="E39"/>
      <c r="F39"/>
    </row>
    <row r="40" spans="2:6" x14ac:dyDescent="0.3">
      <c r="D40"/>
      <c r="E40"/>
      <c r="F40"/>
    </row>
    <row r="41" spans="2:6" x14ac:dyDescent="0.3">
      <c r="D41"/>
      <c r="E41"/>
      <c r="F41"/>
    </row>
    <row r="42" spans="2:6" x14ac:dyDescent="0.3">
      <c r="D42"/>
      <c r="E42"/>
      <c r="F42"/>
    </row>
    <row r="43" spans="2:6" x14ac:dyDescent="0.3">
      <c r="D43"/>
      <c r="E43"/>
      <c r="F43"/>
    </row>
    <row r="44" spans="2:6" x14ac:dyDescent="0.3">
      <c r="D44"/>
      <c r="E44"/>
      <c r="F44"/>
    </row>
    <row r="45" spans="2:6" x14ac:dyDescent="0.3">
      <c r="D45"/>
      <c r="E45"/>
      <c r="F45"/>
    </row>
    <row r="46" spans="2:6" x14ac:dyDescent="0.3">
      <c r="D46"/>
      <c r="E46"/>
      <c r="F46"/>
    </row>
    <row r="47" spans="2:6" x14ac:dyDescent="0.3">
      <c r="D47"/>
      <c r="E47"/>
      <c r="F47"/>
    </row>
    <row r="48" spans="2:6" x14ac:dyDescent="0.3">
      <c r="D48"/>
      <c r="E48"/>
      <c r="F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spans="2:2" x14ac:dyDescent="0.3">
      <c r="B225" s="1"/>
    </row>
    <row r="228" spans="2:2" x14ac:dyDescent="0.3">
      <c r="B228" s="3"/>
    </row>
  </sheetData>
  <autoFilter ref="B5:F33" xr:uid="{00000000-0009-0000-0000-000002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232"/>
  <sheetViews>
    <sheetView showGridLines="0" tabSelected="1" zoomScale="90" zoomScaleNormal="90" workbookViewId="0">
      <selection activeCell="D24" sqref="D24"/>
    </sheetView>
  </sheetViews>
  <sheetFormatPr defaultColWidth="0" defaultRowHeight="14.4" x14ac:dyDescent="0.3"/>
  <cols>
    <col min="1" max="1" width="4.109375" customWidth="1"/>
    <col min="2" max="2" width="9.88671875" style="30" customWidth="1"/>
    <col min="3" max="3" width="64.77734375" style="30" customWidth="1"/>
    <col min="4" max="4" width="27.5546875" style="30" customWidth="1"/>
    <col min="5" max="5" width="42.77734375" style="30" bestFit="1" customWidth="1"/>
    <col min="6" max="6" width="95.33203125" style="30" bestFit="1" customWidth="1"/>
    <col min="7" max="7" width="8.88671875" customWidth="1"/>
    <col min="8" max="16384" width="8.88671875" hidden="1"/>
  </cols>
  <sheetData>
    <row r="2" spans="2:6" ht="18" x14ac:dyDescent="0.3">
      <c r="B2" s="32" t="s">
        <v>377</v>
      </c>
    </row>
    <row r="5" spans="2:6" x14ac:dyDescent="0.3">
      <c r="B5" s="31" t="s">
        <v>376</v>
      </c>
      <c r="C5" s="31" t="s">
        <v>375</v>
      </c>
      <c r="D5" s="31" t="s">
        <v>374</v>
      </c>
      <c r="E5" s="31" t="s">
        <v>373</v>
      </c>
      <c r="F5" s="31" t="s">
        <v>372</v>
      </c>
    </row>
    <row r="6" spans="2:6" ht="14.4" customHeight="1" x14ac:dyDescent="0.3">
      <c r="B6" s="41" t="s">
        <v>371</v>
      </c>
      <c r="C6" s="43" t="s">
        <v>370</v>
      </c>
      <c r="D6" s="24">
        <v>141</v>
      </c>
      <c r="E6" s="23" t="s">
        <v>58</v>
      </c>
      <c r="F6" s="23"/>
    </row>
    <row r="7" spans="2:6" x14ac:dyDescent="0.3">
      <c r="B7" s="46"/>
      <c r="C7" s="44"/>
      <c r="D7" s="24">
        <v>203</v>
      </c>
      <c r="E7" s="23" t="s">
        <v>83</v>
      </c>
      <c r="F7" s="23"/>
    </row>
    <row r="8" spans="2:6" x14ac:dyDescent="0.3">
      <c r="B8" s="46"/>
      <c r="C8" s="44"/>
      <c r="D8" s="24">
        <v>241</v>
      </c>
      <c r="E8" s="23" t="s">
        <v>58</v>
      </c>
      <c r="F8" s="23"/>
    </row>
    <row r="9" spans="2:6" x14ac:dyDescent="0.3">
      <c r="B9" s="46"/>
      <c r="C9" s="44"/>
      <c r="D9" s="24">
        <v>251</v>
      </c>
      <c r="E9" s="23" t="s">
        <v>58</v>
      </c>
      <c r="F9" s="23"/>
    </row>
    <row r="10" spans="2:6" x14ac:dyDescent="0.3">
      <c r="B10" s="46"/>
      <c r="C10" s="44"/>
      <c r="D10" s="24">
        <v>140</v>
      </c>
      <c r="E10" s="24" t="s">
        <v>57</v>
      </c>
      <c r="F10" s="23" t="s">
        <v>322</v>
      </c>
    </row>
    <row r="11" spans="2:6" x14ac:dyDescent="0.3">
      <c r="B11" s="42"/>
      <c r="C11" s="45"/>
      <c r="D11" s="24">
        <v>149</v>
      </c>
      <c r="E11" s="24" t="s">
        <v>66</v>
      </c>
      <c r="F11" s="23" t="s">
        <v>322</v>
      </c>
    </row>
    <row r="12" spans="2:6" ht="43.2" x14ac:dyDescent="0.3">
      <c r="B12" s="29" t="s">
        <v>369</v>
      </c>
      <c r="C12" s="33" t="s">
        <v>368</v>
      </c>
      <c r="D12" s="11"/>
      <c r="E12" s="22"/>
      <c r="F12" s="22" t="s">
        <v>334</v>
      </c>
    </row>
    <row r="13" spans="2:6" ht="43.2" customHeight="1" x14ac:dyDescent="0.3">
      <c r="B13" s="41" t="s">
        <v>367</v>
      </c>
      <c r="C13" s="39" t="s">
        <v>366</v>
      </c>
      <c r="D13" s="24">
        <v>143</v>
      </c>
      <c r="E13" s="23" t="s">
        <v>60</v>
      </c>
      <c r="F13" s="23" t="s">
        <v>365</v>
      </c>
    </row>
    <row r="14" spans="2:6" x14ac:dyDescent="0.3">
      <c r="B14" s="42"/>
      <c r="C14" s="40"/>
      <c r="D14" s="24">
        <v>227</v>
      </c>
      <c r="E14" s="24" t="s">
        <v>102</v>
      </c>
      <c r="F14" s="23" t="s">
        <v>322</v>
      </c>
    </row>
    <row r="15" spans="2:6" x14ac:dyDescent="0.3">
      <c r="B15" s="38" t="s">
        <v>364</v>
      </c>
      <c r="C15" s="52" t="s">
        <v>363</v>
      </c>
      <c r="D15" s="11">
        <v>142</v>
      </c>
      <c r="E15" s="22" t="s">
        <v>59</v>
      </c>
      <c r="F15" s="22"/>
    </row>
    <row r="16" spans="2:6" x14ac:dyDescent="0.3">
      <c r="B16" s="38"/>
      <c r="C16" s="52"/>
      <c r="D16" s="11">
        <v>252</v>
      </c>
      <c r="E16" s="22" t="s">
        <v>106</v>
      </c>
      <c r="F16" s="22"/>
    </row>
    <row r="17" spans="2:6" x14ac:dyDescent="0.3">
      <c r="B17" s="38"/>
      <c r="C17" s="52"/>
      <c r="D17" s="11">
        <v>253</v>
      </c>
      <c r="E17" s="22" t="s">
        <v>107</v>
      </c>
      <c r="F17" s="22"/>
    </row>
    <row r="18" spans="2:6" x14ac:dyDescent="0.3">
      <c r="B18" s="38"/>
      <c r="C18" s="52"/>
      <c r="D18" s="11">
        <v>254</v>
      </c>
      <c r="E18" s="22" t="s">
        <v>108</v>
      </c>
      <c r="F18" s="22"/>
    </row>
    <row r="19" spans="2:6" x14ac:dyDescent="0.3">
      <c r="B19" s="38"/>
      <c r="C19" s="52"/>
      <c r="D19" s="11">
        <v>712</v>
      </c>
      <c r="E19" s="22" t="s">
        <v>167</v>
      </c>
      <c r="F19" s="22"/>
    </row>
    <row r="20" spans="2:6" x14ac:dyDescent="0.3">
      <c r="B20" s="38"/>
      <c r="C20" s="52"/>
      <c r="D20" s="11">
        <v>713</v>
      </c>
      <c r="E20" s="22" t="s">
        <v>168</v>
      </c>
      <c r="F20" s="22"/>
    </row>
    <row r="21" spans="2:6" x14ac:dyDescent="0.3">
      <c r="B21" s="51" t="s">
        <v>362</v>
      </c>
      <c r="C21" s="53" t="s">
        <v>361</v>
      </c>
      <c r="D21" s="24">
        <v>144</v>
      </c>
      <c r="E21" s="23" t="s">
        <v>61</v>
      </c>
      <c r="F21" s="23" t="s">
        <v>360</v>
      </c>
    </row>
    <row r="22" spans="2:6" x14ac:dyDescent="0.3">
      <c r="B22" s="51"/>
      <c r="C22" s="50"/>
      <c r="D22" s="24">
        <v>145</v>
      </c>
      <c r="E22" s="23" t="s">
        <v>62</v>
      </c>
      <c r="F22" s="23" t="s">
        <v>360</v>
      </c>
    </row>
    <row r="23" spans="2:6" ht="28.8" x14ac:dyDescent="0.3">
      <c r="B23" s="29" t="s">
        <v>359</v>
      </c>
      <c r="C23" s="33" t="s">
        <v>358</v>
      </c>
      <c r="D23" s="22"/>
      <c r="E23" s="22"/>
      <c r="F23" s="22" t="s">
        <v>334</v>
      </c>
    </row>
    <row r="24" spans="2:6" ht="43.2" x14ac:dyDescent="0.3">
      <c r="B24" s="27" t="s">
        <v>357</v>
      </c>
      <c r="C24" s="34" t="s">
        <v>356</v>
      </c>
      <c r="D24" s="11">
        <v>180</v>
      </c>
      <c r="E24" s="22" t="s">
        <v>77</v>
      </c>
      <c r="F24" s="22"/>
    </row>
    <row r="25" spans="2:6" ht="43.2" x14ac:dyDescent="0.3">
      <c r="B25" s="29" t="s">
        <v>355</v>
      </c>
      <c r="C25" s="28" t="s">
        <v>354</v>
      </c>
      <c r="D25" s="11">
        <v>181</v>
      </c>
      <c r="E25" s="22" t="s">
        <v>78</v>
      </c>
      <c r="F25" s="22" t="s">
        <v>353</v>
      </c>
    </row>
    <row r="26" spans="2:6" ht="43.2" x14ac:dyDescent="0.3">
      <c r="B26" s="27" t="s">
        <v>352</v>
      </c>
      <c r="C26" s="34" t="s">
        <v>351</v>
      </c>
      <c r="D26" s="24">
        <v>146</v>
      </c>
      <c r="E26" s="23" t="s">
        <v>63</v>
      </c>
      <c r="F26" s="23"/>
    </row>
    <row r="27" spans="2:6" ht="57.6" x14ac:dyDescent="0.3">
      <c r="B27" s="29" t="s">
        <v>350</v>
      </c>
      <c r="C27" s="33" t="s">
        <v>349</v>
      </c>
      <c r="D27" s="22"/>
      <c r="E27" s="22"/>
      <c r="F27" s="22" t="s">
        <v>334</v>
      </c>
    </row>
    <row r="28" spans="2:6" ht="57.6" x14ac:dyDescent="0.3">
      <c r="B28" s="27" t="s">
        <v>348</v>
      </c>
      <c r="C28" s="34" t="s">
        <v>347</v>
      </c>
      <c r="D28" s="23"/>
      <c r="E28" s="23"/>
      <c r="F28" s="23" t="s">
        <v>334</v>
      </c>
    </row>
    <row r="29" spans="2:6" ht="100.8" x14ac:dyDescent="0.3">
      <c r="B29" s="29" t="s">
        <v>346</v>
      </c>
      <c r="C29" s="33" t="s">
        <v>345</v>
      </c>
      <c r="D29" s="22"/>
      <c r="E29" s="22"/>
      <c r="F29" s="22" t="s">
        <v>334</v>
      </c>
    </row>
    <row r="30" spans="2:6" ht="72" x14ac:dyDescent="0.3">
      <c r="B30" s="27" t="s">
        <v>344</v>
      </c>
      <c r="C30" s="34" t="s">
        <v>343</v>
      </c>
      <c r="D30" s="23"/>
      <c r="E30" s="23"/>
      <c r="F30" s="23" t="s">
        <v>334</v>
      </c>
    </row>
    <row r="31" spans="2:6" x14ac:dyDescent="0.3">
      <c r="B31" s="29" t="s">
        <v>342</v>
      </c>
      <c r="C31" s="33" t="s">
        <v>341</v>
      </c>
      <c r="D31" s="22"/>
      <c r="E31" s="22"/>
      <c r="F31" s="22" t="s">
        <v>334</v>
      </c>
    </row>
    <row r="32" spans="2:6" x14ac:dyDescent="0.3">
      <c r="B32" s="51" t="s">
        <v>340</v>
      </c>
      <c r="C32" s="50" t="s">
        <v>339</v>
      </c>
      <c r="D32" s="24">
        <v>161</v>
      </c>
      <c r="E32" s="23" t="s">
        <v>73</v>
      </c>
      <c r="F32" s="23"/>
    </row>
    <row r="33" spans="2:6" x14ac:dyDescent="0.3">
      <c r="B33" s="51"/>
      <c r="C33" s="50"/>
      <c r="D33" s="24">
        <v>162</v>
      </c>
      <c r="E33" s="23" t="s">
        <v>74</v>
      </c>
      <c r="F33" s="23"/>
    </row>
    <row r="34" spans="2:6" x14ac:dyDescent="0.3">
      <c r="B34" s="51"/>
      <c r="C34" s="50"/>
      <c r="D34" s="24">
        <v>167</v>
      </c>
      <c r="E34" s="23" t="s">
        <v>75</v>
      </c>
      <c r="F34" s="23"/>
    </row>
    <row r="35" spans="2:6" x14ac:dyDescent="0.3">
      <c r="B35" s="38" t="s">
        <v>338</v>
      </c>
      <c r="C35" s="52" t="s">
        <v>337</v>
      </c>
      <c r="D35" s="11">
        <v>148</v>
      </c>
      <c r="E35" s="22" t="s">
        <v>65</v>
      </c>
      <c r="F35" s="22"/>
    </row>
    <row r="36" spans="2:6" x14ac:dyDescent="0.3">
      <c r="B36" s="38"/>
      <c r="C36" s="52"/>
      <c r="D36" s="11">
        <v>171</v>
      </c>
      <c r="E36" s="22" t="s">
        <v>76</v>
      </c>
      <c r="F36" s="22"/>
    </row>
    <row r="37" spans="2:6" x14ac:dyDescent="0.3">
      <c r="B37" s="27" t="s">
        <v>336</v>
      </c>
      <c r="C37" s="34" t="s">
        <v>335</v>
      </c>
      <c r="D37" s="23"/>
      <c r="E37" s="23"/>
      <c r="F37" s="23" t="s">
        <v>334</v>
      </c>
    </row>
    <row r="38" spans="2:6" x14ac:dyDescent="0.3">
      <c r="B38" s="47" t="s">
        <v>333</v>
      </c>
      <c r="C38" s="35" t="s">
        <v>332</v>
      </c>
      <c r="D38" s="11">
        <v>15</v>
      </c>
      <c r="E38" s="22" t="s">
        <v>5</v>
      </c>
      <c r="F38" s="11" t="s">
        <v>322</v>
      </c>
    </row>
    <row r="39" spans="2:6" x14ac:dyDescent="0.3">
      <c r="B39" s="48"/>
      <c r="C39" s="36"/>
      <c r="D39" s="11">
        <v>152</v>
      </c>
      <c r="E39" s="22" t="s">
        <v>69</v>
      </c>
      <c r="F39" s="11" t="s">
        <v>322</v>
      </c>
    </row>
    <row r="40" spans="2:6" x14ac:dyDescent="0.3">
      <c r="B40" s="48"/>
      <c r="C40" s="36"/>
      <c r="D40" s="11">
        <v>211</v>
      </c>
      <c r="E40" s="22" t="s">
        <v>87</v>
      </c>
      <c r="F40" s="11" t="s">
        <v>322</v>
      </c>
    </row>
    <row r="41" spans="2:6" x14ac:dyDescent="0.3">
      <c r="B41" s="48"/>
      <c r="C41" s="36"/>
      <c r="D41" s="11">
        <v>212</v>
      </c>
      <c r="E41" s="22" t="s">
        <v>88</v>
      </c>
      <c r="F41" s="11" t="s">
        <v>322</v>
      </c>
    </row>
    <row r="42" spans="2:6" x14ac:dyDescent="0.3">
      <c r="B42" s="48"/>
      <c r="C42" s="36"/>
      <c r="D42" s="11">
        <v>213</v>
      </c>
      <c r="E42" s="22" t="s">
        <v>89</v>
      </c>
      <c r="F42" s="11" t="s">
        <v>322</v>
      </c>
    </row>
    <row r="43" spans="2:6" x14ac:dyDescent="0.3">
      <c r="B43" s="48"/>
      <c r="C43" s="36"/>
      <c r="D43" s="11">
        <v>214</v>
      </c>
      <c r="E43" s="22" t="s">
        <v>90</v>
      </c>
      <c r="F43" s="11" t="s">
        <v>322</v>
      </c>
    </row>
    <row r="44" spans="2:6" x14ac:dyDescent="0.3">
      <c r="B44" s="48"/>
      <c r="C44" s="36"/>
      <c r="D44" s="11">
        <v>216</v>
      </c>
      <c r="E44" s="22" t="s">
        <v>69</v>
      </c>
      <c r="F44" s="11" t="s">
        <v>322</v>
      </c>
    </row>
    <row r="45" spans="2:6" x14ac:dyDescent="0.3">
      <c r="B45" s="48"/>
      <c r="C45" s="36"/>
      <c r="D45" s="11">
        <v>225</v>
      </c>
      <c r="E45" s="22" t="s">
        <v>100</v>
      </c>
      <c r="F45" s="11" t="s">
        <v>322</v>
      </c>
    </row>
    <row r="46" spans="2:6" x14ac:dyDescent="0.3">
      <c r="B46" s="49"/>
      <c r="C46" s="37"/>
      <c r="D46" s="11">
        <v>14</v>
      </c>
      <c r="E46" s="22" t="s">
        <v>4</v>
      </c>
      <c r="F46" s="11" t="s">
        <v>322</v>
      </c>
    </row>
    <row r="47" spans="2:6" x14ac:dyDescent="0.3">
      <c r="B47" s="51" t="s">
        <v>331</v>
      </c>
      <c r="C47" s="50" t="s">
        <v>330</v>
      </c>
      <c r="D47" s="24">
        <v>147</v>
      </c>
      <c r="E47" s="23" t="s">
        <v>64</v>
      </c>
      <c r="F47" s="23"/>
    </row>
    <row r="48" spans="2:6" x14ac:dyDescent="0.3">
      <c r="B48" s="51"/>
      <c r="C48" s="50"/>
      <c r="D48" s="24">
        <v>255</v>
      </c>
      <c r="E48" s="23" t="s">
        <v>109</v>
      </c>
      <c r="F48" s="23" t="s">
        <v>329</v>
      </c>
    </row>
    <row r="49" spans="2:6" x14ac:dyDescent="0.3">
      <c r="B49" s="51"/>
      <c r="C49" s="50"/>
      <c r="D49" s="24">
        <v>256</v>
      </c>
      <c r="E49" s="23" t="s">
        <v>110</v>
      </c>
      <c r="F49" s="23" t="s">
        <v>329</v>
      </c>
    </row>
    <row r="50" spans="2:6" x14ac:dyDescent="0.3">
      <c r="B50" s="51"/>
      <c r="C50" s="50"/>
      <c r="D50" s="24">
        <v>257</v>
      </c>
      <c r="E50" s="23" t="s">
        <v>111</v>
      </c>
      <c r="F50" s="23" t="s">
        <v>329</v>
      </c>
    </row>
    <row r="51" spans="2:6" x14ac:dyDescent="0.3">
      <c r="B51" s="51"/>
      <c r="C51" s="50"/>
      <c r="D51" s="24">
        <v>242</v>
      </c>
      <c r="E51" s="23" t="s">
        <v>103</v>
      </c>
      <c r="F51" s="23" t="s">
        <v>328</v>
      </c>
    </row>
    <row r="52" spans="2:6" x14ac:dyDescent="0.3">
      <c r="B52" s="51"/>
      <c r="C52" s="50"/>
      <c r="D52" s="24">
        <v>243</v>
      </c>
      <c r="E52" s="23" t="s">
        <v>104</v>
      </c>
      <c r="F52" s="23" t="s">
        <v>328</v>
      </c>
    </row>
    <row r="53" spans="2:6" x14ac:dyDescent="0.3">
      <c r="B53" s="51"/>
      <c r="C53" s="50"/>
      <c r="D53" s="24">
        <v>244</v>
      </c>
      <c r="E53" s="23" t="s">
        <v>105</v>
      </c>
      <c r="F53" s="23" t="s">
        <v>328</v>
      </c>
    </row>
    <row r="54" spans="2:6" x14ac:dyDescent="0.3">
      <c r="B54" s="47" t="s">
        <v>327</v>
      </c>
      <c r="C54" s="35" t="s">
        <v>326</v>
      </c>
      <c r="D54" s="11">
        <v>33</v>
      </c>
      <c r="E54" s="22" t="s">
        <v>22</v>
      </c>
      <c r="F54" s="11" t="s">
        <v>322</v>
      </c>
    </row>
    <row r="55" spans="2:6" x14ac:dyDescent="0.3">
      <c r="B55" s="48"/>
      <c r="C55" s="36"/>
      <c r="D55" s="11">
        <v>210</v>
      </c>
      <c r="E55" s="22" t="s">
        <v>86</v>
      </c>
      <c r="F55" s="11" t="s">
        <v>322</v>
      </c>
    </row>
    <row r="56" spans="2:6" x14ac:dyDescent="0.3">
      <c r="B56" s="48"/>
      <c r="C56" s="36"/>
      <c r="D56" s="11">
        <v>222</v>
      </c>
      <c r="E56" s="22" t="s">
        <v>97</v>
      </c>
      <c r="F56" s="11" t="s">
        <v>322</v>
      </c>
    </row>
    <row r="57" spans="2:6" x14ac:dyDescent="0.3">
      <c r="B57" s="48"/>
      <c r="C57" s="36"/>
      <c r="D57" s="11">
        <v>223</v>
      </c>
      <c r="E57" s="22" t="s">
        <v>98</v>
      </c>
      <c r="F57" s="11" t="s">
        <v>322</v>
      </c>
    </row>
    <row r="58" spans="2:6" x14ac:dyDescent="0.3">
      <c r="B58" s="48"/>
      <c r="C58" s="36"/>
      <c r="D58" s="11">
        <v>224</v>
      </c>
      <c r="E58" s="22" t="s">
        <v>99</v>
      </c>
      <c r="F58" s="11" t="s">
        <v>322</v>
      </c>
    </row>
    <row r="59" spans="2:6" x14ac:dyDescent="0.3">
      <c r="B59" s="41" t="s">
        <v>325</v>
      </c>
      <c r="C59" s="43" t="s">
        <v>324</v>
      </c>
      <c r="D59" s="24">
        <v>150</v>
      </c>
      <c r="E59" s="24" t="s">
        <v>67</v>
      </c>
      <c r="F59" s="23" t="s">
        <v>323</v>
      </c>
    </row>
    <row r="60" spans="2:6" x14ac:dyDescent="0.3">
      <c r="B60" s="46"/>
      <c r="C60" s="44"/>
      <c r="D60" s="24">
        <v>151</v>
      </c>
      <c r="E60" s="24" t="s">
        <v>68</v>
      </c>
      <c r="F60" s="23" t="s">
        <v>323</v>
      </c>
    </row>
    <row r="61" spans="2:6" x14ac:dyDescent="0.3">
      <c r="B61" s="46"/>
      <c r="C61" s="44"/>
      <c r="D61" s="24">
        <v>215</v>
      </c>
      <c r="E61" s="24" t="s">
        <v>91</v>
      </c>
      <c r="F61" s="23" t="s">
        <v>323</v>
      </c>
    </row>
    <row r="62" spans="2:6" x14ac:dyDescent="0.3">
      <c r="B62" s="46"/>
      <c r="C62" s="44"/>
      <c r="D62" s="24">
        <v>220</v>
      </c>
      <c r="E62" s="24" t="s">
        <v>95</v>
      </c>
      <c r="F62" s="23" t="s">
        <v>323</v>
      </c>
    </row>
    <row r="63" spans="2:6" x14ac:dyDescent="0.3">
      <c r="B63" s="46"/>
      <c r="C63" s="44"/>
      <c r="D63" s="24">
        <v>221</v>
      </c>
      <c r="E63" s="24" t="s">
        <v>96</v>
      </c>
      <c r="F63" s="23" t="s">
        <v>323</v>
      </c>
    </row>
    <row r="64" spans="2:6" x14ac:dyDescent="0.3">
      <c r="B64" s="46"/>
      <c r="C64" s="44"/>
      <c r="D64" s="24">
        <v>226</v>
      </c>
      <c r="E64" s="24" t="s">
        <v>101</v>
      </c>
      <c r="F64" s="23" t="s">
        <v>323</v>
      </c>
    </row>
    <row r="65" spans="2:6" x14ac:dyDescent="0.3">
      <c r="B65" s="26"/>
      <c r="C65" s="25"/>
      <c r="D65" s="24">
        <v>704</v>
      </c>
      <c r="E65" s="24" t="s">
        <v>159</v>
      </c>
      <c r="F65" s="23" t="s">
        <v>322</v>
      </c>
    </row>
    <row r="66" spans="2:6" x14ac:dyDescent="0.3">
      <c r="B66" s="38" t="s">
        <v>321</v>
      </c>
      <c r="C66" s="35" t="s">
        <v>320</v>
      </c>
      <c r="D66" s="11">
        <v>110</v>
      </c>
      <c r="E66" s="22" t="s">
        <v>48</v>
      </c>
      <c r="F66" s="22"/>
    </row>
    <row r="67" spans="2:6" x14ac:dyDescent="0.3">
      <c r="B67" s="38"/>
      <c r="C67" s="36"/>
      <c r="D67" s="11">
        <v>120</v>
      </c>
      <c r="E67" s="22" t="s">
        <v>49</v>
      </c>
      <c r="F67" s="22"/>
    </row>
    <row r="68" spans="2:6" x14ac:dyDescent="0.3">
      <c r="B68" s="38"/>
      <c r="C68" s="36"/>
      <c r="D68" s="11">
        <v>121</v>
      </c>
      <c r="E68" s="22" t="s">
        <v>50</v>
      </c>
      <c r="F68" s="22"/>
    </row>
    <row r="69" spans="2:6" x14ac:dyDescent="0.3">
      <c r="B69" s="38"/>
      <c r="C69" s="36"/>
      <c r="D69" s="11">
        <v>122</v>
      </c>
      <c r="E69" s="22" t="s">
        <v>51</v>
      </c>
      <c r="F69" s="22"/>
    </row>
    <row r="70" spans="2:6" x14ac:dyDescent="0.3">
      <c r="B70" s="38"/>
      <c r="C70" s="36"/>
      <c r="D70" s="11">
        <v>130</v>
      </c>
      <c r="E70" s="22" t="s">
        <v>52</v>
      </c>
      <c r="F70" s="22"/>
    </row>
    <row r="71" spans="2:6" x14ac:dyDescent="0.3">
      <c r="B71" s="38"/>
      <c r="C71" s="36"/>
      <c r="D71" s="11">
        <v>131</v>
      </c>
      <c r="E71" s="22" t="s">
        <v>53</v>
      </c>
      <c r="F71" s="22"/>
    </row>
    <row r="72" spans="2:6" x14ac:dyDescent="0.3">
      <c r="B72" s="38"/>
      <c r="C72" s="36"/>
      <c r="D72" s="11">
        <v>132</v>
      </c>
      <c r="E72" s="22" t="s">
        <v>54</v>
      </c>
      <c r="F72" s="22"/>
    </row>
    <row r="73" spans="2:6" x14ac:dyDescent="0.3">
      <c r="B73" s="38"/>
      <c r="C73" s="36"/>
      <c r="D73" s="11">
        <v>133</v>
      </c>
      <c r="E73" s="22" t="s">
        <v>55</v>
      </c>
      <c r="F73" s="22"/>
    </row>
    <row r="74" spans="2:6" x14ac:dyDescent="0.3">
      <c r="B74" s="38"/>
      <c r="C74" s="36"/>
      <c r="D74" s="11">
        <v>134</v>
      </c>
      <c r="E74" s="22" t="s">
        <v>56</v>
      </c>
      <c r="F74" s="22"/>
    </row>
    <row r="75" spans="2:6" x14ac:dyDescent="0.3">
      <c r="B75" s="38"/>
      <c r="C75" s="36"/>
      <c r="D75" s="11">
        <v>718</v>
      </c>
      <c r="E75" s="22" t="s">
        <v>173</v>
      </c>
      <c r="F75" s="22"/>
    </row>
    <row r="76" spans="2:6" x14ac:dyDescent="0.3">
      <c r="B76" s="38"/>
      <c r="C76" s="36"/>
      <c r="D76" s="11">
        <v>10</v>
      </c>
      <c r="E76" s="22" t="s">
        <v>0</v>
      </c>
      <c r="F76" s="22"/>
    </row>
    <row r="77" spans="2:6" x14ac:dyDescent="0.3">
      <c r="B77" s="38"/>
      <c r="C77" s="36"/>
      <c r="D77" s="11">
        <v>11</v>
      </c>
      <c r="E77" s="22" t="s">
        <v>1</v>
      </c>
      <c r="F77" s="22"/>
    </row>
    <row r="78" spans="2:6" x14ac:dyDescent="0.3">
      <c r="B78" s="38"/>
      <c r="C78" s="36"/>
      <c r="D78" s="11">
        <v>12</v>
      </c>
      <c r="E78" s="22" t="s">
        <v>2</v>
      </c>
      <c r="F78" s="22"/>
    </row>
    <row r="79" spans="2:6" x14ac:dyDescent="0.3">
      <c r="B79" s="38"/>
      <c r="C79" s="36"/>
      <c r="D79" s="11">
        <v>13</v>
      </c>
      <c r="E79" s="22" t="s">
        <v>3</v>
      </c>
      <c r="F79" s="22"/>
    </row>
    <row r="80" spans="2:6" x14ac:dyDescent="0.3">
      <c r="B80" s="38"/>
      <c r="C80" s="36"/>
      <c r="D80" s="11">
        <v>17</v>
      </c>
      <c r="E80" s="22" t="s">
        <v>6</v>
      </c>
      <c r="F80" s="22"/>
    </row>
    <row r="81" spans="2:6" x14ac:dyDescent="0.3">
      <c r="B81" s="38"/>
      <c r="C81" s="36"/>
      <c r="D81" s="11">
        <v>18</v>
      </c>
      <c r="E81" s="22" t="s">
        <v>7</v>
      </c>
      <c r="F81" s="22"/>
    </row>
    <row r="82" spans="2:6" x14ac:dyDescent="0.3">
      <c r="B82" s="38"/>
      <c r="C82" s="36"/>
      <c r="D82" s="11">
        <v>19</v>
      </c>
      <c r="E82" s="22" t="s">
        <v>8</v>
      </c>
      <c r="F82" s="22"/>
    </row>
    <row r="83" spans="2:6" x14ac:dyDescent="0.3">
      <c r="B83" s="38"/>
      <c r="C83" s="36"/>
      <c r="D83" s="11">
        <v>20</v>
      </c>
      <c r="E83" s="22" t="s">
        <v>9</v>
      </c>
      <c r="F83" s="22"/>
    </row>
    <row r="84" spans="2:6" x14ac:dyDescent="0.3">
      <c r="B84" s="38"/>
      <c r="C84" s="36"/>
      <c r="D84" s="11">
        <v>21</v>
      </c>
      <c r="E84" s="22" t="s">
        <v>10</v>
      </c>
      <c r="F84" s="22"/>
    </row>
    <row r="85" spans="2:6" x14ac:dyDescent="0.3">
      <c r="B85" s="38"/>
      <c r="C85" s="36"/>
      <c r="D85" s="11">
        <v>22</v>
      </c>
      <c r="E85" s="22" t="s">
        <v>11</v>
      </c>
      <c r="F85" s="22"/>
    </row>
    <row r="86" spans="2:6" x14ac:dyDescent="0.3">
      <c r="B86" s="38"/>
      <c r="C86" s="36"/>
      <c r="D86" s="11">
        <v>23</v>
      </c>
      <c r="E86" s="22" t="s">
        <v>12</v>
      </c>
      <c r="F86" s="22"/>
    </row>
    <row r="87" spans="2:6" x14ac:dyDescent="0.3">
      <c r="B87" s="38"/>
      <c r="C87" s="36"/>
      <c r="D87" s="11">
        <v>24</v>
      </c>
      <c r="E87" s="22" t="s">
        <v>13</v>
      </c>
      <c r="F87" s="22"/>
    </row>
    <row r="88" spans="2:6" x14ac:dyDescent="0.3">
      <c r="B88" s="38"/>
      <c r="C88" s="36"/>
      <c r="D88" s="11">
        <v>25</v>
      </c>
      <c r="E88" s="22" t="s">
        <v>14</v>
      </c>
      <c r="F88" s="22"/>
    </row>
    <row r="89" spans="2:6" x14ac:dyDescent="0.3">
      <c r="B89" s="38"/>
      <c r="C89" s="36"/>
      <c r="D89" s="11">
        <v>26</v>
      </c>
      <c r="E89" s="22" t="s">
        <v>15</v>
      </c>
      <c r="F89" s="22"/>
    </row>
    <row r="90" spans="2:6" x14ac:dyDescent="0.3">
      <c r="B90" s="38"/>
      <c r="C90" s="36"/>
      <c r="D90" s="11">
        <v>27</v>
      </c>
      <c r="E90" s="22" t="s">
        <v>16</v>
      </c>
      <c r="F90" s="22"/>
    </row>
    <row r="91" spans="2:6" x14ac:dyDescent="0.3">
      <c r="B91" s="38"/>
      <c r="C91" s="36"/>
      <c r="D91" s="11">
        <v>28</v>
      </c>
      <c r="E91" s="22" t="s">
        <v>17</v>
      </c>
      <c r="F91" s="22"/>
    </row>
    <row r="92" spans="2:6" x14ac:dyDescent="0.3">
      <c r="B92" s="38"/>
      <c r="C92" s="36"/>
      <c r="D92" s="11">
        <v>29</v>
      </c>
      <c r="E92" s="22" t="s">
        <v>18</v>
      </c>
      <c r="F92" s="22"/>
    </row>
    <row r="93" spans="2:6" x14ac:dyDescent="0.3">
      <c r="B93" s="38"/>
      <c r="C93" s="36"/>
      <c r="D93" s="11">
        <v>30</v>
      </c>
      <c r="E93" s="22" t="s">
        <v>19</v>
      </c>
      <c r="F93" s="22"/>
    </row>
    <row r="94" spans="2:6" x14ac:dyDescent="0.3">
      <c r="B94" s="38"/>
      <c r="C94" s="36"/>
      <c r="D94" s="11">
        <v>31</v>
      </c>
      <c r="E94" s="22" t="s">
        <v>20</v>
      </c>
      <c r="F94" s="22"/>
    </row>
    <row r="95" spans="2:6" x14ac:dyDescent="0.3">
      <c r="B95" s="38"/>
      <c r="C95" s="36"/>
      <c r="D95" s="11">
        <v>32</v>
      </c>
      <c r="E95" s="22" t="s">
        <v>21</v>
      </c>
      <c r="F95" s="22"/>
    </row>
    <row r="96" spans="2:6" x14ac:dyDescent="0.3">
      <c r="B96" s="38"/>
      <c r="C96" s="36"/>
      <c r="D96" s="11">
        <v>34</v>
      </c>
      <c r="E96" s="22" t="s">
        <v>23</v>
      </c>
      <c r="F96" s="22"/>
    </row>
    <row r="97" spans="2:6" x14ac:dyDescent="0.3">
      <c r="B97" s="38"/>
      <c r="C97" s="36"/>
      <c r="D97" s="11">
        <v>39</v>
      </c>
      <c r="E97" s="22" t="s">
        <v>24</v>
      </c>
      <c r="F97" s="22"/>
    </row>
    <row r="98" spans="2:6" x14ac:dyDescent="0.3">
      <c r="B98" s="38"/>
      <c r="C98" s="36"/>
      <c r="D98" s="11">
        <v>40</v>
      </c>
      <c r="E98" s="22" t="s">
        <v>25</v>
      </c>
      <c r="F98" s="22"/>
    </row>
    <row r="99" spans="2:6" x14ac:dyDescent="0.3">
      <c r="B99" s="38"/>
      <c r="C99" s="36"/>
      <c r="D99" s="11">
        <v>41</v>
      </c>
      <c r="E99" s="22" t="s">
        <v>26</v>
      </c>
      <c r="F99" s="22"/>
    </row>
    <row r="100" spans="2:6" x14ac:dyDescent="0.3">
      <c r="B100" s="38"/>
      <c r="C100" s="36"/>
      <c r="D100" s="11">
        <v>42</v>
      </c>
      <c r="E100" s="22" t="s">
        <v>27</v>
      </c>
      <c r="F100" s="22"/>
    </row>
    <row r="101" spans="2:6" x14ac:dyDescent="0.3">
      <c r="B101" s="38"/>
      <c r="C101" s="36"/>
      <c r="D101" s="11">
        <v>43</v>
      </c>
      <c r="E101" s="22" t="s">
        <v>28</v>
      </c>
      <c r="F101" s="22"/>
    </row>
    <row r="102" spans="2:6" x14ac:dyDescent="0.3">
      <c r="B102" s="38"/>
      <c r="C102" s="36"/>
      <c r="D102" s="11">
        <v>49</v>
      </c>
      <c r="E102" s="22" t="s">
        <v>29</v>
      </c>
      <c r="F102" s="22"/>
    </row>
    <row r="103" spans="2:6" x14ac:dyDescent="0.3">
      <c r="B103" s="38"/>
      <c r="C103" s="36"/>
      <c r="D103" s="11">
        <v>50</v>
      </c>
      <c r="E103" s="22" t="s">
        <v>30</v>
      </c>
      <c r="F103" s="22"/>
    </row>
    <row r="104" spans="2:6" x14ac:dyDescent="0.3">
      <c r="B104" s="38"/>
      <c r="C104" s="36"/>
      <c r="D104" s="11">
        <v>51</v>
      </c>
      <c r="E104" s="22" t="s">
        <v>31</v>
      </c>
      <c r="F104" s="22"/>
    </row>
    <row r="105" spans="2:6" x14ac:dyDescent="0.3">
      <c r="B105" s="38"/>
      <c r="C105" s="36"/>
      <c r="D105" s="11">
        <v>52</v>
      </c>
      <c r="E105" s="22" t="s">
        <v>32</v>
      </c>
      <c r="F105" s="22"/>
    </row>
    <row r="106" spans="2:6" x14ac:dyDescent="0.3">
      <c r="B106" s="38"/>
      <c r="C106" s="36"/>
      <c r="D106" s="11">
        <v>53</v>
      </c>
      <c r="E106" s="22" t="s">
        <v>33</v>
      </c>
      <c r="F106" s="22"/>
    </row>
    <row r="107" spans="2:6" x14ac:dyDescent="0.3">
      <c r="B107" s="38"/>
      <c r="C107" s="36"/>
      <c r="D107" s="11">
        <v>54</v>
      </c>
      <c r="E107" s="22" t="s">
        <v>34</v>
      </c>
      <c r="F107" s="22"/>
    </row>
    <row r="108" spans="2:6" x14ac:dyDescent="0.3">
      <c r="B108" s="38"/>
      <c r="C108" s="36"/>
      <c r="D108" s="11">
        <v>55</v>
      </c>
      <c r="E108" s="22" t="s">
        <v>35</v>
      </c>
      <c r="F108" s="22"/>
    </row>
    <row r="109" spans="2:6" x14ac:dyDescent="0.3">
      <c r="B109" s="38"/>
      <c r="C109" s="36"/>
      <c r="D109" s="11">
        <v>57</v>
      </c>
      <c r="E109" s="22" t="s">
        <v>36</v>
      </c>
      <c r="F109" s="22"/>
    </row>
    <row r="110" spans="2:6" x14ac:dyDescent="0.3">
      <c r="B110" s="38"/>
      <c r="C110" s="36"/>
      <c r="D110" s="11">
        <v>58</v>
      </c>
      <c r="E110" s="22" t="s">
        <v>37</v>
      </c>
      <c r="F110" s="22"/>
    </row>
    <row r="111" spans="2:6" x14ac:dyDescent="0.3">
      <c r="B111" s="38"/>
      <c r="C111" s="36"/>
      <c r="D111" s="11">
        <v>59</v>
      </c>
      <c r="E111" s="22" t="s">
        <v>38</v>
      </c>
      <c r="F111" s="22"/>
    </row>
    <row r="112" spans="2:6" x14ac:dyDescent="0.3">
      <c r="B112" s="38"/>
      <c r="C112" s="36"/>
      <c r="D112" s="11">
        <v>60</v>
      </c>
      <c r="E112" s="22" t="s">
        <v>39</v>
      </c>
      <c r="F112" s="22"/>
    </row>
    <row r="113" spans="2:6" x14ac:dyDescent="0.3">
      <c r="B113" s="38"/>
      <c r="C113" s="36"/>
      <c r="D113" s="11">
        <v>61</v>
      </c>
      <c r="E113" s="22" t="s">
        <v>40</v>
      </c>
      <c r="F113" s="22"/>
    </row>
    <row r="114" spans="2:6" x14ac:dyDescent="0.3">
      <c r="B114" s="38"/>
      <c r="C114" s="36"/>
      <c r="D114" s="11">
        <v>62</v>
      </c>
      <c r="E114" s="22" t="s">
        <v>41</v>
      </c>
      <c r="F114" s="22"/>
    </row>
    <row r="115" spans="2:6" x14ac:dyDescent="0.3">
      <c r="B115" s="38"/>
      <c r="C115" s="36"/>
      <c r="D115" s="11">
        <v>69</v>
      </c>
      <c r="E115" s="22" t="s">
        <v>29</v>
      </c>
      <c r="F115" s="22"/>
    </row>
    <row r="116" spans="2:6" x14ac:dyDescent="0.3">
      <c r="B116" s="38"/>
      <c r="C116" s="36"/>
      <c r="D116" s="11">
        <v>70</v>
      </c>
      <c r="E116" s="22" t="s">
        <v>42</v>
      </c>
      <c r="F116" s="22"/>
    </row>
    <row r="117" spans="2:6" x14ac:dyDescent="0.3">
      <c r="B117" s="38"/>
      <c r="C117" s="36"/>
      <c r="D117" s="11">
        <v>71</v>
      </c>
      <c r="E117" s="22" t="s">
        <v>43</v>
      </c>
      <c r="F117" s="22"/>
    </row>
    <row r="118" spans="2:6" x14ac:dyDescent="0.3">
      <c r="B118" s="38"/>
      <c r="C118" s="36"/>
      <c r="D118" s="11">
        <v>72</v>
      </c>
      <c r="E118" s="22" t="s">
        <v>44</v>
      </c>
      <c r="F118" s="22"/>
    </row>
    <row r="119" spans="2:6" x14ac:dyDescent="0.3">
      <c r="B119" s="38"/>
      <c r="C119" s="36"/>
      <c r="D119" s="11">
        <v>73</v>
      </c>
      <c r="E119" s="22" t="s">
        <v>45</v>
      </c>
      <c r="F119" s="22"/>
    </row>
    <row r="120" spans="2:6" x14ac:dyDescent="0.3">
      <c r="B120" s="38"/>
      <c r="C120" s="36"/>
      <c r="D120" s="11">
        <v>74</v>
      </c>
      <c r="E120" s="22" t="s">
        <v>46</v>
      </c>
      <c r="F120" s="22"/>
    </row>
    <row r="121" spans="2:6" x14ac:dyDescent="0.3">
      <c r="B121" s="38"/>
      <c r="C121" s="36"/>
      <c r="D121" s="11">
        <v>79</v>
      </c>
      <c r="E121" s="22" t="s">
        <v>29</v>
      </c>
      <c r="F121" s="22"/>
    </row>
    <row r="122" spans="2:6" x14ac:dyDescent="0.3">
      <c r="B122" s="38"/>
      <c r="C122" s="36"/>
      <c r="D122" s="11">
        <v>100</v>
      </c>
      <c r="E122" s="22" t="s">
        <v>47</v>
      </c>
      <c r="F122" s="22"/>
    </row>
    <row r="123" spans="2:6" x14ac:dyDescent="0.3">
      <c r="B123" s="38"/>
      <c r="C123" s="36"/>
      <c r="D123" s="11">
        <v>153</v>
      </c>
      <c r="E123" s="22" t="s">
        <v>70</v>
      </c>
      <c r="F123" s="22"/>
    </row>
    <row r="124" spans="2:6" x14ac:dyDescent="0.3">
      <c r="B124" s="38"/>
      <c r="C124" s="36"/>
      <c r="D124" s="11">
        <v>154</v>
      </c>
      <c r="E124" s="22" t="s">
        <v>71</v>
      </c>
      <c r="F124" s="22"/>
    </row>
    <row r="125" spans="2:6" x14ac:dyDescent="0.3">
      <c r="B125" s="38"/>
      <c r="C125" s="36"/>
      <c r="D125" s="11">
        <v>155</v>
      </c>
      <c r="E125" s="22" t="s">
        <v>72</v>
      </c>
      <c r="F125" s="22"/>
    </row>
    <row r="126" spans="2:6" x14ac:dyDescent="0.3">
      <c r="B126" s="38"/>
      <c r="C126" s="36"/>
      <c r="D126" s="11">
        <v>199</v>
      </c>
      <c r="E126" s="22" t="s">
        <v>79</v>
      </c>
      <c r="F126" s="22"/>
    </row>
    <row r="127" spans="2:6" x14ac:dyDescent="0.3">
      <c r="B127" s="38"/>
      <c r="C127" s="36"/>
      <c r="D127" s="11">
        <v>200</v>
      </c>
      <c r="E127" s="22" t="s">
        <v>80</v>
      </c>
      <c r="F127" s="22"/>
    </row>
    <row r="128" spans="2:6" x14ac:dyDescent="0.3">
      <c r="B128" s="38"/>
      <c r="C128" s="36"/>
      <c r="D128" s="11">
        <v>201</v>
      </c>
      <c r="E128" s="22" t="s">
        <v>81</v>
      </c>
      <c r="F128" s="22"/>
    </row>
    <row r="129" spans="2:6" x14ac:dyDescent="0.3">
      <c r="B129" s="38"/>
      <c r="C129" s="36"/>
      <c r="D129" s="11">
        <v>202</v>
      </c>
      <c r="E129" s="22" t="s">
        <v>82</v>
      </c>
      <c r="F129" s="22"/>
    </row>
    <row r="130" spans="2:6" x14ac:dyDescent="0.3">
      <c r="B130" s="38"/>
      <c r="C130" s="36"/>
      <c r="D130" s="11">
        <v>204</v>
      </c>
      <c r="E130" s="22" t="s">
        <v>84</v>
      </c>
      <c r="F130" s="22"/>
    </row>
    <row r="131" spans="2:6" x14ac:dyDescent="0.3">
      <c r="B131" s="38"/>
      <c r="C131" s="36"/>
      <c r="D131" s="11">
        <v>205</v>
      </c>
      <c r="E131" s="22" t="s">
        <v>85</v>
      </c>
      <c r="F131" s="22"/>
    </row>
    <row r="132" spans="2:6" x14ac:dyDescent="0.3">
      <c r="B132" s="38"/>
      <c r="C132" s="36"/>
      <c r="D132" s="11">
        <v>217</v>
      </c>
      <c r="E132" s="22" t="s">
        <v>92</v>
      </c>
      <c r="F132" s="22"/>
    </row>
    <row r="133" spans="2:6" x14ac:dyDescent="0.3">
      <c r="B133" s="38"/>
      <c r="C133" s="36"/>
      <c r="D133" s="11">
        <v>218</v>
      </c>
      <c r="E133" s="22" t="s">
        <v>93</v>
      </c>
      <c r="F133" s="22"/>
    </row>
    <row r="134" spans="2:6" x14ac:dyDescent="0.3">
      <c r="B134" s="38"/>
      <c r="C134" s="36"/>
      <c r="D134" s="11">
        <v>219</v>
      </c>
      <c r="E134" s="22" t="s">
        <v>94</v>
      </c>
      <c r="F134" s="22"/>
    </row>
    <row r="135" spans="2:6" x14ac:dyDescent="0.3">
      <c r="B135" s="38"/>
      <c r="C135" s="36"/>
      <c r="D135" s="11">
        <v>300</v>
      </c>
      <c r="E135" s="22" t="s">
        <v>112</v>
      </c>
      <c r="F135" s="22"/>
    </row>
    <row r="136" spans="2:6" x14ac:dyDescent="0.3">
      <c r="B136" s="38"/>
      <c r="C136" s="36"/>
      <c r="D136" s="11">
        <v>305</v>
      </c>
      <c r="E136" s="22" t="s">
        <v>113</v>
      </c>
      <c r="F136" s="22"/>
    </row>
    <row r="137" spans="2:6" x14ac:dyDescent="0.3">
      <c r="B137" s="38"/>
      <c r="C137" s="36"/>
      <c r="D137" s="11">
        <v>310</v>
      </c>
      <c r="E137" s="22" t="s">
        <v>114</v>
      </c>
      <c r="F137" s="22"/>
    </row>
    <row r="138" spans="2:6" x14ac:dyDescent="0.3">
      <c r="B138" s="38"/>
      <c r="C138" s="36"/>
      <c r="D138" s="11">
        <v>315</v>
      </c>
      <c r="E138" s="22" t="s">
        <v>115</v>
      </c>
      <c r="F138" s="22"/>
    </row>
    <row r="139" spans="2:6" x14ac:dyDescent="0.3">
      <c r="B139" s="38"/>
      <c r="C139" s="36"/>
      <c r="D139" s="11">
        <v>320</v>
      </c>
      <c r="E139" s="22" t="s">
        <v>116</v>
      </c>
      <c r="F139" s="22"/>
    </row>
    <row r="140" spans="2:6" x14ac:dyDescent="0.3">
      <c r="B140" s="38"/>
      <c r="C140" s="36"/>
      <c r="D140" s="11">
        <v>325</v>
      </c>
      <c r="E140" s="22" t="s">
        <v>29</v>
      </c>
      <c r="F140" s="22"/>
    </row>
    <row r="141" spans="2:6" x14ac:dyDescent="0.3">
      <c r="B141" s="38"/>
      <c r="C141" s="36"/>
      <c r="D141" s="11">
        <v>330</v>
      </c>
      <c r="E141" s="22" t="s">
        <v>117</v>
      </c>
      <c r="F141" s="22"/>
    </row>
    <row r="142" spans="2:6" x14ac:dyDescent="0.3">
      <c r="B142" s="38"/>
      <c r="C142" s="36"/>
      <c r="D142" s="11">
        <v>335</v>
      </c>
      <c r="E142" s="22" t="s">
        <v>118</v>
      </c>
      <c r="F142" s="22"/>
    </row>
    <row r="143" spans="2:6" x14ac:dyDescent="0.3">
      <c r="B143" s="38"/>
      <c r="C143" s="36"/>
      <c r="D143" s="11">
        <v>340</v>
      </c>
      <c r="E143" s="22" t="s">
        <v>119</v>
      </c>
      <c r="F143" s="22"/>
    </row>
    <row r="144" spans="2:6" x14ac:dyDescent="0.3">
      <c r="B144" s="38"/>
      <c r="C144" s="36"/>
      <c r="D144" s="11">
        <v>345</v>
      </c>
      <c r="E144" s="22" t="s">
        <v>120</v>
      </c>
      <c r="F144" s="22"/>
    </row>
    <row r="145" spans="2:6" x14ac:dyDescent="0.3">
      <c r="B145" s="38"/>
      <c r="C145" s="36"/>
      <c r="D145" s="11">
        <v>350</v>
      </c>
      <c r="E145" s="22" t="s">
        <v>121</v>
      </c>
      <c r="F145" s="22"/>
    </row>
    <row r="146" spans="2:6" x14ac:dyDescent="0.3">
      <c r="B146" s="38"/>
      <c r="C146" s="36"/>
      <c r="D146" s="11">
        <v>355</v>
      </c>
      <c r="E146" s="22" t="s">
        <v>122</v>
      </c>
      <c r="F146" s="22"/>
    </row>
    <row r="147" spans="2:6" x14ac:dyDescent="0.3">
      <c r="B147" s="38"/>
      <c r="C147" s="36"/>
      <c r="D147" s="11">
        <v>360</v>
      </c>
      <c r="E147" s="22" t="s">
        <v>123</v>
      </c>
      <c r="F147" s="22"/>
    </row>
    <row r="148" spans="2:6" x14ac:dyDescent="0.3">
      <c r="B148" s="38"/>
      <c r="C148" s="36"/>
      <c r="D148" s="11">
        <v>365</v>
      </c>
      <c r="E148" s="22" t="s">
        <v>29</v>
      </c>
      <c r="F148" s="22"/>
    </row>
    <row r="149" spans="2:6" x14ac:dyDescent="0.3">
      <c r="B149" s="38"/>
      <c r="C149" s="36"/>
      <c r="D149" s="11">
        <v>370</v>
      </c>
      <c r="E149" s="22" t="s">
        <v>124</v>
      </c>
      <c r="F149" s="22"/>
    </row>
    <row r="150" spans="2:6" x14ac:dyDescent="0.3">
      <c r="B150" s="38"/>
      <c r="C150" s="36"/>
      <c r="D150" s="11">
        <v>375</v>
      </c>
      <c r="E150" s="22" t="s">
        <v>125</v>
      </c>
      <c r="F150" s="22"/>
    </row>
    <row r="151" spans="2:6" x14ac:dyDescent="0.3">
      <c r="B151" s="38"/>
      <c r="C151" s="36"/>
      <c r="D151" s="11">
        <v>380</v>
      </c>
      <c r="E151" s="22" t="s">
        <v>126</v>
      </c>
      <c r="F151" s="22"/>
    </row>
    <row r="152" spans="2:6" x14ac:dyDescent="0.3">
      <c r="B152" s="38"/>
      <c r="C152" s="36"/>
      <c r="D152" s="11">
        <v>385</v>
      </c>
      <c r="E152" s="22" t="s">
        <v>127</v>
      </c>
      <c r="F152" s="22"/>
    </row>
    <row r="153" spans="2:6" x14ac:dyDescent="0.3">
      <c r="B153" s="38"/>
      <c r="C153" s="36"/>
      <c r="D153" s="11">
        <v>390</v>
      </c>
      <c r="E153" s="22" t="s">
        <v>128</v>
      </c>
      <c r="F153" s="22"/>
    </row>
    <row r="154" spans="2:6" x14ac:dyDescent="0.3">
      <c r="B154" s="38"/>
      <c r="C154" s="36"/>
      <c r="D154" s="11">
        <v>391</v>
      </c>
      <c r="E154" s="22" t="s">
        <v>129</v>
      </c>
      <c r="F154" s="22"/>
    </row>
    <row r="155" spans="2:6" x14ac:dyDescent="0.3">
      <c r="B155" s="38"/>
      <c r="C155" s="36"/>
      <c r="D155" s="11">
        <v>395</v>
      </c>
      <c r="E155" s="22" t="s">
        <v>130</v>
      </c>
      <c r="F155" s="22"/>
    </row>
    <row r="156" spans="2:6" x14ac:dyDescent="0.3">
      <c r="B156" s="38"/>
      <c r="C156" s="36"/>
      <c r="D156" s="11">
        <v>400</v>
      </c>
      <c r="E156" s="22" t="s">
        <v>131</v>
      </c>
      <c r="F156" s="22"/>
    </row>
    <row r="157" spans="2:6" x14ac:dyDescent="0.3">
      <c r="B157" s="38"/>
      <c r="C157" s="36"/>
      <c r="D157" s="11">
        <v>405</v>
      </c>
      <c r="E157" s="22" t="s">
        <v>132</v>
      </c>
      <c r="F157" s="22"/>
    </row>
    <row r="158" spans="2:6" x14ac:dyDescent="0.3">
      <c r="B158" s="38"/>
      <c r="C158" s="36"/>
      <c r="D158" s="11">
        <v>410</v>
      </c>
      <c r="E158" s="22" t="s">
        <v>133</v>
      </c>
      <c r="F158" s="22"/>
    </row>
    <row r="159" spans="2:6" x14ac:dyDescent="0.3">
      <c r="B159" s="38"/>
      <c r="C159" s="36"/>
      <c r="D159" s="11">
        <v>415</v>
      </c>
      <c r="E159" s="22" t="s">
        <v>134</v>
      </c>
      <c r="F159" s="22"/>
    </row>
    <row r="160" spans="2:6" x14ac:dyDescent="0.3">
      <c r="B160" s="38"/>
      <c r="C160" s="36"/>
      <c r="D160" s="11">
        <v>420</v>
      </c>
      <c r="E160" s="22" t="s">
        <v>135</v>
      </c>
      <c r="F160" s="22"/>
    </row>
    <row r="161" spans="2:6" x14ac:dyDescent="0.3">
      <c r="B161" s="38"/>
      <c r="C161" s="36"/>
      <c r="D161" s="11">
        <v>500</v>
      </c>
      <c r="E161" s="22" t="s">
        <v>136</v>
      </c>
      <c r="F161" s="22"/>
    </row>
    <row r="162" spans="2:6" x14ac:dyDescent="0.3">
      <c r="B162" s="38"/>
      <c r="C162" s="36"/>
      <c r="D162" s="11">
        <v>505</v>
      </c>
      <c r="E162" s="22" t="s">
        <v>136</v>
      </c>
      <c r="F162" s="22"/>
    </row>
    <row r="163" spans="2:6" x14ac:dyDescent="0.3">
      <c r="B163" s="38"/>
      <c r="C163" s="36"/>
      <c r="D163" s="11">
        <v>510</v>
      </c>
      <c r="E163" s="22" t="s">
        <v>137</v>
      </c>
      <c r="F163" s="22"/>
    </row>
    <row r="164" spans="2:6" x14ac:dyDescent="0.3">
      <c r="B164" s="38"/>
      <c r="C164" s="36"/>
      <c r="D164" s="11">
        <v>515</v>
      </c>
      <c r="E164" s="22" t="s">
        <v>138</v>
      </c>
      <c r="F164" s="22"/>
    </row>
    <row r="165" spans="2:6" x14ac:dyDescent="0.3">
      <c r="B165" s="38"/>
      <c r="C165" s="36"/>
      <c r="D165" s="11">
        <v>520</v>
      </c>
      <c r="E165" s="22" t="s">
        <v>138</v>
      </c>
      <c r="F165" s="22"/>
    </row>
    <row r="166" spans="2:6" x14ac:dyDescent="0.3">
      <c r="B166" s="38"/>
      <c r="C166" s="36"/>
      <c r="D166" s="11">
        <v>525</v>
      </c>
      <c r="E166" s="22" t="s">
        <v>138</v>
      </c>
      <c r="F166" s="22"/>
    </row>
    <row r="167" spans="2:6" x14ac:dyDescent="0.3">
      <c r="B167" s="38"/>
      <c r="C167" s="36"/>
      <c r="D167" s="11">
        <v>530</v>
      </c>
      <c r="E167" s="22" t="s">
        <v>139</v>
      </c>
      <c r="F167" s="22"/>
    </row>
    <row r="168" spans="2:6" x14ac:dyDescent="0.3">
      <c r="B168" s="38"/>
      <c r="C168" s="36"/>
      <c r="D168" s="11">
        <v>535</v>
      </c>
      <c r="E168" s="22" t="s">
        <v>139</v>
      </c>
      <c r="F168" s="22"/>
    </row>
    <row r="169" spans="2:6" x14ac:dyDescent="0.3">
      <c r="B169" s="38"/>
      <c r="C169" s="36"/>
      <c r="D169" s="11">
        <v>540</v>
      </c>
      <c r="E169" s="22" t="s">
        <v>140</v>
      </c>
      <c r="F169" s="22"/>
    </row>
    <row r="170" spans="2:6" x14ac:dyDescent="0.3">
      <c r="B170" s="38"/>
      <c r="C170" s="36"/>
      <c r="D170" s="11">
        <v>545</v>
      </c>
      <c r="E170" s="22" t="s">
        <v>140</v>
      </c>
      <c r="F170" s="22"/>
    </row>
    <row r="171" spans="2:6" x14ac:dyDescent="0.3">
      <c r="B171" s="38"/>
      <c r="C171" s="36"/>
      <c r="D171" s="11">
        <v>550</v>
      </c>
      <c r="E171" s="22" t="s">
        <v>140</v>
      </c>
      <c r="F171" s="22"/>
    </row>
    <row r="172" spans="2:6" x14ac:dyDescent="0.3">
      <c r="B172" s="38"/>
      <c r="C172" s="36"/>
      <c r="D172" s="11">
        <v>555</v>
      </c>
      <c r="E172" s="22" t="s">
        <v>140</v>
      </c>
      <c r="F172" s="22"/>
    </row>
    <row r="173" spans="2:6" x14ac:dyDescent="0.3">
      <c r="B173" s="38"/>
      <c r="C173" s="36"/>
      <c r="D173" s="11">
        <v>560</v>
      </c>
      <c r="E173" s="22" t="s">
        <v>140</v>
      </c>
      <c r="F173" s="22"/>
    </row>
    <row r="174" spans="2:6" x14ac:dyDescent="0.3">
      <c r="B174" s="38"/>
      <c r="C174" s="36"/>
      <c r="D174" s="11">
        <v>565</v>
      </c>
      <c r="E174" s="22" t="s">
        <v>140</v>
      </c>
      <c r="F174" s="22"/>
    </row>
    <row r="175" spans="2:6" x14ac:dyDescent="0.3">
      <c r="B175" s="38"/>
      <c r="C175" s="36"/>
      <c r="D175" s="11">
        <v>570</v>
      </c>
      <c r="E175" s="22" t="s">
        <v>140</v>
      </c>
      <c r="F175" s="22"/>
    </row>
    <row r="176" spans="2:6" x14ac:dyDescent="0.3">
      <c r="B176" s="38"/>
      <c r="C176" s="36"/>
      <c r="D176" s="11">
        <v>600</v>
      </c>
      <c r="E176" s="22" t="s">
        <v>141</v>
      </c>
      <c r="F176" s="22"/>
    </row>
    <row r="177" spans="2:6" x14ac:dyDescent="0.3">
      <c r="B177" s="38"/>
      <c r="C177" s="36"/>
      <c r="D177" s="11">
        <v>601</v>
      </c>
      <c r="E177" s="22" t="s">
        <v>142</v>
      </c>
      <c r="F177" s="22"/>
    </row>
    <row r="178" spans="2:6" x14ac:dyDescent="0.3">
      <c r="B178" s="38"/>
      <c r="C178" s="36"/>
      <c r="D178" s="11">
        <v>602</v>
      </c>
      <c r="E178" s="22" t="s">
        <v>143</v>
      </c>
      <c r="F178" s="22"/>
    </row>
    <row r="179" spans="2:6" x14ac:dyDescent="0.3">
      <c r="B179" s="38"/>
      <c r="C179" s="36"/>
      <c r="D179" s="11">
        <v>603</v>
      </c>
      <c r="E179" s="22" t="s">
        <v>144</v>
      </c>
      <c r="F179" s="22"/>
    </row>
    <row r="180" spans="2:6" x14ac:dyDescent="0.3">
      <c r="B180" s="38"/>
      <c r="C180" s="36"/>
      <c r="D180" s="11">
        <v>604</v>
      </c>
      <c r="E180" s="22" t="s">
        <v>145</v>
      </c>
      <c r="F180" s="22"/>
    </row>
    <row r="181" spans="2:6" x14ac:dyDescent="0.3">
      <c r="B181" s="38"/>
      <c r="C181" s="36"/>
      <c r="D181" s="11">
        <v>605</v>
      </c>
      <c r="E181" s="22" t="s">
        <v>146</v>
      </c>
      <c r="F181" s="22"/>
    </row>
    <row r="182" spans="2:6" x14ac:dyDescent="0.3">
      <c r="B182" s="38"/>
      <c r="C182" s="36"/>
      <c r="D182" s="11">
        <v>606</v>
      </c>
      <c r="E182" s="22" t="s">
        <v>147</v>
      </c>
      <c r="F182" s="22"/>
    </row>
    <row r="183" spans="2:6" x14ac:dyDescent="0.3">
      <c r="B183" s="38"/>
      <c r="C183" s="36"/>
      <c r="D183" s="11">
        <v>607</v>
      </c>
      <c r="E183" s="22" t="s">
        <v>148</v>
      </c>
      <c r="F183" s="22"/>
    </row>
    <row r="184" spans="2:6" x14ac:dyDescent="0.3">
      <c r="B184" s="38"/>
      <c r="C184" s="36"/>
      <c r="D184" s="11">
        <v>608</v>
      </c>
      <c r="E184" s="22" t="s">
        <v>149</v>
      </c>
      <c r="F184" s="22"/>
    </row>
    <row r="185" spans="2:6" x14ac:dyDescent="0.3">
      <c r="B185" s="38"/>
      <c r="C185" s="36"/>
      <c r="D185" s="11">
        <v>609</v>
      </c>
      <c r="E185" s="22" t="s">
        <v>150</v>
      </c>
      <c r="F185" s="22"/>
    </row>
    <row r="186" spans="2:6" x14ac:dyDescent="0.3">
      <c r="B186" s="38"/>
      <c r="C186" s="36"/>
      <c r="D186" s="11">
        <v>610</v>
      </c>
      <c r="E186" s="22" t="s">
        <v>151</v>
      </c>
      <c r="F186" s="22"/>
    </row>
    <row r="187" spans="2:6" x14ac:dyDescent="0.3">
      <c r="B187" s="38"/>
      <c r="C187" s="36"/>
      <c r="D187" s="11">
        <v>611</v>
      </c>
      <c r="E187" s="22" t="s">
        <v>152</v>
      </c>
      <c r="F187" s="22"/>
    </row>
    <row r="188" spans="2:6" x14ac:dyDescent="0.3">
      <c r="B188" s="38"/>
      <c r="C188" s="36"/>
      <c r="D188" s="11">
        <v>612</v>
      </c>
      <c r="E188" s="22" t="s">
        <v>153</v>
      </c>
      <c r="F188" s="22"/>
    </row>
    <row r="189" spans="2:6" x14ac:dyDescent="0.3">
      <c r="B189" s="38"/>
      <c r="C189" s="36"/>
      <c r="D189" s="11">
        <v>613</v>
      </c>
      <c r="E189" s="22" t="s">
        <v>154</v>
      </c>
      <c r="F189" s="22"/>
    </row>
    <row r="190" spans="2:6" x14ac:dyDescent="0.3">
      <c r="B190" s="38"/>
      <c r="C190" s="36"/>
      <c r="D190" s="11">
        <v>700</v>
      </c>
      <c r="E190" s="22" t="s">
        <v>155</v>
      </c>
      <c r="F190" s="22"/>
    </row>
    <row r="191" spans="2:6" x14ac:dyDescent="0.3">
      <c r="B191" s="38"/>
      <c r="C191" s="36"/>
      <c r="D191" s="11">
        <v>701</v>
      </c>
      <c r="E191" s="22" t="s">
        <v>156</v>
      </c>
      <c r="F191" s="22"/>
    </row>
    <row r="192" spans="2:6" x14ac:dyDescent="0.3">
      <c r="B192" s="38"/>
      <c r="C192" s="36"/>
      <c r="D192" s="11">
        <v>702</v>
      </c>
      <c r="E192" s="22" t="s">
        <v>157</v>
      </c>
      <c r="F192" s="22"/>
    </row>
    <row r="193" spans="2:6" x14ac:dyDescent="0.3">
      <c r="B193" s="38"/>
      <c r="C193" s="36"/>
      <c r="D193" s="11">
        <v>703</v>
      </c>
      <c r="E193" s="22" t="s">
        <v>158</v>
      </c>
      <c r="F193" s="22"/>
    </row>
    <row r="194" spans="2:6" x14ac:dyDescent="0.3">
      <c r="B194" s="38"/>
      <c r="C194" s="36"/>
      <c r="D194" s="11">
        <v>705</v>
      </c>
      <c r="E194" s="22" t="s">
        <v>160</v>
      </c>
      <c r="F194" s="22"/>
    </row>
    <row r="195" spans="2:6" x14ac:dyDescent="0.3">
      <c r="B195" s="38"/>
      <c r="C195" s="36"/>
      <c r="D195" s="11">
        <v>706</v>
      </c>
      <c r="E195" s="22" t="s">
        <v>161</v>
      </c>
      <c r="F195" s="22"/>
    </row>
    <row r="196" spans="2:6" x14ac:dyDescent="0.3">
      <c r="B196" s="38"/>
      <c r="C196" s="36"/>
      <c r="D196" s="11">
        <v>707</v>
      </c>
      <c r="E196" s="22" t="s">
        <v>162</v>
      </c>
      <c r="F196" s="22"/>
    </row>
    <row r="197" spans="2:6" x14ac:dyDescent="0.3">
      <c r="B197" s="38"/>
      <c r="C197" s="36"/>
      <c r="D197" s="11">
        <v>708</v>
      </c>
      <c r="E197" s="22" t="s">
        <v>163</v>
      </c>
      <c r="F197" s="22"/>
    </row>
    <row r="198" spans="2:6" x14ac:dyDescent="0.3">
      <c r="B198" s="38"/>
      <c r="C198" s="36"/>
      <c r="D198" s="11">
        <v>709</v>
      </c>
      <c r="E198" s="22" t="s">
        <v>164</v>
      </c>
      <c r="F198" s="22"/>
    </row>
    <row r="199" spans="2:6" x14ac:dyDescent="0.3">
      <c r="B199" s="38"/>
      <c r="C199" s="36"/>
      <c r="D199" s="11">
        <v>710</v>
      </c>
      <c r="E199" s="22" t="s">
        <v>165</v>
      </c>
      <c r="F199" s="22"/>
    </row>
    <row r="200" spans="2:6" x14ac:dyDescent="0.3">
      <c r="B200" s="38"/>
      <c r="C200" s="36"/>
      <c r="D200" s="11">
        <v>711</v>
      </c>
      <c r="E200" s="22" t="s">
        <v>166</v>
      </c>
      <c r="F200" s="22"/>
    </row>
    <row r="201" spans="2:6" x14ac:dyDescent="0.3">
      <c r="B201" s="38"/>
      <c r="C201" s="36"/>
      <c r="D201" s="11">
        <v>714</v>
      </c>
      <c r="E201" s="22" t="s">
        <v>169</v>
      </c>
      <c r="F201" s="22"/>
    </row>
    <row r="202" spans="2:6" x14ac:dyDescent="0.3">
      <c r="B202" s="38"/>
      <c r="C202" s="36"/>
      <c r="D202" s="11">
        <v>715</v>
      </c>
      <c r="E202" s="22" t="s">
        <v>170</v>
      </c>
      <c r="F202" s="22"/>
    </row>
    <row r="203" spans="2:6" x14ac:dyDescent="0.3">
      <c r="B203" s="38"/>
      <c r="C203" s="36"/>
      <c r="D203" s="11">
        <v>716</v>
      </c>
      <c r="E203" s="22" t="s">
        <v>171</v>
      </c>
      <c r="F203" s="22"/>
    </row>
    <row r="204" spans="2:6" x14ac:dyDescent="0.3">
      <c r="B204" s="38"/>
      <c r="C204" s="36"/>
      <c r="D204" s="11">
        <v>717</v>
      </c>
      <c r="E204" s="22" t="s">
        <v>172</v>
      </c>
      <c r="F204" s="22"/>
    </row>
    <row r="205" spans="2:6" x14ac:dyDescent="0.3">
      <c r="B205" s="38"/>
      <c r="C205" s="36"/>
      <c r="D205" s="11">
        <v>719</v>
      </c>
      <c r="E205" s="22" t="s">
        <v>174</v>
      </c>
      <c r="F205" s="22"/>
    </row>
    <row r="206" spans="2:6" x14ac:dyDescent="0.3">
      <c r="B206" s="38"/>
      <c r="C206" s="36"/>
      <c r="D206" s="11">
        <v>720</v>
      </c>
      <c r="E206" s="22" t="s">
        <v>175</v>
      </c>
      <c r="F206" s="22"/>
    </row>
    <row r="207" spans="2:6" x14ac:dyDescent="0.3">
      <c r="B207" s="38"/>
      <c r="C207" s="36"/>
      <c r="D207" s="11">
        <v>721</v>
      </c>
      <c r="E207" s="22" t="s">
        <v>176</v>
      </c>
      <c r="F207" s="22"/>
    </row>
    <row r="208" spans="2:6" x14ac:dyDescent="0.3">
      <c r="B208" s="38"/>
      <c r="C208" s="36"/>
      <c r="D208" s="11">
        <v>722</v>
      </c>
      <c r="E208" s="22" t="s">
        <v>177</v>
      </c>
      <c r="F208" s="22"/>
    </row>
    <row r="209" spans="2:6" x14ac:dyDescent="0.3">
      <c r="B209" s="38"/>
      <c r="C209" s="36"/>
      <c r="D209" s="11">
        <v>723</v>
      </c>
      <c r="E209" s="22" t="s">
        <v>178</v>
      </c>
      <c r="F209" s="22"/>
    </row>
    <row r="210" spans="2:6" x14ac:dyDescent="0.3">
      <c r="B210" s="38"/>
      <c r="C210" s="36"/>
      <c r="D210" s="11">
        <v>724</v>
      </c>
      <c r="E210" s="22" t="s">
        <v>179</v>
      </c>
      <c r="F210" s="22"/>
    </row>
    <row r="211" spans="2:6" x14ac:dyDescent="0.3">
      <c r="B211" s="38"/>
      <c r="C211" s="36"/>
      <c r="D211" s="11">
        <v>725</v>
      </c>
      <c r="E211" s="22" t="s">
        <v>180</v>
      </c>
      <c r="F211" s="22"/>
    </row>
    <row r="212" spans="2:6" x14ac:dyDescent="0.3">
      <c r="B212" s="38"/>
      <c r="C212" s="36"/>
      <c r="D212" s="11">
        <v>726</v>
      </c>
      <c r="E212" s="22" t="s">
        <v>181</v>
      </c>
      <c r="F212" s="22"/>
    </row>
    <row r="213" spans="2:6" x14ac:dyDescent="0.3">
      <c r="B213" s="38"/>
      <c r="C213" s="36"/>
      <c r="D213" s="11">
        <v>727</v>
      </c>
      <c r="E213" s="22" t="s">
        <v>182</v>
      </c>
      <c r="F213" s="22"/>
    </row>
    <row r="214" spans="2:6" x14ac:dyDescent="0.3">
      <c r="B214" s="38"/>
      <c r="C214" s="36"/>
      <c r="D214" s="11">
        <v>728</v>
      </c>
      <c r="E214" s="22" t="s">
        <v>183</v>
      </c>
      <c r="F214" s="22"/>
    </row>
    <row r="215" spans="2:6" x14ac:dyDescent="0.3">
      <c r="B215" s="38"/>
      <c r="C215" s="36"/>
      <c r="D215" s="11">
        <v>729</v>
      </c>
      <c r="E215" s="22" t="s">
        <v>184</v>
      </c>
      <c r="F215" s="22"/>
    </row>
    <row r="216" spans="2:6" x14ac:dyDescent="0.3">
      <c r="B216" s="38"/>
      <c r="C216" s="36"/>
      <c r="D216" s="11">
        <v>730</v>
      </c>
      <c r="E216" s="22" t="s">
        <v>185</v>
      </c>
      <c r="F216" s="22"/>
    </row>
    <row r="217" spans="2:6" x14ac:dyDescent="0.3">
      <c r="B217" s="38"/>
      <c r="C217" s="36"/>
      <c r="D217" s="11">
        <v>731</v>
      </c>
      <c r="E217" s="22" t="s">
        <v>186</v>
      </c>
      <c r="F217" s="22"/>
    </row>
    <row r="218" spans="2:6" x14ac:dyDescent="0.3">
      <c r="B218" s="38"/>
      <c r="C218" s="36"/>
      <c r="D218" s="11">
        <v>732</v>
      </c>
      <c r="E218" s="22" t="s">
        <v>187</v>
      </c>
      <c r="F218" s="22"/>
    </row>
    <row r="219" spans="2:6" x14ac:dyDescent="0.3">
      <c r="B219" s="38"/>
      <c r="C219" s="36"/>
      <c r="D219" s="11">
        <v>733</v>
      </c>
      <c r="E219" s="22" t="s">
        <v>188</v>
      </c>
      <c r="F219" s="22"/>
    </row>
    <row r="220" spans="2:6" x14ac:dyDescent="0.3">
      <c r="B220" s="38"/>
      <c r="C220" s="36"/>
      <c r="D220" s="11">
        <v>734</v>
      </c>
      <c r="E220" s="22" t="s">
        <v>189</v>
      </c>
      <c r="F220" s="22"/>
    </row>
    <row r="221" spans="2:6" x14ac:dyDescent="0.3">
      <c r="B221" s="38"/>
      <c r="C221" s="36"/>
      <c r="D221" s="11">
        <v>735</v>
      </c>
      <c r="E221" s="22" t="s">
        <v>190</v>
      </c>
      <c r="F221" s="22"/>
    </row>
    <row r="222" spans="2:6" x14ac:dyDescent="0.3">
      <c r="B222" s="38"/>
      <c r="C222" s="36"/>
      <c r="D222" s="11">
        <v>736</v>
      </c>
      <c r="E222" s="22" t="s">
        <v>191</v>
      </c>
      <c r="F222" s="22"/>
    </row>
    <row r="223" spans="2:6" x14ac:dyDescent="0.3">
      <c r="B223" s="38"/>
      <c r="C223" s="36"/>
      <c r="D223" s="11">
        <v>737</v>
      </c>
      <c r="E223" s="22" t="s">
        <v>192</v>
      </c>
      <c r="F223" s="22"/>
    </row>
    <row r="224" spans="2:6" x14ac:dyDescent="0.3">
      <c r="B224" s="38"/>
      <c r="C224" s="36"/>
      <c r="D224" s="11">
        <v>738</v>
      </c>
      <c r="E224" s="22" t="s">
        <v>193</v>
      </c>
      <c r="F224" s="22"/>
    </row>
    <row r="225" spans="2:6" x14ac:dyDescent="0.3">
      <c r="B225" s="38"/>
      <c r="C225" s="36"/>
      <c r="D225" s="11">
        <v>739</v>
      </c>
      <c r="E225" s="22" t="s">
        <v>194</v>
      </c>
      <c r="F225" s="22"/>
    </row>
    <row r="226" spans="2:6" x14ac:dyDescent="0.3">
      <c r="B226" s="38"/>
      <c r="C226" s="36"/>
      <c r="D226" s="11">
        <v>740</v>
      </c>
      <c r="E226" s="22" t="s">
        <v>195</v>
      </c>
      <c r="F226" s="22"/>
    </row>
    <row r="227" spans="2:6" x14ac:dyDescent="0.3">
      <c r="B227" s="38"/>
      <c r="C227" s="36"/>
      <c r="D227" s="11">
        <v>741</v>
      </c>
      <c r="E227" s="22" t="s">
        <v>196</v>
      </c>
      <c r="F227" s="22"/>
    </row>
    <row r="228" spans="2:6" x14ac:dyDescent="0.3">
      <c r="B228" s="38"/>
      <c r="C228" s="36"/>
      <c r="D228" s="11">
        <v>742</v>
      </c>
      <c r="E228" s="22" t="s">
        <v>197</v>
      </c>
      <c r="F228" s="22"/>
    </row>
    <row r="229" spans="2:6" x14ac:dyDescent="0.3">
      <c r="B229" s="38"/>
      <c r="C229" s="36"/>
      <c r="D229" s="11">
        <v>743</v>
      </c>
      <c r="E229" s="22" t="s">
        <v>198</v>
      </c>
      <c r="F229" s="22"/>
    </row>
    <row r="230" spans="2:6" x14ac:dyDescent="0.3">
      <c r="B230" s="38"/>
      <c r="C230" s="36"/>
      <c r="D230" s="11">
        <v>744</v>
      </c>
      <c r="E230" s="22" t="s">
        <v>199</v>
      </c>
      <c r="F230" s="22"/>
    </row>
    <row r="231" spans="2:6" x14ac:dyDescent="0.3">
      <c r="B231" s="38"/>
      <c r="C231" s="36"/>
      <c r="D231" s="11">
        <v>745</v>
      </c>
      <c r="E231" s="22" t="s">
        <v>200</v>
      </c>
      <c r="F231" s="22"/>
    </row>
    <row r="232" spans="2:6" x14ac:dyDescent="0.3">
      <c r="B232" s="38"/>
      <c r="C232" s="37"/>
      <c r="D232" s="11">
        <v>999</v>
      </c>
      <c r="E232" s="22" t="s">
        <v>201</v>
      </c>
      <c r="F232" s="22"/>
    </row>
  </sheetData>
  <autoFilter ref="B5:F232" xr:uid="{00000000-0009-0000-0000-000003000000}"/>
  <mergeCells count="22">
    <mergeCell ref="C54:C58"/>
    <mergeCell ref="B54:B58"/>
    <mergeCell ref="C32:C34"/>
    <mergeCell ref="B32:B34"/>
    <mergeCell ref="C35:C36"/>
    <mergeCell ref="B35:B36"/>
    <mergeCell ref="C66:C232"/>
    <mergeCell ref="B66:B232"/>
    <mergeCell ref="C13:C14"/>
    <mergeCell ref="B13:B14"/>
    <mergeCell ref="C6:C11"/>
    <mergeCell ref="B6:B11"/>
    <mergeCell ref="C38:C46"/>
    <mergeCell ref="B38:B46"/>
    <mergeCell ref="C47:C53"/>
    <mergeCell ref="B47:B53"/>
    <mergeCell ref="C15:C20"/>
    <mergeCell ref="B15:B20"/>
    <mergeCell ref="B21:B22"/>
    <mergeCell ref="C21:C22"/>
    <mergeCell ref="B59:B64"/>
    <mergeCell ref="C59:C6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1C1AF-DE14-4BC1-98E8-065720AEFF2D}">
  <dimension ref="A1:A203"/>
  <sheetViews>
    <sheetView workbookViewId="0"/>
  </sheetViews>
  <sheetFormatPr defaultRowHeight="14.4" x14ac:dyDescent="0.3"/>
  <cols>
    <col min="1" max="1" width="45.44140625" bestFit="1" customWidth="1"/>
  </cols>
  <sheetData>
    <row r="1" spans="1:1" x14ac:dyDescent="0.3">
      <c r="A1" s="31" t="s">
        <v>373</v>
      </c>
    </row>
    <row r="2" spans="1:1" x14ac:dyDescent="0.3">
      <c r="A2" s="23" t="s">
        <v>58</v>
      </c>
    </row>
    <row r="3" spans="1:1" x14ac:dyDescent="0.3">
      <c r="A3" s="23" t="s">
        <v>83</v>
      </c>
    </row>
    <row r="4" spans="1:1" x14ac:dyDescent="0.3">
      <c r="A4" s="24" t="s">
        <v>57</v>
      </c>
    </row>
    <row r="5" spans="1:1" x14ac:dyDescent="0.3">
      <c r="A5" s="24" t="s">
        <v>66</v>
      </c>
    </row>
    <row r="6" spans="1:1" x14ac:dyDescent="0.3">
      <c r="A6" s="23" t="s">
        <v>60</v>
      </c>
    </row>
    <row r="7" spans="1:1" x14ac:dyDescent="0.3">
      <c r="A7" s="24" t="s">
        <v>102</v>
      </c>
    </row>
    <row r="8" spans="1:1" x14ac:dyDescent="0.3">
      <c r="A8" s="22" t="s">
        <v>59</v>
      </c>
    </row>
    <row r="9" spans="1:1" x14ac:dyDescent="0.3">
      <c r="A9" s="22" t="s">
        <v>106</v>
      </c>
    </row>
    <row r="10" spans="1:1" x14ac:dyDescent="0.3">
      <c r="A10" s="22" t="s">
        <v>107</v>
      </c>
    </row>
    <row r="11" spans="1:1" x14ac:dyDescent="0.3">
      <c r="A11" s="22" t="s">
        <v>108</v>
      </c>
    </row>
    <row r="12" spans="1:1" x14ac:dyDescent="0.3">
      <c r="A12" s="22" t="s">
        <v>167</v>
      </c>
    </row>
    <row r="13" spans="1:1" x14ac:dyDescent="0.3">
      <c r="A13" s="22" t="s">
        <v>168</v>
      </c>
    </row>
    <row r="14" spans="1:1" x14ac:dyDescent="0.3">
      <c r="A14" s="23" t="s">
        <v>61</v>
      </c>
    </row>
    <row r="15" spans="1:1" x14ac:dyDescent="0.3">
      <c r="A15" s="23" t="s">
        <v>62</v>
      </c>
    </row>
    <row r="16" spans="1:1" x14ac:dyDescent="0.3">
      <c r="A16" s="22" t="s">
        <v>77</v>
      </c>
    </row>
    <row r="17" spans="1:1" x14ac:dyDescent="0.3">
      <c r="A17" s="22" t="s">
        <v>78</v>
      </c>
    </row>
    <row r="18" spans="1:1" x14ac:dyDescent="0.3">
      <c r="A18" s="23" t="s">
        <v>63</v>
      </c>
    </row>
    <row r="19" spans="1:1" x14ac:dyDescent="0.3">
      <c r="A19" s="23" t="s">
        <v>73</v>
      </c>
    </row>
    <row r="20" spans="1:1" x14ac:dyDescent="0.3">
      <c r="A20" s="23" t="s">
        <v>74</v>
      </c>
    </row>
    <row r="21" spans="1:1" x14ac:dyDescent="0.3">
      <c r="A21" s="23" t="s">
        <v>75</v>
      </c>
    </row>
    <row r="22" spans="1:1" x14ac:dyDescent="0.3">
      <c r="A22" s="22" t="s">
        <v>65</v>
      </c>
    </row>
    <row r="23" spans="1:1" x14ac:dyDescent="0.3">
      <c r="A23" s="22" t="s">
        <v>76</v>
      </c>
    </row>
    <row r="24" spans="1:1" x14ac:dyDescent="0.3">
      <c r="A24" s="22" t="s">
        <v>5</v>
      </c>
    </row>
    <row r="25" spans="1:1" x14ac:dyDescent="0.3">
      <c r="A25" s="22" t="s">
        <v>69</v>
      </c>
    </row>
    <row r="26" spans="1:1" x14ac:dyDescent="0.3">
      <c r="A26" s="22" t="s">
        <v>87</v>
      </c>
    </row>
    <row r="27" spans="1:1" x14ac:dyDescent="0.3">
      <c r="A27" s="22" t="s">
        <v>88</v>
      </c>
    </row>
    <row r="28" spans="1:1" x14ac:dyDescent="0.3">
      <c r="A28" s="22" t="s">
        <v>89</v>
      </c>
    </row>
    <row r="29" spans="1:1" x14ac:dyDescent="0.3">
      <c r="A29" s="22" t="s">
        <v>90</v>
      </c>
    </row>
    <row r="30" spans="1:1" x14ac:dyDescent="0.3">
      <c r="A30" s="22" t="s">
        <v>100</v>
      </c>
    </row>
    <row r="31" spans="1:1" x14ac:dyDescent="0.3">
      <c r="A31" s="22" t="s">
        <v>4</v>
      </c>
    </row>
    <row r="32" spans="1:1" x14ac:dyDescent="0.3">
      <c r="A32" s="23" t="s">
        <v>64</v>
      </c>
    </row>
    <row r="33" spans="1:1" x14ac:dyDescent="0.3">
      <c r="A33" s="23" t="s">
        <v>109</v>
      </c>
    </row>
    <row r="34" spans="1:1" x14ac:dyDescent="0.3">
      <c r="A34" s="23" t="s">
        <v>110</v>
      </c>
    </row>
    <row r="35" spans="1:1" x14ac:dyDescent="0.3">
      <c r="A35" s="23" t="s">
        <v>111</v>
      </c>
    </row>
    <row r="36" spans="1:1" x14ac:dyDescent="0.3">
      <c r="A36" s="23" t="s">
        <v>103</v>
      </c>
    </row>
    <row r="37" spans="1:1" x14ac:dyDescent="0.3">
      <c r="A37" s="23" t="s">
        <v>104</v>
      </c>
    </row>
    <row r="38" spans="1:1" x14ac:dyDescent="0.3">
      <c r="A38" s="23" t="s">
        <v>105</v>
      </c>
    </row>
    <row r="39" spans="1:1" x14ac:dyDescent="0.3">
      <c r="A39" s="22" t="s">
        <v>22</v>
      </c>
    </row>
    <row r="40" spans="1:1" x14ac:dyDescent="0.3">
      <c r="A40" s="22" t="s">
        <v>86</v>
      </c>
    </row>
    <row r="41" spans="1:1" x14ac:dyDescent="0.3">
      <c r="A41" s="22" t="s">
        <v>97</v>
      </c>
    </row>
    <row r="42" spans="1:1" x14ac:dyDescent="0.3">
      <c r="A42" s="22" t="s">
        <v>98</v>
      </c>
    </row>
    <row r="43" spans="1:1" x14ac:dyDescent="0.3">
      <c r="A43" s="22" t="s">
        <v>99</v>
      </c>
    </row>
    <row r="44" spans="1:1" x14ac:dyDescent="0.3">
      <c r="A44" s="24" t="s">
        <v>67</v>
      </c>
    </row>
    <row r="45" spans="1:1" x14ac:dyDescent="0.3">
      <c r="A45" s="24" t="s">
        <v>68</v>
      </c>
    </row>
    <row r="46" spans="1:1" x14ac:dyDescent="0.3">
      <c r="A46" s="24" t="s">
        <v>91</v>
      </c>
    </row>
    <row r="47" spans="1:1" x14ac:dyDescent="0.3">
      <c r="A47" s="24" t="s">
        <v>95</v>
      </c>
    </row>
    <row r="48" spans="1:1" x14ac:dyDescent="0.3">
      <c r="A48" s="24" t="s">
        <v>96</v>
      </c>
    </row>
    <row r="49" spans="1:1" x14ac:dyDescent="0.3">
      <c r="A49" s="24" t="s">
        <v>101</v>
      </c>
    </row>
    <row r="50" spans="1:1" x14ac:dyDescent="0.3">
      <c r="A50" s="24" t="s">
        <v>159</v>
      </c>
    </row>
    <row r="51" spans="1:1" x14ac:dyDescent="0.3">
      <c r="A51" s="22" t="s">
        <v>48</v>
      </c>
    </row>
    <row r="52" spans="1:1" x14ac:dyDescent="0.3">
      <c r="A52" s="22" t="s">
        <v>49</v>
      </c>
    </row>
    <row r="53" spans="1:1" x14ac:dyDescent="0.3">
      <c r="A53" s="22" t="s">
        <v>50</v>
      </c>
    </row>
    <row r="54" spans="1:1" x14ac:dyDescent="0.3">
      <c r="A54" s="22" t="s">
        <v>51</v>
      </c>
    </row>
    <row r="55" spans="1:1" x14ac:dyDescent="0.3">
      <c r="A55" s="22" t="s">
        <v>52</v>
      </c>
    </row>
    <row r="56" spans="1:1" x14ac:dyDescent="0.3">
      <c r="A56" s="22" t="s">
        <v>53</v>
      </c>
    </row>
    <row r="57" spans="1:1" x14ac:dyDescent="0.3">
      <c r="A57" s="22" t="s">
        <v>54</v>
      </c>
    </row>
    <row r="58" spans="1:1" x14ac:dyDescent="0.3">
      <c r="A58" s="22" t="s">
        <v>55</v>
      </c>
    </row>
    <row r="59" spans="1:1" x14ac:dyDescent="0.3">
      <c r="A59" s="22" t="s">
        <v>56</v>
      </c>
    </row>
    <row r="60" spans="1:1" x14ac:dyDescent="0.3">
      <c r="A60" s="22" t="s">
        <v>173</v>
      </c>
    </row>
    <row r="61" spans="1:1" x14ac:dyDescent="0.3">
      <c r="A61" s="22" t="s">
        <v>0</v>
      </c>
    </row>
    <row r="62" spans="1:1" x14ac:dyDescent="0.3">
      <c r="A62" s="22" t="s">
        <v>1</v>
      </c>
    </row>
    <row r="63" spans="1:1" x14ac:dyDescent="0.3">
      <c r="A63" s="22" t="s">
        <v>2</v>
      </c>
    </row>
    <row r="64" spans="1:1" x14ac:dyDescent="0.3">
      <c r="A64" s="22" t="s">
        <v>3</v>
      </c>
    </row>
    <row r="65" spans="1:1" x14ac:dyDescent="0.3">
      <c r="A65" s="22" t="s">
        <v>6</v>
      </c>
    </row>
    <row r="66" spans="1:1" x14ac:dyDescent="0.3">
      <c r="A66" s="22" t="s">
        <v>7</v>
      </c>
    </row>
    <row r="67" spans="1:1" x14ac:dyDescent="0.3">
      <c r="A67" s="22" t="s">
        <v>8</v>
      </c>
    </row>
    <row r="68" spans="1:1" x14ac:dyDescent="0.3">
      <c r="A68" s="22" t="s">
        <v>9</v>
      </c>
    </row>
    <row r="69" spans="1:1" x14ac:dyDescent="0.3">
      <c r="A69" s="22" t="s">
        <v>10</v>
      </c>
    </row>
    <row r="70" spans="1:1" x14ac:dyDescent="0.3">
      <c r="A70" s="22" t="s">
        <v>11</v>
      </c>
    </row>
    <row r="71" spans="1:1" x14ac:dyDescent="0.3">
      <c r="A71" s="22" t="s">
        <v>12</v>
      </c>
    </row>
    <row r="72" spans="1:1" x14ac:dyDescent="0.3">
      <c r="A72" s="22" t="s">
        <v>13</v>
      </c>
    </row>
    <row r="73" spans="1:1" x14ac:dyDescent="0.3">
      <c r="A73" s="22" t="s">
        <v>14</v>
      </c>
    </row>
    <row r="74" spans="1:1" x14ac:dyDescent="0.3">
      <c r="A74" s="22" t="s">
        <v>15</v>
      </c>
    </row>
    <row r="75" spans="1:1" x14ac:dyDescent="0.3">
      <c r="A75" s="22" t="s">
        <v>16</v>
      </c>
    </row>
    <row r="76" spans="1:1" x14ac:dyDescent="0.3">
      <c r="A76" s="22" t="s">
        <v>17</v>
      </c>
    </row>
    <row r="77" spans="1:1" x14ac:dyDescent="0.3">
      <c r="A77" s="22" t="s">
        <v>18</v>
      </c>
    </row>
    <row r="78" spans="1:1" x14ac:dyDescent="0.3">
      <c r="A78" s="22" t="s">
        <v>19</v>
      </c>
    </row>
    <row r="79" spans="1:1" x14ac:dyDescent="0.3">
      <c r="A79" s="22" t="s">
        <v>20</v>
      </c>
    </row>
    <row r="80" spans="1:1" x14ac:dyDescent="0.3">
      <c r="A80" s="22" t="s">
        <v>21</v>
      </c>
    </row>
    <row r="81" spans="1:1" x14ac:dyDescent="0.3">
      <c r="A81" s="22" t="s">
        <v>23</v>
      </c>
    </row>
    <row r="82" spans="1:1" x14ac:dyDescent="0.3">
      <c r="A82" s="22" t="s">
        <v>24</v>
      </c>
    </row>
    <row r="83" spans="1:1" x14ac:dyDescent="0.3">
      <c r="A83" s="22" t="s">
        <v>25</v>
      </c>
    </row>
    <row r="84" spans="1:1" x14ac:dyDescent="0.3">
      <c r="A84" s="22" t="s">
        <v>26</v>
      </c>
    </row>
    <row r="85" spans="1:1" x14ac:dyDescent="0.3">
      <c r="A85" s="22" t="s">
        <v>27</v>
      </c>
    </row>
    <row r="86" spans="1:1" x14ac:dyDescent="0.3">
      <c r="A86" s="22" t="s">
        <v>28</v>
      </c>
    </row>
    <row r="87" spans="1:1" x14ac:dyDescent="0.3">
      <c r="A87" s="22" t="s">
        <v>29</v>
      </c>
    </row>
    <row r="88" spans="1:1" x14ac:dyDescent="0.3">
      <c r="A88" s="22" t="s">
        <v>30</v>
      </c>
    </row>
    <row r="89" spans="1:1" x14ac:dyDescent="0.3">
      <c r="A89" s="22" t="s">
        <v>31</v>
      </c>
    </row>
    <row r="90" spans="1:1" x14ac:dyDescent="0.3">
      <c r="A90" s="22" t="s">
        <v>32</v>
      </c>
    </row>
    <row r="91" spans="1:1" x14ac:dyDescent="0.3">
      <c r="A91" s="22" t="s">
        <v>33</v>
      </c>
    </row>
    <row r="92" spans="1:1" x14ac:dyDescent="0.3">
      <c r="A92" s="22" t="s">
        <v>34</v>
      </c>
    </row>
    <row r="93" spans="1:1" x14ac:dyDescent="0.3">
      <c r="A93" s="22" t="s">
        <v>35</v>
      </c>
    </row>
    <row r="94" spans="1:1" x14ac:dyDescent="0.3">
      <c r="A94" s="22" t="s">
        <v>36</v>
      </c>
    </row>
    <row r="95" spans="1:1" x14ac:dyDescent="0.3">
      <c r="A95" s="22" t="s">
        <v>37</v>
      </c>
    </row>
    <row r="96" spans="1:1" x14ac:dyDescent="0.3">
      <c r="A96" s="22" t="s">
        <v>38</v>
      </c>
    </row>
    <row r="97" spans="1:1" x14ac:dyDescent="0.3">
      <c r="A97" s="22" t="s">
        <v>39</v>
      </c>
    </row>
    <row r="98" spans="1:1" x14ac:dyDescent="0.3">
      <c r="A98" s="22" t="s">
        <v>40</v>
      </c>
    </row>
    <row r="99" spans="1:1" x14ac:dyDescent="0.3">
      <c r="A99" s="22" t="s">
        <v>41</v>
      </c>
    </row>
    <row r="100" spans="1:1" x14ac:dyDescent="0.3">
      <c r="A100" s="22" t="s">
        <v>42</v>
      </c>
    </row>
    <row r="101" spans="1:1" x14ac:dyDescent="0.3">
      <c r="A101" s="22" t="s">
        <v>43</v>
      </c>
    </row>
    <row r="102" spans="1:1" x14ac:dyDescent="0.3">
      <c r="A102" s="22" t="s">
        <v>44</v>
      </c>
    </row>
    <row r="103" spans="1:1" x14ac:dyDescent="0.3">
      <c r="A103" s="22" t="s">
        <v>45</v>
      </c>
    </row>
    <row r="104" spans="1:1" x14ac:dyDescent="0.3">
      <c r="A104" s="22" t="s">
        <v>46</v>
      </c>
    </row>
    <row r="105" spans="1:1" x14ac:dyDescent="0.3">
      <c r="A105" s="22" t="s">
        <v>47</v>
      </c>
    </row>
    <row r="106" spans="1:1" x14ac:dyDescent="0.3">
      <c r="A106" s="22" t="s">
        <v>70</v>
      </c>
    </row>
    <row r="107" spans="1:1" x14ac:dyDescent="0.3">
      <c r="A107" s="22" t="s">
        <v>71</v>
      </c>
    </row>
    <row r="108" spans="1:1" x14ac:dyDescent="0.3">
      <c r="A108" s="22" t="s">
        <v>72</v>
      </c>
    </row>
    <row r="109" spans="1:1" x14ac:dyDescent="0.3">
      <c r="A109" s="22" t="s">
        <v>79</v>
      </c>
    </row>
    <row r="110" spans="1:1" x14ac:dyDescent="0.3">
      <c r="A110" s="22" t="s">
        <v>80</v>
      </c>
    </row>
    <row r="111" spans="1:1" x14ac:dyDescent="0.3">
      <c r="A111" s="22" t="s">
        <v>81</v>
      </c>
    </row>
    <row r="112" spans="1:1" x14ac:dyDescent="0.3">
      <c r="A112" s="22" t="s">
        <v>82</v>
      </c>
    </row>
    <row r="113" spans="1:1" x14ac:dyDescent="0.3">
      <c r="A113" s="22" t="s">
        <v>84</v>
      </c>
    </row>
    <row r="114" spans="1:1" x14ac:dyDescent="0.3">
      <c r="A114" s="22" t="s">
        <v>85</v>
      </c>
    </row>
    <row r="115" spans="1:1" x14ac:dyDescent="0.3">
      <c r="A115" s="22" t="s">
        <v>92</v>
      </c>
    </row>
    <row r="116" spans="1:1" x14ac:dyDescent="0.3">
      <c r="A116" s="22" t="s">
        <v>93</v>
      </c>
    </row>
    <row r="117" spans="1:1" x14ac:dyDescent="0.3">
      <c r="A117" s="22" t="s">
        <v>94</v>
      </c>
    </row>
    <row r="118" spans="1:1" x14ac:dyDescent="0.3">
      <c r="A118" s="22" t="s">
        <v>112</v>
      </c>
    </row>
    <row r="119" spans="1:1" x14ac:dyDescent="0.3">
      <c r="A119" s="22" t="s">
        <v>113</v>
      </c>
    </row>
    <row r="120" spans="1:1" x14ac:dyDescent="0.3">
      <c r="A120" s="22" t="s">
        <v>114</v>
      </c>
    </row>
    <row r="121" spans="1:1" x14ac:dyDescent="0.3">
      <c r="A121" s="22" t="s">
        <v>115</v>
      </c>
    </row>
    <row r="122" spans="1:1" x14ac:dyDescent="0.3">
      <c r="A122" s="22" t="s">
        <v>116</v>
      </c>
    </row>
    <row r="123" spans="1:1" x14ac:dyDescent="0.3">
      <c r="A123" s="22" t="s">
        <v>117</v>
      </c>
    </row>
    <row r="124" spans="1:1" x14ac:dyDescent="0.3">
      <c r="A124" s="22" t="s">
        <v>118</v>
      </c>
    </row>
    <row r="125" spans="1:1" x14ac:dyDescent="0.3">
      <c r="A125" s="22" t="s">
        <v>119</v>
      </c>
    </row>
    <row r="126" spans="1:1" x14ac:dyDescent="0.3">
      <c r="A126" s="22" t="s">
        <v>120</v>
      </c>
    </row>
    <row r="127" spans="1:1" x14ac:dyDescent="0.3">
      <c r="A127" s="22" t="s">
        <v>121</v>
      </c>
    </row>
    <row r="128" spans="1:1" x14ac:dyDescent="0.3">
      <c r="A128" s="22" t="s">
        <v>122</v>
      </c>
    </row>
    <row r="129" spans="1:1" x14ac:dyDescent="0.3">
      <c r="A129" s="22" t="s">
        <v>123</v>
      </c>
    </row>
    <row r="130" spans="1:1" x14ac:dyDescent="0.3">
      <c r="A130" s="22" t="s">
        <v>124</v>
      </c>
    </row>
    <row r="131" spans="1:1" x14ac:dyDescent="0.3">
      <c r="A131" s="22" t="s">
        <v>125</v>
      </c>
    </row>
    <row r="132" spans="1:1" x14ac:dyDescent="0.3">
      <c r="A132" s="22" t="s">
        <v>126</v>
      </c>
    </row>
    <row r="133" spans="1:1" x14ac:dyDescent="0.3">
      <c r="A133" s="22" t="s">
        <v>127</v>
      </c>
    </row>
    <row r="134" spans="1:1" x14ac:dyDescent="0.3">
      <c r="A134" s="22" t="s">
        <v>128</v>
      </c>
    </row>
    <row r="135" spans="1:1" x14ac:dyDescent="0.3">
      <c r="A135" s="22" t="s">
        <v>129</v>
      </c>
    </row>
    <row r="136" spans="1:1" x14ac:dyDescent="0.3">
      <c r="A136" s="22" t="s">
        <v>130</v>
      </c>
    </row>
    <row r="137" spans="1:1" x14ac:dyDescent="0.3">
      <c r="A137" s="22" t="s">
        <v>131</v>
      </c>
    </row>
    <row r="138" spans="1:1" x14ac:dyDescent="0.3">
      <c r="A138" s="22" t="s">
        <v>132</v>
      </c>
    </row>
    <row r="139" spans="1:1" x14ac:dyDescent="0.3">
      <c r="A139" s="22" t="s">
        <v>133</v>
      </c>
    </row>
    <row r="140" spans="1:1" x14ac:dyDescent="0.3">
      <c r="A140" s="22" t="s">
        <v>134</v>
      </c>
    </row>
    <row r="141" spans="1:1" x14ac:dyDescent="0.3">
      <c r="A141" s="22" t="s">
        <v>135</v>
      </c>
    </row>
    <row r="142" spans="1:1" x14ac:dyDescent="0.3">
      <c r="A142" s="22" t="s">
        <v>136</v>
      </c>
    </row>
    <row r="143" spans="1:1" x14ac:dyDescent="0.3">
      <c r="A143" s="22" t="s">
        <v>137</v>
      </c>
    </row>
    <row r="144" spans="1:1" x14ac:dyDescent="0.3">
      <c r="A144" s="22" t="s">
        <v>138</v>
      </c>
    </row>
    <row r="145" spans="1:1" x14ac:dyDescent="0.3">
      <c r="A145" s="22" t="s">
        <v>139</v>
      </c>
    </row>
    <row r="146" spans="1:1" x14ac:dyDescent="0.3">
      <c r="A146" s="22" t="s">
        <v>140</v>
      </c>
    </row>
    <row r="147" spans="1:1" x14ac:dyDescent="0.3">
      <c r="A147" s="22" t="s">
        <v>141</v>
      </c>
    </row>
    <row r="148" spans="1:1" x14ac:dyDescent="0.3">
      <c r="A148" s="22" t="s">
        <v>142</v>
      </c>
    </row>
    <row r="149" spans="1:1" x14ac:dyDescent="0.3">
      <c r="A149" s="22" t="s">
        <v>143</v>
      </c>
    </row>
    <row r="150" spans="1:1" x14ac:dyDescent="0.3">
      <c r="A150" s="22" t="s">
        <v>144</v>
      </c>
    </row>
    <row r="151" spans="1:1" x14ac:dyDescent="0.3">
      <c r="A151" s="22" t="s">
        <v>145</v>
      </c>
    </row>
    <row r="152" spans="1:1" x14ac:dyDescent="0.3">
      <c r="A152" s="22" t="s">
        <v>146</v>
      </c>
    </row>
    <row r="153" spans="1:1" x14ac:dyDescent="0.3">
      <c r="A153" s="22" t="s">
        <v>147</v>
      </c>
    </row>
    <row r="154" spans="1:1" x14ac:dyDescent="0.3">
      <c r="A154" s="22" t="s">
        <v>148</v>
      </c>
    </row>
    <row r="155" spans="1:1" x14ac:dyDescent="0.3">
      <c r="A155" s="22" t="s">
        <v>149</v>
      </c>
    </row>
    <row r="156" spans="1:1" x14ac:dyDescent="0.3">
      <c r="A156" s="22" t="s">
        <v>150</v>
      </c>
    </row>
    <row r="157" spans="1:1" x14ac:dyDescent="0.3">
      <c r="A157" s="22" t="s">
        <v>151</v>
      </c>
    </row>
    <row r="158" spans="1:1" x14ac:dyDescent="0.3">
      <c r="A158" s="22" t="s">
        <v>152</v>
      </c>
    </row>
    <row r="159" spans="1:1" x14ac:dyDescent="0.3">
      <c r="A159" s="22" t="s">
        <v>153</v>
      </c>
    </row>
    <row r="160" spans="1:1" x14ac:dyDescent="0.3">
      <c r="A160" s="22" t="s">
        <v>154</v>
      </c>
    </row>
    <row r="161" spans="1:1" x14ac:dyDescent="0.3">
      <c r="A161" s="22" t="s">
        <v>155</v>
      </c>
    </row>
    <row r="162" spans="1:1" x14ac:dyDescent="0.3">
      <c r="A162" s="22" t="s">
        <v>156</v>
      </c>
    </row>
    <row r="163" spans="1:1" x14ac:dyDescent="0.3">
      <c r="A163" s="22" t="s">
        <v>157</v>
      </c>
    </row>
    <row r="164" spans="1:1" x14ac:dyDescent="0.3">
      <c r="A164" s="22" t="s">
        <v>158</v>
      </c>
    </row>
    <row r="165" spans="1:1" x14ac:dyDescent="0.3">
      <c r="A165" s="22" t="s">
        <v>160</v>
      </c>
    </row>
    <row r="166" spans="1:1" x14ac:dyDescent="0.3">
      <c r="A166" s="22" t="s">
        <v>161</v>
      </c>
    </row>
    <row r="167" spans="1:1" x14ac:dyDescent="0.3">
      <c r="A167" s="22" t="s">
        <v>162</v>
      </c>
    </row>
    <row r="168" spans="1:1" x14ac:dyDescent="0.3">
      <c r="A168" s="22" t="s">
        <v>163</v>
      </c>
    </row>
    <row r="169" spans="1:1" x14ac:dyDescent="0.3">
      <c r="A169" s="22" t="s">
        <v>164</v>
      </c>
    </row>
    <row r="170" spans="1:1" x14ac:dyDescent="0.3">
      <c r="A170" s="22" t="s">
        <v>165</v>
      </c>
    </row>
    <row r="171" spans="1:1" x14ac:dyDescent="0.3">
      <c r="A171" s="22" t="s">
        <v>166</v>
      </c>
    </row>
    <row r="172" spans="1:1" x14ac:dyDescent="0.3">
      <c r="A172" s="22" t="s">
        <v>169</v>
      </c>
    </row>
    <row r="173" spans="1:1" x14ac:dyDescent="0.3">
      <c r="A173" s="22" t="s">
        <v>170</v>
      </c>
    </row>
    <row r="174" spans="1:1" x14ac:dyDescent="0.3">
      <c r="A174" s="22" t="s">
        <v>171</v>
      </c>
    </row>
    <row r="175" spans="1:1" x14ac:dyDescent="0.3">
      <c r="A175" s="22" t="s">
        <v>172</v>
      </c>
    </row>
    <row r="176" spans="1:1" x14ac:dyDescent="0.3">
      <c r="A176" s="22" t="s">
        <v>174</v>
      </c>
    </row>
    <row r="177" spans="1:1" x14ac:dyDescent="0.3">
      <c r="A177" s="22" t="s">
        <v>175</v>
      </c>
    </row>
    <row r="178" spans="1:1" x14ac:dyDescent="0.3">
      <c r="A178" s="22" t="s">
        <v>176</v>
      </c>
    </row>
    <row r="179" spans="1:1" x14ac:dyDescent="0.3">
      <c r="A179" s="22" t="s">
        <v>177</v>
      </c>
    </row>
    <row r="180" spans="1:1" x14ac:dyDescent="0.3">
      <c r="A180" s="22" t="s">
        <v>178</v>
      </c>
    </row>
    <row r="181" spans="1:1" x14ac:dyDescent="0.3">
      <c r="A181" s="22" t="s">
        <v>179</v>
      </c>
    </row>
    <row r="182" spans="1:1" x14ac:dyDescent="0.3">
      <c r="A182" s="22" t="s">
        <v>180</v>
      </c>
    </row>
    <row r="183" spans="1:1" x14ac:dyDescent="0.3">
      <c r="A183" s="22" t="s">
        <v>181</v>
      </c>
    </row>
    <row r="184" spans="1:1" x14ac:dyDescent="0.3">
      <c r="A184" s="22" t="s">
        <v>182</v>
      </c>
    </row>
    <row r="185" spans="1:1" x14ac:dyDescent="0.3">
      <c r="A185" s="22" t="s">
        <v>183</v>
      </c>
    </row>
    <row r="186" spans="1:1" x14ac:dyDescent="0.3">
      <c r="A186" s="22" t="s">
        <v>184</v>
      </c>
    </row>
    <row r="187" spans="1:1" x14ac:dyDescent="0.3">
      <c r="A187" s="22" t="s">
        <v>185</v>
      </c>
    </row>
    <row r="188" spans="1:1" x14ac:dyDescent="0.3">
      <c r="A188" s="22" t="s">
        <v>186</v>
      </c>
    </row>
    <row r="189" spans="1:1" x14ac:dyDescent="0.3">
      <c r="A189" s="22" t="s">
        <v>187</v>
      </c>
    </row>
    <row r="190" spans="1:1" x14ac:dyDescent="0.3">
      <c r="A190" s="22" t="s">
        <v>188</v>
      </c>
    </row>
    <row r="191" spans="1:1" x14ac:dyDescent="0.3">
      <c r="A191" s="22" t="s">
        <v>189</v>
      </c>
    </row>
    <row r="192" spans="1:1" x14ac:dyDescent="0.3">
      <c r="A192" s="22" t="s">
        <v>190</v>
      </c>
    </row>
    <row r="193" spans="1:1" x14ac:dyDescent="0.3">
      <c r="A193" s="22" t="s">
        <v>191</v>
      </c>
    </row>
    <row r="194" spans="1:1" x14ac:dyDescent="0.3">
      <c r="A194" s="22" t="s">
        <v>192</v>
      </c>
    </row>
    <row r="195" spans="1:1" x14ac:dyDescent="0.3">
      <c r="A195" s="22" t="s">
        <v>193</v>
      </c>
    </row>
    <row r="196" spans="1:1" x14ac:dyDescent="0.3">
      <c r="A196" s="22" t="s">
        <v>194</v>
      </c>
    </row>
    <row r="197" spans="1:1" x14ac:dyDescent="0.3">
      <c r="A197" s="22" t="s">
        <v>195</v>
      </c>
    </row>
    <row r="198" spans="1:1" x14ac:dyDescent="0.3">
      <c r="A198" s="22" t="s">
        <v>196</v>
      </c>
    </row>
    <row r="199" spans="1:1" x14ac:dyDescent="0.3">
      <c r="A199" s="22" t="s">
        <v>197</v>
      </c>
    </row>
    <row r="200" spans="1:1" x14ac:dyDescent="0.3">
      <c r="A200" s="22" t="s">
        <v>198</v>
      </c>
    </row>
    <row r="201" spans="1:1" x14ac:dyDescent="0.3">
      <c r="A201" s="22" t="s">
        <v>199</v>
      </c>
    </row>
    <row r="202" spans="1:1" x14ac:dyDescent="0.3">
      <c r="A202" s="22" t="s">
        <v>200</v>
      </c>
    </row>
    <row r="203" spans="1:1" x14ac:dyDescent="0.3">
      <c r="A203" s="22" t="s">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5:G31"/>
  <sheetViews>
    <sheetView workbookViewId="0">
      <selection activeCell="C5" sqref="C5:C31"/>
    </sheetView>
  </sheetViews>
  <sheetFormatPr defaultRowHeight="14.4" x14ac:dyDescent="0.3"/>
  <cols>
    <col min="3" max="3" width="26.5546875" bestFit="1" customWidth="1"/>
    <col min="5" max="5" width="19.109375" bestFit="1" customWidth="1"/>
    <col min="6" max="6" width="23.77734375" bestFit="1" customWidth="1"/>
  </cols>
  <sheetData>
    <row r="5" spans="3:7" x14ac:dyDescent="0.3">
      <c r="C5" s="8" t="s">
        <v>219</v>
      </c>
      <c r="D5" s="3">
        <v>101</v>
      </c>
      <c r="E5" s="8" t="s">
        <v>238</v>
      </c>
      <c r="F5" s="8" t="str">
        <f>D5&amp;" - "&amp;E5</f>
        <v>101 - Agricultura</v>
      </c>
      <c r="G5" s="8">
        <f>LEN(F5)</f>
        <v>17</v>
      </c>
    </row>
    <row r="6" spans="3:7" x14ac:dyDescent="0.3">
      <c r="C6" s="8" t="s">
        <v>224</v>
      </c>
      <c r="D6">
        <f>D5+1</f>
        <v>102</v>
      </c>
      <c r="E6" s="8" t="s">
        <v>239</v>
      </c>
      <c r="F6" s="8" t="str">
        <f t="shared" ref="F6:F31" si="0">D6&amp;" - "&amp;E6</f>
        <v>102 - Comércio</v>
      </c>
      <c r="G6" s="8">
        <f t="shared" ref="G6:G31" si="1">LEN(F6)</f>
        <v>14</v>
      </c>
    </row>
    <row r="7" spans="3:7" x14ac:dyDescent="0.3">
      <c r="C7" s="8" t="s">
        <v>223</v>
      </c>
      <c r="D7">
        <f t="shared" ref="D7:D20" si="2">D6+1</f>
        <v>103</v>
      </c>
      <c r="E7" s="8" t="s">
        <v>240</v>
      </c>
      <c r="F7" s="8" t="str">
        <f t="shared" si="0"/>
        <v>103 - Construção</v>
      </c>
      <c r="G7" s="8">
        <f t="shared" si="1"/>
        <v>16</v>
      </c>
    </row>
    <row r="8" spans="3:7" x14ac:dyDescent="0.3">
      <c r="C8" s="8" t="s">
        <v>232</v>
      </c>
      <c r="D8">
        <f t="shared" si="2"/>
        <v>104</v>
      </c>
      <c r="E8" s="8" t="s">
        <v>254</v>
      </c>
      <c r="F8" s="8" t="str">
        <f t="shared" si="0"/>
        <v>104 - En. Éolica</v>
      </c>
      <c r="G8" s="8">
        <f t="shared" si="1"/>
        <v>16</v>
      </c>
    </row>
    <row r="9" spans="3:7" x14ac:dyDescent="0.3">
      <c r="C9" s="8" t="s">
        <v>222</v>
      </c>
      <c r="D9">
        <f t="shared" si="2"/>
        <v>105</v>
      </c>
      <c r="E9" s="8" t="s">
        <v>255</v>
      </c>
      <c r="F9" s="8" t="str">
        <f t="shared" si="0"/>
        <v>105 - En. Hidraúl</v>
      </c>
      <c r="G9" s="8">
        <f t="shared" si="1"/>
        <v>17</v>
      </c>
    </row>
    <row r="10" spans="3:7" x14ac:dyDescent="0.3">
      <c r="C10" s="8" t="s">
        <v>227</v>
      </c>
      <c r="D10">
        <f t="shared" si="2"/>
        <v>106</v>
      </c>
      <c r="E10" s="8" t="s">
        <v>241</v>
      </c>
      <c r="F10" s="8" t="str">
        <f t="shared" si="0"/>
        <v>106 - Escritório</v>
      </c>
      <c r="G10" s="8">
        <f t="shared" si="1"/>
        <v>16</v>
      </c>
    </row>
    <row r="11" spans="3:7" x14ac:dyDescent="0.3">
      <c r="C11" s="8" t="s">
        <v>231</v>
      </c>
      <c r="D11">
        <f t="shared" si="2"/>
        <v>107</v>
      </c>
      <c r="E11" s="8" t="s">
        <v>256</v>
      </c>
      <c r="F11" s="8" t="str">
        <f t="shared" si="0"/>
        <v>107 - En. Solar</v>
      </c>
      <c r="G11" s="8">
        <f t="shared" si="1"/>
        <v>15</v>
      </c>
    </row>
    <row r="12" spans="3:7" x14ac:dyDescent="0.3">
      <c r="C12" s="8" t="s">
        <v>225</v>
      </c>
      <c r="D12">
        <f t="shared" si="2"/>
        <v>108</v>
      </c>
      <c r="E12" s="8" t="s">
        <v>242</v>
      </c>
      <c r="F12" s="8" t="str">
        <f t="shared" si="0"/>
        <v>108 - Hotelaria</v>
      </c>
      <c r="G12" s="8">
        <f t="shared" si="1"/>
        <v>15</v>
      </c>
    </row>
    <row r="13" spans="3:7" x14ac:dyDescent="0.3">
      <c r="C13" s="10" t="s">
        <v>226</v>
      </c>
      <c r="D13">
        <f t="shared" si="2"/>
        <v>109</v>
      </c>
      <c r="E13" s="10" t="s">
        <v>243</v>
      </c>
      <c r="F13" s="8" t="str">
        <f t="shared" si="0"/>
        <v>109 - Indefinido</v>
      </c>
      <c r="G13" s="8">
        <f t="shared" si="1"/>
        <v>16</v>
      </c>
    </row>
    <row r="14" spans="3:7" x14ac:dyDescent="0.3">
      <c r="C14" s="8" t="s">
        <v>220</v>
      </c>
      <c r="D14">
        <f t="shared" si="2"/>
        <v>110</v>
      </c>
      <c r="E14" s="8" t="s">
        <v>244</v>
      </c>
      <c r="F14" s="8" t="str">
        <f t="shared" si="0"/>
        <v>110 - Indústria</v>
      </c>
      <c r="G14" s="8">
        <f t="shared" si="1"/>
        <v>15</v>
      </c>
    </row>
    <row r="15" spans="3:7" x14ac:dyDescent="0.3">
      <c r="C15" s="8" t="s">
        <v>230</v>
      </c>
      <c r="D15">
        <f t="shared" si="2"/>
        <v>111</v>
      </c>
      <c r="E15" s="8" t="s">
        <v>245</v>
      </c>
      <c r="F15" s="8" t="str">
        <f t="shared" si="0"/>
        <v>111 - Lazer</v>
      </c>
      <c r="G15" s="8">
        <f t="shared" si="1"/>
        <v>11</v>
      </c>
    </row>
    <row r="16" spans="3:7" x14ac:dyDescent="0.3">
      <c r="C16" s="8" t="s">
        <v>233</v>
      </c>
      <c r="D16">
        <f t="shared" si="2"/>
        <v>112</v>
      </c>
      <c r="E16" s="8" t="s">
        <v>257</v>
      </c>
      <c r="F16" s="8" t="str">
        <f t="shared" si="0"/>
        <v>112 - Out. E. Ren.</v>
      </c>
      <c r="G16" s="8">
        <f t="shared" si="1"/>
        <v>18</v>
      </c>
    </row>
    <row r="17" spans="3:7" x14ac:dyDescent="0.3">
      <c r="C17" s="8" t="s">
        <v>221</v>
      </c>
      <c r="D17">
        <f t="shared" si="2"/>
        <v>113</v>
      </c>
      <c r="E17" s="8" t="s">
        <v>246</v>
      </c>
      <c r="F17" s="8" t="str">
        <f t="shared" si="0"/>
        <v>113 - Pecuária</v>
      </c>
      <c r="G17" s="8">
        <f t="shared" si="1"/>
        <v>14</v>
      </c>
    </row>
    <row r="18" spans="3:7" x14ac:dyDescent="0.3">
      <c r="C18" s="8" t="s">
        <v>234</v>
      </c>
      <c r="D18">
        <f t="shared" si="2"/>
        <v>114</v>
      </c>
      <c r="E18" s="8" t="s">
        <v>247</v>
      </c>
      <c r="F18" s="8" t="str">
        <f t="shared" si="0"/>
        <v>114 - Restauracão</v>
      </c>
      <c r="G18" s="8">
        <f t="shared" si="1"/>
        <v>17</v>
      </c>
    </row>
    <row r="19" spans="3:7" x14ac:dyDescent="0.3">
      <c r="C19" s="8" t="s">
        <v>228</v>
      </c>
      <c r="D19">
        <f t="shared" si="2"/>
        <v>115</v>
      </c>
      <c r="E19" s="8" t="s">
        <v>248</v>
      </c>
      <c r="F19" s="8" t="str">
        <f t="shared" si="0"/>
        <v>115 - Saúde</v>
      </c>
      <c r="G19" s="8">
        <f t="shared" si="1"/>
        <v>11</v>
      </c>
    </row>
    <row r="20" spans="3:7" x14ac:dyDescent="0.3">
      <c r="C20" s="8" t="s">
        <v>229</v>
      </c>
      <c r="D20">
        <f t="shared" si="2"/>
        <v>116</v>
      </c>
      <c r="E20" s="8" t="s">
        <v>249</v>
      </c>
      <c r="F20" s="8" t="str">
        <f t="shared" si="0"/>
        <v>116 - Transporte</v>
      </c>
      <c r="G20" s="8">
        <f t="shared" si="1"/>
        <v>16</v>
      </c>
    </row>
    <row r="21" spans="3:7" x14ac:dyDescent="0.3">
      <c r="C21" s="10" t="s">
        <v>209</v>
      </c>
      <c r="D21">
        <v>201</v>
      </c>
      <c r="E21" s="10" t="s">
        <v>238</v>
      </c>
      <c r="F21" s="8" t="str">
        <f t="shared" si="0"/>
        <v>201 - Agricultura</v>
      </c>
      <c r="G21" s="8">
        <f t="shared" si="1"/>
        <v>17</v>
      </c>
    </row>
    <row r="22" spans="3:7" x14ac:dyDescent="0.3">
      <c r="C22" s="8" t="s">
        <v>212</v>
      </c>
      <c r="D22">
        <v>202</v>
      </c>
      <c r="E22" s="8" t="s">
        <v>250</v>
      </c>
      <c r="F22" s="8" t="str">
        <f t="shared" si="0"/>
        <v>202 - Avião</v>
      </c>
      <c r="G22" s="8">
        <f t="shared" si="1"/>
        <v>11</v>
      </c>
    </row>
    <row r="23" spans="3:7" x14ac:dyDescent="0.3">
      <c r="C23" s="8" t="s">
        <v>210</v>
      </c>
      <c r="D23">
        <v>203</v>
      </c>
      <c r="E23" s="8" t="s">
        <v>240</v>
      </c>
      <c r="F23" s="8" t="str">
        <f t="shared" si="0"/>
        <v>203 - Construção</v>
      </c>
      <c r="G23" s="8">
        <f t="shared" si="1"/>
        <v>16</v>
      </c>
    </row>
    <row r="24" spans="3:7" x14ac:dyDescent="0.3">
      <c r="C24" s="9" t="s">
        <v>208</v>
      </c>
      <c r="D24">
        <v>204</v>
      </c>
      <c r="E24" s="9" t="s">
        <v>243</v>
      </c>
      <c r="F24" s="8" t="str">
        <f t="shared" si="0"/>
        <v>204 - Indefinido</v>
      </c>
      <c r="G24" s="8">
        <f t="shared" si="1"/>
        <v>16</v>
      </c>
    </row>
    <row r="25" spans="3:7" x14ac:dyDescent="0.3">
      <c r="C25" s="11" t="s">
        <v>214</v>
      </c>
      <c r="D25">
        <v>205</v>
      </c>
      <c r="E25" s="11" t="s">
        <v>258</v>
      </c>
      <c r="F25" s="8" t="str">
        <f t="shared" si="0"/>
        <v>205 - Lig. Merc.</v>
      </c>
      <c r="G25" s="8">
        <f t="shared" si="1"/>
        <v>16</v>
      </c>
    </row>
    <row r="26" spans="3:7" x14ac:dyDescent="0.3">
      <c r="C26" s="11" t="s">
        <v>213</v>
      </c>
      <c r="D26">
        <v>206</v>
      </c>
      <c r="E26" s="11" t="s">
        <v>259</v>
      </c>
      <c r="F26" s="8" t="str">
        <f t="shared" si="0"/>
        <v>206 - Lig. Pass.</v>
      </c>
      <c r="G26" s="8">
        <f t="shared" si="1"/>
        <v>16</v>
      </c>
    </row>
    <row r="27" spans="3:7" x14ac:dyDescent="0.3">
      <c r="C27" s="8" t="s">
        <v>211</v>
      </c>
      <c r="D27">
        <v>207</v>
      </c>
      <c r="E27" s="8" t="s">
        <v>251</v>
      </c>
      <c r="F27" s="8" t="str">
        <f t="shared" si="0"/>
        <v>207 - Maritimo</v>
      </c>
      <c r="G27" s="8">
        <f t="shared" si="1"/>
        <v>14</v>
      </c>
    </row>
    <row r="28" spans="3:7" x14ac:dyDescent="0.3">
      <c r="C28" s="11" t="s">
        <v>217</v>
      </c>
      <c r="D28">
        <v>208</v>
      </c>
      <c r="E28" s="11" t="s">
        <v>252</v>
      </c>
      <c r="F28" s="8" t="str">
        <f t="shared" si="0"/>
        <v>208 - Motociclo</v>
      </c>
      <c r="G28" s="8">
        <f t="shared" si="1"/>
        <v>15</v>
      </c>
    </row>
    <row r="29" spans="3:7" x14ac:dyDescent="0.3">
      <c r="C29" s="11" t="s">
        <v>216</v>
      </c>
      <c r="D29">
        <v>209</v>
      </c>
      <c r="E29" s="11" t="s">
        <v>260</v>
      </c>
      <c r="F29" s="8" t="str">
        <f t="shared" si="0"/>
        <v>209 - Pes. Merc.</v>
      </c>
      <c r="G29" s="8">
        <f t="shared" si="1"/>
        <v>16</v>
      </c>
    </row>
    <row r="30" spans="3:7" x14ac:dyDescent="0.3">
      <c r="C30" s="11" t="s">
        <v>215</v>
      </c>
      <c r="D30">
        <v>210</v>
      </c>
      <c r="E30" s="11" t="s">
        <v>261</v>
      </c>
      <c r="F30" s="8" t="str">
        <f t="shared" si="0"/>
        <v>210 - Pes. Pass.</v>
      </c>
      <c r="G30" s="8">
        <f t="shared" si="1"/>
        <v>16</v>
      </c>
    </row>
    <row r="31" spans="3:7" x14ac:dyDescent="0.3">
      <c r="C31" s="9" t="s">
        <v>218</v>
      </c>
      <c r="D31">
        <v>211</v>
      </c>
      <c r="E31" s="9" t="s">
        <v>253</v>
      </c>
      <c r="F31" s="8" t="str">
        <f t="shared" si="0"/>
        <v>211 - Reboque</v>
      </c>
      <c r="G31" s="8">
        <f t="shared" si="1"/>
        <v>13</v>
      </c>
    </row>
  </sheetData>
  <sortState xmlns:xlrd2="http://schemas.microsoft.com/office/spreadsheetml/2017/richdata2" ref="C6:C31">
    <sortCondition ref="C5:C31"/>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A9DE619-DB1F-4B9D-81AA-3B8523D622B3}">
  <ds:schemaRefs>
    <ds:schemaRef ds:uri="http://schemas.microsoft.com/sharepoint/v3/contenttype/forms"/>
  </ds:schemaRefs>
</ds:datastoreItem>
</file>

<file path=customXml/itemProps2.xml><?xml version="1.0" encoding="utf-8"?>
<ds:datastoreItem xmlns:ds="http://schemas.openxmlformats.org/officeDocument/2006/customXml" ds:itemID="{3E6DDF05-C8A9-4181-8EBD-5DDE1F2EBC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DE285A-7A92-4AA8-BDFA-CFE329FADCFF}">
  <ds:schemaRefs>
    <ds:schemaRef ds:uri="http://schemas.microsoft.com/office/2006/metadata/properties"/>
    <ds:schemaRef ds:uri="http://schemas.microsoft.com/office/2006/documentManagement/types"/>
    <ds:schemaRef ds:uri="http://purl.org/dc/dcmitype/"/>
    <ds:schemaRef ds:uri="http://schemas.microsoft.com/office/infopath/2007/PartnerControls"/>
    <ds:schemaRef ds:uri="http://purl.org/dc/terms/"/>
    <ds:schemaRef ds:uri="http://purl.org/dc/elements/1.1/"/>
    <ds:schemaRef ds:uri="http://www.w3.org/XML/1998/namespace"/>
    <ds:schemaRef ds:uri="0683c779-04fc-4b63-89c9-6c25ffa1c0a4"/>
    <ds:schemaRef ds:uri="http://schemas.openxmlformats.org/package/2006/metadata/core-properties"/>
    <ds:schemaRef ds:uri="6ea7b29d-57ec-408d-9ea9-cf73b04f66d5"/>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Resumo</vt:lpstr>
      <vt:lpstr>1. TAT (1) - Equip. Lease</vt:lpstr>
      <vt:lpstr>1. TAT (2) - Equip. Lease</vt:lpstr>
      <vt:lpstr>2. Mapeamento a validar</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2025-09-26T09:39:43Z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2024-08-08T10:18:49Z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9899affc-1a67-4e85-983d-caf5ef421ca0</vt:lpwstr>
  </property>
  <property fmtid="{D5CDD505-2E9C-101B-9397-08002B2CF9AE}" pid="8" name="MSIP_Label_41b88ec2-a72b-4523-9e84-0458a1764731_ContentBits">
    <vt:lpwstr>0</vt:lpwstr>
  </property>
  <property fmtid="{D5CDD505-2E9C-101B-9397-08002B2CF9AE}" pid="9" name="ContentTypeId">
    <vt:lpwstr>0x010100B0F2CD0D646C4A4BA134F31D4B24B40E</vt:lpwstr>
  </property>
  <property fmtid="{D5CDD505-2E9C-101B-9397-08002B2CF9AE}" pid="10" name="MediaServiceImageTags">
    <vt:lpwstr/>
  </property>
</Properties>
</file>