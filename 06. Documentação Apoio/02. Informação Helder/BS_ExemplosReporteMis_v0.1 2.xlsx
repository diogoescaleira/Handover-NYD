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6. Documentação Apoio/02. Informação Helder/"/>
    </mc:Choice>
  </mc:AlternateContent>
  <xr:revisionPtr revIDLastSave="341" documentId="11_9F532D3C70B0276DD9C6ACA92E99806792640D48" xr6:coauthVersionLast="47" xr6:coauthVersionMax="47" xr10:uidLastSave="{4F06974D-C6B7-4801-937E-BE1022B32C56}"/>
  <bookViews>
    <workbookView xWindow="-108" yWindow="-108" windowWidth="23256" windowHeight="12456" activeTab="4" xr2:uid="{00000000-000D-0000-FFFF-FFFF00000000}"/>
  </bookViews>
  <sheets>
    <sheet name="EX_1" sheetId="5" r:id="rId1"/>
    <sheet name="EX_2" sheetId="6" r:id="rId2"/>
    <sheet name="EX_3" sheetId="7" r:id="rId3"/>
    <sheet name="Tradutor" sheetId="10" r:id="rId4"/>
    <sheet name="Sheet3" sheetId="14" r:id="rId5"/>
    <sheet name="Tradutor_v2" sheetId="11" r:id="rId6"/>
    <sheet name="Sheet1" sheetId="12" r:id="rId7"/>
  </sheets>
  <definedNames>
    <definedName name="Ambiente" localSheetId="5">#REF!</definedName>
    <definedName name="Ambiente">#REF!</definedName>
    <definedName name="Estado" localSheetId="5">#REF!</definedName>
    <definedName name="Est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4" l="1"/>
  <c r="Q9" i="14"/>
  <c r="R9" i="14" s="1"/>
  <c r="S9" i="14" s="1"/>
  <c r="Q8" i="14"/>
  <c r="R8" i="14" s="1"/>
  <c r="S8" i="14" s="1"/>
  <c r="Q7" i="14"/>
  <c r="R7" i="14" s="1"/>
  <c r="S7" i="14" s="1"/>
  <c r="Q5" i="14"/>
  <c r="F82" i="11"/>
  <c r="C84" i="11"/>
  <c r="C83" i="11"/>
  <c r="C82" i="11"/>
  <c r="H76" i="11"/>
  <c r="F84" i="11" s="1"/>
  <c r="D77" i="11"/>
  <c r="G64" i="11"/>
  <c r="G63" i="11"/>
  <c r="H63" i="11" s="1"/>
  <c r="F72" i="11" s="1"/>
  <c r="G66" i="11"/>
  <c r="H66" i="11" s="1"/>
  <c r="F75" i="11" s="1"/>
  <c r="H67" i="11"/>
  <c r="F76" i="11" s="1"/>
  <c r="G65" i="11"/>
  <c r="H65" i="11" s="1"/>
  <c r="F73" i="11" s="1"/>
  <c r="G73" i="11" s="1"/>
  <c r="H73" i="11" s="1"/>
  <c r="H64" i="11"/>
  <c r="F74" i="11" s="1"/>
  <c r="E68" i="11"/>
  <c r="D42" i="11"/>
  <c r="G41" i="11"/>
  <c r="G40" i="11"/>
  <c r="F47" i="11" s="1"/>
  <c r="F51" i="11" s="1"/>
  <c r="F39" i="11"/>
  <c r="G39" i="11" s="1"/>
  <c r="F38" i="11"/>
  <c r="G38" i="11" s="1"/>
  <c r="F37" i="11"/>
  <c r="G37" i="11" s="1"/>
  <c r="D15" i="11"/>
  <c r="E28" i="7"/>
  <c r="Q6" i="14" l="1"/>
  <c r="R6" i="14" s="1"/>
  <c r="S6" i="14" s="1"/>
  <c r="R5" i="14"/>
  <c r="S5" i="14" s="1"/>
  <c r="G75" i="11"/>
  <c r="H75" i="11" s="1"/>
  <c r="F83" i="11" s="1"/>
  <c r="G74" i="11"/>
  <c r="H74" i="11" s="1"/>
  <c r="F81" i="11" s="1"/>
  <c r="F77" i="11"/>
  <c r="G72" i="11"/>
  <c r="H72" i="11" s="1"/>
  <c r="F80" i="11" s="1"/>
  <c r="H68" i="11"/>
  <c r="G42" i="11"/>
  <c r="H77" i="11" l="1"/>
  <c r="G14" i="11" l="1"/>
  <c r="G13" i="11"/>
  <c r="F12" i="11"/>
  <c r="G12" i="11" s="1"/>
  <c r="F23" i="11" s="1"/>
  <c r="F11" i="11"/>
  <c r="G11" i="11" s="1"/>
  <c r="F10" i="11"/>
  <c r="G10" i="11" s="1"/>
  <c r="F19" i="11" s="1"/>
  <c r="C81" i="11"/>
  <c r="C80" i="11"/>
  <c r="C58" i="11"/>
  <c r="C57" i="11"/>
  <c r="C56" i="11"/>
  <c r="C55" i="11"/>
  <c r="C54" i="11"/>
  <c r="D51" i="11"/>
  <c r="H50" i="11"/>
  <c r="F56" i="11" s="1"/>
  <c r="G49" i="11"/>
  <c r="H49" i="11" s="1"/>
  <c r="F58" i="11" s="1"/>
  <c r="G48" i="11"/>
  <c r="H48" i="11" s="1"/>
  <c r="F55" i="11" s="1"/>
  <c r="H47" i="11"/>
  <c r="F57" i="11" s="1"/>
  <c r="H46" i="11"/>
  <c r="C31" i="11"/>
  <c r="C30" i="11"/>
  <c r="C29" i="11"/>
  <c r="C28" i="11"/>
  <c r="C27" i="11"/>
  <c r="D24" i="11"/>
  <c r="H23" i="11"/>
  <c r="F29" i="11" s="1"/>
  <c r="H51" i="11" l="1"/>
  <c r="F54" i="11"/>
  <c r="F59" i="11" s="1"/>
  <c r="F21" i="11"/>
  <c r="F24" i="11" s="1"/>
  <c r="G15" i="11"/>
  <c r="G19" i="11"/>
  <c r="H19" i="11" s="1"/>
  <c r="G20" i="11"/>
  <c r="H20" i="11" s="1"/>
  <c r="F30" i="11" s="1"/>
  <c r="F27" i="11"/>
  <c r="C60" i="10"/>
  <c r="C59" i="10"/>
  <c r="C58" i="10"/>
  <c r="C57" i="10"/>
  <c r="C56" i="10"/>
  <c r="C42" i="10"/>
  <c r="C41" i="10"/>
  <c r="C40" i="10"/>
  <c r="C39" i="10"/>
  <c r="C38" i="10"/>
  <c r="C23" i="10"/>
  <c r="C22" i="10"/>
  <c r="C21" i="10"/>
  <c r="C20" i="10"/>
  <c r="C19" i="10"/>
  <c r="D53" i="10"/>
  <c r="H52" i="10"/>
  <c r="F58" i="10" s="1"/>
  <c r="G51" i="10"/>
  <c r="H51" i="10" s="1"/>
  <c r="F60" i="10" s="1"/>
  <c r="G50" i="10"/>
  <c r="H50" i="10" s="1"/>
  <c r="F57" i="10" s="1"/>
  <c r="G49" i="10"/>
  <c r="H49" i="10" s="1"/>
  <c r="F59" i="10" s="1"/>
  <c r="G48" i="10"/>
  <c r="H48" i="10" s="1"/>
  <c r="D35" i="10"/>
  <c r="D16" i="10"/>
  <c r="G33" i="10"/>
  <c r="H33" i="10" s="1"/>
  <c r="F42" i="10" s="1"/>
  <c r="G32" i="10"/>
  <c r="H32" i="10" s="1"/>
  <c r="F39" i="10" s="1"/>
  <c r="H34" i="10"/>
  <c r="F40" i="10" s="1"/>
  <c r="H31" i="10"/>
  <c r="F41" i="10" s="1"/>
  <c r="H30" i="10"/>
  <c r="H15" i="10"/>
  <c r="F21" i="10" s="1"/>
  <c r="G14" i="10"/>
  <c r="H14" i="10" s="1"/>
  <c r="F23" i="10" s="1"/>
  <c r="G13" i="10"/>
  <c r="H13" i="10" s="1"/>
  <c r="F20" i="10" s="1"/>
  <c r="G12" i="10"/>
  <c r="H12" i="10" s="1"/>
  <c r="F22" i="10" s="1"/>
  <c r="G11" i="10"/>
  <c r="H11" i="10" s="1"/>
  <c r="F19" i="10" s="1"/>
  <c r="G22" i="11" l="1"/>
  <c r="H22" i="11" s="1"/>
  <c r="F31" i="11" s="1"/>
  <c r="G21" i="11"/>
  <c r="H21" i="11" s="1"/>
  <c r="F28" i="11" s="1"/>
  <c r="H35" i="10"/>
  <c r="H16" i="10"/>
  <c r="F56" i="10"/>
  <c r="F61" i="10" s="1"/>
  <c r="H53" i="10"/>
  <c r="F38" i="10"/>
  <c r="F43" i="10" s="1"/>
  <c r="F24" i="10"/>
  <c r="F85" i="11" l="1"/>
  <c r="F32" i="11"/>
  <c r="H24" i="11"/>
  <c r="G28" i="7"/>
  <c r="F28" i="7"/>
  <c r="G29" i="7"/>
  <c r="F29" i="7"/>
  <c r="E29" i="7"/>
  <c r="G17" i="7"/>
  <c r="F17" i="7"/>
  <c r="E17" i="7"/>
</calcChain>
</file>

<file path=xl/sharedStrings.xml><?xml version="1.0" encoding="utf-8"?>
<sst xmlns="http://schemas.openxmlformats.org/spreadsheetml/2006/main" count="618" uniqueCount="89">
  <si>
    <t>Exemplo 1</t>
  </si>
  <si>
    <t>BA2</t>
  </si>
  <si>
    <t>51.7100</t>
  </si>
  <si>
    <t>0.0000</t>
  </si>
  <si>
    <t>NULL</t>
  </si>
  <si>
    <t>31000319411072096000000000000000</t>
  </si>
  <si>
    <t>0</t>
  </si>
  <si>
    <t>1</t>
  </si>
  <si>
    <t>BA4</t>
  </si>
  <si>
    <t>55.4000</t>
  </si>
  <si>
    <t>33.8500</t>
  </si>
  <si>
    <t>21.5500</t>
  </si>
  <si>
    <t>BA11</t>
  </si>
  <si>
    <t>28.0000</t>
  </si>
  <si>
    <t>17.1500</t>
  </si>
  <si>
    <t>10.8500</t>
  </si>
  <si>
    <t>31641600000001069000007401619137</t>
  </si>
  <si>
    <t>Maio</t>
  </si>
  <si>
    <t>Abril</t>
  </si>
  <si>
    <t>Reporte Maio</t>
  </si>
  <si>
    <t>CT207_RENT_OVER</t>
  </si>
  <si>
    <t>CT207_RENT_OVER.CKAREA</t>
  </si>
  <si>
    <t>CT209_RENT_KPM</t>
  </si>
  <si>
    <t>CT211_RENT_KPMCO</t>
  </si>
  <si>
    <t>Exemplo 2</t>
  </si>
  <si>
    <t>A</t>
  </si>
  <si>
    <t>Exemplo Ilustrativo 3A</t>
  </si>
  <si>
    <t>MÊS</t>
  </si>
  <si>
    <t>CHAVE</t>
  </si>
  <si>
    <t>C298</t>
  </si>
  <si>
    <t>ATIVO</t>
  </si>
  <si>
    <t>ATIVO PATRIMONIAL</t>
  </si>
  <si>
    <t>ATIVO EXTRAPATRIMONIAL LINHAS CREDITO</t>
  </si>
  <si>
    <t>ATIVO EXTRAPATRIMONIAL CREDITO ASSINATURA</t>
  </si>
  <si>
    <t>C457</t>
  </si>
  <si>
    <t>C460</t>
  </si>
  <si>
    <t>SUBSTR(CT207_RENT_OVER.CKMETAMIS,1,4)</t>
  </si>
  <si>
    <t>BUSINESS AREA</t>
  </si>
  <si>
    <t>GRSS_FEE_CMMSSN_INCM</t>
  </si>
  <si>
    <t>GRSS_FEE_CMMSSN_INCM_OFF_BLNC</t>
  </si>
  <si>
    <t>GRSS_INTRST_INCM</t>
  </si>
  <si>
    <t xml:space="preserve">Reporte Maio </t>
  </si>
  <si>
    <t>Exemplo Ilustrativo 3B</t>
  </si>
  <si>
    <t>0. TRADUTOR MIS/MASTER</t>
  </si>
  <si>
    <t>MIS</t>
  </si>
  <si>
    <t>VALOR MIS POND</t>
  </si>
  <si>
    <t>E</t>
  </si>
  <si>
    <t>F</t>
  </si>
  <si>
    <t>B</t>
  </si>
  <si>
    <t>D</t>
  </si>
  <si>
    <t>S</t>
  </si>
  <si>
    <t>BUS AREA</t>
  </si>
  <si>
    <t>BA3</t>
  </si>
  <si>
    <t>BA5</t>
  </si>
  <si>
    <t>CHAVE FINREP</t>
  </si>
  <si>
    <t xml:space="preserve">Reporte </t>
  </si>
  <si>
    <r>
      <t xml:space="preserve">Exemplo Ilustrativo 1A - </t>
    </r>
    <r>
      <rPr>
        <b/>
        <i/>
        <sz val="14"/>
        <color rgb="FFFF0000"/>
        <rFont val="Calibri"/>
        <family val="2"/>
        <scheme val="minor"/>
      </rPr>
      <t>Montantes</t>
    </r>
  </si>
  <si>
    <r>
      <t xml:space="preserve">Exemplo Ilustrativo 1B - </t>
    </r>
    <r>
      <rPr>
        <b/>
        <i/>
        <sz val="14"/>
        <color rgb="FFFF0000"/>
        <rFont val="Calibri"/>
        <family val="2"/>
        <scheme val="minor"/>
      </rPr>
      <t>Montantes</t>
    </r>
  </si>
  <si>
    <t>BA7</t>
  </si>
  <si>
    <r>
      <t xml:space="preserve">Exemplo Ilustrativo 1C - </t>
    </r>
    <r>
      <rPr>
        <b/>
        <i/>
        <sz val="14"/>
        <color rgb="FFFF0000"/>
        <rFont val="Calibri"/>
        <family val="2"/>
        <scheme val="minor"/>
      </rPr>
      <t>Montantes</t>
    </r>
  </si>
  <si>
    <t xml:space="preserve">CHAVE </t>
  </si>
  <si>
    <t>0. TRADUTOR MIS/FINREP</t>
  </si>
  <si>
    <t>FINREP</t>
  </si>
  <si>
    <t>VALOR FINREP</t>
  </si>
  <si>
    <t>% POND FINREP</t>
  </si>
  <si>
    <t>VALOR MIS</t>
  </si>
  <si>
    <t>% POND</t>
  </si>
  <si>
    <t>VALOR</t>
  </si>
  <si>
    <t>Chaves MIS</t>
  </si>
  <si>
    <t>Chave FINREP</t>
  </si>
  <si>
    <t>msaldo_final</t>
  </si>
  <si>
    <t>c457+c460</t>
  </si>
  <si>
    <t>GRSS_CMMSSN_INCM</t>
  </si>
  <si>
    <t>BSNSS_AREA</t>
  </si>
  <si>
    <t>INSTRMNT_ID</t>
  </si>
  <si>
    <t>CKAREA</t>
  </si>
  <si>
    <t>LT002_PARTE3_AUX2</t>
  </si>
  <si>
    <t>LT001</t>
  </si>
  <si>
    <t>FINREP (concat 4 campos)</t>
  </si>
  <si>
    <t>AUX_RENT_FEV25</t>
  </si>
  <si>
    <t>c280</t>
  </si>
  <si>
    <t>ckarea</t>
  </si>
  <si>
    <t>LT002_PARTE3_AUX2 apos cruzamento com LT001 e AUX_RENT_FEV25</t>
  </si>
  <si>
    <t>C280</t>
  </si>
  <si>
    <t>msaldo_final_mis</t>
  </si>
  <si>
    <t>somatório do msaldo das chaves FINREP associadas ao par mis+BA</t>
  </si>
  <si>
    <t>% Ponderador</t>
  </si>
  <si>
    <t>a % do msaldo_final da chave FINREP sobre o msaldo_final_mis</t>
  </si>
  <si>
    <t>Aplicar o ponderador ao valor do C280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</si>
</sst>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_-* #,##0.00\ [$€-816]_-;\-* #,##0.00\ [$€-816]_-;_-* &quot;-&quot;??\ [$€-816]_-;_-@_-"/>
    <numFmt numFmtId="166" formatCode="#,##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8" fillId="0" borderId="0"/>
  </cellStyleXfs>
  <cellXfs count="7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2" xfId="0" applyBorder="1"/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2" fillId="2" borderId="1" xfId="0" applyFont="1" applyFill="1" applyBorder="1"/>
    <xf numFmtId="0" fontId="0" fillId="4" borderId="1" xfId="0" applyFill="1" applyBorder="1"/>
    <xf numFmtId="0" fontId="4" fillId="0" borderId="2" xfId="0" applyFont="1" applyBorder="1"/>
    <xf numFmtId="0" fontId="0" fillId="0" borderId="0" xfId="0" applyAlignment="1">
      <alignment wrapText="1"/>
    </xf>
    <xf numFmtId="16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164" fontId="6" fillId="0" borderId="0" xfId="0" applyNumberFormat="1" applyFont="1"/>
    <xf numFmtId="0" fontId="0" fillId="4" borderId="6" xfId="0" applyFill="1" applyBorder="1"/>
    <xf numFmtId="164" fontId="0" fillId="4" borderId="6" xfId="0" applyNumberFormat="1" applyFill="1" applyBorder="1"/>
    <xf numFmtId="0" fontId="0" fillId="4" borderId="7" xfId="0" applyFill="1" applyBorder="1"/>
    <xf numFmtId="164" fontId="0" fillId="4" borderId="7" xfId="0" applyNumberFormat="1" applyFill="1" applyBorder="1"/>
    <xf numFmtId="0" fontId="0" fillId="4" borderId="8" xfId="0" applyFill="1" applyBorder="1"/>
    <xf numFmtId="164" fontId="0" fillId="4" borderId="8" xfId="0" applyNumberFormat="1" applyFill="1" applyBorder="1"/>
    <xf numFmtId="0" fontId="0" fillId="4" borderId="6" xfId="0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9" fontId="0" fillId="4" borderId="6" xfId="1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9" fontId="0" fillId="4" borderId="8" xfId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9" fontId="0" fillId="4" borderId="0" xfId="1" applyFont="1" applyFill="1" applyBorder="1" applyAlignment="1">
      <alignment horizontal="center"/>
    </xf>
    <xf numFmtId="0" fontId="4" fillId="0" borderId="0" xfId="0" applyFont="1"/>
    <xf numFmtId="0" fontId="0" fillId="4" borderId="7" xfId="0" applyFill="1" applyBorder="1" applyAlignment="1">
      <alignment horizontal="center"/>
    </xf>
    <xf numFmtId="9" fontId="0" fillId="4" borderId="7" xfId="1" applyFon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9" fontId="0" fillId="4" borderId="9" xfId="1" applyFont="1" applyFill="1" applyBorder="1" applyAlignment="1">
      <alignment horizontal="center"/>
    </xf>
    <xf numFmtId="164" fontId="0" fillId="4" borderId="9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9" fontId="0" fillId="0" borderId="6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9" fontId="0" fillId="0" borderId="8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9" fontId="0" fillId="0" borderId="1" xfId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164" fontId="0" fillId="0" borderId="1" xfId="0" applyNumberFormat="1" applyBorder="1"/>
    <xf numFmtId="0" fontId="0" fillId="0" borderId="0" xfId="0" applyAlignment="1">
      <alignment vertical="center" wrapText="1"/>
    </xf>
    <xf numFmtId="166" fontId="0" fillId="0" borderId="1" xfId="0" applyNumberFormat="1" applyBorder="1"/>
    <xf numFmtId="4" fontId="0" fillId="0" borderId="1" xfId="0" applyNumberFormat="1" applyBorder="1"/>
    <xf numFmtId="0" fontId="2" fillId="0" borderId="0" xfId="0" applyFont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Normal" xfId="0" builtinId="0"/>
    <cellStyle name="Normal 2 2" xfId="2" xr:uid="{F8DF2295-A5E5-488C-B60F-20F618A17909}"/>
    <cellStyle name="Percent" xfId="1" builtinId="5"/>
  </cellStyles>
  <dxfs count="0"/>
  <tableStyles count="0" defaultTableStyle="TableStyleMedium2" defaultPivotStyle="PivotStyleLight16"/>
  <colors>
    <mruColors>
      <color rgb="FFFFFF93"/>
      <color rgb="FF700000"/>
      <color rgb="FFC00000"/>
      <color rgb="FFFFCDCD"/>
      <color rgb="FFFFA3A3"/>
      <color rgb="FFFF7575"/>
      <color rgb="FFCBCBCB"/>
      <color rgb="FFFF3737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96333" y="186268"/>
          <a:ext cx="2542117" cy="391583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899583</xdr:colOff>
      <xdr:row>0</xdr:row>
      <xdr:rowOff>158750</xdr:rowOff>
    </xdr:from>
    <xdr:to>
      <xdr:col>10</xdr:col>
      <xdr:colOff>857249</xdr:colOff>
      <xdr:row>3</xdr:row>
      <xdr:rowOff>21167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721166" y="158750"/>
          <a:ext cx="4392083" cy="433917"/>
        </a:xfrm>
        <a:prstGeom prst="rect">
          <a:avLst/>
        </a:prstGeom>
        <a:solidFill>
          <a:srgbClr val="FFFF93"/>
        </a:solidFill>
        <a:ln w="952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b="1" u="none"/>
            <a:t>- 27/11:</a:t>
          </a:r>
          <a:r>
            <a:rPr lang="pt-PT" sz="1100" b="1" u="none" baseline="0"/>
            <a:t> </a:t>
          </a:r>
          <a:r>
            <a:rPr lang="pt-PT" sz="1100" baseline="0"/>
            <a:t>Reunião com o Luís Silva e com o Luís Velez para validar os 3 exemplos. Ele deu OK a tudo. </a:t>
          </a:r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96333" y="186268"/>
          <a:ext cx="2542117" cy="391583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3</xdr:col>
      <xdr:colOff>19050</xdr:colOff>
      <xdr:row>3</xdr:row>
      <xdr:rowOff>19051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96333" y="186268"/>
          <a:ext cx="2542117" cy="391583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</xdr:rowOff>
    </xdr:from>
    <xdr:to>
      <xdr:col>2</xdr:col>
      <xdr:colOff>836084</xdr:colOff>
      <xdr:row>3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47650" y="180976"/>
          <a:ext cx="2455334" cy="361949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</xdr:rowOff>
    </xdr:from>
    <xdr:to>
      <xdr:col>2</xdr:col>
      <xdr:colOff>836084</xdr:colOff>
      <xdr:row>3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54000" y="186268"/>
          <a:ext cx="2453217" cy="372532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"/>
  <sheetViews>
    <sheetView showGridLines="0" zoomScale="90" zoomScaleNormal="90" workbookViewId="0"/>
  </sheetViews>
  <sheetFormatPr defaultColWidth="0" defaultRowHeight="14.25" customHeight="1" zeroHeight="1" x14ac:dyDescent="0.3"/>
  <cols>
    <col min="1" max="1" width="4.33203125" customWidth="1"/>
    <col min="2" max="3" width="18.33203125" customWidth="1"/>
    <col min="4" max="5" width="33.6640625" customWidth="1"/>
    <col min="6" max="6" width="35.5546875" customWidth="1"/>
    <col min="7" max="7" width="33.6640625" customWidth="1"/>
    <col min="8" max="8" width="30.5546875" customWidth="1"/>
    <col min="9" max="11" width="18" customWidth="1"/>
    <col min="12" max="12" width="3.6640625" customWidth="1"/>
    <col min="13" max="13" width="26.6640625" hidden="1" customWidth="1"/>
    <col min="14" max="14" width="3.6640625" hidden="1" customWidth="1"/>
    <col min="15" max="15" width="35.109375" hidden="1" customWidth="1"/>
    <col min="16" max="16" width="19.88671875" hidden="1" customWidth="1"/>
    <col min="17" max="17" width="38.6640625" hidden="1" customWidth="1"/>
    <col min="18" max="18" width="22.109375" hidden="1" customWidth="1"/>
    <col min="19" max="23" width="10.44140625" hidden="1" customWidth="1"/>
    <col min="24" max="24" width="0" hidden="1" customWidth="1"/>
    <col min="25" max="25" width="26.5546875" hidden="1" customWidth="1"/>
    <col min="26" max="26" width="35.109375" hidden="1" customWidth="1"/>
    <col min="27" max="27" width="19.88671875" hidden="1" customWidth="1"/>
    <col min="28" max="16384" width="10.44140625" hidden="1"/>
  </cols>
  <sheetData>
    <row r="1" spans="2:13" s="1" customFormat="1" ht="14.4" x14ac:dyDescent="0.3"/>
    <row r="2" spans="2:13" s="1" customFormat="1" ht="14.4" x14ac:dyDescent="0.3"/>
    <row r="3" spans="2:13" s="1" customFormat="1" ht="14.4" x14ac:dyDescent="0.3"/>
    <row r="4" spans="2:13" s="1" customFormat="1" ht="14.4" x14ac:dyDescent="0.3"/>
    <row r="5" spans="2:13" s="2" customFormat="1" ht="3" customHeight="1" x14ac:dyDescent="0.3"/>
    <row r="6" spans="2:13" ht="14.4" x14ac:dyDescent="0.3"/>
    <row r="7" spans="2:13" ht="14.25" customHeight="1" thickBot="1" x14ac:dyDescent="0.4">
      <c r="B7" s="10" t="s">
        <v>0</v>
      </c>
      <c r="C7" s="3"/>
      <c r="D7" s="3"/>
      <c r="E7" s="3"/>
      <c r="F7" s="3"/>
      <c r="G7" s="3"/>
      <c r="H7" s="3"/>
      <c r="I7" s="3"/>
      <c r="J7" s="3"/>
      <c r="K7" s="3"/>
      <c r="M7" s="3"/>
    </row>
    <row r="8" spans="2:13" ht="14.25" customHeight="1" x14ac:dyDescent="0.3"/>
    <row r="9" spans="2:13" ht="14.25" customHeight="1" x14ac:dyDescent="0.3">
      <c r="B9" s="65" t="s">
        <v>20</v>
      </c>
      <c r="C9" s="65"/>
      <c r="D9" s="65" t="s">
        <v>36</v>
      </c>
      <c r="E9" s="65"/>
      <c r="F9" s="65"/>
      <c r="G9" s="65"/>
      <c r="H9" s="4" t="s">
        <v>21</v>
      </c>
      <c r="I9" s="4" t="s">
        <v>22</v>
      </c>
      <c r="J9" s="65" t="s">
        <v>23</v>
      </c>
      <c r="K9" s="65"/>
    </row>
    <row r="10" spans="2:13" ht="31.5" customHeight="1" x14ac:dyDescent="0.3">
      <c r="B10" s="5" t="s">
        <v>27</v>
      </c>
      <c r="C10" s="5" t="s">
        <v>28</v>
      </c>
      <c r="D10" s="6" t="s">
        <v>30</v>
      </c>
      <c r="E10" s="6" t="s">
        <v>31</v>
      </c>
      <c r="F10" s="6" t="s">
        <v>32</v>
      </c>
      <c r="G10" s="6" t="s">
        <v>33</v>
      </c>
      <c r="H10" s="5" t="s">
        <v>37</v>
      </c>
      <c r="I10" s="5" t="s">
        <v>29</v>
      </c>
      <c r="J10" s="5" t="s">
        <v>34</v>
      </c>
      <c r="K10" s="5" t="s">
        <v>35</v>
      </c>
    </row>
    <row r="11" spans="2:13" ht="14.25" customHeight="1" x14ac:dyDescent="0.3">
      <c r="B11" s="8" t="s">
        <v>18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</row>
    <row r="12" spans="2:13" ht="14.25" customHeight="1" x14ac:dyDescent="0.3">
      <c r="B12" s="8" t="s">
        <v>17</v>
      </c>
      <c r="C12" s="9" t="s">
        <v>5</v>
      </c>
      <c r="D12" s="9" t="s">
        <v>6</v>
      </c>
      <c r="E12" s="9" t="s">
        <v>7</v>
      </c>
      <c r="F12" s="9" t="s">
        <v>7</v>
      </c>
      <c r="G12" s="9" t="s">
        <v>6</v>
      </c>
      <c r="H12" s="9" t="s">
        <v>1</v>
      </c>
      <c r="I12" s="9" t="s">
        <v>2</v>
      </c>
      <c r="J12" s="9" t="s">
        <v>3</v>
      </c>
      <c r="K12" s="9" t="s">
        <v>3</v>
      </c>
    </row>
    <row r="13" spans="2:13" ht="14.25" customHeight="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2:13" ht="14.25" customHeight="1" x14ac:dyDescent="0.3">
      <c r="B14" s="66" t="s">
        <v>19</v>
      </c>
      <c r="C14" s="8" t="s">
        <v>28</v>
      </c>
      <c r="D14" s="8" t="s">
        <v>37</v>
      </c>
      <c r="E14" s="8" t="s">
        <v>38</v>
      </c>
      <c r="F14" s="8" t="s">
        <v>39</v>
      </c>
      <c r="G14" s="8" t="s">
        <v>40</v>
      </c>
      <c r="H14" s="7"/>
      <c r="I14" s="7"/>
      <c r="J14" s="7"/>
      <c r="K14" s="7"/>
    </row>
    <row r="15" spans="2:13" ht="14.25" customHeight="1" x14ac:dyDescent="0.3">
      <c r="B15" s="66"/>
      <c r="C15" s="9" t="s">
        <v>5</v>
      </c>
      <c r="D15" s="9" t="s">
        <v>1</v>
      </c>
      <c r="E15" s="9" t="s">
        <v>3</v>
      </c>
      <c r="F15" s="9" t="s">
        <v>3</v>
      </c>
      <c r="G15" s="9" t="s">
        <v>2</v>
      </c>
      <c r="H15" s="7"/>
      <c r="I15" s="7"/>
      <c r="J15" s="7"/>
      <c r="K15" s="7"/>
    </row>
    <row r="16" spans="2:13" ht="14.25" customHeight="1" x14ac:dyDescent="0.3">
      <c r="B16" s="7"/>
      <c r="C16" s="7"/>
      <c r="D16" s="7"/>
      <c r="E16" s="7"/>
      <c r="F16" s="7"/>
      <c r="G16" s="7"/>
      <c r="H16" s="7"/>
      <c r="I16" s="7"/>
      <c r="J16" s="7"/>
      <c r="K16" s="7"/>
    </row>
  </sheetData>
  <mergeCells count="4">
    <mergeCell ref="D9:G9"/>
    <mergeCell ref="J9:K9"/>
    <mergeCell ref="B9:C9"/>
    <mergeCell ref="B14:B1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"/>
  <sheetViews>
    <sheetView showGridLines="0" zoomScale="90" zoomScaleNormal="90" workbookViewId="0">
      <selection activeCell="F15" sqref="F15"/>
    </sheetView>
  </sheetViews>
  <sheetFormatPr defaultColWidth="0" defaultRowHeight="14.25" customHeight="1" zeroHeight="1" x14ac:dyDescent="0.3"/>
  <cols>
    <col min="1" max="1" width="4.33203125" customWidth="1"/>
    <col min="2" max="3" width="18.33203125" customWidth="1"/>
    <col min="4" max="5" width="33.6640625" customWidth="1"/>
    <col min="6" max="6" width="35.5546875" customWidth="1"/>
    <col min="7" max="7" width="33.6640625" customWidth="1"/>
    <col min="8" max="8" width="30.5546875" customWidth="1"/>
    <col min="9" max="11" width="18" customWidth="1"/>
    <col min="12" max="12" width="3.6640625" customWidth="1"/>
    <col min="13" max="13" width="26.6640625" hidden="1" customWidth="1"/>
    <col min="14" max="14" width="3.6640625" hidden="1" customWidth="1"/>
    <col min="15" max="15" width="35.109375" hidden="1" customWidth="1"/>
    <col min="16" max="16" width="19.88671875" hidden="1" customWidth="1"/>
    <col min="17" max="17" width="38.6640625" hidden="1" customWidth="1"/>
    <col min="18" max="18" width="22.109375" hidden="1" customWidth="1"/>
    <col min="19" max="23" width="10.44140625" hidden="1" customWidth="1"/>
    <col min="24" max="24" width="0" hidden="1" customWidth="1"/>
    <col min="25" max="25" width="26.5546875" hidden="1" customWidth="1"/>
    <col min="26" max="26" width="35.109375" hidden="1" customWidth="1"/>
    <col min="27" max="27" width="19.88671875" hidden="1" customWidth="1"/>
    <col min="28" max="16384" width="10.44140625" hidden="1"/>
  </cols>
  <sheetData>
    <row r="1" spans="2:13" s="1" customFormat="1" ht="14.4" x14ac:dyDescent="0.3"/>
    <row r="2" spans="2:13" s="1" customFormat="1" ht="14.4" x14ac:dyDescent="0.3"/>
    <row r="3" spans="2:13" s="1" customFormat="1" ht="14.4" x14ac:dyDescent="0.3"/>
    <row r="4" spans="2:13" s="1" customFormat="1" ht="14.4" x14ac:dyDescent="0.3"/>
    <row r="5" spans="2:13" s="2" customFormat="1" ht="3" customHeight="1" x14ac:dyDescent="0.3"/>
    <row r="6" spans="2:13" ht="14.4" x14ac:dyDescent="0.3"/>
    <row r="7" spans="2:13" ht="14.25" customHeight="1" thickBot="1" x14ac:dyDescent="0.4">
      <c r="B7" s="10" t="s">
        <v>24</v>
      </c>
      <c r="C7" s="3"/>
      <c r="D7" s="3"/>
      <c r="E7" s="3"/>
      <c r="F7" s="3"/>
      <c r="G7" s="3"/>
      <c r="H7" s="3"/>
      <c r="I7" s="3"/>
      <c r="J7" s="3"/>
      <c r="K7" s="3"/>
      <c r="M7" s="3"/>
    </row>
    <row r="8" spans="2:13" ht="14.25" customHeight="1" x14ac:dyDescent="0.3"/>
    <row r="9" spans="2:13" ht="14.25" customHeight="1" x14ac:dyDescent="0.3">
      <c r="B9" s="65" t="s">
        <v>20</v>
      </c>
      <c r="C9" s="65"/>
      <c r="D9" s="65" t="s">
        <v>36</v>
      </c>
      <c r="E9" s="65"/>
      <c r="F9" s="65"/>
      <c r="G9" s="65"/>
      <c r="H9" s="4" t="s">
        <v>21</v>
      </c>
      <c r="I9" s="4" t="s">
        <v>22</v>
      </c>
      <c r="J9" s="65" t="s">
        <v>23</v>
      </c>
      <c r="K9" s="65"/>
    </row>
    <row r="10" spans="2:13" ht="31.5" customHeight="1" x14ac:dyDescent="0.3">
      <c r="B10" s="5" t="s">
        <v>27</v>
      </c>
      <c r="C10" s="5" t="s">
        <v>28</v>
      </c>
      <c r="D10" s="6" t="s">
        <v>30</v>
      </c>
      <c r="E10" s="6" t="s">
        <v>31</v>
      </c>
      <c r="F10" s="6" t="s">
        <v>32</v>
      </c>
      <c r="G10" s="6" t="s">
        <v>33</v>
      </c>
      <c r="H10" s="5" t="s">
        <v>37</v>
      </c>
      <c r="I10" s="5" t="s">
        <v>29</v>
      </c>
      <c r="J10" s="5" t="s">
        <v>34</v>
      </c>
      <c r="K10" s="5" t="s">
        <v>35</v>
      </c>
    </row>
    <row r="11" spans="2:13" ht="14.25" customHeight="1" x14ac:dyDescent="0.3">
      <c r="B11" s="8" t="s">
        <v>18</v>
      </c>
      <c r="C11" s="9" t="s">
        <v>16</v>
      </c>
      <c r="D11" s="9" t="s">
        <v>6</v>
      </c>
      <c r="E11" s="9" t="s">
        <v>7</v>
      </c>
      <c r="F11" s="9" t="s">
        <v>7</v>
      </c>
      <c r="G11" s="9" t="s">
        <v>6</v>
      </c>
      <c r="H11" s="9" t="s">
        <v>8</v>
      </c>
      <c r="I11" s="9" t="s">
        <v>3</v>
      </c>
      <c r="J11" s="9" t="s">
        <v>9</v>
      </c>
      <c r="K11" s="9" t="s">
        <v>3</v>
      </c>
    </row>
    <row r="12" spans="2:13" ht="14.25" customHeight="1" x14ac:dyDescent="0.3">
      <c r="B12" s="8" t="s">
        <v>18</v>
      </c>
      <c r="C12" s="9" t="s">
        <v>16</v>
      </c>
      <c r="D12" s="9" t="s">
        <v>6</v>
      </c>
      <c r="E12" s="9" t="s">
        <v>7</v>
      </c>
      <c r="F12" s="9" t="s">
        <v>7</v>
      </c>
      <c r="G12" s="9" t="s">
        <v>6</v>
      </c>
      <c r="H12" s="9" t="s">
        <v>12</v>
      </c>
      <c r="I12" s="9" t="s">
        <v>4</v>
      </c>
      <c r="J12" s="9" t="s">
        <v>13</v>
      </c>
      <c r="K12" s="9" t="s">
        <v>3</v>
      </c>
    </row>
    <row r="13" spans="2:13" ht="14.25" customHeight="1" x14ac:dyDescent="0.3">
      <c r="B13" s="8" t="s">
        <v>17</v>
      </c>
      <c r="C13" s="9" t="s">
        <v>16</v>
      </c>
      <c r="D13" s="9" t="s">
        <v>6</v>
      </c>
      <c r="E13" s="9" t="s">
        <v>7</v>
      </c>
      <c r="F13" s="9" t="s">
        <v>7</v>
      </c>
      <c r="G13" s="9" t="s">
        <v>6</v>
      </c>
      <c r="H13" s="9" t="s">
        <v>8</v>
      </c>
      <c r="I13" s="9" t="s">
        <v>3</v>
      </c>
      <c r="J13" s="9" t="s">
        <v>10</v>
      </c>
      <c r="K13" s="9" t="s">
        <v>3</v>
      </c>
    </row>
    <row r="14" spans="2:13" ht="14.25" customHeight="1" x14ac:dyDescent="0.3">
      <c r="B14" s="8" t="s">
        <v>17</v>
      </c>
      <c r="C14" s="9" t="s">
        <v>16</v>
      </c>
      <c r="D14" s="9" t="s">
        <v>6</v>
      </c>
      <c r="E14" s="9" t="s">
        <v>7</v>
      </c>
      <c r="F14" s="9" t="s">
        <v>7</v>
      </c>
      <c r="G14" s="9" t="s">
        <v>6</v>
      </c>
      <c r="H14" s="9" t="s">
        <v>12</v>
      </c>
      <c r="I14" s="9" t="s">
        <v>4</v>
      </c>
      <c r="J14" s="9" t="s">
        <v>14</v>
      </c>
      <c r="K14" s="9" t="s">
        <v>3</v>
      </c>
    </row>
    <row r="15" spans="2:13" ht="14.25" customHeight="1" x14ac:dyDescent="0.3"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2:13" ht="14.25" customHeight="1" x14ac:dyDescent="0.3">
      <c r="B16" s="66" t="s">
        <v>19</v>
      </c>
      <c r="C16" s="8" t="s">
        <v>28</v>
      </c>
      <c r="D16" s="8" t="s">
        <v>37</v>
      </c>
      <c r="E16" s="8" t="s">
        <v>38</v>
      </c>
      <c r="F16" s="8" t="s">
        <v>39</v>
      </c>
      <c r="G16" s="8" t="s">
        <v>40</v>
      </c>
      <c r="H16" s="7"/>
      <c r="I16" s="7"/>
      <c r="J16" s="7"/>
      <c r="K16" s="7"/>
    </row>
    <row r="17" spans="2:11" ht="14.25" customHeight="1" x14ac:dyDescent="0.3">
      <c r="B17" s="66"/>
      <c r="C17" s="9" t="s">
        <v>16</v>
      </c>
      <c r="D17" s="9" t="s">
        <v>8</v>
      </c>
      <c r="E17" s="9" t="s">
        <v>11</v>
      </c>
      <c r="F17" s="9" t="s">
        <v>11</v>
      </c>
      <c r="G17" s="9" t="s">
        <v>3</v>
      </c>
      <c r="H17" s="7"/>
      <c r="I17" s="7"/>
      <c r="J17" s="7"/>
      <c r="K17" s="7"/>
    </row>
    <row r="18" spans="2:11" ht="14.25" customHeight="1" x14ac:dyDescent="0.3">
      <c r="B18" s="66"/>
      <c r="C18" s="9" t="s">
        <v>16</v>
      </c>
      <c r="D18" s="9" t="s">
        <v>12</v>
      </c>
      <c r="E18" s="9" t="s">
        <v>15</v>
      </c>
      <c r="F18" s="9" t="s">
        <v>15</v>
      </c>
      <c r="G18" s="9" t="s">
        <v>3</v>
      </c>
      <c r="H18" s="7"/>
      <c r="I18" s="7"/>
      <c r="J18" s="7"/>
      <c r="K18" s="7"/>
    </row>
    <row r="19" spans="2:11" ht="14.25" customHeight="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</row>
  </sheetData>
  <mergeCells count="4">
    <mergeCell ref="B9:C9"/>
    <mergeCell ref="D9:G9"/>
    <mergeCell ref="J9:K9"/>
    <mergeCell ref="B16:B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0"/>
  <sheetViews>
    <sheetView showGridLines="0" zoomScale="90" zoomScaleNormal="90" workbookViewId="0">
      <selection activeCell="D24" sqref="D24"/>
    </sheetView>
  </sheetViews>
  <sheetFormatPr defaultColWidth="0" defaultRowHeight="14.25" customHeight="1" zeroHeight="1" outlineLevelRow="1" x14ac:dyDescent="0.3"/>
  <cols>
    <col min="1" max="1" width="4.33203125" customWidth="1"/>
    <col min="2" max="3" width="18.33203125" customWidth="1"/>
    <col min="4" max="5" width="33.6640625" customWidth="1"/>
    <col min="6" max="6" width="35.5546875" customWidth="1"/>
    <col min="7" max="7" width="33.6640625" customWidth="1"/>
    <col min="8" max="8" width="30.5546875" customWidth="1"/>
    <col min="9" max="11" width="18" customWidth="1"/>
    <col min="12" max="12" width="3.6640625" customWidth="1"/>
    <col min="13" max="13" width="26.6640625" hidden="1" customWidth="1"/>
    <col min="14" max="14" width="3.6640625" hidden="1" customWidth="1"/>
    <col min="15" max="15" width="35.109375" hidden="1" customWidth="1"/>
    <col min="16" max="16" width="19.88671875" hidden="1" customWidth="1"/>
    <col min="17" max="17" width="38.6640625" hidden="1" customWidth="1"/>
    <col min="18" max="18" width="22.109375" hidden="1" customWidth="1"/>
    <col min="19" max="23" width="10.44140625" hidden="1" customWidth="1"/>
    <col min="24" max="24" width="0" hidden="1" customWidth="1"/>
    <col min="25" max="25" width="26.5546875" hidden="1" customWidth="1"/>
    <col min="26" max="26" width="35.109375" hidden="1" customWidth="1"/>
    <col min="27" max="27" width="19.88671875" hidden="1" customWidth="1"/>
    <col min="28" max="16384" width="10.44140625" hidden="1"/>
  </cols>
  <sheetData>
    <row r="1" spans="2:13" s="1" customFormat="1" ht="14.4" x14ac:dyDescent="0.3"/>
    <row r="2" spans="2:13" s="1" customFormat="1" ht="14.4" x14ac:dyDescent="0.3"/>
    <row r="3" spans="2:13" s="1" customFormat="1" ht="14.4" x14ac:dyDescent="0.3"/>
    <row r="4" spans="2:13" s="1" customFormat="1" ht="14.4" x14ac:dyDescent="0.3"/>
    <row r="5" spans="2:13" s="2" customFormat="1" ht="3" customHeight="1" x14ac:dyDescent="0.3"/>
    <row r="6" spans="2:13" ht="14.4" x14ac:dyDescent="0.3"/>
    <row r="7" spans="2:13" ht="14.25" customHeight="1" thickBot="1" x14ac:dyDescent="0.4">
      <c r="B7" s="10" t="s">
        <v>26</v>
      </c>
      <c r="C7" s="3"/>
      <c r="D7" s="3"/>
      <c r="E7" s="3"/>
      <c r="F7" s="3"/>
      <c r="G7" s="3"/>
      <c r="H7" s="3"/>
      <c r="I7" s="3"/>
      <c r="J7" s="3"/>
      <c r="K7" s="3"/>
      <c r="M7" s="3"/>
    </row>
    <row r="8" spans="2:13" ht="14.25" customHeight="1" x14ac:dyDescent="0.3"/>
    <row r="9" spans="2:13" ht="14.25" customHeight="1" x14ac:dyDescent="0.3">
      <c r="B9" s="65" t="s">
        <v>20</v>
      </c>
      <c r="C9" s="65"/>
      <c r="D9" s="65" t="s">
        <v>36</v>
      </c>
      <c r="E9" s="65"/>
      <c r="F9" s="65"/>
      <c r="G9" s="65"/>
      <c r="H9" s="4" t="s">
        <v>21</v>
      </c>
      <c r="I9" s="4" t="s">
        <v>22</v>
      </c>
      <c r="J9" s="65" t="s">
        <v>23</v>
      </c>
      <c r="K9" s="65"/>
    </row>
    <row r="10" spans="2:13" ht="31.5" customHeight="1" x14ac:dyDescent="0.3">
      <c r="B10" s="5" t="s">
        <v>27</v>
      </c>
      <c r="C10" s="5" t="s">
        <v>28</v>
      </c>
      <c r="D10" s="6" t="s">
        <v>30</v>
      </c>
      <c r="E10" s="6" t="s">
        <v>31</v>
      </c>
      <c r="F10" s="6" t="s">
        <v>32</v>
      </c>
      <c r="G10" s="6" t="s">
        <v>33</v>
      </c>
      <c r="H10" s="5" t="s">
        <v>37</v>
      </c>
      <c r="I10" s="5" t="s">
        <v>29</v>
      </c>
      <c r="J10" s="5" t="s">
        <v>34</v>
      </c>
      <c r="K10" s="5" t="s">
        <v>35</v>
      </c>
    </row>
    <row r="11" spans="2:13" ht="14.25" customHeight="1" x14ac:dyDescent="0.3">
      <c r="B11" s="8" t="s">
        <v>18</v>
      </c>
      <c r="C11" s="9" t="s">
        <v>25</v>
      </c>
      <c r="D11" s="9" t="s">
        <v>6</v>
      </c>
      <c r="E11" s="9" t="s">
        <v>7</v>
      </c>
      <c r="F11" s="9" t="s">
        <v>7</v>
      </c>
      <c r="G11" s="9" t="s">
        <v>6</v>
      </c>
      <c r="H11" s="9" t="s">
        <v>8</v>
      </c>
      <c r="I11" s="9">
        <v>0</v>
      </c>
      <c r="J11" s="9">
        <v>0</v>
      </c>
      <c r="K11" s="9">
        <v>0</v>
      </c>
    </row>
    <row r="12" spans="2:13" ht="14.25" customHeight="1" x14ac:dyDescent="0.3">
      <c r="B12" s="8" t="s">
        <v>18</v>
      </c>
      <c r="C12" s="9" t="s">
        <v>25</v>
      </c>
      <c r="D12" s="9" t="s">
        <v>6</v>
      </c>
      <c r="E12" s="9" t="s">
        <v>7</v>
      </c>
      <c r="F12" s="9" t="s">
        <v>7</v>
      </c>
      <c r="G12" s="9" t="s">
        <v>6</v>
      </c>
      <c r="H12" s="9" t="s">
        <v>12</v>
      </c>
      <c r="I12" s="9">
        <v>30.15</v>
      </c>
      <c r="J12" s="9">
        <v>20.25</v>
      </c>
      <c r="K12" s="9">
        <v>45.55</v>
      </c>
    </row>
    <row r="13" spans="2:13" ht="14.25" customHeight="1" x14ac:dyDescent="0.3">
      <c r="B13" s="8" t="s">
        <v>17</v>
      </c>
      <c r="C13" s="9" t="s">
        <v>25</v>
      </c>
      <c r="D13" s="9" t="s">
        <v>6</v>
      </c>
      <c r="E13" s="9" t="s">
        <v>7</v>
      </c>
      <c r="F13" s="9" t="s">
        <v>7</v>
      </c>
      <c r="G13" s="9" t="s">
        <v>6</v>
      </c>
      <c r="H13" s="9" t="s">
        <v>12</v>
      </c>
      <c r="I13" s="9">
        <v>55.85</v>
      </c>
      <c r="J13" s="9">
        <v>32.369999999999997</v>
      </c>
      <c r="K13" s="9">
        <v>105</v>
      </c>
    </row>
    <row r="14" spans="2:13" ht="14.25" customHeight="1" x14ac:dyDescent="0.3"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2:13" ht="14.25" customHeight="1" x14ac:dyDescent="0.3">
      <c r="B15" s="66" t="s">
        <v>41</v>
      </c>
      <c r="C15" s="8" t="s">
        <v>28</v>
      </c>
      <c r="D15" s="8" t="s">
        <v>37</v>
      </c>
      <c r="E15" s="8" t="s">
        <v>38</v>
      </c>
      <c r="F15" s="8" t="s">
        <v>39</v>
      </c>
      <c r="G15" s="8" t="s">
        <v>40</v>
      </c>
      <c r="H15" s="7"/>
      <c r="I15" s="7"/>
      <c r="J15" s="7"/>
      <c r="K15" s="7"/>
    </row>
    <row r="16" spans="2:13" ht="14.25" customHeight="1" x14ac:dyDescent="0.3">
      <c r="B16" s="66"/>
      <c r="C16" s="9" t="s">
        <v>25</v>
      </c>
      <c r="D16" s="9" t="s">
        <v>8</v>
      </c>
      <c r="E16" s="9">
        <v>0</v>
      </c>
      <c r="F16" s="9">
        <v>0</v>
      </c>
      <c r="G16" s="9">
        <v>0</v>
      </c>
      <c r="H16" s="7"/>
      <c r="I16" s="7"/>
      <c r="J16" s="7"/>
      <c r="K16" s="7"/>
    </row>
    <row r="17" spans="2:11" ht="14.25" customHeight="1" x14ac:dyDescent="0.3">
      <c r="B17" s="66"/>
      <c r="C17" s="9" t="s">
        <v>25</v>
      </c>
      <c r="D17" s="9" t="s">
        <v>12</v>
      </c>
      <c r="E17" s="9">
        <f>+SUM($J$13:$K$13)-SUM($J$12:$K$12)</f>
        <v>71.570000000000007</v>
      </c>
      <c r="F17" s="9">
        <f>+SUM($J$13:$K$13)-SUM($J$12:$K$12)</f>
        <v>71.570000000000007</v>
      </c>
      <c r="G17" s="9">
        <f>+I13-I12</f>
        <v>25.700000000000003</v>
      </c>
      <c r="H17" s="7"/>
      <c r="I17" s="7"/>
      <c r="J17" s="7"/>
      <c r="K17" s="7"/>
    </row>
    <row r="18" spans="2:11" ht="14.25" customHeight="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1" ht="14.25" customHeight="1" thickBot="1" x14ac:dyDescent="0.4">
      <c r="B19" s="10" t="s">
        <v>42</v>
      </c>
      <c r="C19" s="3"/>
      <c r="D19" s="3"/>
      <c r="E19" s="3"/>
      <c r="F19" s="3"/>
      <c r="G19" s="3"/>
      <c r="H19" s="3"/>
      <c r="I19" s="3"/>
      <c r="J19" s="3"/>
      <c r="K19" s="3"/>
    </row>
    <row r="20" spans="2:11" ht="14.25" customHeight="1" outlineLevel="1" x14ac:dyDescent="0.3"/>
    <row r="21" spans="2:11" ht="14.25" customHeight="1" outlineLevel="1" x14ac:dyDescent="0.3">
      <c r="B21" s="65" t="s">
        <v>20</v>
      </c>
      <c r="C21" s="65"/>
      <c r="D21" s="65" t="s">
        <v>36</v>
      </c>
      <c r="E21" s="65"/>
      <c r="F21" s="65"/>
      <c r="G21" s="65"/>
      <c r="H21" s="4" t="s">
        <v>21</v>
      </c>
      <c r="I21" s="4" t="s">
        <v>22</v>
      </c>
      <c r="J21" s="65" t="s">
        <v>23</v>
      </c>
      <c r="K21" s="65"/>
    </row>
    <row r="22" spans="2:11" ht="14.25" customHeight="1" outlineLevel="1" x14ac:dyDescent="0.3">
      <c r="B22" s="5" t="s">
        <v>27</v>
      </c>
      <c r="C22" s="5" t="s">
        <v>28</v>
      </c>
      <c r="D22" s="6" t="s">
        <v>30</v>
      </c>
      <c r="E22" s="6" t="s">
        <v>31</v>
      </c>
      <c r="F22" s="6" t="s">
        <v>32</v>
      </c>
      <c r="G22" s="6" t="s">
        <v>33</v>
      </c>
      <c r="H22" s="5" t="s">
        <v>37</v>
      </c>
      <c r="I22" s="5" t="s">
        <v>29</v>
      </c>
      <c r="J22" s="5" t="s">
        <v>34</v>
      </c>
      <c r="K22" s="5" t="s">
        <v>35</v>
      </c>
    </row>
    <row r="23" spans="2:11" ht="14.25" customHeight="1" outlineLevel="1" x14ac:dyDescent="0.3">
      <c r="B23" s="8" t="s">
        <v>18</v>
      </c>
      <c r="C23" s="9" t="s">
        <v>25</v>
      </c>
      <c r="D23" s="9" t="s">
        <v>6</v>
      </c>
      <c r="E23" s="9" t="s">
        <v>7</v>
      </c>
      <c r="F23" s="9" t="s">
        <v>7</v>
      </c>
      <c r="G23" s="9" t="s">
        <v>6</v>
      </c>
      <c r="H23" s="9" t="s">
        <v>8</v>
      </c>
      <c r="I23" s="9">
        <v>24.5</v>
      </c>
      <c r="J23" s="9">
        <v>56.7</v>
      </c>
      <c r="K23" s="9">
        <v>12</v>
      </c>
    </row>
    <row r="24" spans="2:11" ht="14.25" customHeight="1" outlineLevel="1" x14ac:dyDescent="0.3">
      <c r="B24" s="8" t="s">
        <v>18</v>
      </c>
      <c r="C24" s="9" t="s">
        <v>25</v>
      </c>
      <c r="D24" s="9" t="s">
        <v>6</v>
      </c>
      <c r="E24" s="9" t="s">
        <v>7</v>
      </c>
      <c r="F24" s="9" t="s">
        <v>7</v>
      </c>
      <c r="G24" s="9" t="s">
        <v>6</v>
      </c>
      <c r="H24" s="9" t="s">
        <v>12</v>
      </c>
      <c r="I24" s="9">
        <v>30.15</v>
      </c>
      <c r="J24" s="9">
        <v>20.25</v>
      </c>
      <c r="K24" s="9">
        <v>45.55</v>
      </c>
    </row>
    <row r="25" spans="2:11" ht="14.25" customHeight="1" outlineLevel="1" x14ac:dyDescent="0.3">
      <c r="B25" s="8" t="s">
        <v>17</v>
      </c>
      <c r="C25" s="9" t="s">
        <v>25</v>
      </c>
      <c r="D25" s="9" t="s">
        <v>6</v>
      </c>
      <c r="E25" s="9" t="s">
        <v>7</v>
      </c>
      <c r="F25" s="9" t="s">
        <v>7</v>
      </c>
      <c r="G25" s="9" t="s">
        <v>6</v>
      </c>
      <c r="H25" s="9" t="s">
        <v>12</v>
      </c>
      <c r="I25" s="9">
        <v>55.85</v>
      </c>
      <c r="J25" s="9">
        <v>32.369999999999997</v>
      </c>
      <c r="K25" s="9">
        <v>105</v>
      </c>
    </row>
    <row r="26" spans="2:11" ht="14.25" customHeight="1" outlineLevel="1" x14ac:dyDescent="0.3"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2:11" ht="14.25" customHeight="1" outlineLevel="1" x14ac:dyDescent="0.3">
      <c r="B27" s="66" t="s">
        <v>41</v>
      </c>
      <c r="C27" s="8" t="s">
        <v>28</v>
      </c>
      <c r="D27" s="8" t="s">
        <v>37</v>
      </c>
      <c r="E27" s="8" t="s">
        <v>38</v>
      </c>
      <c r="F27" s="8" t="s">
        <v>39</v>
      </c>
      <c r="G27" s="8" t="s">
        <v>40</v>
      </c>
      <c r="H27" s="7"/>
      <c r="I27" s="7"/>
      <c r="J27" s="7"/>
      <c r="K27" s="7"/>
    </row>
    <row r="28" spans="2:11" ht="14.25" customHeight="1" outlineLevel="1" x14ac:dyDescent="0.3">
      <c r="B28" s="66"/>
      <c r="C28" s="9" t="s">
        <v>25</v>
      </c>
      <c r="D28" s="9" t="s">
        <v>8</v>
      </c>
      <c r="E28" s="9">
        <f>-($J$23+$K$23)</f>
        <v>-68.7</v>
      </c>
      <c r="F28" s="9">
        <f>-($J$23+$K$23)</f>
        <v>-68.7</v>
      </c>
      <c r="G28" s="9">
        <f>-I23</f>
        <v>-24.5</v>
      </c>
      <c r="H28" s="7"/>
      <c r="I28" s="7"/>
      <c r="J28" s="7"/>
      <c r="K28" s="7"/>
    </row>
    <row r="29" spans="2:11" ht="14.25" customHeight="1" outlineLevel="1" x14ac:dyDescent="0.3">
      <c r="B29" s="66"/>
      <c r="C29" s="9" t="s">
        <v>25</v>
      </c>
      <c r="D29" s="9" t="s">
        <v>12</v>
      </c>
      <c r="E29" s="9">
        <f>+SUM($J$25:$K$25)-SUM($J$24:$K$24)</f>
        <v>71.570000000000007</v>
      </c>
      <c r="F29" s="9">
        <f>+SUM($J$25:$K$25)-SUM($J$24:$K$24)</f>
        <v>71.570000000000007</v>
      </c>
      <c r="G29" s="9">
        <f>+I25-I24</f>
        <v>25.700000000000003</v>
      </c>
      <c r="H29" s="7"/>
      <c r="I29" s="7"/>
      <c r="J29" s="7"/>
      <c r="K29" s="7"/>
    </row>
    <row r="30" spans="2:11" ht="14.25" customHeight="1" x14ac:dyDescent="0.3"/>
  </sheetData>
  <mergeCells count="8">
    <mergeCell ref="B27:B29"/>
    <mergeCell ref="B9:C9"/>
    <mergeCell ref="D9:G9"/>
    <mergeCell ref="J9:K9"/>
    <mergeCell ref="B15:B17"/>
    <mergeCell ref="B21:C21"/>
    <mergeCell ref="D21:G21"/>
    <mergeCell ref="J21:K2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D118"/>
  <sheetViews>
    <sheetView showGridLines="0" zoomScale="80" zoomScaleNormal="80" workbookViewId="0">
      <selection activeCell="B10" sqref="B10:F15"/>
    </sheetView>
  </sheetViews>
  <sheetFormatPr defaultColWidth="0" defaultRowHeight="0" customHeight="1" zeroHeight="1" x14ac:dyDescent="0.3"/>
  <cols>
    <col min="1" max="1" width="3.6640625" customWidth="1"/>
    <col min="2" max="8" width="23.5546875" customWidth="1"/>
    <col min="9" max="10" width="3.6640625" customWidth="1"/>
    <col min="11" max="30" width="0" hidden="1" customWidth="1"/>
    <col min="31" max="16384" width="10.44140625" hidden="1"/>
  </cols>
  <sheetData>
    <row r="1" spans="2:9" s="1" customFormat="1" ht="14.4" x14ac:dyDescent="0.3"/>
    <row r="2" spans="2:9" s="1" customFormat="1" ht="14.4" x14ac:dyDescent="0.3"/>
    <row r="3" spans="2:9" s="1" customFormat="1" ht="14.4" x14ac:dyDescent="0.3"/>
    <row r="4" spans="2:9" s="1" customFormat="1" ht="14.4" x14ac:dyDescent="0.3"/>
    <row r="5" spans="2:9" s="2" customFormat="1" ht="3" customHeight="1" x14ac:dyDescent="0.3"/>
    <row r="6" spans="2:9" ht="14.4" x14ac:dyDescent="0.3"/>
    <row r="7" spans="2:9" ht="14.25" customHeight="1" thickBot="1" x14ac:dyDescent="0.4">
      <c r="B7" s="10" t="s">
        <v>56</v>
      </c>
      <c r="C7" s="10"/>
      <c r="D7" s="3"/>
      <c r="E7" s="3"/>
      <c r="F7" s="3"/>
      <c r="G7" s="3"/>
      <c r="H7" s="3"/>
      <c r="I7" s="3"/>
    </row>
    <row r="8" spans="2:9" ht="14.25" customHeight="1" x14ac:dyDescent="0.3"/>
    <row r="9" spans="2:9" ht="14.25" customHeight="1" x14ac:dyDescent="0.3">
      <c r="B9" s="67" t="s">
        <v>61</v>
      </c>
      <c r="C9" s="68"/>
      <c r="D9" s="68"/>
      <c r="E9" s="68"/>
      <c r="F9" s="68"/>
      <c r="G9" s="68"/>
      <c r="H9" s="69"/>
    </row>
    <row r="10" spans="2:9" ht="31.2" customHeight="1" x14ac:dyDescent="0.3">
      <c r="B10" s="6" t="s">
        <v>44</v>
      </c>
      <c r="C10" s="6" t="s">
        <v>51</v>
      </c>
      <c r="D10" s="6" t="s">
        <v>38</v>
      </c>
      <c r="E10" s="6" t="s">
        <v>62</v>
      </c>
      <c r="F10" s="6" t="s">
        <v>63</v>
      </c>
      <c r="G10" s="6" t="s">
        <v>64</v>
      </c>
      <c r="H10" s="6" t="s">
        <v>45</v>
      </c>
      <c r="I10" s="11"/>
    </row>
    <row r="11" spans="2:9" ht="14.25" customHeight="1" x14ac:dyDescent="0.3">
      <c r="B11" s="23" t="s">
        <v>25</v>
      </c>
      <c r="C11" s="23" t="s">
        <v>8</v>
      </c>
      <c r="D11" s="24">
        <v>20</v>
      </c>
      <c r="E11" s="23" t="s">
        <v>46</v>
      </c>
      <c r="F11" s="24">
        <v>500</v>
      </c>
      <c r="G11" s="25">
        <f>+F11/SUM($F$11:$F$12)</f>
        <v>0.58823529411764708</v>
      </c>
      <c r="H11" s="24">
        <f>+D11*G11</f>
        <v>11.764705882352942</v>
      </c>
    </row>
    <row r="12" spans="2:9" ht="14.25" customHeight="1" x14ac:dyDescent="0.3">
      <c r="B12" s="26" t="s">
        <v>25</v>
      </c>
      <c r="C12" s="26" t="s">
        <v>8</v>
      </c>
      <c r="D12" s="27">
        <v>20</v>
      </c>
      <c r="E12" s="26" t="s">
        <v>47</v>
      </c>
      <c r="F12" s="27">
        <v>350</v>
      </c>
      <c r="G12" s="28">
        <f>+F12/SUM($F$11:$F$12)</f>
        <v>0.41176470588235292</v>
      </c>
      <c r="H12" s="27">
        <f>+D12*G12</f>
        <v>8.235294117647058</v>
      </c>
    </row>
    <row r="13" spans="2:9" ht="14.25" customHeight="1" x14ac:dyDescent="0.3">
      <c r="B13" s="23" t="s">
        <v>48</v>
      </c>
      <c r="C13" s="23" t="s">
        <v>52</v>
      </c>
      <c r="D13" s="24">
        <v>45</v>
      </c>
      <c r="E13" s="23" t="s">
        <v>46</v>
      </c>
      <c r="F13" s="24">
        <v>500</v>
      </c>
      <c r="G13" s="25">
        <f>+F13/SUM($F$13:$F$14)</f>
        <v>0.4</v>
      </c>
      <c r="H13" s="24">
        <f>+D13*G13</f>
        <v>18</v>
      </c>
    </row>
    <row r="14" spans="2:9" ht="14.25" customHeight="1" x14ac:dyDescent="0.3">
      <c r="B14" s="26" t="s">
        <v>48</v>
      </c>
      <c r="C14" s="26" t="s">
        <v>52</v>
      </c>
      <c r="D14" s="27">
        <v>45</v>
      </c>
      <c r="E14" s="26" t="s">
        <v>50</v>
      </c>
      <c r="F14" s="27">
        <v>750</v>
      </c>
      <c r="G14" s="28">
        <f>+F14/SUM($F$13:$F$14)</f>
        <v>0.6</v>
      </c>
      <c r="H14" s="27">
        <f>+D14*G14</f>
        <v>27</v>
      </c>
    </row>
    <row r="15" spans="2:9" ht="14.25" customHeight="1" x14ac:dyDescent="0.3">
      <c r="B15" s="13" t="s">
        <v>49</v>
      </c>
      <c r="C15" s="13" t="s">
        <v>53</v>
      </c>
      <c r="D15" s="14">
        <v>55</v>
      </c>
      <c r="E15" s="13" t="s">
        <v>46</v>
      </c>
      <c r="F15" s="14">
        <v>500</v>
      </c>
      <c r="G15" s="15">
        <v>1</v>
      </c>
      <c r="H15" s="14">
        <f>+D15*G15</f>
        <v>55</v>
      </c>
    </row>
    <row r="16" spans="2:9" ht="14.25" customHeight="1" x14ac:dyDescent="0.3">
      <c r="B16" s="29"/>
      <c r="C16" s="29"/>
      <c r="D16" s="16">
        <f>+D11+D13+D15</f>
        <v>120</v>
      </c>
      <c r="E16" s="29"/>
      <c r="F16" s="30"/>
      <c r="G16" s="31"/>
      <c r="H16" s="16">
        <f>+SUM(H11:H15)</f>
        <v>120</v>
      </c>
    </row>
    <row r="17" spans="2:8" ht="14.25" customHeight="1" x14ac:dyDescent="0.3">
      <c r="H17" s="16"/>
    </row>
    <row r="18" spans="2:8" ht="14.25" customHeight="1" x14ac:dyDescent="0.3">
      <c r="B18" s="66" t="s">
        <v>55</v>
      </c>
      <c r="C18" s="8" t="s">
        <v>60</v>
      </c>
      <c r="D18" s="8" t="s">
        <v>54</v>
      </c>
      <c r="E18" s="8" t="s">
        <v>37</v>
      </c>
      <c r="F18" s="8" t="s">
        <v>38</v>
      </c>
    </row>
    <row r="19" spans="2:8" ht="14.25" customHeight="1" x14ac:dyDescent="0.3">
      <c r="B19" s="66"/>
      <c r="C19" s="17" t="str">
        <f>+CONCATENATE(D19,"_",E19)</f>
        <v>E_BA4</v>
      </c>
      <c r="D19" s="17" t="s">
        <v>46</v>
      </c>
      <c r="E19" s="17" t="s">
        <v>8</v>
      </c>
      <c r="F19" s="18">
        <f>+H11</f>
        <v>11.764705882352942</v>
      </c>
    </row>
    <row r="20" spans="2:8" ht="14.25" customHeight="1" x14ac:dyDescent="0.3">
      <c r="B20" s="66"/>
      <c r="C20" s="19" t="str">
        <f t="shared" ref="C20:C23" si="0">+CONCATENATE(D20,"_",E20)</f>
        <v>E_BA3</v>
      </c>
      <c r="D20" s="19" t="s">
        <v>46</v>
      </c>
      <c r="E20" s="19" t="s">
        <v>52</v>
      </c>
      <c r="F20" s="20">
        <f>+H13</f>
        <v>18</v>
      </c>
    </row>
    <row r="21" spans="2:8" ht="14.25" customHeight="1" x14ac:dyDescent="0.3">
      <c r="B21" s="66"/>
      <c r="C21" s="21" t="str">
        <f t="shared" si="0"/>
        <v>E_BA5</v>
      </c>
      <c r="D21" s="21" t="s">
        <v>46</v>
      </c>
      <c r="E21" s="21" t="s">
        <v>53</v>
      </c>
      <c r="F21" s="22">
        <f>+H15</f>
        <v>55</v>
      </c>
    </row>
    <row r="22" spans="2:8" ht="14.25" customHeight="1" x14ac:dyDescent="0.3">
      <c r="B22" s="66"/>
      <c r="C22" s="9" t="str">
        <f t="shared" si="0"/>
        <v>F_BA4</v>
      </c>
      <c r="D22" s="9" t="s">
        <v>47</v>
      </c>
      <c r="E22" s="9" t="s">
        <v>8</v>
      </c>
      <c r="F22" s="12">
        <f>+H12</f>
        <v>8.235294117647058</v>
      </c>
    </row>
    <row r="23" spans="2:8" ht="14.25" customHeight="1" x14ac:dyDescent="0.3">
      <c r="B23" s="66"/>
      <c r="C23" s="9" t="str">
        <f t="shared" si="0"/>
        <v>S_BA3</v>
      </c>
      <c r="D23" s="9" t="s">
        <v>50</v>
      </c>
      <c r="E23" s="9" t="s">
        <v>52</v>
      </c>
      <c r="F23" s="12">
        <f>+H14</f>
        <v>27</v>
      </c>
    </row>
    <row r="24" spans="2:8" ht="14.25" customHeight="1" x14ac:dyDescent="0.3">
      <c r="F24" s="16">
        <f>+SUM(F19:F23)</f>
        <v>120</v>
      </c>
    </row>
    <row r="25" spans="2:8" ht="14.25" customHeight="1" x14ac:dyDescent="0.3"/>
    <row r="26" spans="2:8" ht="14.25" customHeight="1" thickBot="1" x14ac:dyDescent="0.4">
      <c r="B26" s="10" t="s">
        <v>57</v>
      </c>
      <c r="C26" s="10"/>
      <c r="D26" s="3"/>
      <c r="E26" s="3"/>
      <c r="F26" s="3"/>
      <c r="G26" s="3"/>
      <c r="H26" s="3"/>
    </row>
    <row r="27" spans="2:8" ht="14.25" customHeight="1" x14ac:dyDescent="0.3"/>
    <row r="28" spans="2:8" ht="14.25" customHeight="1" x14ac:dyDescent="0.3">
      <c r="B28" s="67" t="s">
        <v>61</v>
      </c>
      <c r="C28" s="68"/>
      <c r="D28" s="68"/>
      <c r="E28" s="68"/>
      <c r="F28" s="68"/>
      <c r="G28" s="68"/>
      <c r="H28" s="69"/>
    </row>
    <row r="29" spans="2:8" ht="31.5" customHeight="1" x14ac:dyDescent="0.3">
      <c r="B29" s="6" t="s">
        <v>44</v>
      </c>
      <c r="C29" s="6" t="s">
        <v>51</v>
      </c>
      <c r="D29" s="6" t="s">
        <v>38</v>
      </c>
      <c r="E29" s="6" t="s">
        <v>62</v>
      </c>
      <c r="F29" s="6" t="s">
        <v>63</v>
      </c>
      <c r="G29" s="6" t="s">
        <v>64</v>
      </c>
      <c r="H29" s="6" t="s">
        <v>45</v>
      </c>
    </row>
    <row r="30" spans="2:8" ht="14.25" customHeight="1" x14ac:dyDescent="0.3">
      <c r="B30" s="23" t="s">
        <v>25</v>
      </c>
      <c r="C30" s="23" t="s">
        <v>8</v>
      </c>
      <c r="D30" s="24">
        <v>20</v>
      </c>
      <c r="E30" s="23" t="s">
        <v>46</v>
      </c>
      <c r="F30" s="24">
        <v>0</v>
      </c>
      <c r="G30" s="25">
        <v>0.5</v>
      </c>
      <c r="H30" s="24">
        <f>+D30*G30</f>
        <v>10</v>
      </c>
    </row>
    <row r="31" spans="2:8" ht="14.25" customHeight="1" x14ac:dyDescent="0.3">
      <c r="B31" s="26" t="s">
        <v>25</v>
      </c>
      <c r="C31" s="26" t="s">
        <v>8</v>
      </c>
      <c r="D31" s="27">
        <v>20</v>
      </c>
      <c r="E31" s="26" t="s">
        <v>47</v>
      </c>
      <c r="F31" s="27">
        <v>0</v>
      </c>
      <c r="G31" s="28">
        <v>0.5</v>
      </c>
      <c r="H31" s="27">
        <f>+D31*G31</f>
        <v>10</v>
      </c>
    </row>
    <row r="32" spans="2:8" ht="14.25" customHeight="1" x14ac:dyDescent="0.3">
      <c r="B32" s="23" t="s">
        <v>48</v>
      </c>
      <c r="C32" s="23" t="s">
        <v>52</v>
      </c>
      <c r="D32" s="24">
        <v>45</v>
      </c>
      <c r="E32" s="23" t="s">
        <v>46</v>
      </c>
      <c r="F32" s="24">
        <v>0</v>
      </c>
      <c r="G32" s="25">
        <f>+F32/SUM(F32:F33)</f>
        <v>0</v>
      </c>
      <c r="H32" s="24">
        <f>+D32*G32</f>
        <v>0</v>
      </c>
    </row>
    <row r="33" spans="2:8" ht="14.25" customHeight="1" x14ac:dyDescent="0.3">
      <c r="B33" s="26" t="s">
        <v>48</v>
      </c>
      <c r="C33" s="26" t="s">
        <v>52</v>
      </c>
      <c r="D33" s="27">
        <v>45</v>
      </c>
      <c r="E33" s="26" t="s">
        <v>50</v>
      </c>
      <c r="F33" s="27">
        <v>750</v>
      </c>
      <c r="G33" s="28">
        <f>+F33/SUM(F33:F34)</f>
        <v>1</v>
      </c>
      <c r="H33" s="27">
        <f>+D33*G33</f>
        <v>45</v>
      </c>
    </row>
    <row r="34" spans="2:8" ht="14.25" customHeight="1" x14ac:dyDescent="0.3">
      <c r="B34" s="13" t="s">
        <v>49</v>
      </c>
      <c r="C34" s="13" t="s">
        <v>53</v>
      </c>
      <c r="D34" s="14">
        <v>55</v>
      </c>
      <c r="E34" s="13" t="s">
        <v>46</v>
      </c>
      <c r="F34" s="14">
        <v>0</v>
      </c>
      <c r="G34" s="15">
        <v>1</v>
      </c>
      <c r="H34" s="14">
        <f>+D34*G34</f>
        <v>55</v>
      </c>
    </row>
    <row r="35" spans="2:8" ht="14.25" customHeight="1" x14ac:dyDescent="0.3">
      <c r="B35" s="29"/>
      <c r="C35" s="29"/>
      <c r="D35" s="16">
        <f>+D30+D32+D34</f>
        <v>120</v>
      </c>
      <c r="E35" s="29"/>
      <c r="F35" s="30"/>
      <c r="G35" s="31"/>
      <c r="H35" s="16">
        <f>+SUM(H30:H34)</f>
        <v>120</v>
      </c>
    </row>
    <row r="36" spans="2:8" ht="14.25" customHeight="1" x14ac:dyDescent="0.3">
      <c r="H36" s="16"/>
    </row>
    <row r="37" spans="2:8" ht="14.25" customHeight="1" x14ac:dyDescent="0.3">
      <c r="B37" s="66" t="s">
        <v>55</v>
      </c>
      <c r="C37" s="8" t="s">
        <v>60</v>
      </c>
      <c r="D37" s="8" t="s">
        <v>54</v>
      </c>
      <c r="E37" s="8" t="s">
        <v>37</v>
      </c>
      <c r="F37" s="8" t="s">
        <v>38</v>
      </c>
    </row>
    <row r="38" spans="2:8" ht="14.25" customHeight="1" x14ac:dyDescent="0.3">
      <c r="B38" s="66"/>
      <c r="C38" s="17" t="str">
        <f>+CONCATENATE(D38,"_",E38)</f>
        <v>E_BA4</v>
      </c>
      <c r="D38" s="17" t="s">
        <v>46</v>
      </c>
      <c r="E38" s="17" t="s">
        <v>8</v>
      </c>
      <c r="F38" s="18">
        <f>+H30</f>
        <v>10</v>
      </c>
    </row>
    <row r="39" spans="2:8" ht="14.25" customHeight="1" x14ac:dyDescent="0.3">
      <c r="B39" s="66"/>
      <c r="C39" s="19" t="str">
        <f t="shared" ref="C39:C42" si="1">+CONCATENATE(D39,"_",E39)</f>
        <v>E_BA3</v>
      </c>
      <c r="D39" s="19" t="s">
        <v>46</v>
      </c>
      <c r="E39" s="19" t="s">
        <v>52</v>
      </c>
      <c r="F39" s="20">
        <f>+H32</f>
        <v>0</v>
      </c>
    </row>
    <row r="40" spans="2:8" ht="14.25" customHeight="1" x14ac:dyDescent="0.3">
      <c r="B40" s="66"/>
      <c r="C40" s="21" t="str">
        <f t="shared" si="1"/>
        <v>E_BA5</v>
      </c>
      <c r="D40" s="21" t="s">
        <v>46</v>
      </c>
      <c r="E40" s="21" t="s">
        <v>53</v>
      </c>
      <c r="F40" s="22">
        <f>+H34</f>
        <v>55</v>
      </c>
    </row>
    <row r="41" spans="2:8" ht="14.25" customHeight="1" x14ac:dyDescent="0.3">
      <c r="B41" s="66"/>
      <c r="C41" s="9" t="str">
        <f t="shared" si="1"/>
        <v>F_BA4</v>
      </c>
      <c r="D41" s="9" t="s">
        <v>47</v>
      </c>
      <c r="E41" s="9" t="s">
        <v>8</v>
      </c>
      <c r="F41" s="12">
        <f>+H31</f>
        <v>10</v>
      </c>
    </row>
    <row r="42" spans="2:8" ht="14.25" customHeight="1" x14ac:dyDescent="0.3">
      <c r="B42" s="66"/>
      <c r="C42" s="9" t="str">
        <f t="shared" si="1"/>
        <v>S_BA3</v>
      </c>
      <c r="D42" s="9" t="s">
        <v>50</v>
      </c>
      <c r="E42" s="9" t="s">
        <v>52</v>
      </c>
      <c r="F42" s="12">
        <f>+H33</f>
        <v>45</v>
      </c>
    </row>
    <row r="43" spans="2:8" ht="14.25" customHeight="1" x14ac:dyDescent="0.3">
      <c r="E43" s="16"/>
      <c r="F43" s="16">
        <f>+SUM(F38:F42)</f>
        <v>120</v>
      </c>
    </row>
    <row r="44" spans="2:8" ht="14.25" customHeight="1" thickBot="1" x14ac:dyDescent="0.4">
      <c r="B44" s="10" t="s">
        <v>59</v>
      </c>
      <c r="C44" s="10"/>
      <c r="D44" s="3"/>
      <c r="E44" s="3"/>
      <c r="F44" s="3"/>
      <c r="G44" s="3"/>
      <c r="H44" s="3"/>
    </row>
    <row r="45" spans="2:8" ht="14.25" customHeight="1" x14ac:dyDescent="0.3"/>
    <row r="46" spans="2:8" ht="14.25" customHeight="1" x14ac:dyDescent="0.3">
      <c r="B46" s="67" t="s">
        <v>43</v>
      </c>
      <c r="C46" s="68"/>
      <c r="D46" s="68"/>
      <c r="E46" s="68"/>
      <c r="F46" s="68"/>
      <c r="G46" s="68"/>
      <c r="H46" s="69"/>
    </row>
    <row r="47" spans="2:8" ht="31.5" customHeight="1" x14ac:dyDescent="0.3">
      <c r="B47" s="6" t="s">
        <v>44</v>
      </c>
      <c r="C47" s="6" t="s">
        <v>51</v>
      </c>
      <c r="D47" s="6" t="s">
        <v>38</v>
      </c>
      <c r="E47" s="6" t="s">
        <v>62</v>
      </c>
      <c r="F47" s="6" t="s">
        <v>63</v>
      </c>
      <c r="G47" s="6" t="s">
        <v>64</v>
      </c>
      <c r="H47" s="6" t="s">
        <v>45</v>
      </c>
    </row>
    <row r="48" spans="2:8" ht="14.25" customHeight="1" x14ac:dyDescent="0.3">
      <c r="B48" s="23" t="s">
        <v>25</v>
      </c>
      <c r="C48" s="23" t="s">
        <v>8</v>
      </c>
      <c r="D48" s="24">
        <v>20</v>
      </c>
      <c r="E48" s="23" t="s">
        <v>46</v>
      </c>
      <c r="F48" s="24">
        <v>500</v>
      </c>
      <c r="G48" s="25">
        <f>+F48/SUM($F$11:$F$12)</f>
        <v>0.58823529411764708</v>
      </c>
      <c r="H48" s="24">
        <f>+D48*G48</f>
        <v>11.764705882352942</v>
      </c>
    </row>
    <row r="49" spans="2:8" ht="14.25" customHeight="1" x14ac:dyDescent="0.3">
      <c r="B49" s="26" t="s">
        <v>25</v>
      </c>
      <c r="C49" s="26" t="s">
        <v>8</v>
      </c>
      <c r="D49" s="27">
        <v>20</v>
      </c>
      <c r="E49" s="26" t="s">
        <v>47</v>
      </c>
      <c r="F49" s="27">
        <v>350</v>
      </c>
      <c r="G49" s="28">
        <f>+F49/SUM($F$11:$F$12)</f>
        <v>0.41176470588235292</v>
      </c>
      <c r="H49" s="27">
        <f>+D49*G49</f>
        <v>8.235294117647058</v>
      </c>
    </row>
    <row r="50" spans="2:8" ht="14.25" customHeight="1" x14ac:dyDescent="0.3">
      <c r="B50" s="23" t="s">
        <v>25</v>
      </c>
      <c r="C50" s="23" t="s">
        <v>58</v>
      </c>
      <c r="D50" s="24">
        <v>45</v>
      </c>
      <c r="E50" s="23" t="s">
        <v>46</v>
      </c>
      <c r="F50" s="24">
        <v>500</v>
      </c>
      <c r="G50" s="25">
        <f>+F50/SUM($F$13:$F$14)</f>
        <v>0.4</v>
      </c>
      <c r="H50" s="24">
        <f>+D50*G50</f>
        <v>18</v>
      </c>
    </row>
    <row r="51" spans="2:8" ht="14.25" customHeight="1" x14ac:dyDescent="0.3">
      <c r="B51" s="26" t="s">
        <v>25</v>
      </c>
      <c r="C51" s="26" t="s">
        <v>58</v>
      </c>
      <c r="D51" s="27">
        <v>45</v>
      </c>
      <c r="E51" s="26" t="s">
        <v>47</v>
      </c>
      <c r="F51" s="27">
        <v>750</v>
      </c>
      <c r="G51" s="28">
        <f>+F51/SUM($F$13:$F$14)</f>
        <v>0.6</v>
      </c>
      <c r="H51" s="27">
        <f>+D51*G51</f>
        <v>27</v>
      </c>
    </row>
    <row r="52" spans="2:8" ht="14.25" customHeight="1" x14ac:dyDescent="0.3">
      <c r="B52" s="13" t="s">
        <v>49</v>
      </c>
      <c r="C52" s="13" t="s">
        <v>53</v>
      </c>
      <c r="D52" s="14">
        <v>55</v>
      </c>
      <c r="E52" s="13" t="s">
        <v>46</v>
      </c>
      <c r="F52" s="14">
        <v>500</v>
      </c>
      <c r="G52" s="15">
        <v>1</v>
      </c>
      <c r="H52" s="14">
        <f>+D52*G52</f>
        <v>55</v>
      </c>
    </row>
    <row r="53" spans="2:8" ht="14.25" customHeight="1" x14ac:dyDescent="0.3">
      <c r="B53" s="29"/>
      <c r="C53" s="29"/>
      <c r="D53" s="16">
        <f>+D48+D50+D52</f>
        <v>120</v>
      </c>
      <c r="E53" s="29"/>
      <c r="F53" s="30"/>
      <c r="G53" s="31"/>
      <c r="H53" s="16">
        <f>+SUM(H48:H52)</f>
        <v>120</v>
      </c>
    </row>
    <row r="54" spans="2:8" ht="14.25" customHeight="1" x14ac:dyDescent="0.3">
      <c r="H54" s="16"/>
    </row>
    <row r="55" spans="2:8" ht="14.25" customHeight="1" x14ac:dyDescent="0.3">
      <c r="B55" s="66" t="s">
        <v>55</v>
      </c>
      <c r="C55" s="8" t="s">
        <v>60</v>
      </c>
      <c r="D55" s="8" t="s">
        <v>54</v>
      </c>
      <c r="E55" s="8" t="s">
        <v>37</v>
      </c>
      <c r="F55" s="8" t="s">
        <v>38</v>
      </c>
    </row>
    <row r="56" spans="2:8" ht="14.25" customHeight="1" x14ac:dyDescent="0.3">
      <c r="B56" s="66"/>
      <c r="C56" s="17" t="str">
        <f>+CONCATENATE(D56,"_",E56)</f>
        <v>E_BA4</v>
      </c>
      <c r="D56" s="17" t="s">
        <v>46</v>
      </c>
      <c r="E56" s="17" t="s">
        <v>8</v>
      </c>
      <c r="F56" s="18">
        <f>+H48</f>
        <v>11.764705882352942</v>
      </c>
    </row>
    <row r="57" spans="2:8" ht="14.25" customHeight="1" x14ac:dyDescent="0.3">
      <c r="B57" s="66"/>
      <c r="C57" s="19" t="str">
        <f t="shared" ref="C57:C60" si="2">+CONCATENATE(D57,"_",E57)</f>
        <v>E_BA7</v>
      </c>
      <c r="D57" s="19" t="s">
        <v>46</v>
      </c>
      <c r="E57" s="19" t="s">
        <v>58</v>
      </c>
      <c r="F57" s="20">
        <f>+H50</f>
        <v>18</v>
      </c>
    </row>
    <row r="58" spans="2:8" ht="14.25" customHeight="1" x14ac:dyDescent="0.3">
      <c r="B58" s="66"/>
      <c r="C58" s="21" t="str">
        <f t="shared" si="2"/>
        <v>E_BA5</v>
      </c>
      <c r="D58" s="21" t="s">
        <v>46</v>
      </c>
      <c r="E58" s="21" t="s">
        <v>53</v>
      </c>
      <c r="F58" s="22">
        <f>+H52</f>
        <v>55</v>
      </c>
    </row>
    <row r="59" spans="2:8" ht="14.25" customHeight="1" x14ac:dyDescent="0.3">
      <c r="B59" s="66"/>
      <c r="C59" s="9" t="str">
        <f t="shared" si="2"/>
        <v>F_BA4</v>
      </c>
      <c r="D59" s="9" t="s">
        <v>47</v>
      </c>
      <c r="E59" s="9" t="s">
        <v>8</v>
      </c>
      <c r="F59" s="12">
        <f>+H49</f>
        <v>8.235294117647058</v>
      </c>
    </row>
    <row r="60" spans="2:8" ht="14.25" customHeight="1" x14ac:dyDescent="0.3">
      <c r="B60" s="66"/>
      <c r="C60" s="9" t="str">
        <f t="shared" si="2"/>
        <v>S_BA7</v>
      </c>
      <c r="D60" s="9" t="s">
        <v>50</v>
      </c>
      <c r="E60" s="9" t="s">
        <v>58</v>
      </c>
      <c r="F60" s="12">
        <f>+H51</f>
        <v>27</v>
      </c>
    </row>
    <row r="61" spans="2:8" ht="14.25" customHeight="1" x14ac:dyDescent="0.3">
      <c r="F61" s="16">
        <f>+SUM(F56:F60)</f>
        <v>120</v>
      </c>
    </row>
    <row r="62" spans="2:8" ht="14.25" customHeight="1" x14ac:dyDescent="0.3"/>
    <row r="63" spans="2:8" ht="14.25" hidden="1" customHeight="1" x14ac:dyDescent="0.3"/>
    <row r="64" spans="2:8" ht="14.25" hidden="1" customHeight="1" x14ac:dyDescent="0.3"/>
    <row r="65" ht="14.25" hidden="1" customHeight="1" x14ac:dyDescent="0.3"/>
    <row r="66" ht="14.25" hidden="1" customHeight="1" x14ac:dyDescent="0.3"/>
    <row r="67" ht="14.25" hidden="1" customHeight="1" x14ac:dyDescent="0.3"/>
    <row r="68" ht="14.25" hidden="1" customHeight="1" x14ac:dyDescent="0.3"/>
    <row r="69" ht="14.25" hidden="1" customHeight="1" x14ac:dyDescent="0.3"/>
    <row r="70" ht="14.25" hidden="1" customHeight="1" x14ac:dyDescent="0.3"/>
    <row r="71" ht="14.25" hidden="1" customHeight="1" x14ac:dyDescent="0.3"/>
    <row r="72" ht="14.25" hidden="1" customHeight="1" x14ac:dyDescent="0.3"/>
    <row r="73" ht="14.25" hidden="1" customHeight="1" x14ac:dyDescent="0.3"/>
    <row r="74" ht="14.25" hidden="1" customHeight="1" x14ac:dyDescent="0.3"/>
    <row r="75" ht="14.25" hidden="1" customHeight="1" x14ac:dyDescent="0.3"/>
    <row r="76" ht="14.25" hidden="1" customHeight="1" x14ac:dyDescent="0.3"/>
    <row r="77" ht="14.25" hidden="1" customHeight="1" x14ac:dyDescent="0.3"/>
    <row r="78" ht="14.25" hidden="1" customHeight="1" x14ac:dyDescent="0.3"/>
    <row r="79" ht="14.25" hidden="1" customHeight="1" x14ac:dyDescent="0.3"/>
    <row r="80" ht="14.25" hidden="1" customHeight="1" x14ac:dyDescent="0.3"/>
    <row r="81" ht="14.25" hidden="1" customHeight="1" x14ac:dyDescent="0.3"/>
    <row r="82" ht="14.25" hidden="1" customHeight="1" x14ac:dyDescent="0.3"/>
    <row r="83" ht="14.25" hidden="1" customHeight="1" x14ac:dyDescent="0.3"/>
    <row r="84" ht="14.25" hidden="1" customHeight="1" x14ac:dyDescent="0.3"/>
    <row r="85" ht="14.25" hidden="1" customHeight="1" x14ac:dyDescent="0.3"/>
    <row r="86" ht="14.25" hidden="1" customHeight="1" x14ac:dyDescent="0.3"/>
    <row r="87" ht="14.25" hidden="1" customHeight="1" x14ac:dyDescent="0.3"/>
    <row r="88" ht="14.25" hidden="1" customHeight="1" x14ac:dyDescent="0.3"/>
    <row r="89" ht="14.25" hidden="1" customHeight="1" x14ac:dyDescent="0.3"/>
    <row r="90" ht="14.25" hidden="1" customHeight="1" x14ac:dyDescent="0.3"/>
    <row r="91" ht="14.25" hidden="1" customHeight="1" x14ac:dyDescent="0.3"/>
    <row r="92" ht="14.25" hidden="1" customHeight="1" x14ac:dyDescent="0.3"/>
    <row r="93" ht="14.25" hidden="1" customHeight="1" x14ac:dyDescent="0.3"/>
    <row r="94" ht="14.25" hidden="1" customHeight="1" x14ac:dyDescent="0.3"/>
    <row r="95" ht="14.25" hidden="1" customHeight="1" x14ac:dyDescent="0.3"/>
    <row r="96" ht="14.25" hidden="1" customHeight="1" x14ac:dyDescent="0.3"/>
    <row r="97" ht="14.25" hidden="1" customHeight="1" x14ac:dyDescent="0.3"/>
    <row r="98" ht="14.25" hidden="1" customHeight="1" x14ac:dyDescent="0.3"/>
    <row r="99" ht="14.25" hidden="1" customHeight="1" x14ac:dyDescent="0.3"/>
    <row r="100" ht="14.25" hidden="1" customHeight="1" x14ac:dyDescent="0.3"/>
    <row r="101" ht="14.25" hidden="1" customHeight="1" x14ac:dyDescent="0.3"/>
    <row r="102" ht="14.25" hidden="1" customHeight="1" x14ac:dyDescent="0.3"/>
    <row r="103" ht="14.25" hidden="1" customHeight="1" x14ac:dyDescent="0.3"/>
    <row r="104" ht="14.25" hidden="1" customHeight="1" x14ac:dyDescent="0.3"/>
    <row r="105" ht="14.25" hidden="1" customHeight="1" x14ac:dyDescent="0.3"/>
    <row r="106" ht="14.25" hidden="1" customHeight="1" x14ac:dyDescent="0.3"/>
    <row r="107" ht="14.25" hidden="1" customHeight="1" x14ac:dyDescent="0.3"/>
    <row r="108" ht="14.25" hidden="1" customHeight="1" x14ac:dyDescent="0.3"/>
    <row r="109" ht="14.25" hidden="1" customHeight="1" x14ac:dyDescent="0.3"/>
    <row r="110" ht="14.25" hidden="1" customHeight="1" x14ac:dyDescent="0.3"/>
    <row r="111" ht="14.25" hidden="1" customHeight="1" x14ac:dyDescent="0.3"/>
    <row r="112" ht="14.25" hidden="1" customHeight="1" x14ac:dyDescent="0.3"/>
    <row r="113" ht="14.25" hidden="1" customHeight="1" x14ac:dyDescent="0.3"/>
    <row r="114" ht="14.25" hidden="1" customHeight="1" x14ac:dyDescent="0.3"/>
    <row r="115" ht="14.25" hidden="1" customHeight="1" x14ac:dyDescent="0.3"/>
    <row r="116" ht="14.25" hidden="1" customHeight="1" x14ac:dyDescent="0.3"/>
    <row r="117" ht="14.25" hidden="1" customHeight="1" x14ac:dyDescent="0.3"/>
    <row r="118" ht="14.25" hidden="1" customHeight="1" x14ac:dyDescent="0.3"/>
  </sheetData>
  <mergeCells count="6">
    <mergeCell ref="B9:H9"/>
    <mergeCell ref="B55:B60"/>
    <mergeCell ref="B28:H28"/>
    <mergeCell ref="B37:B42"/>
    <mergeCell ref="B46:H46"/>
    <mergeCell ref="B18:B2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1C97-F9F0-4515-961B-B9E93369EC0F}">
  <sheetPr>
    <tabColor rgb="FF92D050"/>
  </sheetPr>
  <dimension ref="B2:S16"/>
  <sheetViews>
    <sheetView tabSelected="1" topLeftCell="E1" workbookViewId="0">
      <selection activeCell="K10" sqref="K10"/>
    </sheetView>
  </sheetViews>
  <sheetFormatPr defaultRowHeight="14.4" x14ac:dyDescent="0.3"/>
  <cols>
    <col min="2" max="2" width="11.21875" customWidth="1"/>
    <col min="3" max="3" width="12.88671875" customWidth="1"/>
    <col min="4" max="4" width="9.44140625" bestFit="1" customWidth="1"/>
    <col min="5" max="6" width="9.44140625" customWidth="1"/>
    <col min="7" max="7" width="23.21875" bestFit="1" customWidth="1"/>
    <col min="8" max="8" width="11.77734375" bestFit="1" customWidth="1"/>
    <col min="9" max="10" width="9.44140625" customWidth="1"/>
    <col min="11" max="11" width="24.33203125" bestFit="1" customWidth="1"/>
    <col min="12" max="12" width="13.33203125" bestFit="1" customWidth="1"/>
    <col min="15" max="15" width="11.77734375" bestFit="1" customWidth="1"/>
    <col min="17" max="17" width="15.77734375" bestFit="1" customWidth="1"/>
    <col min="18" max="18" width="12.88671875" bestFit="1" customWidth="1"/>
    <col min="19" max="19" width="24.33203125" bestFit="1" customWidth="1"/>
  </cols>
  <sheetData>
    <row r="2" spans="2:19" x14ac:dyDescent="0.3">
      <c r="B2" s="56" t="s">
        <v>76</v>
      </c>
      <c r="G2" s="56" t="s">
        <v>77</v>
      </c>
      <c r="K2" s="56" t="s">
        <v>82</v>
      </c>
    </row>
    <row r="4" spans="2:19" x14ac:dyDescent="0.3">
      <c r="B4" s="63" t="s">
        <v>62</v>
      </c>
      <c r="C4" s="62" t="s">
        <v>44</v>
      </c>
      <c r="D4" s="5" t="s">
        <v>51</v>
      </c>
      <c r="E4" s="64" t="s">
        <v>81</v>
      </c>
      <c r="G4" s="63" t="s">
        <v>78</v>
      </c>
      <c r="H4" s="5" t="s">
        <v>70</v>
      </c>
      <c r="K4" s="5" t="s">
        <v>62</v>
      </c>
      <c r="L4" s="5" t="s">
        <v>44</v>
      </c>
      <c r="M4" s="5" t="s">
        <v>51</v>
      </c>
      <c r="N4" s="5" t="s">
        <v>81</v>
      </c>
      <c r="O4" s="5" t="s">
        <v>70</v>
      </c>
      <c r="P4" s="5" t="s">
        <v>83</v>
      </c>
      <c r="Q4" s="5" t="s">
        <v>84</v>
      </c>
      <c r="R4" s="5" t="s">
        <v>86</v>
      </c>
      <c r="S4" s="5" t="s">
        <v>38</v>
      </c>
    </row>
    <row r="5" spans="2:19" x14ac:dyDescent="0.3">
      <c r="B5" s="23" t="s">
        <v>46</v>
      </c>
      <c r="C5" s="23" t="s">
        <v>25</v>
      </c>
      <c r="D5" s="23" t="s">
        <v>8</v>
      </c>
      <c r="E5" s="55">
        <v>17292</v>
      </c>
      <c r="G5" s="13" t="s">
        <v>46</v>
      </c>
      <c r="H5" s="14">
        <v>500</v>
      </c>
      <c r="K5" s="23" t="s">
        <v>46</v>
      </c>
      <c r="L5" s="23" t="s">
        <v>25</v>
      </c>
      <c r="M5" s="23" t="s">
        <v>8</v>
      </c>
      <c r="N5" s="55">
        <v>17292</v>
      </c>
      <c r="O5" s="57">
        <f>H5</f>
        <v>500</v>
      </c>
      <c r="P5" s="55">
        <v>20</v>
      </c>
      <c r="Q5" s="57">
        <f>SUMIFS($O$5:$O$9,$L$5:$L$9,L5,$M$5:$M$9,M5)</f>
        <v>850</v>
      </c>
      <c r="R5" s="59">
        <f>O5/Q5</f>
        <v>0.58823529411764708</v>
      </c>
      <c r="S5" s="60">
        <f>R5*P5</f>
        <v>11.764705882352942</v>
      </c>
    </row>
    <row r="6" spans="2:19" x14ac:dyDescent="0.3">
      <c r="B6" s="26" t="s">
        <v>47</v>
      </c>
      <c r="C6" s="26" t="s">
        <v>25</v>
      </c>
      <c r="D6" s="26" t="s">
        <v>8</v>
      </c>
      <c r="E6" s="55">
        <v>17292</v>
      </c>
      <c r="G6" s="13" t="s">
        <v>47</v>
      </c>
      <c r="H6" s="14">
        <v>350</v>
      </c>
      <c r="K6" s="26" t="s">
        <v>47</v>
      </c>
      <c r="L6" s="26" t="s">
        <v>25</v>
      </c>
      <c r="M6" s="26" t="s">
        <v>8</v>
      </c>
      <c r="N6" s="55">
        <v>17292</v>
      </c>
      <c r="O6" s="57">
        <v>350</v>
      </c>
      <c r="P6" s="55">
        <v>20</v>
      </c>
      <c r="Q6" s="57">
        <f>SUMIFS($O$5:$O$9,$L$5:$L$9,L6,$M$5:$M$9,M6)</f>
        <v>850</v>
      </c>
      <c r="R6" s="59">
        <f>O6/Q6</f>
        <v>0.41176470588235292</v>
      </c>
      <c r="S6" s="60">
        <f>R6*P6</f>
        <v>8.235294117647058</v>
      </c>
    </row>
    <row r="7" spans="2:19" x14ac:dyDescent="0.3">
      <c r="B7" s="23" t="s">
        <v>46</v>
      </c>
      <c r="C7" s="23" t="s">
        <v>48</v>
      </c>
      <c r="D7" s="23" t="s">
        <v>52</v>
      </c>
      <c r="E7" s="55">
        <v>1374</v>
      </c>
      <c r="G7" s="13" t="s">
        <v>50</v>
      </c>
      <c r="H7" s="14">
        <v>750</v>
      </c>
      <c r="K7" s="23" t="s">
        <v>46</v>
      </c>
      <c r="L7" s="23" t="s">
        <v>48</v>
      </c>
      <c r="M7" s="23" t="s">
        <v>52</v>
      </c>
      <c r="N7" s="55">
        <v>1374</v>
      </c>
      <c r="O7" s="57">
        <v>500</v>
      </c>
      <c r="P7" s="55">
        <v>45</v>
      </c>
      <c r="Q7" s="57">
        <f>SUMIFS($O$5:$O$9,$L$5:$L$9,L7,$M$5:$M$9,M7)</f>
        <v>1250</v>
      </c>
      <c r="R7" s="59">
        <f>O7/Q7</f>
        <v>0.4</v>
      </c>
      <c r="S7" s="60">
        <f>R7*P7</f>
        <v>18</v>
      </c>
    </row>
    <row r="8" spans="2:19" x14ac:dyDescent="0.3">
      <c r="B8" s="26" t="s">
        <v>50</v>
      </c>
      <c r="C8" s="26" t="s">
        <v>48</v>
      </c>
      <c r="D8" s="26" t="s">
        <v>52</v>
      </c>
      <c r="E8" s="55">
        <v>1374</v>
      </c>
      <c r="K8" s="26" t="s">
        <v>50</v>
      </c>
      <c r="L8" s="26" t="s">
        <v>48</v>
      </c>
      <c r="M8" s="26" t="s">
        <v>52</v>
      </c>
      <c r="N8" s="55">
        <v>1374</v>
      </c>
      <c r="O8" s="57">
        <v>750</v>
      </c>
      <c r="P8" s="55">
        <v>45</v>
      </c>
      <c r="Q8" s="57">
        <f>SUMIFS($O$5:$O$9,$L$5:$L$9,L8,$M$5:$M$9,M8)</f>
        <v>1250</v>
      </c>
      <c r="R8" s="59">
        <f>O8/Q8</f>
        <v>0.6</v>
      </c>
      <c r="S8" s="60">
        <f>R8*P8</f>
        <v>27</v>
      </c>
    </row>
    <row r="9" spans="2:19" x14ac:dyDescent="0.3">
      <c r="B9" s="13" t="s">
        <v>46</v>
      </c>
      <c r="C9" s="13" t="s">
        <v>49</v>
      </c>
      <c r="D9" s="13" t="s">
        <v>53</v>
      </c>
      <c r="E9" s="55">
        <v>2749742</v>
      </c>
      <c r="K9" s="13" t="s">
        <v>46</v>
      </c>
      <c r="L9" s="13" t="s">
        <v>49</v>
      </c>
      <c r="M9" s="13" t="s">
        <v>53</v>
      </c>
      <c r="N9" s="55">
        <v>2749742</v>
      </c>
      <c r="O9" s="57">
        <v>500</v>
      </c>
      <c r="P9" s="55">
        <v>55</v>
      </c>
      <c r="Q9" s="57">
        <f>SUMIFS($O$5:$O$9,$L$5:$L$9,L9,$M$5:$M$9,M9)</f>
        <v>500</v>
      </c>
      <c r="R9" s="59">
        <f>O9/Q9</f>
        <v>1</v>
      </c>
      <c r="S9" s="60">
        <f>R9*P9</f>
        <v>55</v>
      </c>
    </row>
    <row r="11" spans="2:19" ht="100.8" x14ac:dyDescent="0.3">
      <c r="G11" s="61" t="s">
        <v>79</v>
      </c>
      <c r="Q11" s="58" t="s">
        <v>85</v>
      </c>
      <c r="R11" s="11" t="s">
        <v>87</v>
      </c>
      <c r="S11" s="58" t="s">
        <v>88</v>
      </c>
    </row>
    <row r="13" spans="2:19" x14ac:dyDescent="0.3">
      <c r="G13" s="62" t="s">
        <v>44</v>
      </c>
      <c r="H13" s="62" t="s">
        <v>75</v>
      </c>
      <c r="I13" s="5" t="s">
        <v>80</v>
      </c>
    </row>
    <row r="14" spans="2:19" x14ac:dyDescent="0.3">
      <c r="G14" s="55" t="s">
        <v>25</v>
      </c>
      <c r="H14" s="55">
        <v>17292</v>
      </c>
      <c r="I14" s="55">
        <v>20</v>
      </c>
    </row>
    <row r="15" spans="2:19" x14ac:dyDescent="0.3">
      <c r="G15" s="55" t="s">
        <v>48</v>
      </c>
      <c r="H15" s="55">
        <v>1374</v>
      </c>
      <c r="I15" s="55">
        <v>45</v>
      </c>
    </row>
    <row r="16" spans="2:19" x14ac:dyDescent="0.3">
      <c r="G16" s="55" t="s">
        <v>49</v>
      </c>
      <c r="H16" s="55">
        <v>2749742</v>
      </c>
      <c r="I16" s="55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42"/>
  <sheetViews>
    <sheetView showGridLines="0" zoomScale="90" zoomScaleNormal="90" workbookViewId="0">
      <selection activeCell="H31" sqref="H31"/>
    </sheetView>
  </sheetViews>
  <sheetFormatPr defaultColWidth="0" defaultRowHeight="0" customHeight="1" zeroHeight="1" x14ac:dyDescent="0.3"/>
  <cols>
    <col min="1" max="1" width="3.6640625" customWidth="1"/>
    <col min="2" max="8" width="23.5546875" customWidth="1"/>
    <col min="9" max="10" width="3.6640625" customWidth="1"/>
    <col min="11" max="30" width="0" hidden="1" customWidth="1"/>
    <col min="31" max="16384" width="10.44140625" hidden="1"/>
  </cols>
  <sheetData>
    <row r="1" spans="2:9" s="1" customFormat="1" ht="14.4" x14ac:dyDescent="0.3"/>
    <row r="2" spans="2:9" s="1" customFormat="1" ht="14.4" x14ac:dyDescent="0.3"/>
    <row r="3" spans="2:9" s="1" customFormat="1" ht="14.4" x14ac:dyDescent="0.3"/>
    <row r="4" spans="2:9" s="1" customFormat="1" ht="14.4" x14ac:dyDescent="0.3"/>
    <row r="5" spans="2:9" s="2" customFormat="1" ht="3" customHeight="1" x14ac:dyDescent="0.3"/>
    <row r="6" spans="2:9" ht="14.4" x14ac:dyDescent="0.3"/>
    <row r="7" spans="2:9" ht="14.25" customHeight="1" thickBot="1" x14ac:dyDescent="0.4">
      <c r="B7" s="10" t="s">
        <v>56</v>
      </c>
      <c r="C7" s="10"/>
      <c r="D7" s="3"/>
      <c r="E7" s="3"/>
      <c r="F7" s="3"/>
      <c r="G7" s="3"/>
      <c r="H7" s="3"/>
      <c r="I7" s="3"/>
    </row>
    <row r="8" spans="2:9" ht="14.25" customHeight="1" x14ac:dyDescent="0.35">
      <c r="B8" s="32"/>
      <c r="C8" s="32"/>
    </row>
    <row r="9" spans="2:9" ht="14.25" customHeight="1" x14ac:dyDescent="0.3">
      <c r="B9" s="6" t="s">
        <v>62</v>
      </c>
      <c r="C9" s="6" t="s">
        <v>44</v>
      </c>
      <c r="D9" s="6" t="s">
        <v>63</v>
      </c>
      <c r="E9" s="6" t="s">
        <v>65</v>
      </c>
      <c r="F9" s="6" t="s">
        <v>66</v>
      </c>
      <c r="G9" s="6" t="s">
        <v>67</v>
      </c>
    </row>
    <row r="10" spans="2:9" ht="14.25" customHeight="1" x14ac:dyDescent="0.3">
      <c r="B10" s="23" t="s">
        <v>46</v>
      </c>
      <c r="C10" s="23" t="s">
        <v>25</v>
      </c>
      <c r="D10" s="23">
        <v>500</v>
      </c>
      <c r="E10" s="23">
        <v>20</v>
      </c>
      <c r="F10" s="25">
        <f>+E10/SUM(E10:E12)</f>
        <v>0.16666666666666666</v>
      </c>
      <c r="G10" s="24">
        <f>+D10*F10</f>
        <v>83.333333333333329</v>
      </c>
    </row>
    <row r="11" spans="2:9" ht="14.25" customHeight="1" x14ac:dyDescent="0.3">
      <c r="B11" s="33" t="s">
        <v>46</v>
      </c>
      <c r="C11" s="33" t="s">
        <v>48</v>
      </c>
      <c r="D11" s="33">
        <v>500</v>
      </c>
      <c r="E11" s="33">
        <v>45</v>
      </c>
      <c r="F11" s="34">
        <f t="shared" ref="F11:F12" si="0">+E11/SUM(E11:E13)</f>
        <v>0.375</v>
      </c>
      <c r="G11" s="35">
        <f t="shared" ref="G11:G12" si="1">+D11*F11</f>
        <v>187.5</v>
      </c>
    </row>
    <row r="12" spans="2:9" ht="14.25" customHeight="1" x14ac:dyDescent="0.3">
      <c r="B12" s="26" t="s">
        <v>46</v>
      </c>
      <c r="C12" s="26" t="s">
        <v>49</v>
      </c>
      <c r="D12" s="26">
        <v>500</v>
      </c>
      <c r="E12" s="26">
        <v>55</v>
      </c>
      <c r="F12" s="28">
        <f t="shared" si="0"/>
        <v>0.45833333333333331</v>
      </c>
      <c r="G12" s="27">
        <f t="shared" si="1"/>
        <v>229.16666666666666</v>
      </c>
    </row>
    <row r="13" spans="2:9" ht="14.25" customHeight="1" x14ac:dyDescent="0.3">
      <c r="B13" s="23" t="s">
        <v>47</v>
      </c>
      <c r="C13" s="23" t="s">
        <v>25</v>
      </c>
      <c r="D13" s="23">
        <v>350</v>
      </c>
      <c r="E13" s="23">
        <v>20</v>
      </c>
      <c r="F13" s="25">
        <v>1</v>
      </c>
      <c r="G13" s="27">
        <f>+D13*F13</f>
        <v>350</v>
      </c>
    </row>
    <row r="14" spans="2:9" ht="14.25" customHeight="1" x14ac:dyDescent="0.3">
      <c r="B14" s="13" t="s">
        <v>50</v>
      </c>
      <c r="C14" s="13" t="s">
        <v>48</v>
      </c>
      <c r="D14" s="13">
        <v>750</v>
      </c>
      <c r="E14" s="13">
        <v>45</v>
      </c>
      <c r="F14" s="15">
        <v>1</v>
      </c>
      <c r="G14" s="14">
        <f>+D14*F14</f>
        <v>750</v>
      </c>
    </row>
    <row r="15" spans="2:9" ht="14.25" customHeight="1" x14ac:dyDescent="0.3">
      <c r="B15" s="29"/>
      <c r="C15" s="29"/>
      <c r="D15" s="16">
        <f>+D10+D13+D14</f>
        <v>1600</v>
      </c>
      <c r="E15" s="29"/>
      <c r="F15" s="31"/>
      <c r="G15" s="16">
        <f>+SUM(G10:G14)</f>
        <v>1600</v>
      </c>
    </row>
    <row r="16" spans="2:9" ht="14.25" customHeight="1" x14ac:dyDescent="0.3"/>
    <row r="17" spans="2:9" ht="14.25" customHeight="1" x14ac:dyDescent="0.3">
      <c r="B17" s="67" t="s">
        <v>61</v>
      </c>
      <c r="C17" s="68"/>
      <c r="D17" s="68"/>
      <c r="E17" s="68"/>
      <c r="F17" s="68"/>
      <c r="G17" s="68"/>
      <c r="H17" s="69"/>
    </row>
    <row r="18" spans="2:9" ht="31.5" customHeight="1" x14ac:dyDescent="0.3">
      <c r="B18" s="6" t="s">
        <v>44</v>
      </c>
      <c r="C18" s="6" t="s">
        <v>51</v>
      </c>
      <c r="D18" s="6" t="s">
        <v>38</v>
      </c>
      <c r="E18" s="6" t="s">
        <v>62</v>
      </c>
      <c r="F18" s="6" t="s">
        <v>63</v>
      </c>
      <c r="G18" s="6" t="s">
        <v>64</v>
      </c>
      <c r="H18" s="6" t="s">
        <v>45</v>
      </c>
      <c r="I18" s="11"/>
    </row>
    <row r="19" spans="2:9" ht="14.25" customHeight="1" x14ac:dyDescent="0.3">
      <c r="B19" s="23" t="s">
        <v>25</v>
      </c>
      <c r="C19" s="23" t="s">
        <v>8</v>
      </c>
      <c r="D19" s="24">
        <v>20</v>
      </c>
      <c r="E19" s="23" t="s">
        <v>46</v>
      </c>
      <c r="F19" s="24">
        <f>+G10</f>
        <v>83.333333333333329</v>
      </c>
      <c r="G19" s="25">
        <f>+F19/SUM($F$19:$F$20)</f>
        <v>0.19230769230769232</v>
      </c>
      <c r="H19" s="24">
        <f>+D19*G19</f>
        <v>3.8461538461538463</v>
      </c>
    </row>
    <row r="20" spans="2:9" ht="14.25" customHeight="1" x14ac:dyDescent="0.3">
      <c r="B20" s="26" t="s">
        <v>25</v>
      </c>
      <c r="C20" s="26" t="s">
        <v>8</v>
      </c>
      <c r="D20" s="27">
        <v>20</v>
      </c>
      <c r="E20" s="26" t="s">
        <v>47</v>
      </c>
      <c r="F20" s="27">
        <v>350</v>
      </c>
      <c r="G20" s="28">
        <f>+F20/SUM($F$19:$F$20)</f>
        <v>0.80769230769230771</v>
      </c>
      <c r="H20" s="27">
        <f>+D20*G20</f>
        <v>16.153846153846153</v>
      </c>
    </row>
    <row r="21" spans="2:9" ht="14.25" customHeight="1" x14ac:dyDescent="0.3">
      <c r="B21" s="23" t="s">
        <v>48</v>
      </c>
      <c r="C21" s="23" t="s">
        <v>52</v>
      </c>
      <c r="D21" s="24">
        <v>45</v>
      </c>
      <c r="E21" s="23" t="s">
        <v>46</v>
      </c>
      <c r="F21" s="24">
        <f>+G11</f>
        <v>187.5</v>
      </c>
      <c r="G21" s="25">
        <f>+F21/SUM($F$21:$F$22)</f>
        <v>0.2</v>
      </c>
      <c r="H21" s="24">
        <f>+D21*G21</f>
        <v>9</v>
      </c>
    </row>
    <row r="22" spans="2:9" ht="14.25" customHeight="1" x14ac:dyDescent="0.3">
      <c r="B22" s="26" t="s">
        <v>48</v>
      </c>
      <c r="C22" s="26" t="s">
        <v>52</v>
      </c>
      <c r="D22" s="27">
        <v>45</v>
      </c>
      <c r="E22" s="26" t="s">
        <v>50</v>
      </c>
      <c r="F22" s="27">
        <v>750</v>
      </c>
      <c r="G22" s="28">
        <f>+F22/SUM($F$21:$F$22)</f>
        <v>0.8</v>
      </c>
      <c r="H22" s="27">
        <f>+D22*G22</f>
        <v>36</v>
      </c>
    </row>
    <row r="23" spans="2:9" ht="14.25" customHeight="1" x14ac:dyDescent="0.3">
      <c r="B23" s="13" t="s">
        <v>49</v>
      </c>
      <c r="C23" s="13" t="s">
        <v>53</v>
      </c>
      <c r="D23" s="14">
        <v>55</v>
      </c>
      <c r="E23" s="13" t="s">
        <v>46</v>
      </c>
      <c r="F23" s="14">
        <f>+G12</f>
        <v>229.16666666666666</v>
      </c>
      <c r="G23" s="15">
        <v>1</v>
      </c>
      <c r="H23" s="14">
        <f>+D23*G23</f>
        <v>55</v>
      </c>
    </row>
    <row r="24" spans="2:9" ht="14.25" customHeight="1" x14ac:dyDescent="0.3">
      <c r="B24" s="29"/>
      <c r="C24" s="29"/>
      <c r="D24" s="16">
        <f>+D19+D21+D23</f>
        <v>120</v>
      </c>
      <c r="E24" s="29"/>
      <c r="F24" s="16">
        <f>+SUM(F19:F23)</f>
        <v>1600</v>
      </c>
      <c r="G24" s="31"/>
      <c r="H24" s="16">
        <f>+SUM(H19:H23)</f>
        <v>120</v>
      </c>
    </row>
    <row r="25" spans="2:9" ht="14.25" customHeight="1" x14ac:dyDescent="0.3">
      <c r="H25" s="16"/>
    </row>
    <row r="26" spans="2:9" ht="14.25" customHeight="1" x14ac:dyDescent="0.3">
      <c r="B26" s="66" t="s">
        <v>55</v>
      </c>
      <c r="C26" s="8" t="s">
        <v>60</v>
      </c>
      <c r="D26" s="8" t="s">
        <v>54</v>
      </c>
      <c r="E26" s="8" t="s">
        <v>37</v>
      </c>
      <c r="F26" s="8" t="s">
        <v>38</v>
      </c>
    </row>
    <row r="27" spans="2:9" ht="14.25" customHeight="1" x14ac:dyDescent="0.3">
      <c r="B27" s="66"/>
      <c r="C27" s="17" t="str">
        <f>+CONCATENATE(D27,"_",E27)</f>
        <v>E_BA4</v>
      </c>
      <c r="D27" s="17" t="s">
        <v>46</v>
      </c>
      <c r="E27" s="17" t="s">
        <v>8</v>
      </c>
      <c r="F27" s="18">
        <f>+H19</f>
        <v>3.8461538461538463</v>
      </c>
    </row>
    <row r="28" spans="2:9" ht="14.25" customHeight="1" x14ac:dyDescent="0.3">
      <c r="B28" s="66"/>
      <c r="C28" s="19" t="str">
        <f t="shared" ref="C28:C31" si="2">+CONCATENATE(D28,"_",E28)</f>
        <v>E_BA3</v>
      </c>
      <c r="D28" s="19" t="s">
        <v>46</v>
      </c>
      <c r="E28" s="19" t="s">
        <v>52</v>
      </c>
      <c r="F28" s="20">
        <f>+H21</f>
        <v>9</v>
      </c>
    </row>
    <row r="29" spans="2:9" ht="14.25" customHeight="1" x14ac:dyDescent="0.3">
      <c r="B29" s="66"/>
      <c r="C29" s="21" t="str">
        <f t="shared" si="2"/>
        <v>E_BA5</v>
      </c>
      <c r="D29" s="21" t="s">
        <v>46</v>
      </c>
      <c r="E29" s="21" t="s">
        <v>53</v>
      </c>
      <c r="F29" s="22">
        <f>+H23</f>
        <v>55</v>
      </c>
    </row>
    <row r="30" spans="2:9" ht="14.25" customHeight="1" x14ac:dyDescent="0.3">
      <c r="B30" s="66"/>
      <c r="C30" s="9" t="str">
        <f t="shared" si="2"/>
        <v>F_BA4</v>
      </c>
      <c r="D30" s="9" t="s">
        <v>47</v>
      </c>
      <c r="E30" s="9" t="s">
        <v>8</v>
      </c>
      <c r="F30" s="12">
        <f>+H20</f>
        <v>16.153846153846153</v>
      </c>
    </row>
    <row r="31" spans="2:9" ht="14.25" customHeight="1" x14ac:dyDescent="0.3">
      <c r="B31" s="66"/>
      <c r="C31" s="9" t="str">
        <f t="shared" si="2"/>
        <v>S_BA3</v>
      </c>
      <c r="D31" s="9" t="s">
        <v>50</v>
      </c>
      <c r="E31" s="9" t="s">
        <v>52</v>
      </c>
      <c r="F31" s="12">
        <f>+H22</f>
        <v>36</v>
      </c>
    </row>
    <row r="32" spans="2:9" ht="14.25" customHeight="1" x14ac:dyDescent="0.3">
      <c r="F32" s="16">
        <f>+SUM(F27:F31)</f>
        <v>120</v>
      </c>
    </row>
    <row r="33" spans="2:8" ht="14.25" customHeight="1" x14ac:dyDescent="0.3"/>
    <row r="34" spans="2:8" ht="14.25" customHeight="1" thickBot="1" x14ac:dyDescent="0.4">
      <c r="B34" s="10" t="s">
        <v>57</v>
      </c>
      <c r="C34" s="10"/>
      <c r="D34" s="3"/>
      <c r="E34" s="3"/>
      <c r="F34" s="3"/>
      <c r="G34" s="3"/>
      <c r="H34" s="3"/>
    </row>
    <row r="35" spans="2:8" ht="14.25" customHeight="1" x14ac:dyDescent="0.35">
      <c r="B35" s="32"/>
      <c r="C35" s="32"/>
    </row>
    <row r="36" spans="2:8" ht="14.25" customHeight="1" x14ac:dyDescent="0.3">
      <c r="B36" s="6" t="s">
        <v>62</v>
      </c>
      <c r="C36" s="6" t="s">
        <v>44</v>
      </c>
      <c r="D36" s="6" t="s">
        <v>63</v>
      </c>
      <c r="E36" s="6" t="s">
        <v>65</v>
      </c>
      <c r="F36" s="6" t="s">
        <v>66</v>
      </c>
      <c r="G36" s="6" t="s">
        <v>67</v>
      </c>
    </row>
    <row r="37" spans="2:8" ht="14.25" customHeight="1" x14ac:dyDescent="0.3">
      <c r="B37" s="23" t="s">
        <v>46</v>
      </c>
      <c r="C37" s="23" t="s">
        <v>25</v>
      </c>
      <c r="D37" s="23">
        <v>0</v>
      </c>
      <c r="E37" s="23">
        <v>20</v>
      </c>
      <c r="F37" s="25">
        <f>+E37/SUM(E37:E39)</f>
        <v>0.16666666666666666</v>
      </c>
      <c r="G37" s="24">
        <f>+D37*F37</f>
        <v>0</v>
      </c>
    </row>
    <row r="38" spans="2:8" ht="14.25" customHeight="1" x14ac:dyDescent="0.3">
      <c r="B38" s="33" t="s">
        <v>46</v>
      </c>
      <c r="C38" s="33" t="s">
        <v>48</v>
      </c>
      <c r="D38" s="33">
        <v>0</v>
      </c>
      <c r="E38" s="33">
        <v>45</v>
      </c>
      <c r="F38" s="34">
        <f t="shared" ref="F38:F39" si="3">+E38/SUM(E38:E40)</f>
        <v>0.375</v>
      </c>
      <c r="G38" s="35">
        <f t="shared" ref="G38:G39" si="4">+D38*F38</f>
        <v>0</v>
      </c>
    </row>
    <row r="39" spans="2:8" ht="14.25" customHeight="1" x14ac:dyDescent="0.3">
      <c r="B39" s="26" t="s">
        <v>46</v>
      </c>
      <c r="C39" s="26" t="s">
        <v>49</v>
      </c>
      <c r="D39" s="26">
        <v>0</v>
      </c>
      <c r="E39" s="26">
        <v>55</v>
      </c>
      <c r="F39" s="28">
        <f t="shared" si="3"/>
        <v>0.45833333333333331</v>
      </c>
      <c r="G39" s="27">
        <f t="shared" si="4"/>
        <v>0</v>
      </c>
    </row>
    <row r="40" spans="2:8" ht="14.25" customHeight="1" x14ac:dyDescent="0.3">
      <c r="B40" s="23" t="s">
        <v>47</v>
      </c>
      <c r="C40" s="23" t="s">
        <v>25</v>
      </c>
      <c r="D40" s="23">
        <v>0</v>
      </c>
      <c r="E40" s="23">
        <v>20</v>
      </c>
      <c r="F40" s="25">
        <v>1</v>
      </c>
      <c r="G40" s="27">
        <f>+D40*F40</f>
        <v>0</v>
      </c>
    </row>
    <row r="41" spans="2:8" ht="14.25" customHeight="1" x14ac:dyDescent="0.3">
      <c r="B41" s="13" t="s">
        <v>50</v>
      </c>
      <c r="C41" s="13" t="s">
        <v>48</v>
      </c>
      <c r="D41" s="13">
        <v>750</v>
      </c>
      <c r="E41" s="13">
        <v>45</v>
      </c>
      <c r="F41" s="15">
        <v>1</v>
      </c>
      <c r="G41" s="14">
        <f>+D41*F41</f>
        <v>750</v>
      </c>
    </row>
    <row r="42" spans="2:8" ht="14.25" customHeight="1" x14ac:dyDescent="0.3">
      <c r="B42" s="29"/>
      <c r="C42" s="29"/>
      <c r="D42" s="16">
        <f>+D37+D40+D41</f>
        <v>750</v>
      </c>
      <c r="E42" s="29"/>
      <c r="F42" s="31"/>
      <c r="G42" s="16">
        <f>+SUM(G37:G41)</f>
        <v>750</v>
      </c>
    </row>
    <row r="43" spans="2:8" ht="14.25" customHeight="1" x14ac:dyDescent="0.3"/>
    <row r="44" spans="2:8" ht="14.25" customHeight="1" x14ac:dyDescent="0.3">
      <c r="B44" s="67" t="s">
        <v>61</v>
      </c>
      <c r="C44" s="68"/>
      <c r="D44" s="68"/>
      <c r="E44" s="68"/>
      <c r="F44" s="68"/>
      <c r="G44" s="68"/>
      <c r="H44" s="69"/>
    </row>
    <row r="45" spans="2:8" ht="31.5" customHeight="1" x14ac:dyDescent="0.3">
      <c r="B45" s="6" t="s">
        <v>44</v>
      </c>
      <c r="C45" s="6" t="s">
        <v>51</v>
      </c>
      <c r="D45" s="6" t="s">
        <v>38</v>
      </c>
      <c r="E45" s="6" t="s">
        <v>62</v>
      </c>
      <c r="F45" s="6" t="s">
        <v>63</v>
      </c>
      <c r="G45" s="6" t="s">
        <v>64</v>
      </c>
      <c r="H45" s="6" t="s">
        <v>45</v>
      </c>
    </row>
    <row r="46" spans="2:8" ht="14.25" customHeight="1" x14ac:dyDescent="0.3">
      <c r="B46" s="23" t="s">
        <v>25</v>
      </c>
      <c r="C46" s="23" t="s">
        <v>8</v>
      </c>
      <c r="D46" s="24">
        <v>20</v>
      </c>
      <c r="E46" s="23" t="s">
        <v>46</v>
      </c>
      <c r="F46" s="24">
        <v>0</v>
      </c>
      <c r="G46" s="25">
        <v>0.5</v>
      </c>
      <c r="H46" s="24">
        <f>+D46*G46</f>
        <v>10</v>
      </c>
    </row>
    <row r="47" spans="2:8" ht="14.25" customHeight="1" x14ac:dyDescent="0.3">
      <c r="B47" s="26" t="s">
        <v>25</v>
      </c>
      <c r="C47" s="26" t="s">
        <v>8</v>
      </c>
      <c r="D47" s="27">
        <v>20</v>
      </c>
      <c r="E47" s="26" t="s">
        <v>47</v>
      </c>
      <c r="F47" s="27">
        <f>+G40</f>
        <v>0</v>
      </c>
      <c r="G47" s="28">
        <v>0.5</v>
      </c>
      <c r="H47" s="27">
        <f>+D47*G47</f>
        <v>10</v>
      </c>
    </row>
    <row r="48" spans="2:8" ht="14.25" customHeight="1" x14ac:dyDescent="0.3">
      <c r="B48" s="23" t="s">
        <v>48</v>
      </c>
      <c r="C48" s="23" t="s">
        <v>52</v>
      </c>
      <c r="D48" s="24">
        <v>45</v>
      </c>
      <c r="E48" s="23" t="s">
        <v>46</v>
      </c>
      <c r="F48" s="24">
        <v>0</v>
      </c>
      <c r="G48" s="25">
        <f>+F48/SUM(F48:F49)</f>
        <v>0</v>
      </c>
      <c r="H48" s="24">
        <f>+D48*G48</f>
        <v>0</v>
      </c>
    </row>
    <row r="49" spans="2:8" ht="14.25" customHeight="1" x14ac:dyDescent="0.3">
      <c r="B49" s="26" t="s">
        <v>48</v>
      </c>
      <c r="C49" s="26" t="s">
        <v>52</v>
      </c>
      <c r="D49" s="27">
        <v>45</v>
      </c>
      <c r="E49" s="26" t="s">
        <v>50</v>
      </c>
      <c r="F49" s="27">
        <v>750</v>
      </c>
      <c r="G49" s="28">
        <f>+F49/SUM(F49:F50)</f>
        <v>1</v>
      </c>
      <c r="H49" s="27">
        <f>+D49*G49</f>
        <v>45</v>
      </c>
    </row>
    <row r="50" spans="2:8" ht="14.25" customHeight="1" x14ac:dyDescent="0.3">
      <c r="B50" s="13" t="s">
        <v>49</v>
      </c>
      <c r="C50" s="13" t="s">
        <v>53</v>
      </c>
      <c r="D50" s="14">
        <v>55</v>
      </c>
      <c r="E50" s="13" t="s">
        <v>46</v>
      </c>
      <c r="F50" s="14">
        <v>0</v>
      </c>
      <c r="G50" s="15">
        <v>1</v>
      </c>
      <c r="H50" s="14">
        <f>+D50*G50</f>
        <v>55</v>
      </c>
    </row>
    <row r="51" spans="2:8" ht="14.25" customHeight="1" x14ac:dyDescent="0.3">
      <c r="B51" s="29"/>
      <c r="C51" s="29"/>
      <c r="D51" s="16">
        <f>+D46+D48+D50</f>
        <v>120</v>
      </c>
      <c r="E51" s="29"/>
      <c r="F51" s="16">
        <f>+SUM(F46:F50)</f>
        <v>750</v>
      </c>
      <c r="G51" s="31"/>
      <c r="H51" s="16">
        <f>+SUM(H46:H50)</f>
        <v>120</v>
      </c>
    </row>
    <row r="52" spans="2:8" ht="14.25" customHeight="1" x14ac:dyDescent="0.3">
      <c r="H52" s="16"/>
    </row>
    <row r="53" spans="2:8" ht="14.25" customHeight="1" x14ac:dyDescent="0.3">
      <c r="B53" s="66" t="s">
        <v>55</v>
      </c>
      <c r="C53" s="8" t="s">
        <v>60</v>
      </c>
      <c r="D53" s="8" t="s">
        <v>54</v>
      </c>
      <c r="E53" s="8" t="s">
        <v>37</v>
      </c>
      <c r="F53" s="8" t="s">
        <v>38</v>
      </c>
    </row>
    <row r="54" spans="2:8" ht="14.25" customHeight="1" x14ac:dyDescent="0.3">
      <c r="B54" s="66"/>
      <c r="C54" s="17" t="str">
        <f>+CONCATENATE(D54,"_",E54)</f>
        <v>E_BA4</v>
      </c>
      <c r="D54" s="17" t="s">
        <v>46</v>
      </c>
      <c r="E54" s="17" t="s">
        <v>8</v>
      </c>
      <c r="F54" s="18">
        <f>+H46</f>
        <v>10</v>
      </c>
    </row>
    <row r="55" spans="2:8" ht="14.25" customHeight="1" x14ac:dyDescent="0.3">
      <c r="B55" s="66"/>
      <c r="C55" s="19" t="str">
        <f t="shared" ref="C55:C58" si="5">+CONCATENATE(D55,"_",E55)</f>
        <v>E_BA3</v>
      </c>
      <c r="D55" s="19" t="s">
        <v>46</v>
      </c>
      <c r="E55" s="19" t="s">
        <v>52</v>
      </c>
      <c r="F55" s="20">
        <f>+H48</f>
        <v>0</v>
      </c>
    </row>
    <row r="56" spans="2:8" ht="14.25" customHeight="1" x14ac:dyDescent="0.3">
      <c r="B56" s="66"/>
      <c r="C56" s="21" t="str">
        <f t="shared" si="5"/>
        <v>E_BA5</v>
      </c>
      <c r="D56" s="21" t="s">
        <v>46</v>
      </c>
      <c r="E56" s="21" t="s">
        <v>53</v>
      </c>
      <c r="F56" s="22">
        <f>+H50</f>
        <v>55</v>
      </c>
    </row>
    <row r="57" spans="2:8" ht="14.25" customHeight="1" x14ac:dyDescent="0.3">
      <c r="B57" s="66"/>
      <c r="C57" s="9" t="str">
        <f t="shared" si="5"/>
        <v>F_BA4</v>
      </c>
      <c r="D57" s="9" t="s">
        <v>47</v>
      </c>
      <c r="E57" s="9" t="s">
        <v>8</v>
      </c>
      <c r="F57" s="12">
        <f>+H47</f>
        <v>10</v>
      </c>
    </row>
    <row r="58" spans="2:8" ht="14.25" customHeight="1" x14ac:dyDescent="0.3">
      <c r="B58" s="66"/>
      <c r="C58" s="9" t="str">
        <f t="shared" si="5"/>
        <v>S_BA3</v>
      </c>
      <c r="D58" s="9" t="s">
        <v>50</v>
      </c>
      <c r="E58" s="9" t="s">
        <v>52</v>
      </c>
      <c r="F58" s="12">
        <f>+H49</f>
        <v>45</v>
      </c>
    </row>
    <row r="59" spans="2:8" ht="14.25" customHeight="1" x14ac:dyDescent="0.3">
      <c r="E59" s="16"/>
      <c r="F59" s="16">
        <f>+SUM(F54:F58)</f>
        <v>120</v>
      </c>
    </row>
    <row r="60" spans="2:8" ht="14.25" customHeight="1" thickBot="1" x14ac:dyDescent="0.4">
      <c r="B60" s="10" t="s">
        <v>59</v>
      </c>
      <c r="C60" s="10"/>
      <c r="D60" s="3"/>
      <c r="E60" s="3"/>
      <c r="F60" s="3"/>
      <c r="G60" s="3"/>
      <c r="H60" s="3"/>
    </row>
    <row r="61" spans="2:8" ht="14.25" customHeight="1" x14ac:dyDescent="0.35">
      <c r="B61" s="32"/>
      <c r="C61" s="32"/>
    </row>
    <row r="62" spans="2:8" ht="14.25" customHeight="1" x14ac:dyDescent="0.3">
      <c r="B62" s="6" t="s">
        <v>62</v>
      </c>
      <c r="C62" s="6" t="s">
        <v>44</v>
      </c>
      <c r="D62" s="6"/>
      <c r="E62" s="6" t="s">
        <v>63</v>
      </c>
      <c r="F62" s="6" t="s">
        <v>65</v>
      </c>
      <c r="G62" s="6" t="s">
        <v>66</v>
      </c>
      <c r="H62" s="6" t="s">
        <v>67</v>
      </c>
    </row>
    <row r="63" spans="2:8" ht="14.25" customHeight="1" x14ac:dyDescent="0.3">
      <c r="B63" s="23" t="s">
        <v>46</v>
      </c>
      <c r="C63" s="23" t="s">
        <v>25</v>
      </c>
      <c r="D63" s="23" t="s">
        <v>8</v>
      </c>
      <c r="E63" s="24">
        <v>500</v>
      </c>
      <c r="F63" s="24">
        <v>20</v>
      </c>
      <c r="G63" s="25">
        <f>+F63/SUM(F63:F64)</f>
        <v>0.30769230769230771</v>
      </c>
      <c r="H63" s="24">
        <f>+E63*G63</f>
        <v>153.84615384615387</v>
      </c>
    </row>
    <row r="64" spans="2:8" ht="14.25" customHeight="1" x14ac:dyDescent="0.3">
      <c r="B64" s="36" t="s">
        <v>46</v>
      </c>
      <c r="C64" s="36" t="s">
        <v>25</v>
      </c>
      <c r="D64" s="36" t="s">
        <v>58</v>
      </c>
      <c r="E64" s="38">
        <v>500</v>
      </c>
      <c r="F64" s="38">
        <v>45</v>
      </c>
      <c r="G64" s="37">
        <f>+F64/SUM(F63:F64)</f>
        <v>0.69230769230769229</v>
      </c>
      <c r="H64" s="38">
        <f t="shared" ref="H64:H67" si="6">+E64*G64</f>
        <v>346.15384615384613</v>
      </c>
    </row>
    <row r="65" spans="2:8" ht="14.25" customHeight="1" x14ac:dyDescent="0.3">
      <c r="B65" s="23" t="s">
        <v>47</v>
      </c>
      <c r="C65" s="23" t="s">
        <v>25</v>
      </c>
      <c r="D65" s="23" t="s">
        <v>8</v>
      </c>
      <c r="E65" s="24">
        <v>350</v>
      </c>
      <c r="F65" s="24">
        <v>20</v>
      </c>
      <c r="G65" s="25">
        <f>+F65/SUM(F65:F66)</f>
        <v>0.30769230769230771</v>
      </c>
      <c r="H65" s="24">
        <f t="shared" si="6"/>
        <v>107.69230769230769</v>
      </c>
    </row>
    <row r="66" spans="2:8" ht="14.25" customHeight="1" x14ac:dyDescent="0.3">
      <c r="B66" s="26" t="s">
        <v>47</v>
      </c>
      <c r="C66" s="36" t="s">
        <v>25</v>
      </c>
      <c r="D66" s="36" t="s">
        <v>58</v>
      </c>
      <c r="E66" s="39">
        <v>350</v>
      </c>
      <c r="F66" s="27">
        <v>45</v>
      </c>
      <c r="G66" s="28">
        <f>+F66/SUM(F65:F66)</f>
        <v>0.69230769230769229</v>
      </c>
      <c r="H66" s="27">
        <f t="shared" si="6"/>
        <v>242.30769230769229</v>
      </c>
    </row>
    <row r="67" spans="2:8" ht="14.25" customHeight="1" x14ac:dyDescent="0.3">
      <c r="B67" s="13" t="s">
        <v>50</v>
      </c>
      <c r="C67" s="13" t="s">
        <v>48</v>
      </c>
      <c r="D67" s="13" t="s">
        <v>53</v>
      </c>
      <c r="E67" s="14">
        <v>750</v>
      </c>
      <c r="F67" s="14">
        <v>55</v>
      </c>
      <c r="G67" s="15">
        <v>1</v>
      </c>
      <c r="H67" s="14">
        <f t="shared" si="6"/>
        <v>750</v>
      </c>
    </row>
    <row r="68" spans="2:8" ht="14.25" customHeight="1" x14ac:dyDescent="0.3">
      <c r="B68" s="29"/>
      <c r="C68" s="29"/>
      <c r="D68" s="29"/>
      <c r="E68" s="16">
        <f>+E63+E66+E67</f>
        <v>1600</v>
      </c>
      <c r="F68" s="29"/>
      <c r="G68" s="31"/>
      <c r="H68" s="16">
        <f>+SUM(H63:H67)</f>
        <v>1600</v>
      </c>
    </row>
    <row r="69" spans="2:8" ht="14.25" customHeight="1" x14ac:dyDescent="0.3"/>
    <row r="70" spans="2:8" ht="14.25" customHeight="1" x14ac:dyDescent="0.3">
      <c r="B70" s="67" t="s">
        <v>43</v>
      </c>
      <c r="C70" s="68"/>
      <c r="D70" s="68"/>
      <c r="E70" s="68"/>
      <c r="F70" s="68"/>
      <c r="G70" s="68"/>
      <c r="H70" s="69"/>
    </row>
    <row r="71" spans="2:8" ht="31.5" customHeight="1" x14ac:dyDescent="0.3">
      <c r="B71" s="6" t="s">
        <v>44</v>
      </c>
      <c r="C71" s="6" t="s">
        <v>51</v>
      </c>
      <c r="D71" s="6" t="s">
        <v>38</v>
      </c>
      <c r="E71" s="6" t="s">
        <v>62</v>
      </c>
      <c r="F71" s="6" t="s">
        <v>63</v>
      </c>
      <c r="G71" s="6" t="s">
        <v>64</v>
      </c>
      <c r="H71" s="6" t="s">
        <v>45</v>
      </c>
    </row>
    <row r="72" spans="2:8" ht="14.25" customHeight="1" x14ac:dyDescent="0.3">
      <c r="B72" s="23" t="s">
        <v>25</v>
      </c>
      <c r="C72" s="23" t="s">
        <v>8</v>
      </c>
      <c r="D72" s="24">
        <v>20</v>
      </c>
      <c r="E72" s="23" t="s">
        <v>46</v>
      </c>
      <c r="F72" s="24">
        <f>+H63</f>
        <v>153.84615384615387</v>
      </c>
      <c r="G72" s="25">
        <f>+F72/SUM(F72:F73)</f>
        <v>0.58823529411764708</v>
      </c>
      <c r="H72" s="24">
        <f>+D72*G72</f>
        <v>11.764705882352942</v>
      </c>
    </row>
    <row r="73" spans="2:8" ht="14.25" customHeight="1" x14ac:dyDescent="0.3">
      <c r="B73" s="26" t="s">
        <v>25</v>
      </c>
      <c r="C73" s="26" t="s">
        <v>8</v>
      </c>
      <c r="D73" s="27">
        <v>20</v>
      </c>
      <c r="E73" s="26" t="s">
        <v>47</v>
      </c>
      <c r="F73" s="27">
        <f>+H65</f>
        <v>107.69230769230769</v>
      </c>
      <c r="G73" s="28">
        <f>+F73/SUM(F72:F73)</f>
        <v>0.41176470588235292</v>
      </c>
      <c r="H73" s="27">
        <f t="shared" ref="H73:H76" si="7">+D73*G73</f>
        <v>8.235294117647058</v>
      </c>
    </row>
    <row r="74" spans="2:8" ht="14.25" customHeight="1" x14ac:dyDescent="0.3">
      <c r="B74" s="23" t="s">
        <v>25</v>
      </c>
      <c r="C74" s="23" t="s">
        <v>58</v>
      </c>
      <c r="D74" s="24">
        <v>45</v>
      </c>
      <c r="E74" s="23" t="s">
        <v>46</v>
      </c>
      <c r="F74" s="24">
        <f>+H64</f>
        <v>346.15384615384613</v>
      </c>
      <c r="G74" s="25">
        <f>+F74/SUM(F74:F75)</f>
        <v>0.58823529411764708</v>
      </c>
      <c r="H74" s="24">
        <f t="shared" si="7"/>
        <v>26.47058823529412</v>
      </c>
    </row>
    <row r="75" spans="2:8" ht="14.25" customHeight="1" x14ac:dyDescent="0.3">
      <c r="B75" s="26" t="s">
        <v>25</v>
      </c>
      <c r="C75" s="26" t="s">
        <v>58</v>
      </c>
      <c r="D75" s="27">
        <v>45</v>
      </c>
      <c r="E75" s="26" t="s">
        <v>47</v>
      </c>
      <c r="F75" s="27">
        <f>+H66</f>
        <v>242.30769230769229</v>
      </c>
      <c r="G75" s="28">
        <f>+F75/SUM(F74:F75)</f>
        <v>0.41176470588235292</v>
      </c>
      <c r="H75" s="27">
        <f t="shared" si="7"/>
        <v>18.52941176470588</v>
      </c>
    </row>
    <row r="76" spans="2:8" ht="14.25" customHeight="1" x14ac:dyDescent="0.3">
      <c r="B76" s="26" t="s">
        <v>49</v>
      </c>
      <c r="C76" s="26" t="s">
        <v>53</v>
      </c>
      <c r="D76" s="27">
        <v>55</v>
      </c>
      <c r="E76" s="26" t="s">
        <v>50</v>
      </c>
      <c r="F76" s="27">
        <f>+H67</f>
        <v>750</v>
      </c>
      <c r="G76" s="28">
        <v>1</v>
      </c>
      <c r="H76" s="27">
        <f t="shared" si="7"/>
        <v>55</v>
      </c>
    </row>
    <row r="77" spans="2:8" ht="14.25" customHeight="1" x14ac:dyDescent="0.3">
      <c r="B77" s="29"/>
      <c r="C77" s="29"/>
      <c r="D77" s="16">
        <f>+D72+D74+D76</f>
        <v>120</v>
      </c>
      <c r="E77" s="29"/>
      <c r="F77" s="16">
        <f>+SUM(F72:F76)</f>
        <v>1600</v>
      </c>
      <c r="G77" s="31"/>
      <c r="H77" s="16">
        <f>+SUM(H72:H76)</f>
        <v>120</v>
      </c>
    </row>
    <row r="78" spans="2:8" ht="14.25" customHeight="1" x14ac:dyDescent="0.3">
      <c r="H78" s="16"/>
    </row>
    <row r="79" spans="2:8" ht="14.25" customHeight="1" x14ac:dyDescent="0.3">
      <c r="B79" s="66" t="s">
        <v>55</v>
      </c>
      <c r="C79" s="8" t="s">
        <v>60</v>
      </c>
      <c r="D79" s="8" t="s">
        <v>54</v>
      </c>
      <c r="E79" s="8" t="s">
        <v>37</v>
      </c>
      <c r="F79" s="8" t="s">
        <v>38</v>
      </c>
    </row>
    <row r="80" spans="2:8" ht="14.25" customHeight="1" x14ac:dyDescent="0.3">
      <c r="B80" s="66"/>
      <c r="C80" s="17" t="str">
        <f>+CONCATENATE(D80,"_",E80)</f>
        <v>E_BA4</v>
      </c>
      <c r="D80" s="17" t="s">
        <v>46</v>
      </c>
      <c r="E80" s="17" t="s">
        <v>8</v>
      </c>
      <c r="F80" s="18">
        <f>+H72</f>
        <v>11.764705882352942</v>
      </c>
    </row>
    <row r="81" spans="2:6" ht="14.25" customHeight="1" x14ac:dyDescent="0.3">
      <c r="B81" s="66"/>
      <c r="C81" s="21" t="str">
        <f t="shared" ref="C81:C84" si="8">+CONCATENATE(D81,"_",E81)</f>
        <v>E_BA7</v>
      </c>
      <c r="D81" s="21" t="s">
        <v>46</v>
      </c>
      <c r="E81" s="21" t="s">
        <v>58</v>
      </c>
      <c r="F81" s="22">
        <f>+H74</f>
        <v>26.47058823529412</v>
      </c>
    </row>
    <row r="82" spans="2:6" ht="14.25" customHeight="1" x14ac:dyDescent="0.3">
      <c r="B82" s="66"/>
      <c r="C82" s="17" t="str">
        <f t="shared" si="8"/>
        <v>F_BA4</v>
      </c>
      <c r="D82" s="17" t="s">
        <v>47</v>
      </c>
      <c r="E82" s="17" t="s">
        <v>8</v>
      </c>
      <c r="F82" s="18">
        <f>+H73</f>
        <v>8.235294117647058</v>
      </c>
    </row>
    <row r="83" spans="2:6" ht="14.25" customHeight="1" x14ac:dyDescent="0.3">
      <c r="B83" s="66"/>
      <c r="C83" s="21" t="str">
        <f t="shared" si="8"/>
        <v>F_BA7</v>
      </c>
      <c r="D83" s="21" t="s">
        <v>47</v>
      </c>
      <c r="E83" s="21" t="s">
        <v>58</v>
      </c>
      <c r="F83" s="22">
        <f>+H75</f>
        <v>18.52941176470588</v>
      </c>
    </row>
    <row r="84" spans="2:6" ht="14.25" customHeight="1" x14ac:dyDescent="0.3">
      <c r="B84" s="66"/>
      <c r="C84" s="9" t="str">
        <f t="shared" si="8"/>
        <v>S_BA7</v>
      </c>
      <c r="D84" s="9" t="s">
        <v>50</v>
      </c>
      <c r="E84" s="9" t="s">
        <v>58</v>
      </c>
      <c r="F84" s="12">
        <f>+H76</f>
        <v>55</v>
      </c>
    </row>
    <row r="85" spans="2:6" ht="14.25" customHeight="1" x14ac:dyDescent="0.3">
      <c r="F85" s="16">
        <f>+SUM(F80:F84)</f>
        <v>120</v>
      </c>
    </row>
    <row r="86" spans="2:6" ht="14.25" customHeight="1" x14ac:dyDescent="0.3"/>
    <row r="87" spans="2:6" ht="14.25" hidden="1" customHeight="1" x14ac:dyDescent="0.3"/>
    <row r="88" spans="2:6" ht="14.25" hidden="1" customHeight="1" x14ac:dyDescent="0.3"/>
    <row r="89" spans="2:6" ht="14.25" hidden="1" customHeight="1" x14ac:dyDescent="0.3"/>
    <row r="90" spans="2:6" ht="14.25" hidden="1" customHeight="1" x14ac:dyDescent="0.3"/>
    <row r="91" spans="2:6" ht="14.25" hidden="1" customHeight="1" x14ac:dyDescent="0.3"/>
    <row r="92" spans="2:6" ht="14.25" hidden="1" customHeight="1" x14ac:dyDescent="0.3"/>
    <row r="93" spans="2:6" ht="14.25" hidden="1" customHeight="1" x14ac:dyDescent="0.3"/>
    <row r="94" spans="2:6" ht="14.25" hidden="1" customHeight="1" x14ac:dyDescent="0.3"/>
    <row r="95" spans="2:6" ht="14.25" hidden="1" customHeight="1" x14ac:dyDescent="0.3"/>
    <row r="96" spans="2:6" ht="14.25" hidden="1" customHeight="1" x14ac:dyDescent="0.3"/>
    <row r="97" ht="14.25" hidden="1" customHeight="1" x14ac:dyDescent="0.3"/>
    <row r="98" ht="14.25" hidden="1" customHeight="1" x14ac:dyDescent="0.3"/>
    <row r="99" ht="14.25" hidden="1" customHeight="1" x14ac:dyDescent="0.3"/>
    <row r="100" ht="14.25" hidden="1" customHeight="1" x14ac:dyDescent="0.3"/>
    <row r="101" ht="14.25" hidden="1" customHeight="1" x14ac:dyDescent="0.3"/>
    <row r="102" ht="14.25" hidden="1" customHeight="1" x14ac:dyDescent="0.3"/>
    <row r="103" ht="14.25" hidden="1" customHeight="1" x14ac:dyDescent="0.3"/>
    <row r="104" ht="14.25" hidden="1" customHeight="1" x14ac:dyDescent="0.3"/>
    <row r="105" ht="14.25" hidden="1" customHeight="1" x14ac:dyDescent="0.3"/>
    <row r="106" ht="14.25" hidden="1" customHeight="1" x14ac:dyDescent="0.3"/>
    <row r="107" ht="14.25" hidden="1" customHeight="1" x14ac:dyDescent="0.3"/>
    <row r="108" ht="14.25" hidden="1" customHeight="1" x14ac:dyDescent="0.3"/>
    <row r="109" ht="14.25" hidden="1" customHeight="1" x14ac:dyDescent="0.3"/>
    <row r="110" ht="14.25" hidden="1" customHeight="1" x14ac:dyDescent="0.3"/>
    <row r="111" ht="14.25" hidden="1" customHeight="1" x14ac:dyDescent="0.3"/>
    <row r="112" ht="14.25" hidden="1" customHeight="1" x14ac:dyDescent="0.3"/>
    <row r="113" ht="14.25" hidden="1" customHeight="1" x14ac:dyDescent="0.3"/>
    <row r="114" ht="14.25" hidden="1" customHeight="1" x14ac:dyDescent="0.3"/>
    <row r="115" ht="14.25" hidden="1" customHeight="1" x14ac:dyDescent="0.3"/>
    <row r="116" ht="14.25" hidden="1" customHeight="1" x14ac:dyDescent="0.3"/>
    <row r="117" ht="14.25" hidden="1" customHeight="1" x14ac:dyDescent="0.3"/>
    <row r="118" ht="14.25" hidden="1" customHeight="1" x14ac:dyDescent="0.3"/>
    <row r="119" ht="14.25" hidden="1" customHeight="1" x14ac:dyDescent="0.3"/>
    <row r="120" ht="14.25" hidden="1" customHeight="1" x14ac:dyDescent="0.3"/>
    <row r="121" ht="14.25" hidden="1" customHeight="1" x14ac:dyDescent="0.3"/>
    <row r="122" ht="14.25" hidden="1" customHeight="1" x14ac:dyDescent="0.3"/>
    <row r="123" ht="14.25" hidden="1" customHeight="1" x14ac:dyDescent="0.3"/>
    <row r="124" ht="14.25" hidden="1" customHeight="1" x14ac:dyDescent="0.3"/>
    <row r="125" ht="14.25" hidden="1" customHeight="1" x14ac:dyDescent="0.3"/>
    <row r="126" ht="14.25" hidden="1" customHeight="1" x14ac:dyDescent="0.3"/>
    <row r="127" ht="14.25" hidden="1" customHeight="1" x14ac:dyDescent="0.3"/>
    <row r="128" ht="14.25" hidden="1" customHeight="1" x14ac:dyDescent="0.3"/>
    <row r="129" ht="14.25" hidden="1" customHeight="1" x14ac:dyDescent="0.3"/>
    <row r="130" ht="14.25" hidden="1" customHeight="1" x14ac:dyDescent="0.3"/>
    <row r="131" ht="14.25" hidden="1" customHeight="1" x14ac:dyDescent="0.3"/>
    <row r="132" ht="14.25" hidden="1" customHeight="1" x14ac:dyDescent="0.3"/>
    <row r="133" ht="14.25" hidden="1" customHeight="1" x14ac:dyDescent="0.3"/>
    <row r="134" ht="14.25" hidden="1" customHeight="1" x14ac:dyDescent="0.3"/>
    <row r="135" ht="14.25" hidden="1" customHeight="1" x14ac:dyDescent="0.3"/>
    <row r="136" ht="14.25" hidden="1" customHeight="1" x14ac:dyDescent="0.3"/>
    <row r="137" ht="14.25" hidden="1" customHeight="1" x14ac:dyDescent="0.3"/>
    <row r="138" ht="14.25" hidden="1" customHeight="1" x14ac:dyDescent="0.3"/>
    <row r="139" ht="14.25" hidden="1" customHeight="1" x14ac:dyDescent="0.3"/>
    <row r="140" ht="14.25" hidden="1" customHeight="1" x14ac:dyDescent="0.3"/>
    <row r="141" ht="14.25" hidden="1" customHeight="1" x14ac:dyDescent="0.3"/>
    <row r="142" ht="14.25" hidden="1" customHeight="1" x14ac:dyDescent="0.3"/>
  </sheetData>
  <mergeCells count="6">
    <mergeCell ref="B79:B84"/>
    <mergeCell ref="B17:H17"/>
    <mergeCell ref="B26:B31"/>
    <mergeCell ref="B44:H44"/>
    <mergeCell ref="B53:B58"/>
    <mergeCell ref="B70:H70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D2EA-4CC9-490F-9D94-08BE08C11E7B}">
  <dimension ref="B3:L15"/>
  <sheetViews>
    <sheetView workbookViewId="0">
      <selection activeCell="H21" sqref="H21"/>
    </sheetView>
  </sheetViews>
  <sheetFormatPr defaultRowHeight="14.4" x14ac:dyDescent="0.3"/>
  <cols>
    <col min="2" max="2" width="10.77734375" bestFit="1" customWidth="1"/>
    <col min="3" max="3" width="12" bestFit="1" customWidth="1"/>
    <col min="4" max="4" width="9.77734375" bestFit="1" customWidth="1"/>
    <col min="5" max="5" width="12.6640625" bestFit="1" customWidth="1"/>
    <col min="6" max="6" width="12.5546875" bestFit="1" customWidth="1"/>
    <col min="7" max="7" width="14.44140625" bestFit="1" customWidth="1"/>
    <col min="8" max="8" width="20.33203125" bestFit="1" customWidth="1"/>
    <col min="10" max="10" width="12.88671875" bestFit="1" customWidth="1"/>
    <col min="11" max="11" width="12" bestFit="1" customWidth="1"/>
    <col min="12" max="12" width="20.33203125" bestFit="1" customWidth="1"/>
  </cols>
  <sheetData>
    <row r="3" spans="2:12" x14ac:dyDescent="0.3">
      <c r="B3" s="5" t="s">
        <v>44</v>
      </c>
      <c r="C3" s="5" t="s">
        <v>51</v>
      </c>
      <c r="D3" s="5" t="s">
        <v>38</v>
      </c>
      <c r="E3" s="5" t="s">
        <v>62</v>
      </c>
      <c r="F3" s="5" t="s">
        <v>63</v>
      </c>
      <c r="G3" s="5" t="s">
        <v>64</v>
      </c>
      <c r="H3" s="5" t="s">
        <v>45</v>
      </c>
    </row>
    <row r="4" spans="2:12" x14ac:dyDescent="0.3">
      <c r="B4" s="40" t="s">
        <v>25</v>
      </c>
      <c r="C4" s="40" t="s">
        <v>8</v>
      </c>
      <c r="D4" s="41">
        <v>20</v>
      </c>
      <c r="E4" s="40" t="s">
        <v>46</v>
      </c>
      <c r="F4" s="41">
        <v>500</v>
      </c>
      <c r="G4" s="42">
        <v>0.58823529411764708</v>
      </c>
      <c r="H4" s="41">
        <v>11.764705882352942</v>
      </c>
    </row>
    <row r="5" spans="2:12" x14ac:dyDescent="0.3">
      <c r="B5" s="43" t="s">
        <v>25</v>
      </c>
      <c r="C5" s="43" t="s">
        <v>8</v>
      </c>
      <c r="D5" s="44">
        <v>20</v>
      </c>
      <c r="E5" s="43" t="s">
        <v>47</v>
      </c>
      <c r="F5" s="44">
        <v>350</v>
      </c>
      <c r="G5" s="45">
        <v>0.41176470588235292</v>
      </c>
      <c r="H5" s="44">
        <v>8.235294117647058</v>
      </c>
    </row>
    <row r="6" spans="2:12" x14ac:dyDescent="0.3">
      <c r="B6" s="40" t="s">
        <v>48</v>
      </c>
      <c r="C6" s="40" t="s">
        <v>52</v>
      </c>
      <c r="D6" s="41">
        <v>45</v>
      </c>
      <c r="E6" s="40" t="s">
        <v>46</v>
      </c>
      <c r="F6" s="41">
        <v>500</v>
      </c>
      <c r="G6" s="42">
        <v>0.4</v>
      </c>
      <c r="H6" s="41">
        <v>18</v>
      </c>
    </row>
    <row r="7" spans="2:12" x14ac:dyDescent="0.3">
      <c r="B7" s="43" t="s">
        <v>48</v>
      </c>
      <c r="C7" s="43" t="s">
        <v>52</v>
      </c>
      <c r="D7" s="44">
        <v>45</v>
      </c>
      <c r="E7" s="43" t="s">
        <v>50</v>
      </c>
      <c r="F7" s="44">
        <v>750</v>
      </c>
      <c r="G7" s="45">
        <v>0.6</v>
      </c>
      <c r="H7" s="44">
        <v>27</v>
      </c>
    </row>
    <row r="8" spans="2:12" x14ac:dyDescent="0.3">
      <c r="B8" s="46" t="s">
        <v>49</v>
      </c>
      <c r="C8" s="46" t="s">
        <v>53</v>
      </c>
      <c r="D8" s="47">
        <v>55</v>
      </c>
      <c r="E8" s="46" t="s">
        <v>46</v>
      </c>
      <c r="F8" s="47">
        <v>500</v>
      </c>
      <c r="G8" s="48">
        <v>1</v>
      </c>
      <c r="H8" s="47">
        <v>55</v>
      </c>
    </row>
    <row r="10" spans="2:12" x14ac:dyDescent="0.3">
      <c r="B10" s="50" t="s">
        <v>68</v>
      </c>
      <c r="C10" s="50" t="s">
        <v>73</v>
      </c>
      <c r="D10" s="50" t="s">
        <v>71</v>
      </c>
      <c r="E10" s="53" t="s">
        <v>69</v>
      </c>
      <c r="F10" s="54" t="s">
        <v>70</v>
      </c>
      <c r="G10" s="53" t="s">
        <v>64</v>
      </c>
      <c r="H10" s="53" t="s">
        <v>72</v>
      </c>
      <c r="J10" s="53" t="s">
        <v>74</v>
      </c>
      <c r="K10" s="53" t="s">
        <v>73</v>
      </c>
      <c r="L10" s="53" t="s">
        <v>72</v>
      </c>
    </row>
    <row r="11" spans="2:12" x14ac:dyDescent="0.3">
      <c r="B11" s="49" t="s">
        <v>25</v>
      </c>
      <c r="C11" s="49" t="s">
        <v>8</v>
      </c>
      <c r="D11" s="51">
        <v>20</v>
      </c>
      <c r="E11" s="49" t="s">
        <v>46</v>
      </c>
      <c r="F11" s="51">
        <v>500</v>
      </c>
      <c r="G11" s="52">
        <v>0.58823529411764708</v>
      </c>
      <c r="H11" s="51">
        <v>11.764705882352942</v>
      </c>
      <c r="J11" s="55" t="s">
        <v>46</v>
      </c>
      <c r="K11" s="49" t="s">
        <v>8</v>
      </c>
      <c r="L11" s="51">
        <v>11.764705882352942</v>
      </c>
    </row>
    <row r="12" spans="2:12" x14ac:dyDescent="0.3">
      <c r="B12" s="49" t="s">
        <v>25</v>
      </c>
      <c r="C12" s="49" t="s">
        <v>8</v>
      </c>
      <c r="D12" s="51">
        <v>20</v>
      </c>
      <c r="E12" s="49" t="s">
        <v>47</v>
      </c>
      <c r="F12" s="51">
        <v>350</v>
      </c>
      <c r="G12" s="52">
        <v>0.41176470588235292</v>
      </c>
      <c r="H12" s="51">
        <v>8.235294117647058</v>
      </c>
      <c r="J12" s="55" t="s">
        <v>46</v>
      </c>
      <c r="K12" s="49" t="s">
        <v>52</v>
      </c>
      <c r="L12" s="51">
        <v>18</v>
      </c>
    </row>
    <row r="13" spans="2:12" x14ac:dyDescent="0.3">
      <c r="B13" s="49" t="s">
        <v>48</v>
      </c>
      <c r="C13" s="49" t="s">
        <v>52</v>
      </c>
      <c r="D13" s="51">
        <v>45</v>
      </c>
      <c r="E13" s="49" t="s">
        <v>46</v>
      </c>
      <c r="F13" s="51">
        <v>500</v>
      </c>
      <c r="G13" s="52">
        <v>0.4</v>
      </c>
      <c r="H13" s="51">
        <v>18</v>
      </c>
      <c r="J13" s="55" t="s">
        <v>46</v>
      </c>
      <c r="K13" s="49" t="s">
        <v>53</v>
      </c>
      <c r="L13" s="51">
        <v>55</v>
      </c>
    </row>
    <row r="14" spans="2:12" x14ac:dyDescent="0.3">
      <c r="B14" s="49" t="s">
        <v>48</v>
      </c>
      <c r="C14" s="49" t="s">
        <v>52</v>
      </c>
      <c r="D14" s="51">
        <v>45</v>
      </c>
      <c r="E14" s="49" t="s">
        <v>50</v>
      </c>
      <c r="F14" s="51">
        <v>750</v>
      </c>
      <c r="G14" s="52">
        <v>0.6</v>
      </c>
      <c r="H14" s="51">
        <v>27</v>
      </c>
      <c r="J14" s="55" t="s">
        <v>47</v>
      </c>
      <c r="K14" s="49" t="s">
        <v>8</v>
      </c>
      <c r="L14" s="51">
        <v>8.235294117647058</v>
      </c>
    </row>
    <row r="15" spans="2:12" x14ac:dyDescent="0.3">
      <c r="B15" s="49" t="s">
        <v>49</v>
      </c>
      <c r="C15" s="49" t="s">
        <v>53</v>
      </c>
      <c r="D15" s="51">
        <v>55</v>
      </c>
      <c r="E15" s="49" t="s">
        <v>46</v>
      </c>
      <c r="F15" s="51">
        <v>500</v>
      </c>
      <c r="G15" s="52">
        <v>1</v>
      </c>
      <c r="H15" s="51">
        <v>55</v>
      </c>
      <c r="J15" s="55" t="s">
        <v>50</v>
      </c>
      <c r="K15" s="49" t="s">
        <v>52</v>
      </c>
      <c r="L15" s="51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CEA9F6-94A7-43A4-BE95-D6D62ED6F2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E2134C-F844-4521-8D14-19BDCCE6A6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06DB8C-2C04-4413-BB2F-166578CAF157}">
  <ds:schemaRefs>
    <ds:schemaRef ds:uri="http://purl.org/dc/dcmitype/"/>
    <ds:schemaRef ds:uri="0683c779-04fc-4b63-89c9-6c25ffa1c0a4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6ea7b29d-57ec-408d-9ea9-cf73b04f66d5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EX_1</vt:lpstr>
      <vt:lpstr>EX_2</vt:lpstr>
      <vt:lpstr>EX_3</vt:lpstr>
      <vt:lpstr>Tradutor</vt:lpstr>
      <vt:lpstr>Sheet3</vt:lpstr>
      <vt:lpstr>Tradutor_v2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Ana Filipa Silva Carreira</cp:lastModifiedBy>
  <dcterms:created xsi:type="dcterms:W3CDTF">2024-11-26T21:50:48Z</dcterms:created>
  <dcterms:modified xsi:type="dcterms:W3CDTF">2025-06-30T14:14:40Z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2024-11-26T23:05:45Z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5d01903e-c1d8-44a6-9165-811f5db8c7c9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