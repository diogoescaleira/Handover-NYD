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2749" documentId="8_{09454E78-597A-4084-8C48-74B35F639022}" xr6:coauthVersionLast="47" xr6:coauthVersionMax="47" xr10:uidLastSave="{FB47F612-8DDD-414A-9E4C-5AD39B568BA2}"/>
  <bookViews>
    <workbookView xWindow="-108" yWindow="-108" windowWidth="23256" windowHeight="12456" firstSheet="2" activeTab="4" xr2:uid="{EA0C69EA-69EA-46C7-9371-21A2A99C8DEE}"/>
  </bookViews>
  <sheets>
    <sheet name="Capa" sheetId="20" r:id="rId1"/>
    <sheet name="Pressupostos" sheetId="8" r:id="rId2"/>
    <sheet name="Overview - Emissões Dez24 " sheetId="2" r:id="rId3"/>
    <sheet name="Analises &gt;&gt;" sheetId="21" r:id="rId4"/>
    <sheet name="1. EPC - Commercial Real Estate" sheetId="4" r:id="rId5"/>
    <sheet name="2. EPC - Mortgages Loans" sheetId="5" r:id="rId6"/>
    <sheet name="3. Área" sheetId="10" r:id="rId7"/>
    <sheet name="4. Finalidade" sheetId="14" r:id="rId8"/>
    <sheet name="5. CCAE" sheetId="29" r:id="rId9"/>
  </sheets>
  <definedNames>
    <definedName name="_xlnm._FilterDatabase" localSheetId="8" hidden="1">'5. CCAE'!$B$7:$D$477</definedName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C33" i="2"/>
  <c r="I17" i="2"/>
  <c r="E48" i="5"/>
  <c r="C49" i="5"/>
  <c r="C47" i="5"/>
  <c r="C48" i="5"/>
  <c r="C48" i="4"/>
  <c r="C47" i="4"/>
  <c r="D58" i="4"/>
  <c r="D57" i="4"/>
  <c r="D56" i="4"/>
  <c r="E57" i="4"/>
  <c r="E56" i="4"/>
  <c r="C58" i="4"/>
  <c r="C57" i="4"/>
  <c r="C56" i="4"/>
  <c r="E49" i="4"/>
  <c r="E48" i="4"/>
  <c r="E47" i="4"/>
  <c r="D58" i="5"/>
  <c r="D57" i="5"/>
  <c r="D56" i="5"/>
  <c r="E58" i="5"/>
  <c r="E57" i="5"/>
  <c r="E56" i="5"/>
  <c r="C58" i="5"/>
  <c r="C57" i="5"/>
  <c r="C56" i="5"/>
  <c r="E49" i="5"/>
  <c r="E47" i="5"/>
  <c r="E20" i="5"/>
  <c r="D20" i="5"/>
  <c r="C20" i="5"/>
  <c r="H20" i="5"/>
  <c r="G20" i="5"/>
  <c r="F20" i="5"/>
  <c r="G18" i="5" s="1"/>
  <c r="G11" i="10"/>
  <c r="G16" i="10"/>
  <c r="G17" i="10"/>
  <c r="G18" i="10"/>
  <c r="G15" i="10"/>
  <c r="G14" i="10"/>
  <c r="G13" i="10"/>
  <c r="G12" i="10"/>
  <c r="G32" i="14"/>
  <c r="G44" i="14" s="1"/>
  <c r="E32" i="14"/>
  <c r="F32" i="14"/>
  <c r="F44" i="14" s="1"/>
  <c r="D32" i="14"/>
  <c r="G11" i="14"/>
  <c r="G25" i="14" s="1"/>
  <c r="F11" i="14"/>
  <c r="F25" i="14" s="1"/>
  <c r="E11" i="14"/>
  <c r="F17" i="2"/>
  <c r="H40" i="5"/>
  <c r="F40" i="5"/>
  <c r="G39" i="5" s="1"/>
  <c r="C20" i="4"/>
  <c r="E20" i="4"/>
  <c r="H20" i="4"/>
  <c r="F20" i="4"/>
  <c r="G19" i="4" s="1"/>
  <c r="H40" i="4"/>
  <c r="F40" i="4"/>
  <c r="G39" i="4" s="1"/>
  <c r="C40" i="4"/>
  <c r="D36" i="4" s="1"/>
  <c r="G21" i="2"/>
  <c r="G20" i="2"/>
  <c r="I22" i="2"/>
  <c r="I19" i="2"/>
  <c r="I21" i="2"/>
  <c r="I20" i="2"/>
  <c r="I18" i="2"/>
  <c r="I16" i="2"/>
  <c r="I15" i="2"/>
  <c r="I14" i="2"/>
  <c r="I13" i="2"/>
  <c r="I12" i="2"/>
  <c r="F39" i="2"/>
  <c r="F38" i="2"/>
  <c r="H15" i="10"/>
  <c r="F15" i="10"/>
  <c r="H39" i="2" s="1"/>
  <c r="H11" i="10"/>
  <c r="F11" i="10"/>
  <c r="H38" i="2" s="1"/>
  <c r="H19" i="2"/>
  <c r="H17" i="2"/>
  <c r="E39" i="2" s="1"/>
  <c r="F12" i="2"/>
  <c r="G13" i="2" s="1"/>
  <c r="G38" i="5" l="1"/>
  <c r="G12" i="5"/>
  <c r="G11" i="5"/>
  <c r="G14" i="5"/>
  <c r="G19" i="5"/>
  <c r="D38" i="4"/>
  <c r="D39" i="4"/>
  <c r="G38" i="4"/>
  <c r="G33" i="5"/>
  <c r="G34" i="5"/>
  <c r="G32" i="5"/>
  <c r="G35" i="5"/>
  <c r="G28" i="5"/>
  <c r="G36" i="5"/>
  <c r="G31" i="5"/>
  <c r="G29" i="5"/>
  <c r="G37" i="5"/>
  <c r="G30" i="5"/>
  <c r="E59" i="5"/>
  <c r="G13" i="5"/>
  <c r="G15" i="5"/>
  <c r="G16" i="5"/>
  <c r="G17" i="5"/>
  <c r="G18" i="2"/>
  <c r="G15" i="2"/>
  <c r="G16" i="2"/>
  <c r="G14" i="2"/>
  <c r="G36" i="4"/>
  <c r="G13" i="4"/>
  <c r="G18" i="4"/>
  <c r="G12" i="4"/>
  <c r="G14" i="4"/>
  <c r="G15" i="4"/>
  <c r="G16" i="4"/>
  <c r="G17" i="4"/>
  <c r="G11" i="4"/>
  <c r="G30" i="4"/>
  <c r="G34" i="4"/>
  <c r="G35" i="4"/>
  <c r="G32" i="4"/>
  <c r="G28" i="4"/>
  <c r="G37" i="4"/>
  <c r="G31" i="4"/>
  <c r="G33" i="4"/>
  <c r="G29" i="4"/>
  <c r="C38" i="2"/>
  <c r="C39" i="2"/>
  <c r="G39" i="2" s="1"/>
  <c r="F19" i="10"/>
  <c r="H19" i="10"/>
  <c r="F23" i="2"/>
  <c r="G12" i="2" s="1"/>
  <c r="G19" i="2" l="1"/>
  <c r="G17" i="2"/>
  <c r="G22" i="2"/>
  <c r="G20" i="4"/>
  <c r="G40" i="4"/>
  <c r="H12" i="2" l="1"/>
  <c r="H23" i="2" l="1"/>
  <c r="E38" i="2"/>
  <c r="C40" i="2"/>
  <c r="I23" i="2"/>
  <c r="D11" i="14"/>
  <c r="D25" i="14" s="1"/>
  <c r="D44" i="14"/>
  <c r="E25" i="14"/>
  <c r="C49" i="4"/>
  <c r="C40" i="5"/>
  <c r="D33" i="4"/>
  <c r="D15" i="4"/>
  <c r="E40" i="4"/>
  <c r="E40" i="5"/>
  <c r="E31" i="2"/>
  <c r="C17" i="2"/>
  <c r="D18" i="2" s="1"/>
  <c r="E12" i="2"/>
  <c r="C12" i="2"/>
  <c r="E15" i="10"/>
  <c r="F31" i="2" s="1"/>
  <c r="C15" i="10"/>
  <c r="C11" i="10"/>
  <c r="B18" i="20"/>
  <c r="H31" i="2"/>
  <c r="H30" i="2"/>
  <c r="E11" i="10"/>
  <c r="F30" i="2" s="1"/>
  <c r="D21" i="2"/>
  <c r="D20" i="2"/>
  <c r="D38" i="5" l="1"/>
  <c r="E59" i="4"/>
  <c r="D30" i="5"/>
  <c r="E50" i="4"/>
  <c r="D13" i="2"/>
  <c r="C30" i="2"/>
  <c r="E23" i="2"/>
  <c r="E30" i="2"/>
  <c r="G30" i="2" s="1"/>
  <c r="G38" i="2"/>
  <c r="E40" i="2"/>
  <c r="D14" i="10"/>
  <c r="D17" i="10"/>
  <c r="C31" i="2"/>
  <c r="G31" i="2" s="1"/>
  <c r="E50" i="5"/>
  <c r="D11" i="5"/>
  <c r="D18" i="5"/>
  <c r="D17" i="5"/>
  <c r="D15" i="5"/>
  <c r="D13" i="5"/>
  <c r="D16" i="5"/>
  <c r="D14" i="5"/>
  <c r="D12" i="5"/>
  <c r="D35" i="4"/>
  <c r="D16" i="2"/>
  <c r="D15" i="2"/>
  <c r="D14" i="2"/>
  <c r="C23" i="2"/>
  <c r="D18" i="10"/>
  <c r="D37" i="5"/>
  <c r="D33" i="5"/>
  <c r="D34" i="5"/>
  <c r="D31" i="5"/>
  <c r="D32" i="5"/>
  <c r="D32" i="4"/>
  <c r="D31" i="4"/>
  <c r="D16" i="4"/>
  <c r="D35" i="5"/>
  <c r="D28" i="5"/>
  <c r="D36" i="5"/>
  <c r="D29" i="5"/>
  <c r="D39" i="5"/>
  <c r="D11" i="4"/>
  <c r="D12" i="4"/>
  <c r="D28" i="4"/>
  <c r="D17" i="4"/>
  <c r="D18" i="4"/>
  <c r="D34" i="4"/>
  <c r="D13" i="4"/>
  <c r="D14" i="4"/>
  <c r="D29" i="4"/>
  <c r="D37" i="4"/>
  <c r="D30" i="4"/>
  <c r="D13" i="10"/>
  <c r="C19" i="10"/>
  <c r="D16" i="10"/>
  <c r="D12" i="10"/>
  <c r="C50" i="5" l="1"/>
  <c r="C59" i="5"/>
  <c r="G40" i="5"/>
  <c r="C50" i="4"/>
  <c r="D20" i="4"/>
  <c r="E32" i="2"/>
  <c r="D11" i="10"/>
  <c r="C32" i="2"/>
  <c r="D40" i="4"/>
  <c r="D40" i="5"/>
  <c r="D19" i="2"/>
  <c r="D22" i="2"/>
  <c r="D12" i="2"/>
  <c r="D17" i="2"/>
  <c r="D15" i="10"/>
  <c r="D48" i="5" l="1"/>
  <c r="D47" i="5"/>
  <c r="D49" i="5"/>
  <c r="D47" i="4"/>
  <c r="D49" i="4"/>
  <c r="D48" i="4"/>
  <c r="D59" i="5"/>
  <c r="C59" i="4"/>
  <c r="D19" i="10"/>
  <c r="G23" i="2"/>
  <c r="G19" i="10"/>
  <c r="D23" i="2"/>
  <c r="E19" i="10"/>
  <c r="D50" i="5" l="1"/>
  <c r="D50" i="4"/>
  <c r="D59" i="4" l="1"/>
  <c r="E44" i="14"/>
</calcChain>
</file>

<file path=xl/sharedStrings.xml><?xml version="1.0" encoding="utf-8"?>
<sst xmlns="http://schemas.openxmlformats.org/spreadsheetml/2006/main" count="1238" uniqueCount="1065">
  <si>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</si>
  <si>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</si>
  <si>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</si>
  <si>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</si>
  <si>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</si>
  <si>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</si>
  <si>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</si>
  <si>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</si>
  <si>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</si>
  <si>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</si>
  <si>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</si>
  <si>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</si>
  <si>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</si>
  <si>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</si>
  <si>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</si>
  <si>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</si>
  <si>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</si>
  <si>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</si>
  <si>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</si>
  <si>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</si>
  <si>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</si>
  <si>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</si>
  <si>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</si>
  <si>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</si>
  <si>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</si>
  <si>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</si>
  <si>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</si>
  <si>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</si>
  <si>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</si>
  <si>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</si>
  <si>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</si>
  <si>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</si>
  <si>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</si>
  <si>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</si>
  <si>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</si>
  <si>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</si>
  <si>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</si>
  <si>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</si>
  <si>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</si>
  <si>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</si>
  <si>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</si>
  <si>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</si>
  <si>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</si>
  <si>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</si>
  <si>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</si>
  <si>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</si>
  <si>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</si>
  <si>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</si>
  <si>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</si>
  <si>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</si>
  <si>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</si>
  <si>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</si>
  <si>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</si>
  <si>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</si>
  <si>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</si>
  <si>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</si>
  <si>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</si>
  <si>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</si>
  <si>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</si>
  <si>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</si>
  <si>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</si>
  <si>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</si>
  <si>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</si>
  <si>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</si>
  <si>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</si>
  <si>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</si>
  <si>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</si>
  <si>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</si>
  <si>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</si>
  <si>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</si>
  <si>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</si>
  <si>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</si>
  <si>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</si>
  <si>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Área Ponderada (m2)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</si>
  <si>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</si>
  <si>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</si>
  <si>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</si>
  <si>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</si>
  <si>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</si>
  <si>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</si>
  <si>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</si>
  <si>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</si>
  <si>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</si>
  <si>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</si>
  <si>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</si>
  <si>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</si>
  <si>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</si>
  <si>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</si>
  <si>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</si>
  <si>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</si>
  <si>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</si>
  <si>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</si>
  <si>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</si>
  <si>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</si>
  <si>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</si>
  <si>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</si>
  <si>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</si>
  <si>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</si>
  <si>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</si>
  <si>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</si>
  <si>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</si>
  <si>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r>
      <rPr>
        <b/>
        <i/>
        <sz val="10"/>
        <color theme="0"/>
        <rFont val="Arial"/>
        <family val="2"/>
      </rPr>
      <t>Physical Emission Intensity</t>
    </r>
    <r>
      <rPr>
        <b/>
        <sz val="10"/>
        <color theme="0"/>
        <rFont val="Arial"/>
        <family val="2"/>
      </rPr>
      <t xml:space="preserve"> (kgCO2e/m2)</t>
    </r>
  </si>
  <si>
    <t xml:space="preserve">Fora de âmbito </t>
  </si>
  <si>
    <t>Sem EPC</t>
  </si>
  <si>
    <t xml:space="preserve">Sem EPC </t>
  </si>
  <si>
    <t>ccae</t>
  </si>
  <si>
    <t>23312</t>
  </si>
  <si>
    <t>FABRICACAO DE LADRILHOS, MOSAICOS E PLACAS DE CERAMICA</t>
  </si>
  <si>
    <t>56302</t>
  </si>
  <si>
    <t>BARES</t>
  </si>
  <si>
    <t>72200</t>
  </si>
  <si>
    <t>INVESTIGACAO E DESENV. CIENCIAS SOCIAIS E HUMANAS</t>
  </si>
  <si>
    <t>55121</t>
  </si>
  <si>
    <t>HOTEIS SEM RESTAURANTE</t>
  </si>
  <si>
    <t>79900</t>
  </si>
  <si>
    <t>OUTROS SERVICOS DE RESERVAS E ACTIVIDADES RELACIONADAS</t>
  </si>
  <si>
    <t>94910</t>
  </si>
  <si>
    <t>ACTIVIDADES DE ORGANIZACOES RELIGIOSAS</t>
  </si>
  <si>
    <t>46320</t>
  </si>
  <si>
    <t>COMERCIO POR GROSSO DE CARNE E PRODUTOS A BASE DE CARNE</t>
  </si>
  <si>
    <t>85201</t>
  </si>
  <si>
    <t>ENSINO BASICO (1.  CICLO)</t>
  </si>
  <si>
    <t>49410</t>
  </si>
  <si>
    <t>TRANSPORTES RODOVIARIOS DE MERCADORIAS</t>
  </si>
  <si>
    <t>47191</t>
  </si>
  <si>
    <t>COM.RET.NAO ESPECIAL.,SEM PREDOMIN.PROD.ALIMENT.,BEBIDAS,TABACO,GR.ARM. E SIMIL.</t>
  </si>
  <si>
    <t>46422</t>
  </si>
  <si>
    <t>COMERCIO POR GROSSO DE CALCADO</t>
  </si>
  <si>
    <t>46331</t>
  </si>
  <si>
    <t>COMERCIO POR GROSSO DE LEITE, SEUS DERIVADOS E OVOS</t>
  </si>
  <si>
    <t>58140</t>
  </si>
  <si>
    <t>EDICAO DE REVISTAS E DE OUTRAS PUBLICACOES PERIODICAS</t>
  </si>
  <si>
    <t>16240</t>
  </si>
  <si>
    <t>FABRICACAO DE EMBALAGENS DE MADEIRA</t>
  </si>
  <si>
    <t>30111</t>
  </si>
  <si>
    <t>CONSTRUCAO EMBARCACOES METAL. E ESTRUTURAS FLUTUANTES, EXCEPTO RECREIO E DESP.</t>
  </si>
  <si>
    <t>55112</t>
  </si>
  <si>
    <t>PENSOES COM RESTAURANTE</t>
  </si>
  <si>
    <t>45310</t>
  </si>
  <si>
    <t>COMERCIO POR GROSSO DE PECAS E ACESSORIOS PARA VEICULOS AUTOMOVEIS</t>
  </si>
  <si>
    <t>64202</t>
  </si>
  <si>
    <t>ACTIVIDADES DAS SOCIEDADES GESTORAS DE PARTICIPACOES SOCIAIS NAO FINANCEIRAS</t>
  </si>
  <si>
    <t>47112</t>
  </si>
  <si>
    <t>COM.RETALHO OUT.ESTAB.NAO ESPECIAL., PREDOMIN.PROD.ALIMENTARES,BEDIDAS OU TABACO</t>
  </si>
  <si>
    <t>24420</t>
  </si>
  <si>
    <t>OBTENCAO E PRIMEIRA TRANSFORMACAO DE ALUMINIO</t>
  </si>
  <si>
    <t>55124</t>
  </si>
  <si>
    <t>OUTROS ESTABELECIMENTOS HOTELEIROS SEM RESTAURANTE</t>
  </si>
  <si>
    <t>62020</t>
  </si>
  <si>
    <t>ACTIVIDADES DE CONSULTORIA EM INFORMATICA</t>
  </si>
  <si>
    <t>02200</t>
  </si>
  <si>
    <t>EXPLORACAO FLORESTAL</t>
  </si>
  <si>
    <t>66290</t>
  </si>
  <si>
    <t>OUTRAS ACTIVIDADES AUXILIARES DE SEGUROS E FUNDOS DE PENSOES</t>
  </si>
  <si>
    <t>45200</t>
  </si>
  <si>
    <t>MANUTENCAO E REPARACAO DE VEICULOS AUTOMOVEIS</t>
  </si>
  <si>
    <t>10110</t>
  </si>
  <si>
    <t>ABATE DE GADO (PRODUCAO DE CARNE)</t>
  </si>
  <si>
    <t>81300</t>
  </si>
  <si>
    <t>ACTIVIDADES DE PLANTACAO E MANUTENCAO DE JARDINS</t>
  </si>
  <si>
    <t>55202</t>
  </si>
  <si>
    <t>TURISMO NO ESPACO RURAL</t>
  </si>
  <si>
    <t>01210</t>
  </si>
  <si>
    <t>VITICULTURA</t>
  </si>
  <si>
    <t>43310</t>
  </si>
  <si>
    <t>ESTUCAGEM</t>
  </si>
  <si>
    <t>47610</t>
  </si>
  <si>
    <t>COMERCIO A RETALHO DE LIVROS, EM ESTABELECIMENTOS ESPECIALIZADOS</t>
  </si>
  <si>
    <t>10394</t>
  </si>
  <si>
    <t>DESCASQUE E TRANSFORMACAO DE FRUTOS DE CASCA RIJA COMESTIVEIS</t>
  </si>
  <si>
    <t>81210</t>
  </si>
  <si>
    <t>ACTIVIDADES DE LIMPEZA GERAL EM EDIFICIOS</t>
  </si>
  <si>
    <t>33200</t>
  </si>
  <si>
    <t>INSTALACAO DE MAQUINAS E DE EQUIPAMENTOS INDUSTRIAIS</t>
  </si>
  <si>
    <t>73120</t>
  </si>
  <si>
    <t>ACTIVIDADES DE REPRESENTACAO NOS MEIOS DE COMUNICACAO</t>
  </si>
  <si>
    <t>01111</t>
  </si>
  <si>
    <t>CEREALICULTURA (EXCEPTO ARROZ)</t>
  </si>
  <si>
    <t>01230</t>
  </si>
  <si>
    <t>CULTURA DE CITRINOS</t>
  </si>
  <si>
    <t>01460</t>
  </si>
  <si>
    <t>SUINICULTURA</t>
  </si>
  <si>
    <t>33150</t>
  </si>
  <si>
    <t>REPARACAO E MANUTENCAO DE EMBARCACOES</t>
  </si>
  <si>
    <t>47540</t>
  </si>
  <si>
    <t>COMERCIO A RETALHO DE ELECTRODOMESTICOS, EM ESTABELECIMENTOS ESPECIALIZADOS</t>
  </si>
  <si>
    <t>15120</t>
  </si>
  <si>
    <t>FABRICACAO DE ARTIGOS DE VIAGEM, USO PESSOAL, MARROQUINARIA, CORREEIRO E SELEIRO</t>
  </si>
  <si>
    <t>14110</t>
  </si>
  <si>
    <t>CONFECCAO DE VESTUARIO EM COURO</t>
  </si>
  <si>
    <t>13302</t>
  </si>
  <si>
    <t>ESTAMPAGEM</t>
  </si>
  <si>
    <t>46460</t>
  </si>
  <si>
    <t>COMERCIO POR GROSSO DE PRODUTOS FARMACEUTICOS</t>
  </si>
  <si>
    <t>43330</t>
  </si>
  <si>
    <t>REVESTIMENTO DE PAVIMENTOS E DE PAREDES</t>
  </si>
  <si>
    <t>94110</t>
  </si>
  <si>
    <t>ACTIVIDADES DE ORGANIZACOES ECONOMICAS E PATRONAIS</t>
  </si>
  <si>
    <t>28221</t>
  </si>
  <si>
    <t>FABRICACAO DE ASCENSORES E MONTA CARGAS, ESCADAS E PASSADEIRAS ROLANTES</t>
  </si>
  <si>
    <t>55123</t>
  </si>
  <si>
    <t>APARTAMENTOS TURISTICOS SEM RESTAURANTE</t>
  </si>
  <si>
    <t>66220</t>
  </si>
  <si>
    <t>ACTIVIDADES DE MEDIADORES DE SEGUROS</t>
  </si>
  <si>
    <t>25734</t>
  </si>
  <si>
    <t>FABRICACAO DE MOLDES METALICOS</t>
  </si>
  <si>
    <t>63990</t>
  </si>
  <si>
    <t>OUTRAS ACTIVIDADES DOS SERVICOS DE INFORMACAO, N. E.</t>
  </si>
  <si>
    <t>46620</t>
  </si>
  <si>
    <t>COMERCIO POR GROSSO DE MAQUINA FERRAMENTAS</t>
  </si>
  <si>
    <t>61900</t>
  </si>
  <si>
    <t>OUTRAS ACTIVIDADES DE TELECOMUNICACOES</t>
  </si>
  <si>
    <t>46362</t>
  </si>
  <si>
    <t>COMERCIO POR GROSSO DE CHOCOLATE E DE PRODUTOS DE CONFEITARIA</t>
  </si>
  <si>
    <t>25110</t>
  </si>
  <si>
    <t>FABRICACAO DE ESTRUTURAS DE CONSTRUCOES METALICAS</t>
  </si>
  <si>
    <t>20420</t>
  </si>
  <si>
    <t>FABRICACAO DE PERFUMES, COSMETICOS E DE PROD. DE HIGIENE</t>
  </si>
  <si>
    <t>46690</t>
  </si>
  <si>
    <t>COMERCIO POR GROSSO DE OUTRAS MAQUINAS E EQUIPAMENTOS</t>
  </si>
  <si>
    <t>25932</t>
  </si>
  <si>
    <t>FABRICACAO DE MOLAS</t>
  </si>
  <si>
    <t>10720</t>
  </si>
  <si>
    <t>FABRICACAO DE BOLACHAS, BISCOITOS, TOSTAS E PASTELARIA DE CONSERVACAO</t>
  </si>
  <si>
    <t>47240</t>
  </si>
  <si>
    <t>COMERCIO A RETALHO PAO, PROD. PASTELARIA E CONFEITARIA, EM ESTAB. ESPECIALIZADOS</t>
  </si>
  <si>
    <t>64923</t>
  </si>
  <si>
    <t>OUTRAS ACTIVIDADES DE CREDITO, N. E.</t>
  </si>
  <si>
    <t>47784</t>
  </si>
  <si>
    <t>COMERCIO A RETALHO DE OUTROS PRODUTOS NOVOS, EM ESTAB. ESPECIALIZADOS, N.E.</t>
  </si>
  <si>
    <t>28992</t>
  </si>
  <si>
    <t>FABRICACAO DE OUTRAS MAQUINAS DIVERSAS PARA USO ESPECIFICO, N. E.</t>
  </si>
  <si>
    <t>46390</t>
  </si>
  <si>
    <t>COMERCIO POR GROSSO NAO ESPECIALIZADO DE PRODUTOS ALIMENTARES, BEBIDAS E TABACO</t>
  </si>
  <si>
    <t>23610</t>
  </si>
  <si>
    <t>FABRICACAO DE PRODUTOS DE BETAO PARA A CONSTRUCAO</t>
  </si>
  <si>
    <t>10310</t>
  </si>
  <si>
    <t>PREPARACAO E CONSERVACAO DE BATATAS</t>
  </si>
  <si>
    <t>93192</t>
  </si>
  <si>
    <t>OUTRAS ACTIVIDADES DESPORTIVAS, N. E.</t>
  </si>
  <si>
    <t>16291</t>
  </si>
  <si>
    <t>FABRICACAO DE OUTRAS OBRAS DE MADEIRA</t>
  </si>
  <si>
    <t>46720</t>
  </si>
  <si>
    <t>COMERCIO POR GROSSO DE MINERIOS E DE METAIS</t>
  </si>
  <si>
    <t>25732</t>
  </si>
  <si>
    <t>FABRICACAO DE FERRAMENTAS MECANICAS</t>
  </si>
  <si>
    <t>33190</t>
  </si>
  <si>
    <t>REPARACAO E MANUTENCAO DE OUTRO EQUIPAMENTO</t>
  </si>
  <si>
    <t>56303</t>
  </si>
  <si>
    <t>PASTELARIAS E CASAS DE CHA</t>
  </si>
  <si>
    <t>10412</t>
  </si>
  <si>
    <t>PRODUCAO DE AZEITE</t>
  </si>
  <si>
    <t>46712</t>
  </si>
  <si>
    <t>COMERCIO GROSSO COMBUST. SOLIDOS, LIQUIDOS E GASOSOS, NAO DERIVADOS DO PETROLEO</t>
  </si>
  <si>
    <t>81291</t>
  </si>
  <si>
    <t>ACTIVIDADES DE DESINFECCAO, DESRATIZACAO E SIMILARES</t>
  </si>
  <si>
    <t>93210</t>
  </si>
  <si>
    <t>ACTIVIDADES DOS PARQUES DE DIVERSAO E TEMATICOS</t>
  </si>
  <si>
    <t>03210</t>
  </si>
  <si>
    <t>AQUICULTURA EM AGUAS SALGADAS E SALOBRAS</t>
  </si>
  <si>
    <t>28490</t>
  </si>
  <si>
    <t>FABRICACAO DE OUTRAS MAQUINAS-FERRAMENTAS</t>
  </si>
  <si>
    <t>29200</t>
  </si>
  <si>
    <t>FABRICACAO DE CARROCARIAS, REBOQUES E SEMI REBOQUES</t>
  </si>
  <si>
    <t>47762</t>
  </si>
  <si>
    <t>COMERCIO RETALHO ANIMAIS COMPANHIA E RESPECTIVOS ALIMENTOS, EM ESTAB. ESPECIAL.</t>
  </si>
  <si>
    <t>14131</t>
  </si>
  <si>
    <t>CONFECCAO DE OUTRO VESTUARIO EXTERIOR EM SERIE</t>
  </si>
  <si>
    <t>23411</t>
  </si>
  <si>
    <t>OLARIA DE BARRO</t>
  </si>
  <si>
    <t>50300</t>
  </si>
  <si>
    <t>TRANSPORTES DE PASSAGEIROS POR VIAS NAVEGAVEIS INTERIORES</t>
  </si>
  <si>
    <t>52102</t>
  </si>
  <si>
    <t>ARMAZENAGEM NAO FRIGORIFICA</t>
  </si>
  <si>
    <t>77120</t>
  </si>
  <si>
    <t>ALUGUER DE VEICULOS AUTOMOVEIS PESADOS</t>
  </si>
  <si>
    <t>26512</t>
  </si>
  <si>
    <t>FAB. INSTRUMENTOS E APARELHOS DE MEDIDA, VERIFICACAO, NAVEG. E OUTRO FINS N.E.</t>
  </si>
  <si>
    <t>46732</t>
  </si>
  <si>
    <t>COMERCIO POR GROSSO MATERIAIS DE CONSTRUCAO (EXCEPTO MADEIRA) E EQUIP. SANITARIO</t>
  </si>
  <si>
    <t>23132</t>
  </si>
  <si>
    <t>CRISTALARIA</t>
  </si>
  <si>
    <t>55118</t>
  </si>
  <si>
    <t>APARTAMENTOS TURISTICOS COM RESTAURANTE</t>
  </si>
  <si>
    <t>01192</t>
  </si>
  <si>
    <t>OUTRAS CULTURAS TEMPORARIAS, N. E.</t>
  </si>
  <si>
    <t>96040</t>
  </si>
  <si>
    <t>ACTIVIDADES DE BEM ESTAR FISICO</t>
  </si>
  <si>
    <t>28250</t>
  </si>
  <si>
    <t>FABRICACAO DE EQUIPAMENTO NAO DOMESTICO PARA REFRIGERACAO E VENTILACAO</t>
  </si>
  <si>
    <t>47592</t>
  </si>
  <si>
    <t>COM.RET.LOUCAS,CUTELARIA E OUT.ART.SIMIL.PARA USO DOMESTICO,EM ESTAB. ESPECIAL.</t>
  </si>
  <si>
    <t>01120</t>
  </si>
  <si>
    <t>CULTURA DE ARROZ</t>
  </si>
  <si>
    <t>87302</t>
  </si>
  <si>
    <t>ACTIVIDADES DE APOIO SOCIAL PARA PESSOAS COM DEFICIENCIA, COM ALOJAMENTO</t>
  </si>
  <si>
    <t>25731</t>
  </si>
  <si>
    <t>FABRICACAO DE FERRAMENTAS MANUAIS</t>
  </si>
  <si>
    <t>46491</t>
  </si>
  <si>
    <t>COMERCIO POR GROSSO DE ARTIGOS DE PAPELARIA</t>
  </si>
  <si>
    <t>01491</t>
  </si>
  <si>
    <t>APICULTURA</t>
  </si>
  <si>
    <t>45320</t>
  </si>
  <si>
    <t>COMERCIO A RETALHO DE PECAS E ACESSORIOS PARA VEICULOS AUTOMOVEIS</t>
  </si>
  <si>
    <t>56101</t>
  </si>
  <si>
    <t>RESTAURANTES TIPO TRADICIONAL</t>
  </si>
  <si>
    <t>13910</t>
  </si>
  <si>
    <t>FABRICACAO DE TECIDOS DE MALHA</t>
  </si>
  <si>
    <t>64992</t>
  </si>
  <si>
    <t>OUTRAS ACTIVIDADES SERV.FINANCEIROS DIV., N.E., EXCEPTO SEGUROS E FUNDOS PENSOES</t>
  </si>
  <si>
    <t>95210</t>
  </si>
  <si>
    <t>REPARACAO DE TELEVISORES E DE OUTROS BENS DE CONSUMO SIMILARES</t>
  </si>
  <si>
    <t>18130</t>
  </si>
  <si>
    <t>ACTIVIDADES DE PREPARACAO DA IMPRESSAO E DE PRODUTOS MEDIA</t>
  </si>
  <si>
    <t>96022</t>
  </si>
  <si>
    <t>INSTITUTOS DE BELEZA</t>
  </si>
  <si>
    <t>20591</t>
  </si>
  <si>
    <t>FABRICACAO DE BIODIESEL</t>
  </si>
  <si>
    <t>60200</t>
  </si>
  <si>
    <t>ACTIVIDADES DE TELEVISAO</t>
  </si>
  <si>
    <t>33110</t>
  </si>
  <si>
    <t>REPARACAO E MANUTENCAO DE PRODUTOS METALICOS (EXCEPTO MAQUINAS E EQUIPAMENTOS)</t>
  </si>
  <si>
    <t>47410</t>
  </si>
  <si>
    <t>COM. RETALHO COMPUTADORES, UNIDADES PERIF. E PROG. INFORMAT., EM ESTAB.ESPECIAL.</t>
  </si>
  <si>
    <t>81100</t>
  </si>
  <si>
    <t>ACTIVIDADES COMBINADAS DE APOIO AOS EDIFICIOS</t>
  </si>
  <si>
    <t>47523</t>
  </si>
  <si>
    <t>COM.RET.MATERIAL BRICOLAGE,EQUIP.SANITARIO,LADRILHOS MAT.SIMIL, ESTAB. ESPECIAL.</t>
  </si>
  <si>
    <t>90010</t>
  </si>
  <si>
    <t>ACTIVIDADES DAS ARTES DO ESPECTACULO</t>
  </si>
  <si>
    <t>10830</t>
  </si>
  <si>
    <t>INDUSTRIA DO CAFE E DO CHA</t>
  </si>
  <si>
    <t>23120</t>
  </si>
  <si>
    <t>MOLDAGEM E TRANSFORMACAO DE VIDRO PLANO</t>
  </si>
  <si>
    <t>43320</t>
  </si>
  <si>
    <t>MONTAGEM DE TRABALHOS DE CARPINTARIA E DE CAIXILHARIA</t>
  </si>
  <si>
    <t>81220</t>
  </si>
  <si>
    <t>OUTRAS ACTIVIDADES DE LIMPEZA EM EDIFICIOS E EM EQUIPAMENTOS INDUSTRIAIS</t>
  </si>
  <si>
    <t>82922</t>
  </si>
  <si>
    <t>OUTRAS ACTIVIDADES DE EMBALAGEM</t>
  </si>
  <si>
    <t>13102</t>
  </si>
  <si>
    <t>PREPARACAO E FIACAO DE FIBRAS DO TIPO LA</t>
  </si>
  <si>
    <t>47260</t>
  </si>
  <si>
    <t>COMERCIO A RETALHO DE TABACO, EM ESTABELECIMENTOS ESPECIALIZADOS</t>
  </si>
  <si>
    <t>46660</t>
  </si>
  <si>
    <t>COMERCIO POR GROSSO DE OUTRAS MAQUINAS E MATERIAL DE ESCRITORIO</t>
  </si>
  <si>
    <t>85530</t>
  </si>
  <si>
    <t>ESCOLAS DE CONDUCAO E PILOTAGEM</t>
  </si>
  <si>
    <t>72190</t>
  </si>
  <si>
    <t>OUTRA INVESTIGACAO E DESENVOLVIMENTO DAS CIENCIAS FISICAS E NATURAIS</t>
  </si>
  <si>
    <t>82300</t>
  </si>
  <si>
    <t>ORGANIZACAO DE FEIRAS, CONGRESSOS E OUTROS EVENTOS SIMILARES</t>
  </si>
  <si>
    <t>20130</t>
  </si>
  <si>
    <t>FABRICACAO DE OUTROS PRODUTOS QUIMICOS INORGANICOS DE BASE</t>
  </si>
  <si>
    <t>77390</t>
  </si>
  <si>
    <t>ALUGUER DE OUTRAS MAQUINAS E EQUIPAMENTOS, N. E.</t>
  </si>
  <si>
    <t>66190</t>
  </si>
  <si>
    <t>OUTRAS ACT. AUX. DE SERV. FINANC., EXCEPTO FUNDOS PENSOES</t>
  </si>
  <si>
    <t>23701</t>
  </si>
  <si>
    <t>FABRICACAO DE ARTIGOS DE MARMORE E DE ROCHAS SIMILARES</t>
  </si>
  <si>
    <t>95290</t>
  </si>
  <si>
    <t>REPARACAO DE OUTROS BENS DE USO PESSOAL E DOMESTICO</t>
  </si>
  <si>
    <t>46450</t>
  </si>
  <si>
    <t>COMERCIO POR GROSSO DE PERFUMES E DE PRODUTOS DE HIGIENE</t>
  </si>
  <si>
    <t>18140</t>
  </si>
  <si>
    <t>ENCADERNACAO E ACTIVIDADES RELACIONADAS</t>
  </si>
  <si>
    <t>46630</t>
  </si>
  <si>
    <t>COMERCIO POR GROSSO MAQUINAS PARA INDUSTRIA EXTRACTIVA, CONSTRUCAO E ENG. CIVIL</t>
  </si>
  <si>
    <t>56103</t>
  </si>
  <si>
    <t>RESTAURANTES SEM SERVICO DE MESA</t>
  </si>
  <si>
    <t>71110</t>
  </si>
  <si>
    <t>ACTIVIDADES DE ARQUITECTURA</t>
  </si>
  <si>
    <t>32992</t>
  </si>
  <si>
    <t>FABRICACAO DE FECHOS DE CORRER, BOTOES E SIMILARES</t>
  </si>
  <si>
    <t>59110</t>
  </si>
  <si>
    <t>PRODUCAO DE FILMES, DE VIDEOS E DE PROGRAMAS DE TELEVISAO</t>
  </si>
  <si>
    <t>01252</t>
  </si>
  <si>
    <t>CULTURA DE OUTROS FRUTOS EM ARVORES E ARBUSTOS</t>
  </si>
  <si>
    <t>46311</t>
  </si>
  <si>
    <t>COMERCIO POR GROSSO DE FRUTA E DE PRODUTOS HORTICOLAS, EXCEPTO BATATA</t>
  </si>
  <si>
    <t>10612</t>
  </si>
  <si>
    <t>DESCASQUE, BRANQUEAMENTO E OUTROS TRATAMENTOS DO ARROZ</t>
  </si>
  <si>
    <t>52291</t>
  </si>
  <si>
    <t>ORGANIZACAO DO TRANSPORTE</t>
  </si>
  <si>
    <t>47711</t>
  </si>
  <si>
    <t>COMERCIO A RETALHO DE VESTUARIO PARA ADULTOS, EM ESTABELECIMENTOS ESPECIALIZADOS</t>
  </si>
  <si>
    <t>88101</t>
  </si>
  <si>
    <t>ACTIVIDADES DE APOIO SOCIAL PARA PESSOAS IDOSAS, SEM ALOJAMENTO</t>
  </si>
  <si>
    <t>01112</t>
  </si>
  <si>
    <t>CULTURA DE LEGUMINOSAS SECAS E SEMENTES OLEAGINOSAS</t>
  </si>
  <si>
    <t>81292</t>
  </si>
  <si>
    <t>OUTRAS ACTIVIDADES DE LIMPEZA, N. E.</t>
  </si>
  <si>
    <t>43221</t>
  </si>
  <si>
    <t>INSTALACAO DE CANALIZACOES</t>
  </si>
  <si>
    <t>47591</t>
  </si>
  <si>
    <t>COMERCIO A RETALHO MOBILIARIO E ARTIGOS DE ILUMINACAO, EM ESTAB. ESPECIALIZADOS</t>
  </si>
  <si>
    <t>16294</t>
  </si>
  <si>
    <t>FABRICACAO DE ROLHAS DE CORTICA</t>
  </si>
  <si>
    <t>01191</t>
  </si>
  <si>
    <t>CULTURA DE FLORES E DE PLANTAS ORNAMENTAIS</t>
  </si>
  <si>
    <t>75000</t>
  </si>
  <si>
    <t>ACTIVIDADES VETERINARIAS</t>
  </si>
  <si>
    <t>42110</t>
  </si>
  <si>
    <t>CONSTRUCAO DE ESTRADAS E PISTAS DE AEROPORTOS</t>
  </si>
  <si>
    <t>56304</t>
  </si>
  <si>
    <t>OUTROS ESTABELECIMENTOS DE BEBIDAS SEM ESPECTACULO</t>
  </si>
  <si>
    <t>70210</t>
  </si>
  <si>
    <t>ACTIVIDADES DE RELACOES PUBLICAS E COMUNICACAO</t>
  </si>
  <si>
    <t>01470</t>
  </si>
  <si>
    <t>AVICULTURA</t>
  </si>
  <si>
    <t>90030</t>
  </si>
  <si>
    <t>CRIACAO ARTISTICA E LITERARIA</t>
  </si>
  <si>
    <t>47730</t>
  </si>
  <si>
    <t>COMERCIO A RETALHO DE PRODUTOS FARMACEUTICOS, EM ESTABELECIMENTOS ESPECIALIZADOS</t>
  </si>
  <si>
    <t>85420</t>
  </si>
  <si>
    <t>ENSINO SUPERIOR</t>
  </si>
  <si>
    <t>55113</t>
  </si>
  <si>
    <t>ESTALAGENS COM RESTAURANTE</t>
  </si>
  <si>
    <t>77110</t>
  </si>
  <si>
    <t>ALUGUER DE VEICULOS AUTOMOVEIS LIGEIROS</t>
  </si>
  <si>
    <t>66210</t>
  </si>
  <si>
    <t>ACTIVIDADES DE AVALIACAO DE RISCOS E DANOS</t>
  </si>
  <si>
    <t>87902</t>
  </si>
  <si>
    <t>ACTIVIDADES DE APOIO SOCIAL COM ALOJAMENTO, N. E.</t>
  </si>
  <si>
    <t>27520</t>
  </si>
  <si>
    <t>FABRICACAO DE APARELHOS NAO ELECTRICOS PARA USO DOMESTICO</t>
  </si>
  <si>
    <t>49391</t>
  </si>
  <si>
    <t>TRANSPORTE INTERURBANO EM AUTOCARROS</t>
  </si>
  <si>
    <t>47712</t>
  </si>
  <si>
    <t>COMERCIO A RETALHO DE VESTUARIO PARA BEBES E CRIANCAS, EM ESTAB. ESPECIALIZADOS</t>
  </si>
  <si>
    <t>73110</t>
  </si>
  <si>
    <t>AGENCIAS DE PUBLICIDADE</t>
  </si>
  <si>
    <t>56301</t>
  </si>
  <si>
    <t>CAFES</t>
  </si>
  <si>
    <t>86100</t>
  </si>
  <si>
    <t>ACTIVIDADES DOS ESTABELECIMENTOS DE SAUDE COM INTERNAMENTO</t>
  </si>
  <si>
    <t>24410</t>
  </si>
  <si>
    <t>OBTENCAO E PRIMEIRA TRANSFORMACAO DE METAIS PRECIOSOS</t>
  </si>
  <si>
    <t>35113</t>
  </si>
  <si>
    <t>PRODUCAO DE ELECTRICIDADE DE ORIGEM EOLICA, GEOTERMICA, SOLAR E DE ORIGEM, N.E.</t>
  </si>
  <si>
    <t>17290</t>
  </si>
  <si>
    <t>FABRICACAO DE OUTROS ARTIGOS DE PASTA DE PAPEL, DE PAPEL E DE CARTAO</t>
  </si>
  <si>
    <t>47721</t>
  </si>
  <si>
    <t>COMERCIO A RETALHO DE CALCADO, EM ESTABELECIMENTOS ESPECIALIZADOS</t>
  </si>
  <si>
    <t>15202</t>
  </si>
  <si>
    <t>FABRICACAO DE COMPONENTES PARA CALCADO</t>
  </si>
  <si>
    <t>82990</t>
  </si>
  <si>
    <t>OUTRAS ACTIVIDADES DE SERVICOS DE APOIO PRESTADOS AS EMPRESAS, N. E.</t>
  </si>
  <si>
    <t>55116</t>
  </si>
  <si>
    <t>HOTEIS APARTAMENTOS COM RESTAURANTE</t>
  </si>
  <si>
    <t>46740</t>
  </si>
  <si>
    <t>COMERCIO POR GROSSO DE FERRAGENS, FERRAMENTAS MANUAIS E ARTIGOS PARA CANALIZACOE</t>
  </si>
  <si>
    <t>46493</t>
  </si>
  <si>
    <t>COMERCIO POR GROSSO DE BRINQUEDOS, JOGOS E ARTIGOS DE DESPORTO</t>
  </si>
  <si>
    <t>42910</t>
  </si>
  <si>
    <t>ENGENHARIA HIDRAULICA</t>
  </si>
  <si>
    <t>38112</t>
  </si>
  <si>
    <t>RECOLHA DE OUTROS RESIDUOS NAO PERIGOSOS</t>
  </si>
  <si>
    <t>46170</t>
  </si>
  <si>
    <t>AGENTES DO COMERCIO POR GROSSO DE PRODUTOS ALIMENTARES, BEBIDAS E TABACO</t>
  </si>
  <si>
    <t>69200</t>
  </si>
  <si>
    <t>ACTIVIDADES DE CONTABILIDADE E AUDITORIA: CONSULTADORIA FISCAL</t>
  </si>
  <si>
    <t>86906</t>
  </si>
  <si>
    <t>OUTRAS ACTIVIDADES DE SAUDE HUMANA, N. E.</t>
  </si>
  <si>
    <t>80200</t>
  </si>
  <si>
    <t>ACTIVIDADES RELACIONADAS COM SISTEMAS DE SEGURANCA</t>
  </si>
  <si>
    <t>90020</t>
  </si>
  <si>
    <t>ACTIVIDADES DE APOIO AS ARTES DO ESPECTACULO</t>
  </si>
  <si>
    <t>22220</t>
  </si>
  <si>
    <t>FABRICACAO DE EMBALAGENS DE PLASTICO</t>
  </si>
  <si>
    <t>95220</t>
  </si>
  <si>
    <t>REPARACAO DE ELECTRODOMESTICOS E DE OUTROS EQUIP. DE USO DOMESTICO E PARA JARDIM</t>
  </si>
  <si>
    <t>14190</t>
  </si>
  <si>
    <t>CONFECCAO DE OUTROS ARTIGOS E ACESSORIOS DE VESTUARIO</t>
  </si>
  <si>
    <t>47420</t>
  </si>
  <si>
    <t>COMERCIO A RETALHO DE EQUIPAMENTO DE TELECOMUNICACOES, EM ESTAB. ESPECIALIZADOS</t>
  </si>
  <si>
    <t>20412</t>
  </si>
  <si>
    <t>FABRICACAO DE PRODUTOS DE LIMPEZA, POLIMENTO E PROTECCAO</t>
  </si>
  <si>
    <t>33120</t>
  </si>
  <si>
    <t>REPARACAO E MANUTENCAO DE MAQUINAS E EQUIPAMENTOS</t>
  </si>
  <si>
    <t>01410</t>
  </si>
  <si>
    <t>CRIACAO DE BOVINOS PARA PRODUCAO DE LEITE</t>
  </si>
  <si>
    <t>01494</t>
  </si>
  <si>
    <t>OUTRA PRODUCAO ANIMAL, N. E.</t>
  </si>
  <si>
    <t>46494</t>
  </si>
  <si>
    <t>OUTRO COMERCIO POR GROSSO DE BENS DE CONSUMO, N. E.</t>
  </si>
  <si>
    <t>14390</t>
  </si>
  <si>
    <t>FABRICACAO DE OUTRO VESTUARIO DE MALHA</t>
  </si>
  <si>
    <t>27900</t>
  </si>
  <si>
    <t>FABRICACAO DE OUTRO EQUIPAMENTO ELECTRICO</t>
  </si>
  <si>
    <t>31091</t>
  </si>
  <si>
    <t>FABRICACAO DE MOBILIARIO DE MADEIRA PARA OUTROS FINS</t>
  </si>
  <si>
    <t>86902</t>
  </si>
  <si>
    <t>ACTIVIDADES DE AMBULANCIAS</t>
  </si>
  <si>
    <t>49420</t>
  </si>
  <si>
    <t>ACTIVIDADES DE MUDANCAS, POR VIA RODOVIARIA</t>
  </si>
  <si>
    <t>46211</t>
  </si>
  <si>
    <t>COMERCIO POR GROSSO DE ALIMENTOS PARA ANIMAIS</t>
  </si>
  <si>
    <t>29320</t>
  </si>
  <si>
    <t>FABRICACAO DE OUTROS COMPONENTES E ACESSORIOS PARA VEICULOS AUTOMOVEIS</t>
  </si>
  <si>
    <t>63110</t>
  </si>
  <si>
    <t>ACTIVIDADES DE PROCESSAMENTO DADOS, DOMICILIACAO INFORMACAO E ACT. RELACIONADAS</t>
  </si>
  <si>
    <t>46762</t>
  </si>
  <si>
    <t>COMERCIO POR GROSSO DE OUTROS BENS INTERMEDIOS, N. E.</t>
  </si>
  <si>
    <t>82190</t>
  </si>
  <si>
    <t>EXECUCAO FOTOCOPIAS,PREPARACAO DOCUMENTOS E OUT.ACT.ESPECIALIZADAS APOIO ADMIN.</t>
  </si>
  <si>
    <t>02300</t>
  </si>
  <si>
    <t>EXTRACCAO DE CORTICA, RESINA E APANHA DE OUT. PROD. FLORESTAIS, EXCEPTO MADEIRA</t>
  </si>
  <si>
    <t>46772</t>
  </si>
  <si>
    <t>COMERCIO POR GROSSO DE DESPERDICIOS TEXTEIS, DE CARTAO E PAPEIS VELHOS</t>
  </si>
  <si>
    <t>85591</t>
  </si>
  <si>
    <t>FORMACAO PROFISSIONAL</t>
  </si>
  <si>
    <t>93294</t>
  </si>
  <si>
    <t>OUTRAS ACTIVIDADES DE DIVERSAO E RECREATIVAS, N. E.</t>
  </si>
  <si>
    <t>46640</t>
  </si>
  <si>
    <t>COMERCIO POR GROSSO MAQUINAS PARA A INDUSTRIA TEXTIL, MAQ. COSTURA E DE TRICOTAR</t>
  </si>
  <si>
    <t>46750</t>
  </si>
  <si>
    <t>COMERCIO POR GROSSO DE PRODUTOS QUIMICOS</t>
  </si>
  <si>
    <t>46341</t>
  </si>
  <si>
    <t>COMERCIO POR GROSSO DE BEBIDAS ALCOOLICAS</t>
  </si>
  <si>
    <t>47521</t>
  </si>
  <si>
    <t>COMERCIO A RETALHO DE FERRAGENS E DE VIDRO PLANO, EM ESTAB. ESPECIALIZOS</t>
  </si>
  <si>
    <t>10611</t>
  </si>
  <si>
    <t>MOAGEM DE CEREAIS</t>
  </si>
  <si>
    <t>23311</t>
  </si>
  <si>
    <t>FABRICACAO DE AZULEJOS</t>
  </si>
  <si>
    <t>47192</t>
  </si>
  <si>
    <t>COM.RET.OUT.ESTAB.NAO ESPECIAL.,SEM PREDOMIN.PROD.ALIMENTARES, BEBIDAS OU TABACO</t>
  </si>
  <si>
    <t>43992</t>
  </si>
  <si>
    <t>OUTRAS ACTIVIDADES ESPECIALIZADAS DE CONSTRUCAO DIVERSAS, N. E.</t>
  </si>
  <si>
    <t>31093</t>
  </si>
  <si>
    <t>FABRICACAO DE MOBILIARIO DE OUTROS MATERIAIS PARA OUTROS FINS</t>
  </si>
  <si>
    <t>59120</t>
  </si>
  <si>
    <t>ACTIVIDADES TECNICAS DE POS-PRODUCAO PARA FILMES, VIDEOS E PROGRAMAS DE TELEVISA</t>
  </si>
  <si>
    <t>25710</t>
  </si>
  <si>
    <t>FABRICACAO DE CUTELARIA</t>
  </si>
  <si>
    <t>10911</t>
  </si>
  <si>
    <t>FABRICACAO DE PRE-MISTURAS</t>
  </si>
  <si>
    <t>68311</t>
  </si>
  <si>
    <t>ACTIVIDADES DE MEDIACAO IMOBILIARIA</t>
  </si>
  <si>
    <t>86210</t>
  </si>
  <si>
    <t>ACTIVIDADES DE PRATICA MEDICA DE CLINICA GERAL, EM AMBULATORIO</t>
  </si>
  <si>
    <t>25720</t>
  </si>
  <si>
    <t>FABRICACAO DE FECHADURAS, DOBRADICAS E DE OUTRAS FERRAGENS</t>
  </si>
  <si>
    <t>85600</t>
  </si>
  <si>
    <t>ACTIVIDADES DE SERVICOS DE APOIO A EDUCACAO</t>
  </si>
  <si>
    <t>10520</t>
  </si>
  <si>
    <t>FABRICACAO DE GELADOS E SORVETES</t>
  </si>
  <si>
    <t>17212</t>
  </si>
  <si>
    <t>FABRICACAO DE OUTRAS EMBALAGENS DE PAPEL E DE CARTAO</t>
  </si>
  <si>
    <t>47220</t>
  </si>
  <si>
    <t>COMERCIO A RETALHO DE CARNE E PRODUTOS A BASE DE CARNE, EM ESTAB. ESPECIALIZADOS</t>
  </si>
  <si>
    <t>47770</t>
  </si>
  <si>
    <t>COMERCIO RETALHO RELOGIOS E ARTIGOS OURIVESARIA E JOALHARIA, EM ESTAB. ESPECIAL.</t>
  </si>
  <si>
    <t>14140</t>
  </si>
  <si>
    <t>CONFECCAO DE VESTUARIO INTERIOR</t>
  </si>
  <si>
    <t>18120</t>
  </si>
  <si>
    <t>OUTRA IMPRESSAO</t>
  </si>
  <si>
    <t>20141</t>
  </si>
  <si>
    <t>FABRICACAO DE RESINOSOS E SEUS DERIVADOS</t>
  </si>
  <si>
    <t>15111</t>
  </si>
  <si>
    <t>CURTIMENTA E ACABAMENTO DE PELES SEM PELO</t>
  </si>
  <si>
    <t>47522</t>
  </si>
  <si>
    <t>COMERCIO A RETALHO DE TINTAS, VERNIZES E PRODUTOS SIMILARES, EM ESTAB. ESPECIAL.</t>
  </si>
  <si>
    <t>86220</t>
  </si>
  <si>
    <t>ACTIVIDADES DE PRATICA MEDICA DE CLINICA ESPECIALIZADA, EM AMBULATORIO</t>
  </si>
  <si>
    <t>68321</t>
  </si>
  <si>
    <t>ADMINISTRACAO DE IMOVEIS POR CONTA DE OUTREM</t>
  </si>
  <si>
    <t>26110</t>
  </si>
  <si>
    <t>FABRICACAO DE COMPONENTES ELECTRONICOS</t>
  </si>
  <si>
    <t>52213</t>
  </si>
  <si>
    <t>OUTRAS ACTIVIDADES AUXILIARES DOS TRANSPORTES TERRESTRES</t>
  </si>
  <si>
    <t>20592</t>
  </si>
  <si>
    <t>FABRICACAO DE PRODUTOS QUIMICOS AUXILIARES PARA USO INDUSTRIAL</t>
  </si>
  <si>
    <t>46230</t>
  </si>
  <si>
    <t>COMERCIO POR GROSSO DE ANIMAIS VIVOS</t>
  </si>
  <si>
    <t>45401</t>
  </si>
  <si>
    <t>COMERCIO POR GROSSO E A RETALHO DE MOTOCICLOS, DE SUAS PECAS E ACESSORIOS</t>
  </si>
  <si>
    <t>03111</t>
  </si>
  <si>
    <t>PESCA MARITIMA</t>
  </si>
  <si>
    <t>47740</t>
  </si>
  <si>
    <t>COMERCIO A RETALHO DE PRODUTOS MEDICOS E ORTOPEDICOS, EM ESTAB. ESPECIALIZADOS</t>
  </si>
  <si>
    <t>23200</t>
  </si>
  <si>
    <t>FABRICACAO DE PRODUTOS CERAMICOS REFRACTARIOS</t>
  </si>
  <si>
    <t>85593</t>
  </si>
  <si>
    <t>OUTRAS ACTIVIDADES EDUCATIVAS, N. E.</t>
  </si>
  <si>
    <t>93292</t>
  </si>
  <si>
    <t>ACTIVIDADES DOS PORTOS DE RECREIO (MARINAS)</t>
  </si>
  <si>
    <t>01130</t>
  </si>
  <si>
    <t>CULTURA DE PRODUTOS HORTICOLAS, RAIZES E TUBERCULOS</t>
  </si>
  <si>
    <t>58110</t>
  </si>
  <si>
    <t>EDICAO DE LIVROS</t>
  </si>
  <si>
    <t>69101</t>
  </si>
  <si>
    <t>ACTIVIDADES JURIDICAS</t>
  </si>
  <si>
    <t>52212</t>
  </si>
  <si>
    <t>ASSISTENCIA A VEICULOS NA ESTRADA</t>
  </si>
  <si>
    <t>28960</t>
  </si>
  <si>
    <t>FABRICACAO DE MAQUINAS PARA AS INDUSTRIAS DO PLASTICO E DA BORRACHA</t>
  </si>
  <si>
    <t>77320</t>
  </si>
  <si>
    <t>ALUGUER DE MAQUINAS E EQUIPAMENTOS PARA A CONSTRUCAO E ENGENHARIA CIVIL</t>
  </si>
  <si>
    <t>47230</t>
  </si>
  <si>
    <t>COMERCIO A RETALHO DE PEIXE, CRUSTACEOS E MOLUSCOS, EM ESTAB. ESPECIALIZADOS</t>
  </si>
  <si>
    <t>42220</t>
  </si>
  <si>
    <t>CONSTRUCAO REDES TRANSPORTE DISTRIBUICAO ELECTRICIDADE E REDES TELECOMUNICACOES</t>
  </si>
  <si>
    <t>94120</t>
  </si>
  <si>
    <t>ACTIVIDADES DE ORGANIZACOES PROFISSIONAIS</t>
  </si>
  <si>
    <t>87301</t>
  </si>
  <si>
    <t>ACTIVIDADES DE APOIO SOCIAL PARA PESSOAS IDOSAS, COM ALOJAMENTO</t>
  </si>
  <si>
    <t>10893</t>
  </si>
  <si>
    <t>FABRICACAO DE OUTROS PRODUTOS ALIMENTARES DIVERSOS, N. E.</t>
  </si>
  <si>
    <t>10613</t>
  </si>
  <si>
    <t>TRANSFORMACAO DE CEREAIS E LEGUMINOSAS, N. E.</t>
  </si>
  <si>
    <t>74300</t>
  </si>
  <si>
    <t>ACTIVIDADES DE TRADUCAO E INTERPRETACAO</t>
  </si>
  <si>
    <t>60100</t>
  </si>
  <si>
    <t>ACTIVIDADES DE RADIO</t>
  </si>
  <si>
    <t>85320</t>
  </si>
  <si>
    <t>ENSINOS SECUNDARIO TECNOLOGICO, ARTISTICO E PROFISSIONAL</t>
  </si>
  <si>
    <t>20411</t>
  </si>
  <si>
    <t>FABRICACAO DE SABOES, DETERGENTES E GLICERINA</t>
  </si>
  <si>
    <t>32996</t>
  </si>
  <si>
    <t>OUTRAS INDUSTRIAS TRANSFORMADORAS DIVERSAS, N. E.</t>
  </si>
  <si>
    <t>41100</t>
  </si>
  <si>
    <t>PROMOCAO IMOBILIARIA (DESENVOLVIMENTO DE PROJECTOS DE EDIFICIOS)</t>
  </si>
  <si>
    <t>55300</t>
  </si>
  <si>
    <t>PARQUES DE CAMPISMO E DE CARAVANISMO</t>
  </si>
  <si>
    <t>86230</t>
  </si>
  <si>
    <t>ACTIVIDADES DE MEDICINA DENTARIA E ODONTOLOGIA</t>
  </si>
  <si>
    <t>46731</t>
  </si>
  <si>
    <t>COMERCIO POR GROSSO DE MADEIRA EM BRUTO E DE PRODUTOS DERIVADOS</t>
  </si>
  <si>
    <t>47783</t>
  </si>
  <si>
    <t>COMERCIO A RETALHO DE COMBUSTIVEIS PARA USO DOMESTICO, EM ESTAB. ESPECIALIZADOS</t>
  </si>
  <si>
    <t>10130</t>
  </si>
  <si>
    <t>FABRICACAO DE PRODUTOS A BASE DE CARNE</t>
  </si>
  <si>
    <t>93191</t>
  </si>
  <si>
    <t>ORGANISMOS REGULADORES DAS ACTIVIDADES DESPORTIVAS</t>
  </si>
  <si>
    <t>46430</t>
  </si>
  <si>
    <t>COMERCIO POR GROSSO DE ELECTRODOMESTICOS, APARELHOS DE RADIO E DE TELEVISAO</t>
  </si>
  <si>
    <t>46370</t>
  </si>
  <si>
    <t>COMERCIO POR GROSSO DE CAFE, CHA, CACAU E ESPECIARIAS</t>
  </si>
  <si>
    <t>46382</t>
  </si>
  <si>
    <t>COMERCIO POR GROSSO DE OUTROS PRODUTOS ALIMENTARES, N. E.</t>
  </si>
  <si>
    <t>36002</t>
  </si>
  <si>
    <t>DISTRIBUICAO DE AGUA</t>
  </si>
  <si>
    <t>43290</t>
  </si>
  <si>
    <t>OUTRAS INSTALACOES EM CONSTRUCOES</t>
  </si>
  <si>
    <t>56107</t>
  </si>
  <si>
    <t>RESTAURANTES, N. E. (INCLUI ACTIVIDADES DE RESTAURACAO EM MEIOS MOVEIS)</t>
  </si>
  <si>
    <t>08121</t>
  </si>
  <si>
    <t>EXTRACCAO DE SAIBRO, AREIA E PEDRA BRITADA</t>
  </si>
  <si>
    <t>43991</t>
  </si>
  <si>
    <t>ALUGUER DE EQUIPAMENTO DE CONSTRUCAO E DE DEMOLICAO, COM OPERADOR</t>
  </si>
  <si>
    <t>47593</t>
  </si>
  <si>
    <t>COMERCIO A RETALHO DE OUTROS ARTIGOS PARA O LAR, N. E., EM ESTAB. ESPECIALIZADOS</t>
  </si>
  <si>
    <t>38211</t>
  </si>
  <si>
    <t>TRATAMENTO E ELIMINACAO DE RESIDUOS INERTES</t>
  </si>
  <si>
    <t>80100</t>
  </si>
  <si>
    <t>ACTIVIDADES DE SEGURANCA PRIVADA</t>
  </si>
  <si>
    <t>64300</t>
  </si>
  <si>
    <t>TRUSTS, FUNDOS E ENTIDADES FINANCEIRAS SIMILARES</t>
  </si>
  <si>
    <t>46410</t>
  </si>
  <si>
    <t>COMERCIO POR GROSSO DE TEXTEIS</t>
  </si>
  <si>
    <t>70100</t>
  </si>
  <si>
    <t>ACTIVIDADES DAS SEDES SOCIAIS</t>
  </si>
  <si>
    <t>84113</t>
  </si>
  <si>
    <t>ADMINISTRACAO LOCAL</t>
  </si>
  <si>
    <t>01610</t>
  </si>
  <si>
    <t>ACTIVIDADES DOS SERVICOS RELACIONADOS COM A AGRICULTURA</t>
  </si>
  <si>
    <t>25992</t>
  </si>
  <si>
    <t>FABRICACAO DE OUTROS PRODUTOS METALICOS DIVERSOS, N. E.</t>
  </si>
  <si>
    <t>46220</t>
  </si>
  <si>
    <t>COMERCIO POR GROSSO DE FLORES E PLANTAS</t>
  </si>
  <si>
    <t>47210</t>
  </si>
  <si>
    <t>COMERCIO A RETALHO DE FRUTAS E PRODUTOS HORTICOLAS, EM ESTAB. ESPECIALIZADOS</t>
  </si>
  <si>
    <t>01420</t>
  </si>
  <si>
    <t>CRIACAO DE OUTROS BOVINOS (EXCEPTO PARA PRODUCAO DE LEITE) E BUFALOS</t>
  </si>
  <si>
    <t>50102</t>
  </si>
  <si>
    <t>TRANSPORTES COSTEIROS E LOCAIS DE PASSAGEIROS</t>
  </si>
  <si>
    <t>11072</t>
  </si>
  <si>
    <t>FABRICACAO DE REFRIGERANTES E DE OUTRAS BEBIDAS NAO ALCOOLICAS, N. E.</t>
  </si>
  <si>
    <t>47781</t>
  </si>
  <si>
    <t>COMERCIO RETALHO MAQUINAS E OUTRO MATERIAL ESCRITORIO, EM ESTAB. ESPECIALIZADOS</t>
  </si>
  <si>
    <t>17230</t>
  </si>
  <si>
    <t>FABRICACAO DE ARTIGOS DE PAPEL PARA PAPELARIA</t>
  </si>
  <si>
    <t>43222</t>
  </si>
  <si>
    <t>INSTALACAO DE CLIMATIZACAO</t>
  </si>
  <si>
    <t>45110</t>
  </si>
  <si>
    <t>COMERCIO DE VEICULOS AUTOMOVEIS LIGEIROS</t>
  </si>
  <si>
    <t>56102</t>
  </si>
  <si>
    <t>RESTAURANTES COM LUGARES AO BALCAO</t>
  </si>
  <si>
    <t>46381</t>
  </si>
  <si>
    <t>COMERCIO POR GROSSO DE PEIXE, CRUSTACEOS E MOLUSCOS</t>
  </si>
  <si>
    <t>31010</t>
  </si>
  <si>
    <t>FABRICACAO DE MOBILIARIO PARA ESCRITORIO E COMERCIO</t>
  </si>
  <si>
    <t>68322</t>
  </si>
  <si>
    <t>ADMINISTRACAO DE CONDOMINIOS</t>
  </si>
  <si>
    <t>52292</t>
  </si>
  <si>
    <t>AGENTES ADUANEIROS E SIMILARES DE APOIO AO TRANSPORTE</t>
  </si>
  <si>
    <t>10891</t>
  </si>
  <si>
    <t>FABRICACAO DE FERMENTOS, LEVEDURAS E ADJUVANTES PARA PANIFICACAO E PASTELARIA</t>
  </si>
  <si>
    <t>25620</t>
  </si>
  <si>
    <t>ACTIVIDADES DE MECANICA GERAL</t>
  </si>
  <si>
    <t>11071</t>
  </si>
  <si>
    <t>ENGARRAFAMENTO DE AGUAS MINERAIS NATURAIS E DE NASCENTE</t>
  </si>
  <si>
    <t>28930</t>
  </si>
  <si>
    <t>FABRICACAO DE MAQUINAS PARA AS INDUSTRIAS ALIMENTARES, DAS BEBIDAS E DO TABACO</t>
  </si>
  <si>
    <t>85202</t>
  </si>
  <si>
    <t>ENSINO BASICO (2.  CICLO)</t>
  </si>
  <si>
    <t>68312</t>
  </si>
  <si>
    <t>ACTIVIDADES DE ANGARIACAO IMOBILIARIA</t>
  </si>
  <si>
    <t>62090</t>
  </si>
  <si>
    <t>OUTRAS ACTIVIDADES RELACIONADAS COM AS TECNOLOGIAS DA INFORMACAO E INFORMATICA</t>
  </si>
  <si>
    <t>10711</t>
  </si>
  <si>
    <t>PANIFICACAO</t>
  </si>
  <si>
    <t>27110</t>
  </si>
  <si>
    <t>FABRICACAO DE MOTORES, GERADORES E TRANSFORMADORES ELECTRICOS</t>
  </si>
  <si>
    <t>46190</t>
  </si>
  <si>
    <t>AGENTES DO COMERCIO POR GROSSO MISTO SEM PREDOMINANCIA</t>
  </si>
  <si>
    <t>16101</t>
  </si>
  <si>
    <t>SERRACAO DE MADEIRA</t>
  </si>
  <si>
    <t>42990</t>
  </si>
  <si>
    <t>CONSTRUCAO DE OUTRAS OBRAS DE ENGENHARIA CIVIL, N. E.</t>
  </si>
  <si>
    <t>70220</t>
  </si>
  <si>
    <t>OUTRAS ACTIVIDADES DE CONSULTORIA PARA OS NEGOCIOS E A GESTAO</t>
  </si>
  <si>
    <t>56305</t>
  </si>
  <si>
    <t>ESTABELECIMENTOS DE BEBIDAS COM ESPACO DE DANCA</t>
  </si>
  <si>
    <t>93293</t>
  </si>
  <si>
    <t>ORGANIZACAO DE ACTIVIDADES DE ANIMACAO TURISTICA</t>
  </si>
  <si>
    <t>46442</t>
  </si>
  <si>
    <t>COMERCIO POR GROSSO DE PRODUTOS DE LIMPEZA</t>
  </si>
  <si>
    <t>38321</t>
  </si>
  <si>
    <t>VALORIZACAO DE RESIDUOS METALICOS</t>
  </si>
  <si>
    <t>85100</t>
  </si>
  <si>
    <t>EDUCACAO PRE-ESCOLAR</t>
  </si>
  <si>
    <t>23630</t>
  </si>
  <si>
    <t>FABRICACAO DE BETAO PRONTO</t>
  </si>
  <si>
    <t>56210</t>
  </si>
  <si>
    <t>FORNECIMENTO DE REFEICOES PARA EVENTOS</t>
  </si>
  <si>
    <t>38322</t>
  </si>
  <si>
    <t>VALORIZACAO DE RESIDUOS NAO METALICOS</t>
  </si>
  <si>
    <t>42210</t>
  </si>
  <si>
    <t>CONSTRUCAO DE REDES DE TRANSPORTE DE AGUAS, DE ESGOTOS E DE OUTROS FLUIDOS</t>
  </si>
  <si>
    <t>21202</t>
  </si>
  <si>
    <t>FABRICACAO DE OUTRAS PREPARACOES E DE ARTIGOS FARMACEUTICOS</t>
  </si>
  <si>
    <t>88910</t>
  </si>
  <si>
    <t>ACTIVIDADES DE CUIDADOS PARA CRIANCAS, SEM ALOJAMENTO</t>
  </si>
  <si>
    <t>32300</t>
  </si>
  <si>
    <t>FABRICACAO DE ARTIGOS DE DESPORTO</t>
  </si>
  <si>
    <t>55115</t>
  </si>
  <si>
    <t>MOTEIS COM RESTAURANTE</t>
  </si>
  <si>
    <t>13920</t>
  </si>
  <si>
    <t>FABRICACAO DE ARTIGOS TEXTEIS CONFECCIONADOS, EXCEPTO VESTUARIO</t>
  </si>
  <si>
    <t>11021</t>
  </si>
  <si>
    <t>PRODUCAO DE VINHOS COMUNS E LICOROSOS</t>
  </si>
  <si>
    <t>14310</t>
  </si>
  <si>
    <t>FABRICACAO DE MEIAS E SIMILARES DE MALHA</t>
  </si>
  <si>
    <t>71120</t>
  </si>
  <si>
    <t>ACTIVIDADES DE ENGENHARIA E TECNICAS AFINS</t>
  </si>
  <si>
    <t>46900</t>
  </si>
  <si>
    <t>COMERCIO POR GROSSO NAO ESPECIALIZADO</t>
  </si>
  <si>
    <t>43340</t>
  </si>
  <si>
    <t>PINTURA E COLOCACAO DE VIDROS</t>
  </si>
  <si>
    <t>47640</t>
  </si>
  <si>
    <t>COMERCIO A RETALHO ARTIGOS DESPORTO, CAMPISMO E LAZER, EM ESTAB. ESPECIALIZADOS</t>
  </si>
  <si>
    <t>47530</t>
  </si>
  <si>
    <t>COM.RET.CARPETES,TAPETES,CORTINADOS E REVEST.PAREDES E PAVIMENTO,ESTAB.ESPECIAL.</t>
  </si>
  <si>
    <t>46213</t>
  </si>
  <si>
    <t>COMERCIO POR GROSSO DE CORTICA EM BRUTO</t>
  </si>
  <si>
    <t>17211</t>
  </si>
  <si>
    <t>FABRICACAO DE PAPEL E DE CARTAO CANELADOS (INCLUI EMBALAGENS)</t>
  </si>
  <si>
    <t>55201</t>
  </si>
  <si>
    <t>ALOJAMENTO MOBILADO PARA TURISTAS</t>
  </si>
  <si>
    <t>01240</t>
  </si>
  <si>
    <t>CULTURA DE POMOIDEAS E PRUNOIDEAS</t>
  </si>
  <si>
    <t>43120</t>
  </si>
  <si>
    <t>PREPARACAO DOS LOCAIS DE CONSTRUCAO</t>
  </si>
  <si>
    <t>55119</t>
  </si>
  <si>
    <t>OUTROS ESTABELECIMENTOS HOTELEIROS COM RESTAURANTE</t>
  </si>
  <si>
    <t>43210</t>
  </si>
  <si>
    <t>INSTALACAO ELECTRICA</t>
  </si>
  <si>
    <t>46180</t>
  </si>
  <si>
    <t>AGENTES ESPECIALIZADOS DO COMERCIO POR GROSSO DE OUTROS PRODUTOS</t>
  </si>
  <si>
    <t>92000</t>
  </si>
  <si>
    <t>LOTARIAS E OUTROS JOGOS DE APOSTA</t>
  </si>
  <si>
    <t>28293</t>
  </si>
  <si>
    <t>FABRICACAO DE OUTRAS MAQUINAS DIVERSAS DE USO GERAL, N. E</t>
  </si>
  <si>
    <t>38212</t>
  </si>
  <si>
    <t>TRATAMENTO E ELIMINACAO DE OUTROS RESIDUOS NAO PERIGOSOS</t>
  </si>
  <si>
    <t>46160</t>
  </si>
  <si>
    <t>AGENTES DO COMERCIO POR GROSSO DE TEXTEIS, VESTUARIO, CALCADO E ARTIGOS DE COURO</t>
  </si>
  <si>
    <t>23910</t>
  </si>
  <si>
    <t>FABRICACAO DE PRODUTOS ABRASIVOS</t>
  </si>
  <si>
    <t>74200</t>
  </si>
  <si>
    <t>ACTIVIDADES FOTOGRAFICAS</t>
  </si>
  <si>
    <t>71200</t>
  </si>
  <si>
    <t>ACTIVIDADES DE ENSAIOS E ANALISES TECNICAS</t>
  </si>
  <si>
    <t>46214</t>
  </si>
  <si>
    <t>COM. P/GROSSO CEREAIS,SEMENTES,LEGUMIN.,OLEAGIN. E OUT.MATERIAS PRIMAS AGRICOLAS</t>
  </si>
  <si>
    <t>55204</t>
  </si>
  <si>
    <t>OUTROS LOCAIS DE ALOJAMENTO DE CURTA DURACAO</t>
  </si>
  <si>
    <t>64201</t>
  </si>
  <si>
    <t>ACTIVIDADES DAS SOCIEDADES GESTORAS DE PARTICIPACOES SOCIAIS FINANCEIRAS</t>
  </si>
  <si>
    <t>46312</t>
  </si>
  <si>
    <t>COMERCIO POR GROSSO DE BATATA</t>
  </si>
  <si>
    <t>25300</t>
  </si>
  <si>
    <t>FABRICACAO DE GERADORES DE VAPOR (EXCEPTO CALDEIRAS PARA AQUECIMENTO CENTRAL)</t>
  </si>
  <si>
    <t>25120</t>
  </si>
  <si>
    <t>FABRICACAO DE PORTAS, JANELAS E ELEMENTOS SIMILARES EM METAL</t>
  </si>
  <si>
    <t>08931</t>
  </si>
  <si>
    <t>EXTRACCAO DE SAL MARINHO</t>
  </si>
  <si>
    <t>22210</t>
  </si>
  <si>
    <t>FABRICACAO DE CHAPAS, FOLHAS, TUBOS E PERFIS DE PLASTICO</t>
  </si>
  <si>
    <t>13201</t>
  </si>
  <si>
    <t>TECELAGEM DE FIO DO TIPO ALGODAO</t>
  </si>
  <si>
    <t>85510</t>
  </si>
  <si>
    <t>ENSINOS DESPORTIVO E RECREATIVO</t>
  </si>
  <si>
    <t>78200</t>
  </si>
  <si>
    <t>ACTIVIDADES DAS EMPRESAS DE TRABALHO TEMPORARIO</t>
  </si>
  <si>
    <t>46140</t>
  </si>
  <si>
    <t>AG.COMERCIO POR GROSSO MAQUINAS, EQUIPAMENTO INDUSTRIAL, EMBARCACOES E AERONAVES</t>
  </si>
  <si>
    <t>68200</t>
  </si>
  <si>
    <t>ARRENDAMENTO DE BENS IMOBILIARIOS</t>
  </si>
  <si>
    <t>96010</t>
  </si>
  <si>
    <t>LAVAGEM E LIMPEZA A SECO DE TEXTEIS E PELES</t>
  </si>
  <si>
    <t>13303</t>
  </si>
  <si>
    <t>ACABAMENTO DE FIOS, TECIDOS E ARTIGOS TEXTEIS, N. E.</t>
  </si>
  <si>
    <t>47782</t>
  </si>
  <si>
    <t>COM. RETALHO MATERIAL OPTICO, FOTOGRAFICO, CINEMATOGRAFICO E INSTRUM. PRECISAO</t>
  </si>
  <si>
    <t>46711</t>
  </si>
  <si>
    <t>COMERCIO POR GROSSO DE PRODUTOS PETROLIFEROS</t>
  </si>
  <si>
    <t>20594</t>
  </si>
  <si>
    <t>FABRICACAO DE OUTROS PRODUTOS QUIMICOS DIVERSOS, N. E.</t>
  </si>
  <si>
    <t>31020</t>
  </si>
  <si>
    <t>FABRICACAO DE MOBILIARIO DE COZINHA</t>
  </si>
  <si>
    <t>94991</t>
  </si>
  <si>
    <t>ASSOCIACOES CULTURAIS E RECREATIVAS</t>
  </si>
  <si>
    <t>15201</t>
  </si>
  <si>
    <t>FABRICACAO DE CALCADO</t>
  </si>
  <si>
    <t>82110</t>
  </si>
  <si>
    <t>ACTIVIDADES COMBINADAS DE SERVICOS ADMINISTRATIVOS</t>
  </si>
  <si>
    <t>55117</t>
  </si>
  <si>
    <t>ALDEAMENTOS TURISTICOS COM RESTAURANTE</t>
  </si>
  <si>
    <t>41200</t>
  </si>
  <si>
    <t>CONSTRUCAO DE EDIFICIOS (RESIDENCIAIS E NAO RESIDENCIAIS)</t>
  </si>
  <si>
    <t>13203</t>
  </si>
  <si>
    <t>TECELAGEM DE FIO DO TIPO SEDA E DE OUTROS TEXTEIS</t>
  </si>
  <si>
    <t>16213</t>
  </si>
  <si>
    <t>FABRICACAO DE FOLHEADOS, CONTRAPLACADOS, LAMELADOS</t>
  </si>
  <si>
    <t>32122</t>
  </si>
  <si>
    <t>FABRICACAO DE ARTIGOS DE JOALHARIA E DE OUTROS ARTIGOS DE OURIVESARIA</t>
  </si>
  <si>
    <t>96093</t>
  </si>
  <si>
    <t>OUTRAS ACTIVIDADES DE SERVICOS PESSOAIS DIVERSAS, N. E.</t>
  </si>
  <si>
    <t>55111</t>
  </si>
  <si>
    <t>HOTEIS COM RESTAURANTE</t>
  </si>
  <si>
    <t>27400</t>
  </si>
  <si>
    <t>FABRICACAO DE LAMPADAS ELECTRICAS E DE OUTRO EQUIPAMENTO DE ILUMINACAO</t>
  </si>
  <si>
    <t>46470</t>
  </si>
  <si>
    <t>COM. POR GROSSO MOVEIS PARA USO DOMESTICO, CARPETES, TAPETES E ART. ILUMINACAO</t>
  </si>
  <si>
    <t>10510</t>
  </si>
  <si>
    <t>INDUSTRIAS DO LEITE E DERIVADOS</t>
  </si>
  <si>
    <t>23703</t>
  </si>
  <si>
    <t>FABRICACAO DE ARTIGOS DE GRANITO E DE ROCHAS, N. E</t>
  </si>
  <si>
    <t>01220</t>
  </si>
  <si>
    <t>CULTURA DE FRUTOS TROPICAIS E SUBTROPICAIS</t>
  </si>
  <si>
    <t>14132</t>
  </si>
  <si>
    <t>CONFECCAO DE OUTRO VESTUARIO EXTERIOR POR MEDIDA</t>
  </si>
  <si>
    <t>20160</t>
  </si>
  <si>
    <t>FABRICACAO DE MATERIAS PLASTICAS SOB FORMAS PRIMARIAS</t>
  </si>
  <si>
    <t>85310</t>
  </si>
  <si>
    <t>ENSINOS BASICO (3.  CICLO) E SECUNDARIO GERAL</t>
  </si>
  <si>
    <t>46610</t>
  </si>
  <si>
    <t>COMERCIO POR GROSSO DE MAQUINAS E EQUIPAMENTOS, AGRICOLAS</t>
  </si>
  <si>
    <t>47300</t>
  </si>
  <si>
    <t>COMERCIO A RETALHO COMBUSTIVEL PARA VEICULOS A MOTOR, EM ESTAB. ESPECIALIZADOS</t>
  </si>
  <si>
    <t>46150</t>
  </si>
  <si>
    <t>AGENTES COMERCIO POR GROSSO MOBILIARIO, ARTIGOS PARA USO DOMESTICO E FERRAGENS</t>
  </si>
  <si>
    <t>79110</t>
  </si>
  <si>
    <t>ACTIVIDADES DAS AGENCIAS DE VIAGEM</t>
  </si>
  <si>
    <t>10840</t>
  </si>
  <si>
    <t>FABRICACAO DE CONDIMENTOS E TEMPEROS</t>
  </si>
  <si>
    <t>31092</t>
  </si>
  <si>
    <t>FABRICACAO DE MOBILIARIO METALICO PARA OUTROS FINS</t>
  </si>
  <si>
    <t>86901</t>
  </si>
  <si>
    <t>LABORATORIOS DE ANALISES CLINICAS</t>
  </si>
  <si>
    <t>47910</t>
  </si>
  <si>
    <t>COMERCIO A RETALHO POR CORRESPONDENCIA OU VIA INTERNET</t>
  </si>
  <si>
    <t>47790</t>
  </si>
  <si>
    <t>COMERCIO A RETALHO DE ARTIGOS EM SEGUNDA MAO, EM ESTABELECIMENTOS ESPECIALIZADOS</t>
  </si>
  <si>
    <t>02100</t>
  </si>
  <si>
    <t>SILVICULTURA E OUTRAS ACTIVIDADES FLORESTAIS</t>
  </si>
  <si>
    <t>94995</t>
  </si>
  <si>
    <t>OUTRAS ACTIVIDADES ASSOCIATIVAS, N. E.</t>
  </si>
  <si>
    <t>66300</t>
  </si>
  <si>
    <t>ACTIVIDADES DE GESTAO DE FUNDOS</t>
  </si>
  <si>
    <t>27122</t>
  </si>
  <si>
    <t>FAB. MATERIAL DE DISTRIBUICAO E CONTROLO PARA INSTAL. ELECTRICAS DE BAIXA TENSAO</t>
  </si>
  <si>
    <t>31030</t>
  </si>
  <si>
    <t>FABRICACAO DE COLCHOARIA</t>
  </si>
  <si>
    <t>10201</t>
  </si>
  <si>
    <t>PREPARACAO DE PRODUTOS DA PESCA E DA AQUICULTURA</t>
  </si>
  <si>
    <t>47430</t>
  </si>
  <si>
    <t>COMERCIO A RETALHO EQUIPAMENTO AUDIO VISUAL, EM ESTABELECIMENTOS ESPECIALIZADOS</t>
  </si>
  <si>
    <t>46510</t>
  </si>
  <si>
    <t>COMERCIO POR GROSSO DE COMPUTADORES, EQUIP. PERIFERICOS E PROGRAMAS INFORMATICOS</t>
  </si>
  <si>
    <t>38311</t>
  </si>
  <si>
    <t>DESMANTELAMENTO DE VEICULOS AUTOMOVEIS, EM FIM DE VIDA.</t>
  </si>
  <si>
    <t>13301</t>
  </si>
  <si>
    <t>BRANQUEAMENTO E TINGIMENTO</t>
  </si>
  <si>
    <t>28222</t>
  </si>
  <si>
    <t>FABRICACAO DE EQUIPAMENTOS DE ELEVACAO E DE MOVIMENTACAO, N. E.</t>
  </si>
  <si>
    <t>46650</t>
  </si>
  <si>
    <t>COMERCIO POR GROSSO DE MOBILIARIO DE ESCRITORIO</t>
  </si>
  <si>
    <t>10912</t>
  </si>
  <si>
    <t>FABRICACAO DE ALIMENTOS PARA ANIMAIS DE CRIACAO (EXCEPTO PARA AQUICULTURA)</t>
  </si>
  <si>
    <t>25610</t>
  </si>
  <si>
    <t>TRATAMENTO E REVESTIMENTO DE METAIS</t>
  </si>
  <si>
    <t>01261</t>
  </si>
  <si>
    <t>OLIVICULTURA</t>
  </si>
  <si>
    <t>87100</t>
  </si>
  <si>
    <t>ACTIVIDADES DOS ESTABELECIMENTOS DE CUIDADOS CONTINUADOS INTEGRADOS, COM ALOJAM.</t>
  </si>
  <si>
    <t>47250</t>
  </si>
  <si>
    <t>COMERCIO A RETALHO DE BEBIDAS, EM ESTABELECIMENTOS ESPECIALIZADOS</t>
  </si>
  <si>
    <t>68313</t>
  </si>
  <si>
    <t>ACTIVIDADES DE AVALIACAO IMOBILIARIA</t>
  </si>
  <si>
    <t>21201</t>
  </si>
  <si>
    <t>FABRICACAO DE MEDICAMENTOS</t>
  </si>
  <si>
    <t>47990</t>
  </si>
  <si>
    <t>COM.RET.P/OUT.METODOS,NAO EFECT. EM ESTAB.BANCAS,FEIRAS OU UNID.MOVEIS DE VENDA</t>
  </si>
  <si>
    <t>47293</t>
  </si>
  <si>
    <t>OUTRO COMERCIO A RETALHO DE PRODUTOS ALIMENTARES, EM ESTAB. ESPECIALIZADOS</t>
  </si>
  <si>
    <t>23414</t>
  </si>
  <si>
    <t>ACTIVIDADES DE DECORACAO DE ARTIGOS CERAMICOS DE USO DOMESTICO E ORNAMENTAL</t>
  </si>
  <si>
    <t>46761</t>
  </si>
  <si>
    <t>COMERCIO POR GROSSO DE FIBRAS TEXTEIS NATURAIS, ARTIFICIAIS E SINTETICAS</t>
  </si>
  <si>
    <t>98100</t>
  </si>
  <si>
    <t>ACTIVIDADES DE PRODUCAO DE BENS PELAS FAMILIAS PARA USO PROPRIO</t>
  </si>
  <si>
    <t>68100</t>
  </si>
  <si>
    <t>COMPRA E VENDA DE BENS IMOBILIARIOS</t>
  </si>
  <si>
    <t>46240</t>
  </si>
  <si>
    <t>COMERCIO POR GROSSO DE PELES E COURO</t>
  </si>
  <si>
    <t>55122</t>
  </si>
  <si>
    <t>PENSOES SEM RESTAURANTE</t>
  </si>
  <si>
    <t>13993</t>
  </si>
  <si>
    <t>FABRICACAO DE OUTROS TEXTEIS DIVERSOS, N. E.</t>
  </si>
  <si>
    <t>10712</t>
  </si>
  <si>
    <t>PASTELARIA</t>
  </si>
  <si>
    <t>55900</t>
  </si>
  <si>
    <t>OUTROS LOCAIS DE ALOJAMENTO</t>
  </si>
  <si>
    <t>93110</t>
  </si>
  <si>
    <t>GESTAO DE INSTALACOES DESPORTIVAS</t>
  </si>
  <si>
    <t>01500</t>
  </si>
  <si>
    <t>AGRICULTURA E PRODUCAO ANIMAL COMBINADAS</t>
  </si>
  <si>
    <t>13991</t>
  </si>
  <si>
    <t>FABRICACAO DE BORDADOS</t>
  </si>
  <si>
    <t>16230</t>
  </si>
  <si>
    <t>FABRICACAO DE OUTRAS OBRAS DE CARPINTARIA PARA A CONSTRUCAO</t>
  </si>
  <si>
    <t>33130</t>
  </si>
  <si>
    <t>REPARACAO E MANUTENCAO DE EQUIPAMENTO ELECTRONICO E OPTICO</t>
  </si>
  <si>
    <t>43910</t>
  </si>
  <si>
    <t>ACTIVIDADES DE COLOCACAO DE COBERTURAS</t>
  </si>
  <si>
    <t>49320</t>
  </si>
  <si>
    <t>TRANSPORTE OCASIONAL DE PASSAGEIROS EM VEICULOS LIGEIROS</t>
  </si>
  <si>
    <t>37001</t>
  </si>
  <si>
    <t>RECOLHA E DRENAGEM DE AGUAS RESIDUAIS</t>
  </si>
  <si>
    <t>47111</t>
  </si>
  <si>
    <t>COMERCIO A RETALHO EM SUPERMERCADOS E HIPERMERCADOS</t>
  </si>
  <si>
    <t>01251</t>
  </si>
  <si>
    <t>CULTURA DE FRUTOS DE CASCA RIJA</t>
  </si>
  <si>
    <t>93130</t>
  </si>
  <si>
    <t>ACTIVIDADES DE GINASIO (FITNESS)</t>
  </si>
  <si>
    <t>25501</t>
  </si>
  <si>
    <t>FABRICACAO DE PRODUTOS FORJADOS, ESTAMPADOS E LAMINADOS</t>
  </si>
  <si>
    <t>28292</t>
  </si>
  <si>
    <t>FABRICACAO DE BALANCAS E DE OUTRO EQUIPAMENTO PARA PESAGEM</t>
  </si>
  <si>
    <t>47620</t>
  </si>
  <si>
    <t>COMERCIO A RETALHO DE JORNAIS, REVISTAS E ARTIGOS PAPELARIA, EM ESTAB. ESPECIAL.</t>
  </si>
  <si>
    <t>96021</t>
  </si>
  <si>
    <t>SALOES DE CABELEIREIRO</t>
  </si>
  <si>
    <t>20152</t>
  </si>
  <si>
    <t>FABRICACAO DE ADUBOS ORGANICOS E ORGANO MINERAIS</t>
  </si>
  <si>
    <t>45190</t>
  </si>
  <si>
    <t>COMERCIO DE OUTROS VEICULOS AUTOMOVEIS</t>
  </si>
  <si>
    <t>58290</t>
  </si>
  <si>
    <t>EDICAO DE OUTROS PROGRAMAS INFORMATICOS</t>
  </si>
  <si>
    <t>56106</t>
  </si>
  <si>
    <t>CONFECCAO DE REFEICOES PRONTAS A LEVAR PARA CASA</t>
  </si>
  <si>
    <t>62010</t>
  </si>
  <si>
    <t>ACTIVIDADES DE PROGRAMACAO INFORMATICA</t>
  </si>
  <si>
    <t>96030</t>
  </si>
  <si>
    <t>ACTIVIDADES FUNERARIAS E CONEXAS</t>
  </si>
  <si>
    <t>32502</t>
  </si>
  <si>
    <t>FABRICACAO DE MATERIAL ORTOPEDICO E PROTESES E DE INSTRUMENTOS MEDICO-CIRURGICOS</t>
  </si>
  <si>
    <t>43390</t>
  </si>
  <si>
    <t>OUTRAS ACTIVIDADES DE ACABAMENTO EM EDIFICIOS</t>
  </si>
  <si>
    <t>23490</t>
  </si>
  <si>
    <t>FABRICACAO DE OUTROS PRODUTOS CERAMICOS NAO REFRACTARIOS</t>
  </si>
  <si>
    <t>56104</t>
  </si>
  <si>
    <t>RESTAURANTES TIPICOS</t>
  </si>
  <si>
    <t>46480</t>
  </si>
  <si>
    <t>COMERCIO POR GROSSO DE RELOGIOS E DE ARTIGOS DE OURIVESARIA E JOALHARIA</t>
  </si>
  <si>
    <t>10203</t>
  </si>
  <si>
    <t>CONSERVACAO DE PROD. DA PESCA E DA AQUICULTURA EM AZEITE E OUTROS OLEOS VEGETAIS</t>
  </si>
  <si>
    <t>56290</t>
  </si>
  <si>
    <t>OUTRAS ACTIVIDADES DE SERVICO DE REFEICOES</t>
  </si>
  <si>
    <t>25931</t>
  </si>
  <si>
    <t>FABRICACAO DE PRODUTOS DE ARAME</t>
  </si>
  <si>
    <t>33140</t>
  </si>
  <si>
    <t>REPARACAO E MANUTENCAO DE EQUIPAMENTO ELECTRICO</t>
  </si>
  <si>
    <t>49392</t>
  </si>
  <si>
    <t>OUTROS TRANSPORTES TERRESTRES DE PASSAGEIROS DIVERSOS N. E.</t>
  </si>
  <si>
    <t>74900</t>
  </si>
  <si>
    <t>OUTRAS ACTIVIDADES DE CONSULTORIA, CIENTIFICAS, TECNICAS E SIMILARES, N. E.</t>
  </si>
  <si>
    <t>13961</t>
  </si>
  <si>
    <t>FABRICACAO DE PASSAMANARIAS E SIRGARIAS</t>
  </si>
  <si>
    <t>14133</t>
  </si>
  <si>
    <t>ACTIVIDADES DE ACABAMENTO DE ARTIGOS DE VESTUARIO</t>
  </si>
  <si>
    <t>24540</t>
  </si>
  <si>
    <t>FUNDICAO DE OUTROS METAIS NAO FERROSOS</t>
  </si>
  <si>
    <t>47761</t>
  </si>
  <si>
    <t>COMERCIO A RETALHO FLORES, PLANTAS, SEMENTES E FERTILIZANTES, EM ESTAB.ESPECIAL.</t>
  </si>
  <si>
    <t>46421</t>
  </si>
  <si>
    <t>COMERCIO POR GROSSO DE VESTUARIO E DE ACESSORIOS</t>
  </si>
  <si>
    <t>46332</t>
  </si>
  <si>
    <t>COMERCIO POR GROSSO DE AZEITE, OLEOS E GORDURAS ALIMENTARES</t>
  </si>
  <si>
    <t>08122</t>
  </si>
  <si>
    <t>EXTRACCAO DE ARGILAS E CAULINO</t>
  </si>
  <si>
    <t>74100</t>
  </si>
  <si>
    <t>ACTIVIDADES DE DESIGN</t>
  </si>
  <si>
    <t>46520</t>
  </si>
  <si>
    <t>COMERCIO POR GROSSO DE EQUIP. ELECTRONICOS, DE TELECOMUNICACOES E SUAS PARTES</t>
  </si>
  <si>
    <t>47510</t>
  </si>
  <si>
    <t>COMERCIO A RETALHO DE TEXTEIS, EM ESTABELECIMENTOS ESPECIALIZADOS</t>
  </si>
  <si>
    <t>85520</t>
  </si>
  <si>
    <t>ENSINO DE ACTIVIDADES CULTURAIS</t>
  </si>
  <si>
    <t>47750</t>
  </si>
  <si>
    <t>COMERCIO A RETALHO DE PRODUTOS COSMETICOS E DE HIGIENE, EM ESTAB. ESPECIALIZADOS</t>
  </si>
  <si>
    <t>64190</t>
  </si>
  <si>
    <t>OUTRA INTERMEDIACAO MONETARIA</t>
  </si>
  <si>
    <t>20301</t>
  </si>
  <si>
    <t>FABRICACAO DE TINTAS (EXCEPTO IMPRESSAO), VERNIZES, MASTIQUES E PROD. SIMILARES</t>
  </si>
  <si>
    <t>35302</t>
  </si>
  <si>
    <t>PRODUCAO DE GELO</t>
  </si>
  <si>
    <t>22292</t>
  </si>
  <si>
    <t>FABRICACAO DE OUTROS ARTIGOS DE PLASTICO, N. E</t>
  </si>
  <si>
    <t>46771</t>
  </si>
  <si>
    <t>COMERCIO POR GROSSO DE SUCATAS E DE DESPERDICIOS METALICOS</t>
  </si>
  <si>
    <t>Descritivo CAE</t>
  </si>
  <si>
    <t>Amount</t>
  </si>
  <si>
    <t>Sem finalidade</t>
  </si>
  <si>
    <t xml:space="preserve">Sem finalidade </t>
  </si>
  <si>
    <r>
      <rPr>
        <b/>
        <i/>
        <sz val="10"/>
        <color theme="0"/>
        <rFont val="Arial"/>
        <family val="2"/>
      </rPr>
      <t>Economic Emission Intensity</t>
    </r>
    <r>
      <rPr>
        <b/>
        <sz val="10"/>
        <color theme="0"/>
        <rFont val="Arial"/>
        <family val="2"/>
      </rPr>
      <t xml:space="preserve"> (tCO2e/€M)</t>
    </r>
  </si>
  <si>
    <t xml:space="preserve">Portugal </t>
  </si>
  <si>
    <t xml:space="preserve">Resumo Global - Portugal </t>
  </si>
  <si>
    <t xml:space="preserve">Resumo Global - Espanha </t>
  </si>
  <si>
    <t xml:space="preserve">Espanha </t>
  </si>
  <si>
    <t>Portugal</t>
  </si>
  <si>
    <t xml:space="preserve">Não Aplicável </t>
  </si>
  <si>
    <t xml:space="preserve">Resumo  - Portugal </t>
  </si>
  <si>
    <t>Considerar universo corporativo, cuja a exposição se encontre associada a um contrato com classificação específica CRE (considerando apenas operçaões cuja contraparte seja uma empresa que possua NACE 41.10, 55.11 e 58) ou Habitação e que possua, pelo menos, uma garantia imobiliário associada.</t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</si>
  <si>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</si>
  <si>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t>Variação
Emissões Financiadas (tCO2e)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</si>
  <si>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imóvel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</si>
  <si>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t xml:space="preserve">Considerar país como Portugal ou Espanha, para todo o universo, dependendo do cenário de análise, mesmo para os casos em que a informação relativa ao país do imóvel se encontra indisponível. 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</si>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</sst>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  <font>
      <sz val="10"/>
      <color theme="1"/>
      <name val="Arial"/>
    </font>
    <font>
      <b/>
      <sz val="10"/>
      <color rgb="FFC00000"/>
      <name val="Arial"/>
      <family val="2"/>
    </font>
    <font>
      <b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80000"/>
        <bgColor indexed="64"/>
      </patternFill>
    </fill>
    <fill>
      <patternFill patternType="solid">
        <fgColor rgb="FFFFD5D5"/>
        <bgColor indexed="64"/>
      </patternFill>
    </fill>
  </fills>
  <borders count="21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/>
      <top/>
      <bottom style="hair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9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6" fillId="7" borderId="0" xfId="0" applyFont="1" applyFill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7" fillId="0" borderId="0" xfId="0" applyFont="1"/>
    <xf numFmtId="0" fontId="6" fillId="0" borderId="1" xfId="0" applyFont="1" applyBorder="1" applyAlignment="1">
      <alignment horizontal="left" indent="1"/>
    </xf>
    <xf numFmtId="3" fontId="9" fillId="0" borderId="0" xfId="0" applyNumberFormat="1" applyFont="1"/>
    <xf numFmtId="0" fontId="10" fillId="0" borderId="0" xfId="0" applyFont="1"/>
    <xf numFmtId="3" fontId="6" fillId="0" borderId="0" xfId="0" applyNumberFormat="1" applyFont="1"/>
    <xf numFmtId="0" fontId="12" fillId="0" borderId="0" xfId="0" applyFont="1" applyAlignment="1">
      <alignment horizontal="left" indent="2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 indent="2"/>
    </xf>
    <xf numFmtId="0" fontId="11" fillId="2" borderId="0" xfId="0" applyFont="1" applyFill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 applyAlignment="1">
      <alignment horizontal="center" vertical="center" wrapText="1"/>
    </xf>
    <xf numFmtId="0" fontId="14" fillId="0" borderId="0" xfId="0" applyFont="1"/>
    <xf numFmtId="0" fontId="19" fillId="0" borderId="0" xfId="0" applyFont="1"/>
    <xf numFmtId="10" fontId="13" fillId="5" borderId="4" xfId="1" applyNumberFormat="1" applyFont="1" applyFill="1" applyBorder="1"/>
    <xf numFmtId="3" fontId="13" fillId="5" borderId="4" xfId="0" applyNumberFormat="1" applyFont="1" applyFill="1" applyBorder="1"/>
    <xf numFmtId="3" fontId="14" fillId="0" borderId="0" xfId="0" applyNumberFormat="1" applyFont="1"/>
    <xf numFmtId="0" fontId="13" fillId="6" borderId="0" xfId="0" applyFont="1" applyFill="1"/>
    <xf numFmtId="164" fontId="13" fillId="6" borderId="0" xfId="0" applyNumberFormat="1" applyFont="1" applyFill="1"/>
    <xf numFmtId="9" fontId="13" fillId="6" borderId="0" xfId="1" applyFont="1" applyFill="1"/>
    <xf numFmtId="3" fontId="13" fillId="6" borderId="0" xfId="0" applyNumberFormat="1" applyFont="1" applyFill="1"/>
    <xf numFmtId="0" fontId="13" fillId="0" borderId="4" xfId="1" applyNumberFormat="1" applyFont="1" applyFill="1" applyBorder="1" applyAlignment="1">
      <alignment horizontal="center"/>
    </xf>
    <xf numFmtId="4" fontId="13" fillId="0" borderId="4" xfId="0" applyNumberFormat="1" applyFont="1" applyBorder="1"/>
    <xf numFmtId="165" fontId="13" fillId="0" borderId="4" xfId="0" applyNumberFormat="1" applyFont="1" applyBorder="1"/>
    <xf numFmtId="4" fontId="13" fillId="6" borderId="0" xfId="0" applyNumberFormat="1" applyFont="1" applyFill="1"/>
    <xf numFmtId="166" fontId="13" fillId="6" borderId="0" xfId="0" applyNumberFormat="1" applyFont="1" applyFill="1"/>
    <xf numFmtId="0" fontId="13" fillId="5" borderId="4" xfId="0" applyFont="1" applyFill="1" applyBorder="1" applyAlignment="1">
      <alignment horizontal="left" indent="1"/>
    </xf>
    <xf numFmtId="0" fontId="14" fillId="0" borderId="4" xfId="0" applyFont="1" applyBorder="1" applyAlignment="1">
      <alignment horizontal="left" indent="2"/>
    </xf>
    <xf numFmtId="0" fontId="13" fillId="0" borderId="4" xfId="0" applyFont="1" applyBorder="1" applyAlignment="1">
      <alignment horizontal="left" indent="1"/>
    </xf>
    <xf numFmtId="0" fontId="16" fillId="5" borderId="4" xfId="0" applyFont="1" applyFill="1" applyBorder="1" applyAlignment="1">
      <alignment horizontal="left" indent="1"/>
    </xf>
    <xf numFmtId="0" fontId="16" fillId="0" borderId="4" xfId="0" applyFont="1" applyBorder="1" applyAlignment="1">
      <alignment horizontal="left" indent="1"/>
    </xf>
    <xf numFmtId="0" fontId="7" fillId="7" borderId="0" xfId="0" applyFont="1" applyFill="1"/>
    <xf numFmtId="0" fontId="14" fillId="0" borderId="1" xfId="0" applyFont="1" applyBorder="1" applyAlignment="1">
      <alignment horizontal="left" indent="1"/>
    </xf>
    <xf numFmtId="0" fontId="14" fillId="0" borderId="6" xfId="0" applyFont="1" applyBorder="1"/>
    <xf numFmtId="164" fontId="14" fillId="0" borderId="6" xfId="0" applyNumberFormat="1" applyFont="1" applyBorder="1"/>
    <xf numFmtId="10" fontId="14" fillId="0" borderId="6" xfId="1" applyNumberFormat="1" applyFont="1" applyBorder="1"/>
    <xf numFmtId="4" fontId="14" fillId="0" borderId="6" xfId="0" applyNumberFormat="1" applyFont="1" applyBorder="1"/>
    <xf numFmtId="0" fontId="14" fillId="0" borderId="7" xfId="0" applyFont="1" applyBorder="1"/>
    <xf numFmtId="164" fontId="14" fillId="0" borderId="7" xfId="0" applyNumberFormat="1" applyFont="1" applyBorder="1"/>
    <xf numFmtId="10" fontId="14" fillId="0" borderId="7" xfId="1" applyNumberFormat="1" applyFont="1" applyBorder="1"/>
    <xf numFmtId="4" fontId="14" fillId="0" borderId="7" xfId="0" applyNumberFormat="1" applyFont="1" applyBorder="1"/>
    <xf numFmtId="0" fontId="13" fillId="8" borderId="9" xfId="0" applyFont="1" applyFill="1" applyBorder="1"/>
    <xf numFmtId="164" fontId="13" fillId="8" borderId="9" xfId="0" applyNumberFormat="1" applyFont="1" applyFill="1" applyBorder="1"/>
    <xf numFmtId="9" fontId="13" fillId="8" borderId="9" xfId="1" applyFont="1" applyFill="1" applyBorder="1"/>
    <xf numFmtId="4" fontId="13" fillId="8" borderId="9" xfId="0" applyNumberFormat="1" applyFont="1" applyFill="1" applyBorder="1"/>
    <xf numFmtId="164" fontId="14" fillId="0" borderId="0" xfId="0" applyNumberFormat="1" applyFont="1"/>
    <xf numFmtId="4" fontId="14" fillId="0" borderId="0" xfId="0" applyNumberFormat="1" applyFont="1"/>
    <xf numFmtId="0" fontId="14" fillId="0" borderId="0" xfId="0" applyFont="1" applyAlignment="1">
      <alignment horizontal="left" indent="2"/>
    </xf>
    <xf numFmtId="0" fontId="13" fillId="0" borderId="1" xfId="0" applyFont="1" applyBorder="1" applyAlignment="1">
      <alignment horizontal="left" indent="1"/>
    </xf>
    <xf numFmtId="0" fontId="14" fillId="0" borderId="8" xfId="0" applyFont="1" applyBorder="1"/>
    <xf numFmtId="9" fontId="13" fillId="5" borderId="4" xfId="1" applyFont="1" applyFill="1" applyBorder="1" applyAlignment="1">
      <alignment horizontal="right"/>
    </xf>
    <xf numFmtId="3" fontId="13" fillId="5" borderId="4" xfId="0" applyNumberFormat="1" applyFont="1" applyFill="1" applyBorder="1" applyAlignment="1">
      <alignment horizontal="right"/>
    </xf>
    <xf numFmtId="9" fontId="14" fillId="0" borderId="13" xfId="1" applyFont="1" applyBorder="1" applyAlignment="1">
      <alignment horizontal="right"/>
    </xf>
    <xf numFmtId="3" fontId="14" fillId="0" borderId="13" xfId="0" applyNumberFormat="1" applyFont="1" applyBorder="1" applyAlignment="1">
      <alignment horizontal="right"/>
    </xf>
    <xf numFmtId="3" fontId="14" fillId="0" borderId="13" xfId="0" quotePrefix="1" applyNumberFormat="1" applyFont="1" applyBorder="1" applyAlignment="1">
      <alignment horizontal="right"/>
    </xf>
    <xf numFmtId="9" fontId="13" fillId="8" borderId="9" xfId="1" applyFont="1" applyFill="1" applyBorder="1" applyAlignment="1">
      <alignment horizontal="right"/>
    </xf>
    <xf numFmtId="3" fontId="13" fillId="8" borderId="9" xfId="0" applyNumberFormat="1" applyFont="1" applyFill="1" applyBorder="1" applyAlignment="1">
      <alignment horizontal="right"/>
    </xf>
    <xf numFmtId="0" fontId="21" fillId="0" borderId="0" xfId="0" applyFont="1" applyAlignment="1">
      <alignment horizontal="left"/>
    </xf>
    <xf numFmtId="44" fontId="13" fillId="0" borderId="0" xfId="0" applyNumberFormat="1" applyFont="1"/>
    <xf numFmtId="0" fontId="14" fillId="0" borderId="4" xfId="0" applyFont="1" applyBorder="1" applyAlignment="1">
      <alignment horizontal="left" vertical="center"/>
    </xf>
    <xf numFmtId="44" fontId="14" fillId="0" borderId="4" xfId="2" applyFont="1" applyBorder="1" applyAlignment="1">
      <alignment horizontal="left" vertical="center"/>
    </xf>
    <xf numFmtId="3" fontId="14" fillId="0" borderId="4" xfId="2" applyNumberFormat="1" applyFont="1" applyBorder="1" applyAlignment="1">
      <alignment horizontal="right" vertical="center"/>
    </xf>
    <xf numFmtId="44" fontId="14" fillId="0" borderId="0" xfId="2" applyFont="1" applyFill="1" applyBorder="1" applyAlignment="1">
      <alignment horizontal="left" vertical="center"/>
    </xf>
    <xf numFmtId="44" fontId="15" fillId="0" borderId="0" xfId="2" applyFont="1" applyAlignment="1">
      <alignment horizontal="left" vertical="center"/>
    </xf>
    <xf numFmtId="44" fontId="15" fillId="0" borderId="0" xfId="2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Continuous" vertical="center" wrapText="1"/>
    </xf>
    <xf numFmtId="44" fontId="14" fillId="0" borderId="4" xfId="2" applyFont="1" applyBorder="1" applyAlignment="1">
      <alignment horizontal="right" vertical="center"/>
    </xf>
    <xf numFmtId="167" fontId="22" fillId="0" borderId="0" xfId="0" applyNumberFormat="1" applyFont="1" applyAlignment="1">
      <alignment horizontal="left"/>
    </xf>
    <xf numFmtId="0" fontId="23" fillId="0" borderId="0" xfId="0" applyFont="1"/>
    <xf numFmtId="0" fontId="23" fillId="0" borderId="4" xfId="0" applyFont="1" applyBorder="1" applyAlignment="1">
      <alignment horizontal="left" vertical="center"/>
    </xf>
    <xf numFmtId="4" fontId="23" fillId="0" borderId="4" xfId="0" applyNumberFormat="1" applyFont="1" applyBorder="1" applyAlignment="1">
      <alignment horizontal="right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4" fontId="23" fillId="9" borderId="4" xfId="0" applyNumberFormat="1" applyFont="1" applyFill="1" applyBorder="1" applyAlignment="1">
      <alignment horizontal="right" vertical="center"/>
    </xf>
    <xf numFmtId="44" fontId="13" fillId="8" borderId="9" xfId="0" applyNumberFormat="1" applyFont="1" applyFill="1" applyBorder="1"/>
    <xf numFmtId="44" fontId="13" fillId="5" borderId="4" xfId="2" applyFont="1" applyFill="1" applyBorder="1" applyAlignment="1">
      <alignment horizontal="left" indent="1"/>
    </xf>
    <xf numFmtId="3" fontId="14" fillId="0" borderId="4" xfId="2" quotePrefix="1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 indent="2"/>
    </xf>
    <xf numFmtId="3" fontId="13" fillId="8" borderId="9" xfId="0" applyNumberFormat="1" applyFont="1" applyFill="1" applyBorder="1"/>
    <xf numFmtId="3" fontId="13" fillId="5" borderId="4" xfId="2" applyNumberFormat="1" applyFont="1" applyFill="1" applyBorder="1" applyAlignment="1">
      <alignment horizontal="right"/>
    </xf>
    <xf numFmtId="4" fontId="13" fillId="5" borderId="4" xfId="2" applyNumberFormat="1" applyFont="1" applyFill="1" applyBorder="1" applyAlignment="1">
      <alignment horizontal="right"/>
    </xf>
    <xf numFmtId="4" fontId="13" fillId="5" borderId="4" xfId="0" applyNumberFormat="1" applyFont="1" applyFill="1" applyBorder="1" applyAlignment="1">
      <alignment horizontal="right"/>
    </xf>
    <xf numFmtId="0" fontId="13" fillId="0" borderId="7" xfId="0" applyFont="1" applyBorder="1"/>
    <xf numFmtId="44" fontId="14" fillId="0" borderId="7" xfId="2" applyFont="1" applyBorder="1"/>
    <xf numFmtId="9" fontId="14" fillId="0" borderId="7" xfId="1" applyFont="1" applyBorder="1"/>
    <xf numFmtId="0" fontId="18" fillId="4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Continuous" vertical="center" wrapText="1"/>
    </xf>
    <xf numFmtId="0" fontId="18" fillId="10" borderId="14" xfId="0" applyFont="1" applyFill="1" applyBorder="1" applyAlignment="1">
      <alignment horizontal="centerContinuous" vertical="center" wrapText="1"/>
    </xf>
    <xf numFmtId="164" fontId="12" fillId="0" borderId="0" xfId="0" applyNumberFormat="1" applyFont="1" applyAlignment="1">
      <alignment vertical="top" wrapText="1"/>
    </xf>
    <xf numFmtId="164" fontId="14" fillId="7" borderId="0" xfId="0" applyNumberFormat="1" applyFont="1" applyFill="1" applyAlignment="1">
      <alignment horizontal="centerContinuous"/>
    </xf>
    <xf numFmtId="4" fontId="14" fillId="7" borderId="0" xfId="0" applyNumberFormat="1" applyFont="1" applyFill="1" applyAlignment="1">
      <alignment horizontal="centerContinuous"/>
    </xf>
    <xf numFmtId="10" fontId="13" fillId="7" borderId="0" xfId="1" applyNumberFormat="1" applyFont="1" applyFill="1" applyBorder="1" applyAlignment="1">
      <alignment horizontal="centerContinuous"/>
    </xf>
    <xf numFmtId="164" fontId="14" fillId="0" borderId="7" xfId="2" applyNumberFormat="1" applyFont="1" applyBorder="1"/>
    <xf numFmtId="164" fontId="6" fillId="0" borderId="0" xfId="0" applyNumberFormat="1" applyFont="1"/>
    <xf numFmtId="0" fontId="18" fillId="3" borderId="5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44" fontId="14" fillId="0" borderId="0" xfId="0" applyNumberFormat="1" applyFont="1"/>
    <xf numFmtId="0" fontId="18" fillId="10" borderId="15" xfId="0" applyFont="1" applyFill="1" applyBorder="1" applyAlignment="1">
      <alignment horizontal="centerContinuous" vertical="center" wrapText="1"/>
    </xf>
    <xf numFmtId="0" fontId="13" fillId="7" borderId="10" xfId="0" applyFont="1" applyFill="1" applyBorder="1" applyAlignment="1">
      <alignment horizontal="right" vertical="center"/>
    </xf>
    <xf numFmtId="0" fontId="16" fillId="7" borderId="12" xfId="0" applyFont="1" applyFill="1" applyBorder="1" applyAlignment="1">
      <alignment horizontal="right" vertical="center"/>
    </xf>
    <xf numFmtId="10" fontId="14" fillId="0" borderId="4" xfId="1" applyNumberFormat="1" applyFont="1" applyBorder="1"/>
    <xf numFmtId="3" fontId="14" fillId="0" borderId="4" xfId="0" applyNumberFormat="1" applyFont="1" applyBorder="1"/>
    <xf numFmtId="3" fontId="13" fillId="0" borderId="4" xfId="0" applyNumberFormat="1" applyFont="1" applyBorder="1"/>
    <xf numFmtId="3" fontId="13" fillId="0" borderId="4" xfId="2" applyNumberFormat="1" applyFont="1" applyBorder="1"/>
    <xf numFmtId="3" fontId="12" fillId="0" borderId="0" xfId="0" applyNumberFormat="1" applyFont="1" applyAlignment="1">
      <alignment horizontal="left" vertical="top" wrapText="1" indent="2"/>
    </xf>
    <xf numFmtId="4" fontId="23" fillId="0" borderId="0" xfId="0" applyNumberFormat="1" applyFont="1"/>
    <xf numFmtId="3" fontId="23" fillId="0" borderId="0" xfId="0" applyNumberFormat="1" applyFont="1"/>
    <xf numFmtId="164" fontId="13" fillId="0" borderId="0" xfId="0" applyNumberFormat="1" applyFont="1"/>
    <xf numFmtId="3" fontId="13" fillId="0" borderId="0" xfId="0" applyNumberFormat="1" applyFont="1"/>
    <xf numFmtId="0" fontId="16" fillId="7" borderId="11" xfId="0" applyFont="1" applyFill="1" applyBorder="1" applyAlignment="1">
      <alignment horizontal="right" vertical="center"/>
    </xf>
    <xf numFmtId="0" fontId="16" fillId="7" borderId="0" xfId="0" applyFont="1" applyFill="1" applyAlignment="1">
      <alignment horizontal="right" vertical="center"/>
    </xf>
    <xf numFmtId="0" fontId="13" fillId="7" borderId="11" xfId="0" applyFont="1" applyFill="1" applyBorder="1" applyAlignment="1">
      <alignment horizontal="right" vertical="center"/>
    </xf>
    <xf numFmtId="0" fontId="13" fillId="7" borderId="0" xfId="0" applyFont="1" applyFill="1" applyAlignment="1">
      <alignment horizontal="right" vertical="center"/>
    </xf>
    <xf numFmtId="0" fontId="13" fillId="7" borderId="10" xfId="0" applyFont="1" applyFill="1" applyBorder="1" applyAlignment="1">
      <alignment horizontal="right" vertical="center"/>
    </xf>
    <xf numFmtId="0" fontId="25" fillId="7" borderId="11" xfId="0" applyFont="1" applyFill="1" applyBorder="1" applyAlignment="1">
      <alignment horizontal="right" vertical="center" wrapText="1"/>
    </xf>
    <xf numFmtId="0" fontId="25" fillId="7" borderId="0" xfId="0" applyFont="1" applyFill="1" applyAlignment="1">
      <alignment horizontal="right" vertical="center" wrapText="1"/>
    </xf>
    <xf numFmtId="0" fontId="25" fillId="7" borderId="10" xfId="0" applyFont="1" applyFill="1" applyBorder="1" applyAlignment="1">
      <alignment horizontal="right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3" fontId="12" fillId="0" borderId="0" xfId="0" applyNumberFormat="1" applyFont="1" applyAlignment="1">
      <alignment vertical="top" wrapText="1"/>
    </xf>
  </cellXfs>
  <cellStyles count="3">
    <cellStyle name="Currency" xfId="2" builtinId="4"/>
    <cellStyle name="Normal" xfId="0" builtinId="0"/>
    <cellStyle name="Percent" xfId="1" builtinId="5"/>
  </cellStyles>
  <dxfs count="1"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colors>
    <mruColors>
      <color rgb="FFFFCCCC"/>
      <color rgb="FFFFD5D5"/>
      <color rgb="FF580000"/>
      <color rgb="FFFF5353"/>
      <color rgb="FFF60000"/>
      <color rgb="FFFA0606"/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21733" y="194522"/>
          <a:ext cx="2178586" cy="393096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45533" y="186267"/>
          <a:ext cx="2403340" cy="380164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1052</xdr:rowOff>
    </xdr:from>
    <xdr:to>
      <xdr:col>2</xdr:col>
      <xdr:colOff>1769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45533" y="187319"/>
          <a:ext cx="2457103" cy="382287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3875D71-9483-4C94-A2B1-670E86F48A74}"/>
            </a:ext>
          </a:extLst>
        </xdr:cNvPr>
        <xdr:cNvGrpSpPr/>
      </xdr:nvGrpSpPr>
      <xdr:grpSpPr>
        <a:xfrm>
          <a:off x="245533" y="186267"/>
          <a:ext cx="2455198" cy="3833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4CE0CE4-AE22-00B2-5E04-52375DC0D0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4CFC387D-B01D-61BC-07D8-1887AD9699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9B82FB5-47D9-4FF2-A7E7-2ABEBFF7AB4C}"/>
            </a:ext>
          </a:extLst>
        </xdr:cNvPr>
        <xdr:cNvGrpSpPr/>
      </xdr:nvGrpSpPr>
      <xdr:grpSpPr>
        <a:xfrm>
          <a:off x="245533" y="186267"/>
          <a:ext cx="2455198" cy="3833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4343A913-34D5-9371-B0FD-F56EAD6ED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BB813B14-3EFA-4467-F8E9-BA7F2C423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45533" y="186267"/>
          <a:ext cx="2658398" cy="38333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592531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3C34522-0174-4808-959B-6926E86BEC64}"/>
            </a:ext>
          </a:extLst>
        </xdr:cNvPr>
        <xdr:cNvGrpSpPr/>
      </xdr:nvGrpSpPr>
      <xdr:grpSpPr>
        <a:xfrm>
          <a:off x="245533" y="186267"/>
          <a:ext cx="2658398" cy="3833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B7A95AD5-E547-8CED-08AC-17C5C4D2F8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A4EA426-F91A-0525-F9FC-A41D856C8D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2243531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CBD42CB-7C6C-46E8-A838-F47620189B82}"/>
            </a:ext>
          </a:extLst>
        </xdr:cNvPr>
        <xdr:cNvGrpSpPr/>
      </xdr:nvGrpSpPr>
      <xdr:grpSpPr>
        <a:xfrm>
          <a:off x="177800" y="186267"/>
          <a:ext cx="2658398" cy="3833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B55DCB6-CCA0-380C-739F-37E11FC2DC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10481C1-FF85-AA97-EF3A-FFAB96C3A6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="90" zoomScaleNormal="90" workbookViewId="0"/>
  </sheetViews>
  <sheetFormatPr defaultColWidth="0" defaultRowHeight="14.4" zeroHeight="1" x14ac:dyDescent="0.3"/>
  <cols>
    <col min="1" max="1" width="3.5546875" customWidth="1"/>
    <col min="2" max="2" width="19.21875" customWidth="1"/>
    <col min="3" max="10" width="8.5546875" customWidth="1"/>
    <col min="11" max="11" width="3.5546875" customWidth="1"/>
    <col min="12" max="16384" width="8.777343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pans="2:2" x14ac:dyDescent="0.3"/>
    <row r="18" spans="2:2" x14ac:dyDescent="0.3">
      <c r="B18" s="102">
        <f ca="1">TODAY()</f>
        <v>46028</v>
      </c>
    </row>
    <row r="19" spans="2:2" x14ac:dyDescent="0.3"/>
    <row r="20" spans="2:2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8"/>
  <sheetViews>
    <sheetView showGridLines="0" zoomScale="90" zoomScaleNormal="90" workbookViewId="0"/>
  </sheetViews>
  <sheetFormatPr defaultColWidth="0" defaultRowHeight="0" customHeight="1" zeroHeight="1" x14ac:dyDescent="0.3"/>
  <cols>
    <col min="1" max="1" width="3.5546875" customWidth="1"/>
    <col min="2" max="2" width="31.5546875" bestFit="1" customWidth="1"/>
    <col min="3" max="3" width="163.109375" customWidth="1"/>
    <col min="4" max="4" width="3.5546875" customWidth="1"/>
    <col min="5" max="16384" width="8.77734375" hidden="1"/>
  </cols>
  <sheetData>
    <row r="1" spans="1:4" ht="14.4" x14ac:dyDescent="0.3">
      <c r="A1" s="10"/>
      <c r="B1" s="10"/>
      <c r="C1" s="10"/>
      <c r="D1" s="10"/>
    </row>
    <row r="2" spans="1:4" ht="14.4" x14ac:dyDescent="0.3">
      <c r="A2" s="10"/>
      <c r="B2" s="10"/>
      <c r="C2" s="10"/>
      <c r="D2" s="10"/>
    </row>
    <row r="3" spans="1:4" ht="14.4" x14ac:dyDescent="0.3">
      <c r="A3" s="10"/>
      <c r="B3" s="10"/>
      <c r="C3" s="10"/>
      <c r="D3" s="10"/>
    </row>
    <row r="4" spans="1:4" ht="13.35" customHeight="1" x14ac:dyDescent="0.3">
      <c r="A4" s="10"/>
      <c r="B4" s="10"/>
      <c r="C4" s="10"/>
      <c r="D4" s="10"/>
    </row>
    <row r="5" spans="1:4" ht="3" customHeight="1" x14ac:dyDescent="0.3">
      <c r="A5" s="2"/>
      <c r="B5" s="2"/>
      <c r="C5" s="2"/>
      <c r="D5" s="2"/>
    </row>
    <row r="6" spans="1:4" ht="14.4" x14ac:dyDescent="0.3"/>
    <row r="7" spans="1:4" s="27" customFormat="1" ht="14.4" x14ac:dyDescent="0.3">
      <c r="B7" s="31" t="s">
        <v>75</v>
      </c>
    </row>
    <row r="8" spans="1:4" s="27" customFormat="1" ht="5.0999999999999996" customHeight="1" x14ac:dyDescent="0.25"/>
    <row r="9" spans="1:4" s="27" customFormat="1" ht="13.8" x14ac:dyDescent="0.25">
      <c r="B9" s="39" t="s">
        <v>35</v>
      </c>
      <c r="C9" s="38" t="s">
        <v>36</v>
      </c>
    </row>
    <row r="10" spans="1:4" s="27" customFormat="1" ht="13.8" x14ac:dyDescent="0.25">
      <c r="B10" s="136" t="s">
        <v>37</v>
      </c>
      <c r="C10" s="40" t="s">
        <v>38</v>
      </c>
    </row>
    <row r="11" spans="1:4" s="27" customFormat="1" ht="26.4" x14ac:dyDescent="0.25">
      <c r="B11" s="152" t="s">
        <v>39</v>
      </c>
      <c r="C11" s="41" t="s">
        <v>1058</v>
      </c>
    </row>
    <row r="12" spans="1:4" s="27" customFormat="1" ht="26.4" x14ac:dyDescent="0.25">
      <c r="B12" s="153"/>
      <c r="C12" s="41" t="s">
        <v>40</v>
      </c>
    </row>
    <row r="13" spans="1:4" s="27" customFormat="1" ht="26.4" x14ac:dyDescent="0.25">
      <c r="B13" s="153"/>
      <c r="C13" s="41" t="s">
        <v>76</v>
      </c>
    </row>
    <row r="14" spans="1:4" s="27" customFormat="1" ht="26.4" x14ac:dyDescent="0.25">
      <c r="B14" s="154"/>
      <c r="C14" s="42" t="s">
        <v>1062</v>
      </c>
    </row>
    <row r="15" spans="1:4" s="27" customFormat="1" ht="26.4" x14ac:dyDescent="0.25">
      <c r="B15" s="149" t="s">
        <v>41</v>
      </c>
      <c r="C15" s="43" t="s">
        <v>77</v>
      </c>
    </row>
    <row r="16" spans="1:4" s="27" customFormat="1" ht="26.4" x14ac:dyDescent="0.25">
      <c r="B16" s="150"/>
      <c r="C16" s="43" t="s">
        <v>1063</v>
      </c>
    </row>
    <row r="17" spans="2:3" s="27" customFormat="1" ht="13.8" x14ac:dyDescent="0.25">
      <c r="B17" s="150"/>
      <c r="C17" s="43" t="s">
        <v>1064</v>
      </c>
    </row>
    <row r="18" spans="2:3" s="27" customFormat="1" ht="13.8" x14ac:dyDescent="0.25">
      <c r="B18" s="150"/>
      <c r="C18" s="43" t="s">
        <v>78</v>
      </c>
    </row>
    <row r="19" spans="2:3" s="27" customFormat="1" ht="13.8" x14ac:dyDescent="0.25">
      <c r="B19" s="150"/>
      <c r="C19" s="43" t="s">
        <v>79</v>
      </c>
    </row>
    <row r="20" spans="2:3" s="27" customFormat="1" ht="13.8" x14ac:dyDescent="0.25">
      <c r="B20" s="151"/>
      <c r="C20" s="43" t="s">
        <v>42</v>
      </c>
    </row>
    <row r="21" spans="2:3" s="27" customFormat="1" ht="13.8" x14ac:dyDescent="0.25">
      <c r="B21" s="137" t="s">
        <v>43</v>
      </c>
      <c r="C21" s="40" t="s">
        <v>80</v>
      </c>
    </row>
    <row r="22" spans="2:3" s="27" customFormat="1" ht="39.6" x14ac:dyDescent="0.25">
      <c r="B22" s="147" t="s">
        <v>44</v>
      </c>
      <c r="C22" s="41" t="s">
        <v>1059</v>
      </c>
    </row>
    <row r="23" spans="2:3" s="27" customFormat="1" ht="13.8" x14ac:dyDescent="0.25">
      <c r="B23" s="148"/>
      <c r="C23" s="41" t="s">
        <v>45</v>
      </c>
    </row>
    <row r="24" spans="2:3" s="27" customFormat="1" ht="13.8" x14ac:dyDescent="0.25">
      <c r="B24" s="149" t="s">
        <v>46</v>
      </c>
      <c r="C24" s="41" t="s">
        <v>81</v>
      </c>
    </row>
    <row r="25" spans="2:3" s="27" customFormat="1" ht="26.4" x14ac:dyDescent="0.25">
      <c r="B25" s="150"/>
      <c r="C25" s="42" t="s">
        <v>82</v>
      </c>
    </row>
    <row r="26" spans="2:3" s="27" customFormat="1" ht="13.8" x14ac:dyDescent="0.25">
      <c r="B26" s="150"/>
      <c r="C26" s="41" t="s">
        <v>83</v>
      </c>
    </row>
    <row r="27" spans="2:3" s="27" customFormat="1" ht="26.4" x14ac:dyDescent="0.25">
      <c r="B27" s="151"/>
      <c r="C27" s="42" t="s">
        <v>84</v>
      </c>
    </row>
    <row r="28" spans="2:3" ht="14.4" x14ac:dyDescent="0.3"/>
  </sheetData>
  <mergeCells count="4">
    <mergeCell ref="B22:B23"/>
    <mergeCell ref="B24:B27"/>
    <mergeCell ref="B15:B20"/>
    <mergeCell ref="B11:B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J41"/>
  <sheetViews>
    <sheetView showGridLines="0" topLeftCell="A10" zoomScale="90" zoomScaleNormal="90" workbookViewId="0">
      <selection activeCell="D33" sqref="D33"/>
    </sheetView>
  </sheetViews>
  <sheetFormatPr defaultColWidth="0" defaultRowHeight="0" customHeight="1" zeroHeight="1" outlineLevelRow="1" x14ac:dyDescent="0.3"/>
  <cols>
    <col min="1" max="1" width="3.5546875" style="3" customWidth="1"/>
    <col min="2" max="2" width="35.77734375" bestFit="1" customWidth="1"/>
    <col min="3" max="6" width="20.5546875" customWidth="1"/>
    <col min="7" max="7" width="22.33203125" customWidth="1"/>
    <col min="8" max="9" width="20.5546875" customWidth="1"/>
    <col min="10" max="10" width="3.5546875" customWidth="1"/>
    <col min="11" max="16384" width="9.109375" hidden="1"/>
  </cols>
  <sheetData>
    <row r="1" spans="1:10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ht="14.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14.4" x14ac:dyDescent="0.3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14.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3" customHeight="1" x14ac:dyDescent="0.3">
      <c r="A5" s="1"/>
      <c r="B5" s="2"/>
      <c r="C5" s="2"/>
      <c r="D5" s="2"/>
      <c r="E5" s="2"/>
      <c r="F5" s="2"/>
      <c r="G5" s="2"/>
      <c r="H5" s="2"/>
      <c r="I5" s="2"/>
      <c r="J5" s="2"/>
    </row>
    <row r="6" spans="1:10" ht="14.4" x14ac:dyDescent="0.3"/>
    <row r="7" spans="1:10" s="27" customFormat="1" ht="14.4" x14ac:dyDescent="0.3">
      <c r="A7" s="30"/>
      <c r="B7" s="31" t="s">
        <v>74</v>
      </c>
      <c r="G7" s="32"/>
    </row>
    <row r="8" spans="1:10" s="27" customFormat="1" ht="5.0999999999999996" customHeight="1" x14ac:dyDescent="0.3">
      <c r="A8" s="30"/>
      <c r="C8" s="33" t="s">
        <v>0</v>
      </c>
      <c r="D8" s="32"/>
      <c r="E8" s="33"/>
      <c r="G8" s="32"/>
    </row>
    <row r="9" spans="1:10" s="27" customFormat="1" ht="5.0999999999999996" customHeight="1" x14ac:dyDescent="0.3">
      <c r="A9" s="30"/>
      <c r="C9" s="33"/>
      <c r="D9" s="32"/>
      <c r="E9" s="33"/>
      <c r="G9" s="32"/>
    </row>
    <row r="10" spans="1:10" s="46" customFormat="1" ht="15" customHeight="1" x14ac:dyDescent="0.25">
      <c r="A10" s="44"/>
      <c r="B10" s="155" t="s">
        <v>1</v>
      </c>
      <c r="C10" s="123" t="s">
        <v>1051</v>
      </c>
      <c r="D10" s="123"/>
      <c r="E10" s="124"/>
      <c r="F10" s="123" t="s">
        <v>1054</v>
      </c>
      <c r="G10" s="123"/>
      <c r="H10" s="124"/>
      <c r="I10" s="161" t="s">
        <v>1060</v>
      </c>
    </row>
    <row r="11" spans="1:10" s="46" customFormat="1" ht="26.4" x14ac:dyDescent="0.25">
      <c r="A11" s="47" t="s">
        <v>5</v>
      </c>
      <c r="B11" s="156"/>
      <c r="C11" s="131" t="s">
        <v>2</v>
      </c>
      <c r="D11" s="131" t="s">
        <v>3</v>
      </c>
      <c r="E11" s="132" t="s">
        <v>4</v>
      </c>
      <c r="F11" s="131" t="s">
        <v>2</v>
      </c>
      <c r="G11" s="131" t="s">
        <v>3</v>
      </c>
      <c r="H11" s="133" t="s">
        <v>4</v>
      </c>
      <c r="I11" s="162"/>
    </row>
    <row r="12" spans="1:10" s="46" customFormat="1" ht="13.2" x14ac:dyDescent="0.25">
      <c r="A12" s="47" t="s">
        <v>6</v>
      </c>
      <c r="B12" s="60" t="s">
        <v>87</v>
      </c>
      <c r="C12" s="49">
        <f>SUM(C13:C16)</f>
        <v>1268433200.203897</v>
      </c>
      <c r="D12" s="48">
        <f>+C12/$C$23</f>
        <v>4.9827305632223789E-2</v>
      </c>
      <c r="E12" s="49">
        <f>SUM(E13:E16)</f>
        <v>101493.70361210298</v>
      </c>
      <c r="F12" s="49">
        <f>SUM(F13:F16)</f>
        <v>1244805208.2503798</v>
      </c>
      <c r="G12" s="48">
        <f>+F12/$F$23</f>
        <v>4.8899137577055753E-2</v>
      </c>
      <c r="H12" s="49">
        <f>SUM(H13:H16)</f>
        <v>63065.376693776452</v>
      </c>
      <c r="I12" s="49">
        <f t="shared" ref="I12:I22" si="0">+H12-E12</f>
        <v>-38428.326918326529</v>
      </c>
    </row>
    <row r="13" spans="1:10" s="46" customFormat="1" ht="13.2" x14ac:dyDescent="0.25">
      <c r="A13" s="47" t="s">
        <v>7</v>
      </c>
      <c r="B13" s="61" t="s">
        <v>8</v>
      </c>
      <c r="C13" s="139">
        <v>1240557189.683897</v>
      </c>
      <c r="D13" s="138">
        <f>+C13/$C$12</f>
        <v>0.97802327271509526</v>
      </c>
      <c r="E13" s="139">
        <v>100330.08543724049</v>
      </c>
      <c r="F13" s="139">
        <v>1217924649.8503799</v>
      </c>
      <c r="G13" s="138">
        <f>+F13/$F$12</f>
        <v>0.97840581142990113</v>
      </c>
      <c r="H13" s="139">
        <v>62381.278154207881</v>
      </c>
      <c r="I13" s="139">
        <f t="shared" si="0"/>
        <v>-37948.807283032605</v>
      </c>
    </row>
    <row r="14" spans="1:10" s="46" customFormat="1" ht="13.2" x14ac:dyDescent="0.25">
      <c r="A14" s="47" t="s">
        <v>9</v>
      </c>
      <c r="B14" s="61" t="s">
        <v>10</v>
      </c>
      <c r="C14" s="139">
        <v>27876010.519999888</v>
      </c>
      <c r="D14" s="138">
        <f>+C14/$C$12</f>
        <v>2.1976727284904636E-2</v>
      </c>
      <c r="E14" s="139">
        <v>1163.6181748624999</v>
      </c>
      <c r="F14" s="139">
        <v>26880558.399999902</v>
      </c>
      <c r="G14" s="138">
        <f>+F14/$F$12</f>
        <v>2.1594188570098875E-2</v>
      </c>
      <c r="H14" s="139">
        <v>684.09853956857</v>
      </c>
      <c r="I14" s="139">
        <f t="shared" si="0"/>
        <v>-479.51963529392992</v>
      </c>
    </row>
    <row r="15" spans="1:10" s="46" customFormat="1" ht="13.2" x14ac:dyDescent="0.25">
      <c r="A15" s="47" t="s">
        <v>11</v>
      </c>
      <c r="B15" s="61" t="s">
        <v>88</v>
      </c>
      <c r="C15" s="139">
        <v>0</v>
      </c>
      <c r="D15" s="138">
        <f>+C15/$C$12</f>
        <v>0</v>
      </c>
      <c r="E15" s="139">
        <v>0</v>
      </c>
      <c r="F15" s="139">
        <v>0</v>
      </c>
      <c r="G15" s="138">
        <f>+F15/$F$12</f>
        <v>0</v>
      </c>
      <c r="H15" s="139">
        <v>0</v>
      </c>
      <c r="I15" s="139">
        <f t="shared" si="0"/>
        <v>0</v>
      </c>
    </row>
    <row r="16" spans="1:10" s="46" customFormat="1" ht="13.2" x14ac:dyDescent="0.25">
      <c r="A16" s="47" t="s">
        <v>12</v>
      </c>
      <c r="B16" s="61" t="s">
        <v>13</v>
      </c>
      <c r="C16" s="139">
        <v>0</v>
      </c>
      <c r="D16" s="138">
        <f>+C16/$C$12</f>
        <v>0</v>
      </c>
      <c r="E16" s="139">
        <v>0</v>
      </c>
      <c r="F16" s="139">
        <v>0</v>
      </c>
      <c r="G16" s="138">
        <f>+F16/$F$12</f>
        <v>0</v>
      </c>
      <c r="H16" s="139">
        <v>0</v>
      </c>
      <c r="I16" s="139">
        <f t="shared" si="0"/>
        <v>0</v>
      </c>
    </row>
    <row r="17" spans="1:9" s="46" customFormat="1" ht="13.2" x14ac:dyDescent="0.25">
      <c r="A17" s="47" t="s">
        <v>14</v>
      </c>
      <c r="B17" s="63" t="s">
        <v>15</v>
      </c>
      <c r="C17" s="49">
        <f>C18</f>
        <v>23304179575.039021</v>
      </c>
      <c r="D17" s="48">
        <f>+C17/$C$23</f>
        <v>0.91544787538440275</v>
      </c>
      <c r="E17" s="49">
        <v>422389.15387719905</v>
      </c>
      <c r="F17" s="49">
        <f>F18</f>
        <v>23304157790.489101</v>
      </c>
      <c r="G17" s="48">
        <f>+F17/$F$23</f>
        <v>0.91544701963147046</v>
      </c>
      <c r="H17" s="49">
        <f>+H18</f>
        <v>606396.29402460146</v>
      </c>
      <c r="I17" s="49">
        <f>+H17-E17</f>
        <v>184007.14014740242</v>
      </c>
    </row>
    <row r="18" spans="1:9" s="46" customFormat="1" ht="13.2" x14ac:dyDescent="0.25">
      <c r="A18" s="47" t="s">
        <v>16</v>
      </c>
      <c r="B18" s="61" t="s">
        <v>17</v>
      </c>
      <c r="C18" s="139">
        <v>23304179575.039021</v>
      </c>
      <c r="D18" s="138">
        <f>+C18/C17</f>
        <v>1</v>
      </c>
      <c r="E18" s="139">
        <v>422389.15387719858</v>
      </c>
      <c r="F18" s="139">
        <v>23304157790.489101</v>
      </c>
      <c r="G18" s="138">
        <f>+F18/F17</f>
        <v>1</v>
      </c>
      <c r="H18" s="139">
        <v>606396.29402460146</v>
      </c>
      <c r="I18" s="139">
        <f t="shared" si="0"/>
        <v>184007.14014740288</v>
      </c>
    </row>
    <row r="19" spans="1:9" s="46" customFormat="1" ht="13.2" outlineLevel="1" x14ac:dyDescent="0.25">
      <c r="A19" s="47" t="s">
        <v>18</v>
      </c>
      <c r="B19" s="60" t="s">
        <v>19</v>
      </c>
      <c r="C19" s="49">
        <v>876406734.65999794</v>
      </c>
      <c r="D19" s="48">
        <f>+C19/$C$23</f>
        <v>3.4427501754939333E-2</v>
      </c>
      <c r="E19" s="49">
        <v>12148.850648519639</v>
      </c>
      <c r="F19" s="49">
        <v>876406734.65999806</v>
      </c>
      <c r="G19" s="48">
        <f>+F19/$F$23</f>
        <v>3.4427501754939228E-2</v>
      </c>
      <c r="H19" s="49">
        <f>+SUM(H20:H21)</f>
        <v>9625.9537875227415</v>
      </c>
      <c r="I19" s="49">
        <f t="shared" si="0"/>
        <v>-2522.8968609968979</v>
      </c>
    </row>
    <row r="20" spans="1:9" s="46" customFormat="1" ht="13.2" outlineLevel="1" x14ac:dyDescent="0.25">
      <c r="A20" s="47" t="s">
        <v>7</v>
      </c>
      <c r="B20" s="61" t="s">
        <v>8</v>
      </c>
      <c r="C20" s="139">
        <v>758133074.00999916</v>
      </c>
      <c r="D20" s="138">
        <f>+C20/$C$19</f>
        <v>0.8650470655090492</v>
      </c>
      <c r="E20" s="139">
        <v>11442.48774732765</v>
      </c>
      <c r="F20" s="139">
        <v>758133074.00999904</v>
      </c>
      <c r="G20" s="138">
        <f>+F20/$F$19</f>
        <v>0.86504706550904897</v>
      </c>
      <c r="H20" s="139">
        <v>8886.6655262927998</v>
      </c>
      <c r="I20" s="139">
        <f t="shared" si="0"/>
        <v>-2555.8222210348504</v>
      </c>
    </row>
    <row r="21" spans="1:9" s="46" customFormat="1" ht="13.2" outlineLevel="1" x14ac:dyDescent="0.25">
      <c r="A21" s="47" t="s">
        <v>9</v>
      </c>
      <c r="B21" s="61" t="s">
        <v>10</v>
      </c>
      <c r="C21" s="139">
        <v>118273660.64999981</v>
      </c>
      <c r="D21" s="138">
        <f>+C21/$C$19</f>
        <v>0.13495293449095194</v>
      </c>
      <c r="E21" s="139">
        <v>706.36290119201499</v>
      </c>
      <c r="F21" s="139">
        <v>118273660.65000001</v>
      </c>
      <c r="G21" s="138">
        <f>+F21/$F$19</f>
        <v>0.13495293449095216</v>
      </c>
      <c r="H21" s="139">
        <v>739.28826122994099</v>
      </c>
      <c r="I21" s="139">
        <f t="shared" si="0"/>
        <v>32.925360037925998</v>
      </c>
    </row>
    <row r="22" spans="1:9" s="46" customFormat="1" ht="13.2" outlineLevel="1" x14ac:dyDescent="0.25">
      <c r="A22" s="47"/>
      <c r="B22" s="60" t="s">
        <v>102</v>
      </c>
      <c r="C22" s="49">
        <v>7568682.2466758601</v>
      </c>
      <c r="D22" s="48">
        <f>+C22/$C$23</f>
        <v>2.9731722843400989E-4</v>
      </c>
      <c r="E22" s="49">
        <v>0</v>
      </c>
      <c r="F22" s="49">
        <v>31218458.750190258</v>
      </c>
      <c r="G22" s="48">
        <f>+F22/$F$23</f>
        <v>1.2263410365344024E-3</v>
      </c>
      <c r="H22" s="49">
        <v>0</v>
      </c>
      <c r="I22" s="49">
        <f t="shared" si="0"/>
        <v>0</v>
      </c>
    </row>
    <row r="23" spans="1:9" s="46" customFormat="1" ht="13.2" x14ac:dyDescent="0.25">
      <c r="A23" s="44"/>
      <c r="B23" s="51" t="s">
        <v>20</v>
      </c>
      <c r="C23" s="54">
        <f>+C19+C17+C12+C22</f>
        <v>25456588192.149593</v>
      </c>
      <c r="D23" s="53">
        <f>+D12+D17+D19</f>
        <v>0.99970268277156593</v>
      </c>
      <c r="E23" s="54">
        <f>+E19+E17+E12</f>
        <v>536031.70813782164</v>
      </c>
      <c r="F23" s="54">
        <f>+F19+F17+F12+F22</f>
        <v>25456588192.149673</v>
      </c>
      <c r="G23" s="53">
        <f>+G12+G17+G19</f>
        <v>0.99877365896346548</v>
      </c>
      <c r="H23" s="54">
        <f>+H19+H17+H12</f>
        <v>679087.62450590066</v>
      </c>
      <c r="I23" s="54">
        <f>+I19+I17+I12</f>
        <v>143055.91636807899</v>
      </c>
    </row>
    <row r="24" spans="1:9" s="27" customFormat="1" ht="5.0999999999999996" customHeight="1" x14ac:dyDescent="0.25">
      <c r="A24" s="30"/>
      <c r="B24" s="35"/>
      <c r="C24" s="36"/>
      <c r="D24" s="36"/>
      <c r="E24" s="36"/>
      <c r="F24" s="37"/>
      <c r="G24" s="37"/>
    </row>
    <row r="25" spans="1:9" s="27" customFormat="1" ht="14.55" customHeight="1" x14ac:dyDescent="0.25">
      <c r="A25" s="30"/>
      <c r="B25" s="36"/>
      <c r="C25" s="125"/>
      <c r="D25" s="36"/>
      <c r="E25" s="36"/>
      <c r="F25" s="142"/>
      <c r="G25" s="37"/>
    </row>
    <row r="26" spans="1:9" s="27" customFormat="1" ht="14.55" customHeight="1" x14ac:dyDescent="0.25">
      <c r="A26" s="30"/>
      <c r="B26" s="82" t="s">
        <v>1052</v>
      </c>
      <c r="C26" s="36"/>
      <c r="D26" s="36"/>
      <c r="E26" s="36"/>
      <c r="F26" s="142"/>
      <c r="G26" s="37"/>
      <c r="I26" s="130"/>
    </row>
    <row r="27" spans="1:9" s="27" customFormat="1" ht="5.0999999999999996" customHeight="1" x14ac:dyDescent="0.25">
      <c r="A27" s="30"/>
      <c r="B27" s="36"/>
      <c r="C27" s="36"/>
      <c r="D27" s="36"/>
      <c r="E27" s="36"/>
      <c r="F27" s="37"/>
      <c r="G27" s="37"/>
    </row>
    <row r="28" spans="1:9" s="46" customFormat="1" ht="15" customHeight="1" x14ac:dyDescent="0.25">
      <c r="A28" s="44"/>
      <c r="B28" s="155" t="s">
        <v>1</v>
      </c>
      <c r="C28" s="159" t="s">
        <v>2</v>
      </c>
      <c r="D28" s="157" t="s">
        <v>85</v>
      </c>
      <c r="E28" s="157" t="s">
        <v>4</v>
      </c>
      <c r="F28" s="157" t="s">
        <v>101</v>
      </c>
      <c r="G28" s="157" t="s">
        <v>1050</v>
      </c>
      <c r="H28" s="157" t="s">
        <v>86</v>
      </c>
      <c r="I28" s="130"/>
    </row>
    <row r="29" spans="1:9" s="46" customFormat="1" ht="15" customHeight="1" x14ac:dyDescent="0.25">
      <c r="A29" s="44"/>
      <c r="B29" s="156"/>
      <c r="C29" s="160"/>
      <c r="D29" s="158"/>
      <c r="E29" s="158"/>
      <c r="F29" s="158"/>
      <c r="G29" s="158"/>
      <c r="H29" s="158"/>
      <c r="I29" s="130"/>
    </row>
    <row r="30" spans="1:9" s="46" customFormat="1" ht="14.55" customHeight="1" x14ac:dyDescent="0.25">
      <c r="A30" s="44"/>
      <c r="B30" s="62" t="s">
        <v>87</v>
      </c>
      <c r="C30" s="141">
        <f>+C12</f>
        <v>1268433200.203897</v>
      </c>
      <c r="D30" s="55" t="s">
        <v>70</v>
      </c>
      <c r="E30" s="140">
        <f>+E12</f>
        <v>101493.70361210298</v>
      </c>
      <c r="F30" s="56">
        <f>+('3. Área'!C12+'3. Área'!C13)*1000/'3. Área'!E11</f>
        <v>48.865532414612638</v>
      </c>
      <c r="G30" s="56">
        <f>+E30/(C30/1000000)</f>
        <v>80.015016632951699</v>
      </c>
      <c r="H30" s="57">
        <f>+(('3. Área'!C12*3)+('3. Área'!C13*4)+('3. Área'!C14*5))/SUM('3. Área'!C12:C14)</f>
        <v>4.0513659051588169</v>
      </c>
      <c r="I30" s="27"/>
    </row>
    <row r="31" spans="1:9" s="46" customFormat="1" ht="14.55" customHeight="1" x14ac:dyDescent="0.25">
      <c r="A31" s="44"/>
      <c r="B31" s="64" t="s">
        <v>15</v>
      </c>
      <c r="C31" s="141">
        <f>+C17</f>
        <v>23304179575.039021</v>
      </c>
      <c r="D31" s="55" t="s">
        <v>70</v>
      </c>
      <c r="E31" s="140">
        <f>+E17</f>
        <v>422389.15387719905</v>
      </c>
      <c r="F31" s="56">
        <f>+('3. Área'!C16+'3. Área'!C17)*1000/'3. Área'!E15</f>
        <v>13.700138750404442</v>
      </c>
      <c r="G31" s="56">
        <f>+E31/(C31/1000000)</f>
        <v>18.125038580187468</v>
      </c>
      <c r="H31" s="57">
        <f>+(('3. Área'!C16*3)+('3. Área'!C17*4)+('3. Área'!C18*5))/SUM('3. Área'!C16:C18)</f>
        <v>3.835139578172023</v>
      </c>
      <c r="I31" s="27"/>
    </row>
    <row r="32" spans="1:9" s="46" customFormat="1" ht="14.55" customHeight="1" x14ac:dyDescent="0.25">
      <c r="A32" s="44"/>
      <c r="B32" s="51" t="s">
        <v>20</v>
      </c>
      <c r="C32" s="54">
        <f>SUM(C30:C31)</f>
        <v>24572612775.242916</v>
      </c>
      <c r="D32" s="52"/>
      <c r="E32" s="54">
        <f>SUM(E30:E31)</f>
        <v>523882.85748930206</v>
      </c>
      <c r="F32" s="58"/>
      <c r="G32" s="59"/>
      <c r="H32" s="52"/>
      <c r="I32" s="27"/>
    </row>
    <row r="33" spans="1:9" s="27" customFormat="1" ht="14.55" customHeight="1" x14ac:dyDescent="0.25">
      <c r="A33" s="30"/>
      <c r="B33" s="36"/>
      <c r="C33" s="168">
        <f>+C38-C30</f>
        <v>-23627991.953517199</v>
      </c>
      <c r="D33" s="36"/>
      <c r="E33" s="36"/>
      <c r="F33" s="37"/>
      <c r="G33" s="37"/>
    </row>
    <row r="34" spans="1:9" s="27" customFormat="1" ht="14.55" customHeight="1" x14ac:dyDescent="0.25">
      <c r="A34" s="30"/>
      <c r="B34" s="82" t="s">
        <v>1053</v>
      </c>
      <c r="C34" s="168">
        <f>+C39-C31</f>
        <v>-21784.549919128418</v>
      </c>
      <c r="D34" s="36"/>
      <c r="E34" s="36"/>
      <c r="F34" s="37"/>
      <c r="G34" s="37"/>
    </row>
    <row r="35" spans="1:9" s="27" customFormat="1" ht="5.0999999999999996" customHeight="1" x14ac:dyDescent="0.25">
      <c r="A35" s="30"/>
      <c r="B35" s="36"/>
      <c r="C35" s="36"/>
      <c r="D35" s="36"/>
      <c r="E35" s="36"/>
      <c r="F35" s="37"/>
      <c r="G35" s="37"/>
    </row>
    <row r="36" spans="1:9" s="46" customFormat="1" ht="15" customHeight="1" x14ac:dyDescent="0.25">
      <c r="A36" s="44"/>
      <c r="B36" s="155" t="s">
        <v>1</v>
      </c>
      <c r="C36" s="159" t="s">
        <v>2</v>
      </c>
      <c r="D36" s="157" t="s">
        <v>85</v>
      </c>
      <c r="E36" s="157" t="s">
        <v>4</v>
      </c>
      <c r="F36" s="157" t="s">
        <v>101</v>
      </c>
      <c r="G36" s="157" t="s">
        <v>1050</v>
      </c>
      <c r="H36" s="157" t="s">
        <v>86</v>
      </c>
      <c r="I36" s="27"/>
    </row>
    <row r="37" spans="1:9" s="46" customFormat="1" ht="15" customHeight="1" x14ac:dyDescent="0.25">
      <c r="A37" s="44"/>
      <c r="B37" s="156"/>
      <c r="C37" s="160"/>
      <c r="D37" s="158"/>
      <c r="E37" s="158"/>
      <c r="F37" s="158"/>
      <c r="G37" s="158"/>
      <c r="H37" s="158"/>
      <c r="I37" s="27"/>
    </row>
    <row r="38" spans="1:9" s="46" customFormat="1" ht="14.55" customHeight="1" x14ac:dyDescent="0.25">
      <c r="A38" s="44"/>
      <c r="B38" s="62" t="s">
        <v>87</v>
      </c>
      <c r="C38" s="141">
        <f>+F12</f>
        <v>1244805208.2503798</v>
      </c>
      <c r="D38" s="55" t="s">
        <v>70</v>
      </c>
      <c r="E38" s="140">
        <f>+H12</f>
        <v>63065.376693776452</v>
      </c>
      <c r="F38" s="56">
        <f>+('3. Área'!F12+'3. Área'!F13)*1000/'3. Área'!H11</f>
        <v>30.79409700263237</v>
      </c>
      <c r="G38" s="56">
        <f>+E38/(C38/1000000)</f>
        <v>50.662847709656674</v>
      </c>
      <c r="H38" s="57">
        <f>+(('3. Área'!F12*3)+('3. Área'!F13*4)+('3. Área'!F14*5))/'3. Área'!F11</f>
        <v>4.0453826106083408</v>
      </c>
      <c r="I38" s="27"/>
    </row>
    <row r="39" spans="1:9" s="46" customFormat="1" ht="14.55" customHeight="1" x14ac:dyDescent="0.25">
      <c r="A39" s="44"/>
      <c r="B39" s="64" t="s">
        <v>15</v>
      </c>
      <c r="C39" s="141">
        <f>+F17</f>
        <v>23304157790.489101</v>
      </c>
      <c r="D39" s="55" t="s">
        <v>70</v>
      </c>
      <c r="E39" s="140">
        <f>+H17</f>
        <v>606396.29402460146</v>
      </c>
      <c r="F39" s="56">
        <f>+('3. Área'!F16+'3. Área'!F17)*1000/'3. Área'!H15</f>
        <v>19.736516051412512</v>
      </c>
      <c r="G39" s="56">
        <f>+E39/(C39/1000000)</f>
        <v>26.020948685478093</v>
      </c>
      <c r="H39" s="57">
        <f>+(('3. Área'!F16*3)+('3. Área'!F17*4)+('3. Área'!F18*5))/'3. Área'!F15</f>
        <v>3.8137798350448224</v>
      </c>
      <c r="I39" s="27"/>
    </row>
    <row r="40" spans="1:9" s="46" customFormat="1" ht="14.55" customHeight="1" x14ac:dyDescent="0.25">
      <c r="A40" s="44"/>
      <c r="B40" s="51" t="s">
        <v>20</v>
      </c>
      <c r="C40" s="54">
        <f>SUM(C38:C39)</f>
        <v>24548962998.739483</v>
      </c>
      <c r="D40" s="52"/>
      <c r="E40" s="54">
        <f>SUM(E38:E39)</f>
        <v>669461.67071837792</v>
      </c>
      <c r="F40" s="58"/>
      <c r="G40" s="59"/>
      <c r="H40" s="52"/>
      <c r="I40" s="27"/>
    </row>
    <row r="41" spans="1:9" ht="14.55" customHeight="1" x14ac:dyDescent="0.3">
      <c r="B41" s="4"/>
      <c r="C41" s="4"/>
      <c r="D41" s="4"/>
      <c r="E41" s="4"/>
      <c r="F41" s="4"/>
      <c r="G41" s="4"/>
    </row>
  </sheetData>
  <mergeCells count="16">
    <mergeCell ref="I10:I11"/>
    <mergeCell ref="C28:C29"/>
    <mergeCell ref="D28:D29"/>
    <mergeCell ref="E28:E29"/>
    <mergeCell ref="F28:F29"/>
    <mergeCell ref="B10:B11"/>
    <mergeCell ref="G28:G29"/>
    <mergeCell ref="H28:H29"/>
    <mergeCell ref="B28:B29"/>
    <mergeCell ref="H36:H37"/>
    <mergeCell ref="B36:B37"/>
    <mergeCell ref="C36:C37"/>
    <mergeCell ref="D36:D37"/>
    <mergeCell ref="E36:E37"/>
    <mergeCell ref="F36:F37"/>
    <mergeCell ref="G36:G3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/>
  </sheetViews>
  <sheetFormatPr defaultRowHeight="14.4" zeroHeight="1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F1616"/>
  <sheetViews>
    <sheetView showGridLines="0" tabSelected="1" topLeftCell="A10" zoomScale="90" zoomScaleNormal="90" workbookViewId="0">
      <selection activeCell="F38" sqref="F38"/>
    </sheetView>
  </sheetViews>
  <sheetFormatPr defaultColWidth="0" defaultRowHeight="0" customHeight="1" zeroHeight="1" x14ac:dyDescent="0.25"/>
  <cols>
    <col min="1" max="1" width="3.5546875" style="30" customWidth="1"/>
    <col min="2" max="8" width="25.5546875" style="27" customWidth="1"/>
    <col min="9" max="9" width="3.21875" style="27" customWidth="1"/>
    <col min="10" max="10" width="15.77734375" style="27" hidden="1" customWidth="1"/>
    <col min="11" max="11" width="13.33203125" style="27" hidden="1" customWidth="1"/>
    <col min="12" max="12" width="18" style="27" hidden="1" customWidth="1"/>
    <col min="13" max="13" width="23.21875" style="27" hidden="1" customWidth="1"/>
    <col min="14" max="15" width="15.77734375" style="27" hidden="1" customWidth="1"/>
    <col min="16" max="16" width="3.21875" style="27" hidden="1" customWidth="1"/>
    <col min="17" max="16384" width="0" style="27" hidden="1"/>
  </cols>
  <sheetData>
    <row r="1" spans="1:30" ht="14.4" customHeight="1" x14ac:dyDescent="0.25">
      <c r="A1" s="65"/>
      <c r="B1" s="26"/>
      <c r="C1" s="26"/>
      <c r="D1" s="26"/>
      <c r="E1" s="26"/>
      <c r="F1" s="26"/>
      <c r="G1" s="26"/>
      <c r="H1" s="26"/>
      <c r="I1" s="26"/>
    </row>
    <row r="2" spans="1:30" ht="14.4" customHeight="1" x14ac:dyDescent="0.25">
      <c r="A2" s="65"/>
      <c r="B2" s="26"/>
      <c r="C2" s="26"/>
      <c r="D2" s="26"/>
      <c r="E2" s="26"/>
      <c r="F2" s="26"/>
      <c r="G2" s="26"/>
      <c r="H2" s="26"/>
      <c r="I2" s="26"/>
    </row>
    <row r="3" spans="1:30" ht="14.4" customHeight="1" x14ac:dyDescent="0.25">
      <c r="A3" s="65"/>
      <c r="B3" s="26"/>
      <c r="C3" s="26"/>
      <c r="D3" s="26"/>
      <c r="E3" s="26"/>
      <c r="F3" s="26"/>
      <c r="G3" s="26"/>
      <c r="H3" s="26"/>
      <c r="I3" s="26"/>
    </row>
    <row r="4" spans="1:30" ht="14.4" customHeight="1" x14ac:dyDescent="0.25">
      <c r="A4" s="65"/>
      <c r="B4" s="26"/>
      <c r="C4" s="26"/>
      <c r="D4" s="26"/>
      <c r="E4" s="26"/>
      <c r="F4" s="26"/>
      <c r="G4" s="26"/>
      <c r="H4" s="26"/>
      <c r="I4" s="26"/>
    </row>
    <row r="5" spans="1:30" ht="3" customHeight="1" x14ac:dyDescent="0.25">
      <c r="A5" s="28"/>
      <c r="B5" s="29"/>
      <c r="C5" s="29"/>
      <c r="D5" s="29"/>
      <c r="E5" s="29"/>
      <c r="F5" s="29"/>
      <c r="G5" s="29"/>
      <c r="H5" s="29"/>
      <c r="I5" s="29"/>
    </row>
    <row r="6" spans="1:30" ht="14.4" customHeight="1" x14ac:dyDescent="0.25"/>
    <row r="7" spans="1:30" ht="13.8" x14ac:dyDescent="0.25">
      <c r="B7" s="66" t="s">
        <v>92</v>
      </c>
      <c r="C7" s="46"/>
      <c r="D7" s="46"/>
      <c r="E7" s="46"/>
      <c r="F7" s="46"/>
      <c r="G7" s="46"/>
      <c r="H7" s="46"/>
      <c r="I7" s="46"/>
      <c r="J7" s="34"/>
      <c r="K7" s="34"/>
      <c r="L7" s="34"/>
      <c r="M7" s="34"/>
      <c r="N7" s="34"/>
    </row>
    <row r="8" spans="1:30" ht="5.0999999999999996" customHeight="1" x14ac:dyDescent="0.25">
      <c r="B8" s="46"/>
      <c r="C8" s="46"/>
      <c r="D8" s="46"/>
      <c r="E8" s="46"/>
      <c r="F8" s="46"/>
      <c r="G8" s="46"/>
      <c r="H8" s="46"/>
      <c r="I8" s="46"/>
      <c r="J8" s="34"/>
      <c r="K8" s="34"/>
      <c r="L8" s="34"/>
      <c r="M8" s="34"/>
      <c r="N8" s="34"/>
    </row>
    <row r="9" spans="1:30" ht="15" customHeight="1" x14ac:dyDescent="0.25">
      <c r="B9" s="163" t="s">
        <v>23</v>
      </c>
      <c r="C9" s="123" t="s">
        <v>1051</v>
      </c>
      <c r="D9" s="123"/>
      <c r="E9" s="124"/>
      <c r="F9" s="123" t="s">
        <v>1054</v>
      </c>
      <c r="G9" s="123"/>
      <c r="H9" s="124"/>
      <c r="I9" s="46"/>
      <c r="K9" s="34"/>
      <c r="L9" s="34"/>
      <c r="M9" s="34"/>
      <c r="N9" s="34"/>
    </row>
    <row r="10" spans="1:30" ht="26.4" x14ac:dyDescent="0.25">
      <c r="B10" s="163"/>
      <c r="C10" s="122" t="s">
        <v>2</v>
      </c>
      <c r="D10" s="122" t="s">
        <v>3</v>
      </c>
      <c r="E10" s="121" t="s">
        <v>4</v>
      </c>
      <c r="F10" s="122" t="s">
        <v>2</v>
      </c>
      <c r="G10" s="122" t="s">
        <v>3</v>
      </c>
      <c r="H10" s="121" t="s">
        <v>4</v>
      </c>
      <c r="I10" s="46"/>
      <c r="K10" s="34"/>
      <c r="L10" s="34"/>
      <c r="M10" s="34"/>
      <c r="N10" s="34"/>
    </row>
    <row r="11" spans="1:30" ht="14.4" customHeight="1" x14ac:dyDescent="0.25">
      <c r="B11" s="67" t="s">
        <v>24</v>
      </c>
      <c r="C11" s="68">
        <v>7114027.9161751801</v>
      </c>
      <c r="D11" s="69">
        <f t="shared" ref="D11:D18" si="0">C11/$C$20</f>
        <v>4.0722165162661778E-2</v>
      </c>
      <c r="E11" s="70">
        <v>7.5457864431999999</v>
      </c>
      <c r="F11" s="68">
        <v>7114027.9161751801</v>
      </c>
      <c r="G11" s="69">
        <f t="shared" ref="G11:G19" si="1">F11/$F$20</f>
        <v>4.8065927658196124E-2</v>
      </c>
      <c r="H11" s="70">
        <v>5.6653876412999997</v>
      </c>
      <c r="I11" s="46"/>
      <c r="K11" s="34"/>
      <c r="L11" s="34"/>
      <c r="M11" s="34"/>
      <c r="N11" s="34"/>
    </row>
    <row r="12" spans="1:30" s="30" customFormat="1" ht="14.4" customHeight="1" x14ac:dyDescent="0.25">
      <c r="B12" s="71" t="s">
        <v>25</v>
      </c>
      <c r="C12" s="72">
        <v>1281288.6200000001</v>
      </c>
      <c r="D12" s="73">
        <f t="shared" si="0"/>
        <v>7.3343607052826403E-3</v>
      </c>
      <c r="E12" s="74">
        <v>5.4415454524999998</v>
      </c>
      <c r="F12" s="72">
        <v>0</v>
      </c>
      <c r="G12" s="73">
        <f t="shared" si="1"/>
        <v>0</v>
      </c>
      <c r="H12" s="74">
        <v>0</v>
      </c>
      <c r="I12" s="46"/>
      <c r="J12" s="27"/>
      <c r="K12" s="34"/>
      <c r="L12" s="34"/>
      <c r="M12" s="34"/>
      <c r="N12" s="3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s="30" customFormat="1" ht="14.4" customHeight="1" x14ac:dyDescent="0.25">
      <c r="B13" s="71" t="s">
        <v>26</v>
      </c>
      <c r="C13" s="72">
        <v>20095139.281057801</v>
      </c>
      <c r="D13" s="73">
        <f t="shared" si="0"/>
        <v>0.11502872780542761</v>
      </c>
      <c r="E13" s="74">
        <v>47.633175109600003</v>
      </c>
      <c r="F13" s="72">
        <v>20095139.281057801</v>
      </c>
      <c r="G13" s="73">
        <f t="shared" si="1"/>
        <v>0.13577280302324229</v>
      </c>
      <c r="H13" s="74">
        <v>45.161546028399997</v>
      </c>
      <c r="I13" s="46"/>
      <c r="J13" s="27"/>
      <c r="K13" s="34"/>
      <c r="L13" s="34"/>
      <c r="M13" s="34"/>
      <c r="N13" s="34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30" customFormat="1" ht="14.4" customHeight="1" x14ac:dyDescent="0.25">
      <c r="B14" s="71" t="s">
        <v>27</v>
      </c>
      <c r="C14" s="72">
        <v>25966868.7938352</v>
      </c>
      <c r="D14" s="73">
        <f t="shared" si="0"/>
        <v>0.14863972031589176</v>
      </c>
      <c r="E14" s="74">
        <v>291.26534275360001</v>
      </c>
      <c r="F14" s="72">
        <v>0</v>
      </c>
      <c r="G14" s="73">
        <f t="shared" si="1"/>
        <v>0</v>
      </c>
      <c r="H14" s="74">
        <v>0</v>
      </c>
      <c r="I14" s="46"/>
      <c r="J14" s="27"/>
      <c r="K14" s="34"/>
      <c r="L14" s="34"/>
      <c r="M14" s="34"/>
      <c r="N14" s="34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s="30" customFormat="1" ht="14.4" customHeight="1" x14ac:dyDescent="0.25">
      <c r="B15" s="71" t="s">
        <v>28</v>
      </c>
      <c r="C15" s="72">
        <v>63408912.743276</v>
      </c>
      <c r="D15" s="73">
        <f t="shared" si="0"/>
        <v>0.36296571336829569</v>
      </c>
      <c r="E15" s="74">
        <v>667.29718878799895</v>
      </c>
      <c r="F15" s="72">
        <v>63408912.743276</v>
      </c>
      <c r="G15" s="73">
        <f t="shared" si="1"/>
        <v>0.42842230150283311</v>
      </c>
      <c r="H15" s="74">
        <v>445.75928444949898</v>
      </c>
      <c r="I15" s="46"/>
      <c r="J15" s="27"/>
      <c r="K15" s="34"/>
      <c r="L15" s="34"/>
      <c r="M15" s="34"/>
      <c r="N15" s="34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s="30" customFormat="1" ht="14.4" customHeight="1" x14ac:dyDescent="0.25">
      <c r="B16" s="71" t="s">
        <v>29</v>
      </c>
      <c r="C16" s="72">
        <v>45135181.716268398</v>
      </c>
      <c r="D16" s="73">
        <f t="shared" si="0"/>
        <v>0.2583631026127356</v>
      </c>
      <c r="E16" s="74">
        <v>170.904325007799</v>
      </c>
      <c r="F16" s="72">
        <v>45135181.716268398</v>
      </c>
      <c r="G16" s="73">
        <f t="shared" si="1"/>
        <v>0.30495584284691624</v>
      </c>
      <c r="H16" s="74">
        <v>220.5373518369</v>
      </c>
      <c r="I16" s="46"/>
      <c r="J16" s="27"/>
      <c r="K16" s="34"/>
      <c r="L16" s="34"/>
      <c r="M16" s="34"/>
      <c r="N16" s="34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2:30" s="30" customFormat="1" ht="14.4" customHeight="1" x14ac:dyDescent="0.25">
      <c r="B17" s="71" t="s">
        <v>30</v>
      </c>
      <c r="C17" s="72">
        <v>5593508.8643381</v>
      </c>
      <c r="D17" s="73">
        <f t="shared" si="0"/>
        <v>3.2018400053573787E-2</v>
      </c>
      <c r="E17" s="74">
        <v>92.075797906299996</v>
      </c>
      <c r="F17" s="72">
        <v>5593508.8643381</v>
      </c>
      <c r="G17" s="73">
        <f t="shared" si="1"/>
        <v>3.7792541102833282E-2</v>
      </c>
      <c r="H17" s="74">
        <v>77.4616844783</v>
      </c>
      <c r="I17" s="46"/>
      <c r="J17" s="27"/>
      <c r="K17" s="34"/>
      <c r="L17" s="34"/>
      <c r="M17" s="34"/>
      <c r="N17" s="34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2:30" s="30" customFormat="1" ht="14.4" customHeight="1" x14ac:dyDescent="0.25">
      <c r="B18" s="71" t="s">
        <v>31</v>
      </c>
      <c r="C18" s="72">
        <v>6101773.1799999904</v>
      </c>
      <c r="D18" s="73">
        <f t="shared" si="0"/>
        <v>3.4927809976131236E-2</v>
      </c>
      <c r="E18" s="74">
        <v>91.3111636118999</v>
      </c>
      <c r="F18" s="72">
        <v>6101773.1799999904</v>
      </c>
      <c r="G18" s="73">
        <f t="shared" si="1"/>
        <v>4.1226628811752722E-2</v>
      </c>
      <c r="H18" s="74">
        <v>95.218255135600003</v>
      </c>
      <c r="I18" s="46"/>
      <c r="J18" s="27"/>
      <c r="K18" s="34"/>
      <c r="L18" s="34"/>
      <c r="M18" s="34"/>
      <c r="N18" s="34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2:30" s="30" customFormat="1" ht="14.4" customHeight="1" x14ac:dyDescent="0.25">
      <c r="B19" s="46" t="s">
        <v>32</v>
      </c>
      <c r="C19" s="126" t="s">
        <v>1056</v>
      </c>
      <c r="D19" s="128"/>
      <c r="E19" s="127"/>
      <c r="F19" s="72">
        <v>557086.54</v>
      </c>
      <c r="G19" s="73">
        <f t="shared" si="1"/>
        <v>3.7639550542263311E-3</v>
      </c>
      <c r="H19" s="74">
        <v>31.587348395199999</v>
      </c>
      <c r="I19" s="46"/>
      <c r="J19" s="27"/>
      <c r="K19" s="34"/>
      <c r="L19" s="34"/>
      <c r="M19" s="34"/>
      <c r="N19" s="34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2:30" s="30" customFormat="1" ht="14.4" customHeight="1" x14ac:dyDescent="0.25">
      <c r="B20" s="75" t="s">
        <v>20</v>
      </c>
      <c r="C20" s="76">
        <f t="shared" ref="C20:H20" si="2">+SUM(C11:C19)</f>
        <v>174696701.11495066</v>
      </c>
      <c r="D20" s="77">
        <f t="shared" si="2"/>
        <v>1.0000000000000002</v>
      </c>
      <c r="E20" s="78">
        <f t="shared" si="2"/>
        <v>1373.474325072898</v>
      </c>
      <c r="F20" s="76">
        <f t="shared" si="2"/>
        <v>148005630.24111545</v>
      </c>
      <c r="G20" s="77">
        <f t="shared" si="2"/>
        <v>1</v>
      </c>
      <c r="H20" s="78">
        <f t="shared" si="2"/>
        <v>921.39085796519896</v>
      </c>
      <c r="I20" s="46"/>
      <c r="J20" s="27"/>
      <c r="K20" s="34"/>
      <c r="L20" s="34"/>
      <c r="M20" s="34"/>
      <c r="N20" s="34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2:30" s="30" customFormat="1" ht="5.0999999999999996" customHeight="1" x14ac:dyDescent="0.25">
      <c r="B21" s="46"/>
      <c r="C21" s="79"/>
      <c r="D21" s="79"/>
      <c r="E21" s="80"/>
      <c r="F21" s="80"/>
      <c r="G21" s="80"/>
      <c r="H21" s="80"/>
      <c r="I21" s="46"/>
      <c r="J21" s="27"/>
      <c r="K21" s="34"/>
      <c r="L21" s="34"/>
      <c r="M21" s="34"/>
      <c r="N21" s="34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2:30" s="30" customFormat="1" ht="14.4" customHeight="1" x14ac:dyDescent="0.25">
      <c r="B22" s="46"/>
      <c r="C22" s="79"/>
      <c r="D22" s="79"/>
      <c r="E22" s="80"/>
      <c r="F22" s="80"/>
      <c r="G22" s="80"/>
      <c r="H22" s="80"/>
      <c r="I22" s="46"/>
      <c r="J22" s="27"/>
      <c r="K22" s="34"/>
      <c r="L22" s="34"/>
      <c r="M22" s="34"/>
      <c r="N22" s="34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2:30" s="30" customFormat="1" ht="14.4" customHeight="1" x14ac:dyDescent="0.25">
      <c r="B23" s="66" t="s">
        <v>93</v>
      </c>
      <c r="C23" s="79"/>
      <c r="D23" s="79"/>
      <c r="E23" s="80"/>
      <c r="F23" s="80"/>
      <c r="G23" s="80"/>
      <c r="H23" s="46"/>
      <c r="I23" s="46"/>
      <c r="J23" s="27"/>
      <c r="K23" s="34"/>
      <c r="L23" s="34"/>
      <c r="M23" s="34"/>
      <c r="N23" s="34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2:30" s="30" customFormat="1" ht="14.4" customHeight="1" x14ac:dyDescent="0.25">
      <c r="B24" s="81" t="s">
        <v>33</v>
      </c>
      <c r="C24" s="79"/>
      <c r="D24" s="79"/>
      <c r="E24" s="80"/>
      <c r="F24" s="80"/>
      <c r="G24" s="80"/>
      <c r="H24" s="80"/>
      <c r="I24" s="46"/>
      <c r="J24" s="27"/>
      <c r="K24" s="34"/>
      <c r="L24" s="34"/>
      <c r="M24" s="34"/>
      <c r="N24" s="34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2:30" s="30" customFormat="1" ht="5.0999999999999996" customHeight="1" x14ac:dyDescent="0.25">
      <c r="B25" s="46"/>
      <c r="C25" s="79"/>
      <c r="D25" s="79"/>
      <c r="E25" s="80"/>
      <c r="F25" s="80"/>
      <c r="G25" s="80"/>
      <c r="H25" s="80"/>
      <c r="I25" s="46"/>
      <c r="J25" s="27"/>
      <c r="K25" s="34"/>
      <c r="L25" s="34"/>
      <c r="M25" s="34"/>
      <c r="N25" s="34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2:30" s="30" customFormat="1" ht="15" customHeight="1" x14ac:dyDescent="0.25">
      <c r="B26" s="163" t="s">
        <v>23</v>
      </c>
      <c r="C26" s="123" t="s">
        <v>1051</v>
      </c>
      <c r="D26" s="123"/>
      <c r="E26" s="124"/>
      <c r="F26" s="123" t="s">
        <v>1054</v>
      </c>
      <c r="G26" s="123"/>
      <c r="H26" s="124"/>
      <c r="I26" s="46"/>
      <c r="J26" s="27"/>
      <c r="K26" s="34"/>
      <c r="L26" s="34"/>
      <c r="M26" s="34"/>
      <c r="N26" s="34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2:30" s="30" customFormat="1" ht="26.4" x14ac:dyDescent="0.25">
      <c r="B27" s="163"/>
      <c r="C27" s="122" t="s">
        <v>2</v>
      </c>
      <c r="D27" s="122" t="s">
        <v>3</v>
      </c>
      <c r="E27" s="121" t="s">
        <v>4</v>
      </c>
      <c r="F27" s="122" t="s">
        <v>2</v>
      </c>
      <c r="G27" s="122" t="s">
        <v>3</v>
      </c>
      <c r="H27" s="121" t="s">
        <v>4</v>
      </c>
      <c r="I27" s="46"/>
      <c r="J27" s="27"/>
      <c r="K27" s="34"/>
      <c r="L27" s="34"/>
      <c r="M27" s="34"/>
      <c r="N27" s="34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2:30" s="30" customFormat="1" ht="14.4" customHeight="1" x14ac:dyDescent="0.25">
      <c r="B28" s="71" t="s">
        <v>24</v>
      </c>
      <c r="C28" s="72">
        <v>84193989.104818985</v>
      </c>
      <c r="D28" s="69">
        <f t="shared" ref="D28:D39" si="3">C28/$C$40</f>
        <v>7.665377192476569E-2</v>
      </c>
      <c r="E28" s="74">
        <v>1723.2100235220601</v>
      </c>
      <c r="F28" s="72">
        <v>84193989.104818985</v>
      </c>
      <c r="G28" s="69">
        <f t="shared" ref="G28:G39" si="4">F28/$F$40</f>
        <v>7.4835225005162931E-2</v>
      </c>
      <c r="H28" s="74">
        <v>1150.3666359056401</v>
      </c>
      <c r="I28" s="46"/>
      <c r="J28" s="27"/>
      <c r="K28" s="34"/>
      <c r="L28" s="34"/>
      <c r="M28" s="34"/>
      <c r="N28" s="34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2:30" s="30" customFormat="1" ht="14.4" customHeight="1" x14ac:dyDescent="0.25">
      <c r="B29" s="71" t="s">
        <v>25</v>
      </c>
      <c r="C29" s="72">
        <v>3211392.1151731601</v>
      </c>
      <c r="D29" s="73">
        <f t="shared" si="3"/>
        <v>2.9237873317892785E-3</v>
      </c>
      <c r="E29" s="74">
        <v>4323.7996279665704</v>
      </c>
      <c r="F29" s="72">
        <v>3211392.1151731601</v>
      </c>
      <c r="G29" s="73">
        <f t="shared" si="4"/>
        <v>2.8544229115880452E-3</v>
      </c>
      <c r="H29" s="74">
        <v>2567.5782715919499</v>
      </c>
      <c r="I29" s="46"/>
      <c r="J29" s="27"/>
      <c r="K29" s="34"/>
      <c r="L29" s="34"/>
      <c r="M29" s="34"/>
      <c r="N29" s="34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2:30" s="30" customFormat="1" ht="14.4" customHeight="1" x14ac:dyDescent="0.25">
      <c r="B30" s="71" t="s">
        <v>26</v>
      </c>
      <c r="C30" s="72">
        <v>20295956.68073504</v>
      </c>
      <c r="D30" s="73">
        <f t="shared" si="3"/>
        <v>1.8478298165242078E-2</v>
      </c>
      <c r="E30" s="74">
        <v>1060.3858864708131</v>
      </c>
      <c r="F30" s="72">
        <v>20295956.68073504</v>
      </c>
      <c r="G30" s="73">
        <f t="shared" si="4"/>
        <v>1.8039915925671616E-2</v>
      </c>
      <c r="H30" s="74">
        <v>646.49101732542397</v>
      </c>
      <c r="I30" s="46"/>
      <c r="J30" s="27"/>
      <c r="K30" s="34"/>
      <c r="L30" s="34"/>
      <c r="M30" s="34"/>
      <c r="N30" s="34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2:30" s="30" customFormat="1" ht="14.4" customHeight="1" x14ac:dyDescent="0.25">
      <c r="B31" s="71" t="s">
        <v>27</v>
      </c>
      <c r="C31" s="72">
        <v>109297748.84971631</v>
      </c>
      <c r="D31" s="73">
        <f t="shared" si="3"/>
        <v>9.9509297531751487E-2</v>
      </c>
      <c r="E31" s="74">
        <v>2839.4894935775601</v>
      </c>
      <c r="F31" s="72">
        <v>112360827.77003708</v>
      </c>
      <c r="G31" s="73">
        <f t="shared" si="4"/>
        <v>9.9871118085029756E-2</v>
      </c>
      <c r="H31" s="74">
        <v>1841.514162041108</v>
      </c>
      <c r="I31" s="46"/>
      <c r="J31" s="27"/>
      <c r="K31" s="34"/>
      <c r="L31" s="34"/>
      <c r="M31" s="34"/>
      <c r="N31" s="34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2:30" s="30" customFormat="1" ht="14.4" customHeight="1" x14ac:dyDescent="0.25">
      <c r="B32" s="71" t="s">
        <v>28</v>
      </c>
      <c r="C32" s="72">
        <v>556846355.47074783</v>
      </c>
      <c r="D32" s="73">
        <f t="shared" si="3"/>
        <v>0.50697649539150524</v>
      </c>
      <c r="E32" s="74">
        <v>49058.217433224301</v>
      </c>
      <c r="F32" s="72">
        <v>556846355.47074783</v>
      </c>
      <c r="G32" s="73">
        <f t="shared" si="4"/>
        <v>0.49494890012965553</v>
      </c>
      <c r="H32" s="74">
        <v>29625.444800091522</v>
      </c>
      <c r="I32" s="46"/>
      <c r="J32" s="27"/>
      <c r="K32" s="34"/>
      <c r="L32" s="34"/>
      <c r="M32" s="34"/>
      <c r="N32" s="34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2:32" s="30" customFormat="1" ht="14.4" customHeight="1" x14ac:dyDescent="0.25">
      <c r="B33" s="71" t="s">
        <v>29</v>
      </c>
      <c r="C33" s="72">
        <v>199148646.57835031</v>
      </c>
      <c r="D33" s="73">
        <f t="shared" si="3"/>
        <v>0.18131335854555544</v>
      </c>
      <c r="E33" s="74">
        <v>34378.164747973351</v>
      </c>
      <c r="F33" s="72">
        <v>199148646.57835031</v>
      </c>
      <c r="G33" s="73">
        <f t="shared" si="4"/>
        <v>0.17701185006937151</v>
      </c>
      <c r="H33" s="74">
        <v>21997.09725813886</v>
      </c>
      <c r="I33" s="46"/>
      <c r="J33" s="27"/>
      <c r="K33" s="34"/>
      <c r="L33" s="34"/>
      <c r="M33" s="34"/>
      <c r="N33" s="34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2:32" s="30" customFormat="1" ht="14.4" customHeight="1" x14ac:dyDescent="0.25">
      <c r="B34" s="71" t="s">
        <v>30</v>
      </c>
      <c r="C34" s="72">
        <v>65339945.894027635</v>
      </c>
      <c r="D34" s="73">
        <f t="shared" si="3"/>
        <v>5.9488252824103943E-2</v>
      </c>
      <c r="E34" s="74">
        <v>4952.6114477337796</v>
      </c>
      <c r="F34" s="72">
        <v>65339945.894027635</v>
      </c>
      <c r="G34" s="73">
        <f t="shared" si="4"/>
        <v>5.8076943553739498E-2</v>
      </c>
      <c r="H34" s="74">
        <v>3238.0225399436904</v>
      </c>
      <c r="I34" s="46"/>
      <c r="J34" s="27"/>
      <c r="K34" s="34"/>
      <c r="L34" s="34"/>
      <c r="M34" s="34"/>
      <c r="N34" s="34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2:32" s="30" customFormat="1" ht="14.4" customHeight="1" x14ac:dyDescent="0.25">
      <c r="B35" s="71" t="s">
        <v>31</v>
      </c>
      <c r="C35" s="72">
        <v>13169159.306904212</v>
      </c>
      <c r="D35" s="73">
        <f t="shared" si="3"/>
        <v>1.1989760132348478E-2</v>
      </c>
      <c r="E35" s="74">
        <v>1473.6051946177799</v>
      </c>
      <c r="F35" s="72">
        <v>13169159.306904212</v>
      </c>
      <c r="G35" s="73">
        <f t="shared" si="4"/>
        <v>1.1705313055473274E-2</v>
      </c>
      <c r="H35" s="74">
        <v>898.05432590865803</v>
      </c>
      <c r="I35" s="46"/>
      <c r="J35" s="27"/>
      <c r="K35" s="34"/>
      <c r="L35" s="34"/>
      <c r="M35" s="34"/>
      <c r="N35" s="34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2:32" s="30" customFormat="1" ht="14.4" customHeight="1" x14ac:dyDescent="0.25">
      <c r="B36" s="71" t="s">
        <v>32</v>
      </c>
      <c r="C36" s="72">
        <v>5432270.5268118307</v>
      </c>
      <c r="D36" s="73">
        <f t="shared" si="3"/>
        <v>4.9457690557629993E-3</v>
      </c>
      <c r="E36" s="74">
        <v>135.02915302578751</v>
      </c>
      <c r="F36" s="72">
        <v>5432270.5268118307</v>
      </c>
      <c r="G36" s="73">
        <f t="shared" si="4"/>
        <v>4.8284348025934096E-3</v>
      </c>
      <c r="H36" s="74">
        <v>84.312959594142995</v>
      </c>
      <c r="I36" s="46"/>
      <c r="J36" s="27"/>
      <c r="K36" s="34"/>
      <c r="L36" s="34"/>
      <c r="M36" s="34"/>
      <c r="N36" s="34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2:32" s="30" customFormat="1" ht="14.4" customHeight="1" x14ac:dyDescent="0.25">
      <c r="B37" s="71" t="s">
        <v>103</v>
      </c>
      <c r="C37" s="72">
        <v>8689672.6316611208</v>
      </c>
      <c r="D37" s="73">
        <f t="shared" si="3"/>
        <v>7.9114458299268872E-3</v>
      </c>
      <c r="E37" s="74">
        <v>175.71627891809999</v>
      </c>
      <c r="F37" s="72">
        <v>8689672.6316611208</v>
      </c>
      <c r="G37" s="73">
        <f t="shared" si="4"/>
        <v>7.7237533644114471E-3</v>
      </c>
      <c r="H37" s="74">
        <v>95.103865270120011</v>
      </c>
      <c r="I37" s="46"/>
      <c r="J37" s="27"/>
      <c r="K37" s="34"/>
      <c r="L37" s="34"/>
      <c r="M37" s="34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2:32" s="30" customFormat="1" ht="14.4" customHeight="1" x14ac:dyDescent="0.25">
      <c r="B38" s="71" t="s">
        <v>68</v>
      </c>
      <c r="C38" s="72">
        <v>28111361.93</v>
      </c>
      <c r="D38" s="73">
        <f t="shared" si="3"/>
        <v>2.5593773959255543E-2</v>
      </c>
      <c r="E38" s="74">
        <v>0</v>
      </c>
      <c r="F38" s="72">
        <v>28111361.93</v>
      </c>
      <c r="G38" s="73">
        <f t="shared" si="4"/>
        <v>2.4986582980574219E-2</v>
      </c>
      <c r="H38" s="74">
        <v>0</v>
      </c>
      <c r="I38" s="46"/>
      <c r="J38" s="27"/>
      <c r="K38" s="34"/>
      <c r="L38" s="34"/>
      <c r="M38" s="34"/>
      <c r="N38" s="34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2:32" s="30" customFormat="1" ht="14.4" customHeight="1" x14ac:dyDescent="0.25">
      <c r="B39" s="71" t="s">
        <v>91</v>
      </c>
      <c r="C39" s="72">
        <v>4630704.3861011025</v>
      </c>
      <c r="D39" s="73">
        <f t="shared" si="3"/>
        <v>4.2159893079931196E-3</v>
      </c>
      <c r="E39" s="74">
        <v>0</v>
      </c>
      <c r="F39" s="72">
        <v>28258696.339615501</v>
      </c>
      <c r="G39" s="73">
        <f t="shared" si="4"/>
        <v>2.5117540116728586E-2</v>
      </c>
      <c r="H39" s="74">
        <v>0</v>
      </c>
      <c r="I39" s="46"/>
      <c r="J39" s="27"/>
      <c r="K39" s="34"/>
      <c r="L39" s="34"/>
      <c r="M39" s="34"/>
      <c r="N39" s="34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2:32" s="30" customFormat="1" ht="14.4" customHeight="1" x14ac:dyDescent="0.25">
      <c r="B40" s="75" t="s">
        <v>20</v>
      </c>
      <c r="C40" s="76">
        <f t="shared" ref="C40:H40" si="5">+SUM(C28:C39)</f>
        <v>1098367203.4750473</v>
      </c>
      <c r="D40" s="77">
        <f t="shared" si="5"/>
        <v>1.0000000000000002</v>
      </c>
      <c r="E40" s="78">
        <f t="shared" si="5"/>
        <v>100120.2292870301</v>
      </c>
      <c r="F40" s="76">
        <f t="shared" si="5"/>
        <v>1125058274.3488829</v>
      </c>
      <c r="G40" s="77">
        <f t="shared" si="5"/>
        <v>0.99999999999999989</v>
      </c>
      <c r="H40" s="78">
        <f t="shared" si="5"/>
        <v>62143.985835811101</v>
      </c>
      <c r="I40" s="46"/>
      <c r="J40" s="27"/>
      <c r="K40" s="34"/>
      <c r="L40" s="34"/>
      <c r="M40" s="34"/>
      <c r="N40" s="34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2:32" s="30" customFormat="1" ht="5.0999999999999996" customHeight="1" x14ac:dyDescent="0.25">
      <c r="B41" s="46"/>
      <c r="C41" s="79"/>
      <c r="D41" s="79"/>
      <c r="E41" s="80"/>
      <c r="F41" s="80"/>
      <c r="G41" s="80"/>
      <c r="H41" s="80"/>
      <c r="I41" s="46"/>
      <c r="J41" s="27"/>
      <c r="K41" s="34"/>
      <c r="L41" s="34"/>
      <c r="M41" s="34"/>
      <c r="N41" s="34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2:32" s="30" customFormat="1" ht="14.4" customHeight="1" x14ac:dyDescent="0.25">
      <c r="B42" s="46"/>
      <c r="C42" s="80"/>
      <c r="D42" s="46"/>
      <c r="E42" s="143"/>
      <c r="F42" s="79"/>
      <c r="G42" s="46"/>
      <c r="H42" s="143"/>
      <c r="I42" s="46"/>
      <c r="J42" s="27"/>
      <c r="K42" s="34"/>
      <c r="L42" s="34"/>
      <c r="M42" s="34"/>
      <c r="N42" s="34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2:32" s="30" customFormat="1" ht="13.8" x14ac:dyDescent="0.25">
      <c r="B43" s="82" t="s">
        <v>1052</v>
      </c>
      <c r="C43" s="80"/>
      <c r="D43" s="46"/>
      <c r="E43" s="46"/>
      <c r="F43" s="46"/>
      <c r="G43" s="46"/>
      <c r="H43" s="143"/>
      <c r="I43" s="46"/>
      <c r="J43" s="27"/>
      <c r="K43" s="34"/>
      <c r="L43" s="34"/>
      <c r="M43" s="34"/>
      <c r="N43" s="34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2:32" s="30" customFormat="1" ht="5.0999999999999996" customHeight="1" x14ac:dyDescent="0.25">
      <c r="B44" s="46"/>
      <c r="C44" s="46"/>
      <c r="D44" s="46"/>
      <c r="E44" s="46"/>
      <c r="F44" s="46"/>
      <c r="G44" s="46"/>
      <c r="H44" s="46"/>
      <c r="I44" s="4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2:32" s="30" customFormat="1" ht="15" customHeight="1" x14ac:dyDescent="0.25">
      <c r="B45" s="44"/>
      <c r="C45" s="159" t="s">
        <v>2</v>
      </c>
      <c r="D45" s="159" t="s">
        <v>3</v>
      </c>
      <c r="E45" s="157" t="s">
        <v>4</v>
      </c>
      <c r="F45" s="46"/>
      <c r="G45" s="46"/>
      <c r="H45" s="46"/>
      <c r="I45" s="4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2:32" s="30" customFormat="1" ht="15" customHeight="1" x14ac:dyDescent="0.25">
      <c r="B46" s="44"/>
      <c r="C46" s="160"/>
      <c r="D46" s="160"/>
      <c r="E46" s="158"/>
      <c r="F46" s="46"/>
      <c r="G46" s="46"/>
      <c r="H46" s="46"/>
      <c r="I46" s="4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2:32" s="30" customFormat="1" ht="14.4" customHeight="1" x14ac:dyDescent="0.25">
      <c r="B47" s="118" t="s">
        <v>89</v>
      </c>
      <c r="C47" s="129">
        <f>+C20</f>
        <v>174696701.11495066</v>
      </c>
      <c r="D47" s="120">
        <f>C47/$C$50</f>
        <v>0.13722539810066592</v>
      </c>
      <c r="E47" s="74">
        <f>+E20</f>
        <v>1373.474325072898</v>
      </c>
      <c r="F47" s="79"/>
      <c r="G47" s="134"/>
      <c r="H47" s="80"/>
      <c r="I47" s="4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2:32" s="30" customFormat="1" ht="14.4" customHeight="1" x14ac:dyDescent="0.25">
      <c r="B48" s="118" t="s">
        <v>90</v>
      </c>
      <c r="C48" s="129">
        <f>+SUM(C28:C38)</f>
        <v>1093736499.0889463</v>
      </c>
      <c r="D48" s="120">
        <f>C48/$C$50</f>
        <v>0.85913715340251851</v>
      </c>
      <c r="E48" s="74">
        <f>+SUM(E28:E38)</f>
        <v>100120.2292870301</v>
      </c>
      <c r="F48" s="134"/>
      <c r="G48" s="46"/>
      <c r="H48" s="80"/>
      <c r="I48" s="4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2:32" s="30" customFormat="1" ht="14.4" customHeight="1" x14ac:dyDescent="0.25">
      <c r="B49" s="118" t="s">
        <v>102</v>
      </c>
      <c r="C49" s="119">
        <f>+C39</f>
        <v>4630704.3861011025</v>
      </c>
      <c r="D49" s="120">
        <f>C49/$C$50</f>
        <v>3.6374484968156122E-3</v>
      </c>
      <c r="E49" s="74">
        <f>+E39</f>
        <v>0</v>
      </c>
      <c r="F49" s="134"/>
      <c r="G49" s="134"/>
      <c r="H49" s="80"/>
      <c r="I49" s="4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2:32" s="30" customFormat="1" ht="14.4" customHeight="1" x14ac:dyDescent="0.25">
      <c r="B50" s="75" t="s">
        <v>20</v>
      </c>
      <c r="C50" s="76">
        <f>SUM(C47:C49)</f>
        <v>1273063904.589998</v>
      </c>
      <c r="D50" s="77">
        <f>SUM(D47:D49)</f>
        <v>1</v>
      </c>
      <c r="E50" s="78">
        <f>SUM(E47:E49)</f>
        <v>101493.703612103</v>
      </c>
      <c r="F50" s="134"/>
      <c r="G50" s="46"/>
      <c r="H50" s="46"/>
      <c r="I50" s="4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2" s="30" customFormat="1" ht="14.4" customHeight="1" x14ac:dyDescent="0.25">
      <c r="B51" s="46"/>
      <c r="C51" s="80"/>
      <c r="D51" s="46"/>
      <c r="E51" s="46"/>
      <c r="F51" s="46"/>
      <c r="G51" s="46"/>
      <c r="H51" s="46"/>
      <c r="I51" s="46"/>
      <c r="J51" s="27"/>
      <c r="K51" s="34"/>
      <c r="L51" s="34"/>
      <c r="M51" s="34"/>
      <c r="N51" s="34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2:32" s="30" customFormat="1" ht="13.8" x14ac:dyDescent="0.25">
      <c r="B52" s="82" t="s">
        <v>1053</v>
      </c>
      <c r="C52" s="80"/>
      <c r="D52" s="46"/>
      <c r="E52" s="46"/>
      <c r="F52" s="46"/>
      <c r="G52" s="46"/>
      <c r="H52" s="46"/>
      <c r="I52" s="46"/>
      <c r="J52" s="27"/>
      <c r="K52" s="34"/>
      <c r="L52" s="34"/>
      <c r="M52" s="34"/>
      <c r="N52" s="34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2:32" s="30" customFormat="1" ht="5.0999999999999996" customHeight="1" x14ac:dyDescent="0.25">
      <c r="B53" s="46"/>
      <c r="C53" s="46"/>
      <c r="D53" s="46"/>
      <c r="E53" s="46"/>
      <c r="F53" s="46"/>
      <c r="G53" s="46"/>
      <c r="H53" s="46"/>
      <c r="I53" s="46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2:32" s="30" customFormat="1" ht="15" customHeight="1" x14ac:dyDescent="0.25">
      <c r="B54" s="44"/>
      <c r="C54" s="159" t="s">
        <v>2</v>
      </c>
      <c r="D54" s="159" t="s">
        <v>3</v>
      </c>
      <c r="E54" s="157" t="s">
        <v>4</v>
      </c>
      <c r="F54" s="46"/>
      <c r="G54" s="46"/>
      <c r="H54" s="46"/>
      <c r="I54" s="46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2:32" s="30" customFormat="1" ht="15" customHeight="1" x14ac:dyDescent="0.25">
      <c r="B55" s="44"/>
      <c r="C55" s="160"/>
      <c r="D55" s="160"/>
      <c r="E55" s="158"/>
      <c r="F55" s="46"/>
      <c r="G55" s="46"/>
      <c r="H55" s="46"/>
      <c r="I55" s="46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2:32" s="30" customFormat="1" ht="14.4" customHeight="1" x14ac:dyDescent="0.25">
      <c r="B56" s="118" t="s">
        <v>89</v>
      </c>
      <c r="C56" s="129">
        <f>+F20</f>
        <v>148005630.24111545</v>
      </c>
      <c r="D56" s="120">
        <f>C56/$C$59</f>
        <v>0.11625938784964764</v>
      </c>
      <c r="E56" s="74">
        <f>+H20</f>
        <v>921.39085796519896</v>
      </c>
      <c r="F56" s="79"/>
      <c r="G56" s="134"/>
      <c r="H56" s="134"/>
      <c r="I56" s="46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2:32" s="30" customFormat="1" ht="14.4" customHeight="1" x14ac:dyDescent="0.25">
      <c r="B57" s="118" t="s">
        <v>90</v>
      </c>
      <c r="C57" s="129">
        <f>+SUM(F28:F38)</f>
        <v>1096799578.0092673</v>
      </c>
      <c r="D57" s="120">
        <f>C57/$C$59</f>
        <v>0.86154322187188348</v>
      </c>
      <c r="E57" s="74">
        <f>+SUM(H28:H38)</f>
        <v>62143.985835811101</v>
      </c>
      <c r="F57" s="79"/>
      <c r="G57" s="46"/>
      <c r="H57" s="46"/>
      <c r="I57" s="46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2:32" s="30" customFormat="1" ht="14.4" customHeight="1" x14ac:dyDescent="0.25">
      <c r="B58" s="118" t="s">
        <v>102</v>
      </c>
      <c r="C58" s="129">
        <f>+F39</f>
        <v>28258696.339615501</v>
      </c>
      <c r="D58" s="120">
        <f>C58/$C$59</f>
        <v>2.2197390278468749E-2</v>
      </c>
      <c r="E58" s="74">
        <v>0</v>
      </c>
      <c r="F58" s="79"/>
      <c r="G58" s="134"/>
      <c r="H58" s="46"/>
      <c r="I58" s="46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2:32" s="30" customFormat="1" ht="14.4" customHeight="1" x14ac:dyDescent="0.25">
      <c r="B59" s="75" t="s">
        <v>20</v>
      </c>
      <c r="C59" s="76">
        <f>SUM(C56:C58)</f>
        <v>1273063904.5899985</v>
      </c>
      <c r="D59" s="77">
        <f>SUM(D56:D58)</f>
        <v>0.99999999999999989</v>
      </c>
      <c r="E59" s="78">
        <f>SUM(E56:E58)</f>
        <v>63065.376693776299</v>
      </c>
      <c r="F59" s="134"/>
      <c r="G59" s="46"/>
      <c r="H59" s="46"/>
      <c r="I59" s="46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2:32" s="30" customFormat="1" ht="13.8" x14ac:dyDescent="0.25">
      <c r="B60" s="46"/>
      <c r="C60" s="46"/>
      <c r="D60" s="46"/>
      <c r="E60" s="46"/>
      <c r="F60" s="46"/>
      <c r="G60" s="46"/>
      <c r="H60" s="46"/>
      <c r="I60" s="46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2:32" s="30" customFormat="1" ht="13.8" hidden="1" x14ac:dyDescent="0.25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2:32" s="30" customFormat="1" ht="13.8" hidden="1" x14ac:dyDescent="0.25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2:32" s="30" customFormat="1" ht="13.8" hidden="1" x14ac:dyDescent="0.25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2:32" s="30" customFormat="1" ht="13.8" hidden="1" x14ac:dyDescent="0.25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2:32" s="30" customFormat="1" ht="13.8" hidden="1" x14ac:dyDescent="0.25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spans="2:32" s="30" customFormat="1" ht="13.8" hidden="1" x14ac:dyDescent="0.25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spans="2:32" s="30" customFormat="1" ht="13.8" hidden="1" x14ac:dyDescent="0.25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spans="2:32" s="30" customFormat="1" ht="13.8" hidden="1" x14ac:dyDescent="0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2:32" s="30" customFormat="1" ht="13.8" hidden="1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</row>
    <row r="70" spans="2:32" s="30" customFormat="1" ht="13.8" hidden="1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spans="2:32" s="30" customFormat="1" ht="13.8" hidden="1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</row>
    <row r="72" spans="2:32" s="30" customFormat="1" ht="13.8" hidden="1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 spans="2:32" s="30" customFormat="1" ht="13.8" hidden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 spans="2:32" s="30" customFormat="1" ht="13.8" hidden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 spans="2:32" s="30" customFormat="1" ht="13.8" hidden="1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 spans="2:32" s="30" customFormat="1" ht="13.8" hidden="1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 spans="2:32" s="30" customFormat="1" ht="13.8" hidden="1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 spans="2:32" s="30" customFormat="1" ht="13.8" hidden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 spans="2:32" s="30" customFormat="1" ht="13.8" hidden="1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 spans="2:32" s="30" customFormat="1" ht="13.8" hidden="1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 spans="2:32" s="30" customFormat="1" ht="13.8" hidden="1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 spans="2:32" s="30" customFormat="1" ht="13.8" hidden="1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 spans="2:32" s="30" customFormat="1" ht="13.8" hidden="1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 spans="2:32" s="30" customFormat="1" ht="13.8" hidden="1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 spans="2:32" s="30" customFormat="1" ht="13.8" hidden="1" x14ac:dyDescent="0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 spans="2:32" s="30" customFormat="1" ht="13.8" hidden="1" x14ac:dyDescent="0.25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 spans="2:32" s="30" customFormat="1" ht="13.8" hidden="1" x14ac:dyDescent="0.25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 spans="2:32" s="30" customFormat="1" ht="13.8" hidden="1" x14ac:dyDescent="0.25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 spans="2:32" s="30" customFormat="1" ht="13.8" hidden="1" x14ac:dyDescent="0.25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 spans="2:32" s="30" customFormat="1" ht="13.8" hidden="1" x14ac:dyDescent="0.25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 spans="2:32" s="30" customFormat="1" ht="13.8" hidden="1" x14ac:dyDescent="0.25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 spans="2:32" s="30" customFormat="1" ht="13.8" hidden="1" x14ac:dyDescent="0.25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 spans="2:32" s="30" customFormat="1" ht="13.8" hidden="1" x14ac:dyDescent="0.25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 spans="2:32" s="30" customFormat="1" ht="13.8" hidden="1" x14ac:dyDescent="0.25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 spans="2:32" s="30" customFormat="1" ht="13.8" hidden="1" x14ac:dyDescent="0.25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spans="2:32" s="30" customFormat="1" ht="13.8" hidden="1" x14ac:dyDescent="0.25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spans="2:32" s="30" customFormat="1" ht="13.8" hidden="1" x14ac:dyDescent="0.25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spans="2:32" s="30" customFormat="1" ht="13.8" hidden="1" x14ac:dyDescent="0.25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spans="2:32" s="30" customFormat="1" ht="13.8" hidden="1" x14ac:dyDescent="0.25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spans="2:32" s="30" customFormat="1" ht="13.8" hidden="1" x14ac:dyDescent="0.25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spans="2:32" s="30" customFormat="1" ht="13.8" hidden="1" x14ac:dyDescent="0.25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spans="2:32" s="30" customFormat="1" ht="13.8" hidden="1" x14ac:dyDescent="0.25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spans="2:32" s="30" customFormat="1" ht="13.8" hidden="1" x14ac:dyDescent="0.25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 spans="2:32" s="30" customFormat="1" ht="13.8" hidden="1" x14ac:dyDescent="0.25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 spans="2:32" s="30" customFormat="1" ht="13.8" hidden="1" x14ac:dyDescent="0.25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spans="2:32" s="30" customFormat="1" ht="13.8" hidden="1" x14ac:dyDescent="0.25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 spans="2:32" s="30" customFormat="1" ht="13.8" hidden="1" x14ac:dyDescent="0.25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 spans="2:32" s="30" customFormat="1" ht="13.8" hidden="1" x14ac:dyDescent="0.25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 spans="2:32" s="30" customFormat="1" ht="13.8" hidden="1" x14ac:dyDescent="0.25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 spans="2:32" s="30" customFormat="1" ht="13.8" hidden="1" x14ac:dyDescent="0.25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 spans="2:32" s="30" customFormat="1" ht="13.8" hidden="1" x14ac:dyDescent="0.25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 spans="2:32" s="30" customFormat="1" ht="13.8" hidden="1" x14ac:dyDescent="0.25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</row>
    <row r="113" spans="2:32" s="30" customFormat="1" ht="13.8" hidden="1" x14ac:dyDescent="0.25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 spans="2:32" s="30" customFormat="1" ht="13.8" hidden="1" x14ac:dyDescent="0.25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 spans="2:32" s="30" customFormat="1" ht="13.8" hidden="1" x14ac:dyDescent="0.25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 spans="2:32" s="30" customFormat="1" ht="13.8" hidden="1" x14ac:dyDescent="0.25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 spans="2:32" s="30" customFormat="1" ht="13.8" hidden="1" x14ac:dyDescent="0.25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spans="2:32" s="30" customFormat="1" ht="13.8" hidden="1" x14ac:dyDescent="0.25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</row>
    <row r="119" spans="2:32" s="30" customFormat="1" ht="13.8" hidden="1" x14ac:dyDescent="0.25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</row>
    <row r="120" spans="2:32" s="30" customFormat="1" ht="13.8" hidden="1" x14ac:dyDescent="0.25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 spans="2:32" s="30" customFormat="1" ht="13.8" hidden="1" x14ac:dyDescent="0.25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</row>
    <row r="122" spans="2:32" s="30" customFormat="1" ht="13.8" hidden="1" x14ac:dyDescent="0.25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spans="2:32" s="30" customFormat="1" ht="13.8" hidden="1" x14ac:dyDescent="0.25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 spans="2:32" s="30" customFormat="1" ht="13.8" hidden="1" x14ac:dyDescent="0.25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 spans="2:32" s="30" customFormat="1" ht="13.8" hidden="1" x14ac:dyDescent="0.25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 spans="2:32" s="30" customFormat="1" ht="13.8" hidden="1" x14ac:dyDescent="0.25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 spans="2:32" s="30" customFormat="1" ht="13.8" hidden="1" x14ac:dyDescent="0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</row>
    <row r="128" spans="2:32" s="30" customFormat="1" ht="13.8" hidden="1" x14ac:dyDescent="0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 spans="2:32" s="30" customFormat="1" ht="13.8" hidden="1" x14ac:dyDescent="0.25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 spans="2:32" s="30" customFormat="1" ht="13.8" hidden="1" x14ac:dyDescent="0.25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 spans="2:32" s="30" customFormat="1" ht="13.8" hidden="1" x14ac:dyDescent="0.25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 spans="2:32" s="30" customFormat="1" ht="13.8" hidden="1" x14ac:dyDescent="0.25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 spans="2:32" s="30" customFormat="1" ht="13.8" hidden="1" x14ac:dyDescent="0.25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</row>
    <row r="134" spans="2:32" s="30" customFormat="1" ht="13.8" hidden="1" x14ac:dyDescent="0.25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</row>
    <row r="135" spans="2:32" s="30" customFormat="1" ht="13.8" hidden="1" x14ac:dyDescent="0.25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 spans="2:32" s="30" customFormat="1" ht="13.8" hidden="1" x14ac:dyDescent="0.25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</row>
    <row r="137" spans="2:32" s="30" customFormat="1" ht="13.8" hidden="1" x14ac:dyDescent="0.25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</row>
    <row r="138" spans="2:32" s="30" customFormat="1" ht="13.8" hidden="1" x14ac:dyDescent="0.2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 spans="2:32" s="30" customFormat="1" ht="13.8" hidden="1" x14ac:dyDescent="0.2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</row>
    <row r="140" spans="2:32" s="30" customFormat="1" ht="13.8" hidden="1" x14ac:dyDescent="0.25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</row>
    <row r="141" spans="2:32" s="30" customFormat="1" ht="13.8" hidden="1" x14ac:dyDescent="0.25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 spans="2:32" s="30" customFormat="1" ht="13.8" hidden="1" x14ac:dyDescent="0.25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 spans="2:32" s="30" customFormat="1" ht="13.8" hidden="1" x14ac:dyDescent="0.25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 spans="2:32" s="30" customFormat="1" ht="13.8" hidden="1" x14ac:dyDescent="0.25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 spans="2:32" s="30" customFormat="1" ht="13.8" hidden="1" x14ac:dyDescent="0.25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</row>
    <row r="146" spans="2:32" s="30" customFormat="1" ht="13.8" hidden="1" x14ac:dyDescent="0.25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 spans="2:32" s="30" customFormat="1" ht="13.8" hidden="1" x14ac:dyDescent="0.25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 spans="2:32" s="30" customFormat="1" ht="13.8" hidden="1" x14ac:dyDescent="0.25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</row>
    <row r="149" spans="2:32" s="30" customFormat="1" ht="13.8" hidden="1" x14ac:dyDescent="0.25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 spans="2:32" s="30" customFormat="1" ht="13.8" hidden="1" x14ac:dyDescent="0.25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 spans="2:32" s="30" customFormat="1" ht="13.8" hidden="1" x14ac:dyDescent="0.25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 spans="2:32" s="30" customFormat="1" ht="13.8" hidden="1" x14ac:dyDescent="0.25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</row>
    <row r="153" spans="2:32" s="30" customFormat="1" ht="13.8" hidden="1" x14ac:dyDescent="0.25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 spans="2:32" s="30" customFormat="1" ht="13.8" hidden="1" x14ac:dyDescent="0.25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 spans="2:32" s="30" customFormat="1" ht="13.8" hidden="1" x14ac:dyDescent="0.25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 spans="2:32" s="30" customFormat="1" ht="13.8" hidden="1" x14ac:dyDescent="0.25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spans="2:32" s="30" customFormat="1" ht="13.8" hidden="1" x14ac:dyDescent="0.25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 spans="2:32" s="30" customFormat="1" ht="13.8" hidden="1" x14ac:dyDescent="0.25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 spans="2:32" s="30" customFormat="1" ht="13.8" hidden="1" x14ac:dyDescent="0.25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spans="2:32" s="30" customFormat="1" ht="13.8" hidden="1" x14ac:dyDescent="0.2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 spans="2:32" s="30" customFormat="1" ht="13.8" hidden="1" x14ac:dyDescent="0.2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 spans="2:32" s="30" customFormat="1" ht="13.8" hidden="1" x14ac:dyDescent="0.2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 spans="2:32" s="30" customFormat="1" ht="13.8" hidden="1" x14ac:dyDescent="0.2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 spans="2:32" s="30" customFormat="1" ht="13.8" hidden="1" x14ac:dyDescent="0.2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 spans="2:32" s="30" customFormat="1" ht="13.8" hidden="1" x14ac:dyDescent="0.2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 spans="2:32" s="30" customFormat="1" ht="13.8" hidden="1" x14ac:dyDescent="0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 spans="2:32" s="30" customFormat="1" ht="13.8" hidden="1" x14ac:dyDescent="0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 spans="2:32" s="30" customFormat="1" ht="13.8" hidden="1" x14ac:dyDescent="0.25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 spans="2:32" s="30" customFormat="1" ht="13.8" hidden="1" x14ac:dyDescent="0.25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</row>
    <row r="170" spans="2:32" s="30" customFormat="1" ht="13.8" hidden="1" x14ac:dyDescent="0.25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</row>
    <row r="171" spans="2:32" s="30" customFormat="1" ht="13.8" hidden="1" x14ac:dyDescent="0.25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 spans="2:32" s="30" customFormat="1" ht="13.8" hidden="1" x14ac:dyDescent="0.25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</row>
    <row r="173" spans="2:32" s="30" customFormat="1" ht="13.8" hidden="1" x14ac:dyDescent="0.25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</row>
    <row r="174" spans="2:32" s="30" customFormat="1" ht="13.8" hidden="1" x14ac:dyDescent="0.25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 spans="2:32" s="30" customFormat="1" ht="13.8" hidden="1" x14ac:dyDescent="0.25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  <row r="176" spans="2:32" s="30" customFormat="1" ht="13.8" hidden="1" x14ac:dyDescent="0.25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</row>
    <row r="177" spans="2:32" s="30" customFormat="1" ht="13.8" hidden="1" x14ac:dyDescent="0.25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 spans="2:32" s="30" customFormat="1" ht="13.8" hidden="1" x14ac:dyDescent="0.25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</row>
    <row r="179" spans="2:32" s="30" customFormat="1" ht="13.8" hidden="1" x14ac:dyDescent="0.25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</row>
    <row r="180" spans="2:32" s="30" customFormat="1" ht="13.8" hidden="1" x14ac:dyDescent="0.25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</row>
    <row r="181" spans="2:32" s="30" customFormat="1" ht="13.8" hidden="1" x14ac:dyDescent="0.25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</row>
    <row r="182" spans="2:32" s="30" customFormat="1" ht="13.8" hidden="1" x14ac:dyDescent="0.25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</row>
    <row r="183" spans="2:32" s="30" customFormat="1" ht="13.8" hidden="1" x14ac:dyDescent="0.25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</row>
    <row r="184" spans="2:32" s="30" customFormat="1" ht="13.8" hidden="1" x14ac:dyDescent="0.25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</row>
    <row r="185" spans="2:32" s="30" customFormat="1" ht="13.8" hidden="1" x14ac:dyDescent="0.25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</row>
    <row r="186" spans="2:32" s="30" customFormat="1" ht="13.8" hidden="1" x14ac:dyDescent="0.25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</row>
    <row r="187" spans="2:32" s="30" customFormat="1" ht="13.8" hidden="1" x14ac:dyDescent="0.25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</row>
    <row r="188" spans="2:32" s="30" customFormat="1" ht="13.8" hidden="1" x14ac:dyDescent="0.25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</row>
    <row r="189" spans="2:32" s="30" customFormat="1" ht="13.8" hidden="1" x14ac:dyDescent="0.25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</row>
    <row r="190" spans="2:32" s="30" customFormat="1" ht="13.8" hidden="1" x14ac:dyDescent="0.25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</row>
    <row r="191" spans="2:32" s="30" customFormat="1" ht="13.8" hidden="1" x14ac:dyDescent="0.25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</row>
    <row r="192" spans="2:32" s="30" customFormat="1" ht="13.8" hidden="1" x14ac:dyDescent="0.25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</row>
    <row r="193" spans="2:32" s="30" customFormat="1" ht="13.8" hidden="1" x14ac:dyDescent="0.25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</row>
    <row r="194" spans="2:32" s="30" customFormat="1" ht="13.8" hidden="1" x14ac:dyDescent="0.25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</row>
    <row r="195" spans="2:32" s="30" customFormat="1" ht="13.8" hidden="1" x14ac:dyDescent="0.25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</row>
    <row r="196" spans="2:32" s="30" customFormat="1" ht="13.8" hidden="1" x14ac:dyDescent="0.25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</row>
    <row r="197" spans="2:32" s="30" customFormat="1" ht="13.8" hidden="1" x14ac:dyDescent="0.25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</row>
    <row r="198" spans="2:32" s="30" customFormat="1" ht="13.8" hidden="1" x14ac:dyDescent="0.25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 spans="2:32" s="30" customFormat="1" ht="13.8" hidden="1" x14ac:dyDescent="0.25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</row>
    <row r="200" spans="2:32" s="30" customFormat="1" ht="13.8" hidden="1" x14ac:dyDescent="0.25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</row>
    <row r="201" spans="2:32" s="30" customFormat="1" ht="13.8" hidden="1" x14ac:dyDescent="0.25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</row>
    <row r="202" spans="2:32" s="30" customFormat="1" ht="13.8" hidden="1" x14ac:dyDescent="0.25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</row>
    <row r="203" spans="2:32" s="30" customFormat="1" ht="13.8" hidden="1" x14ac:dyDescent="0.25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</row>
    <row r="204" spans="2:32" s="30" customFormat="1" ht="13.8" hidden="1" x14ac:dyDescent="0.25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</row>
    <row r="205" spans="2:32" s="30" customFormat="1" ht="13.8" hidden="1" x14ac:dyDescent="0.25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</row>
    <row r="206" spans="2:32" s="30" customFormat="1" ht="13.8" hidden="1" x14ac:dyDescent="0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</row>
    <row r="207" spans="2:32" s="30" customFormat="1" ht="13.8" hidden="1" x14ac:dyDescent="0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</row>
    <row r="208" spans="2:32" s="30" customFormat="1" ht="13.8" hidden="1" x14ac:dyDescent="0.25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</row>
    <row r="209" spans="2:32" s="30" customFormat="1" ht="13.8" hidden="1" x14ac:dyDescent="0.25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</row>
    <row r="210" spans="2:32" s="30" customFormat="1" ht="13.8" hidden="1" x14ac:dyDescent="0.25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</row>
    <row r="211" spans="2:32" s="30" customFormat="1" ht="13.8" hidden="1" x14ac:dyDescent="0.25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</row>
    <row r="212" spans="2:32" s="30" customFormat="1" ht="13.8" hidden="1" x14ac:dyDescent="0.25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</row>
    <row r="213" spans="2:32" s="30" customFormat="1" ht="13.8" hidden="1" x14ac:dyDescent="0.25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</row>
    <row r="214" spans="2:32" s="30" customFormat="1" ht="13.8" hidden="1" x14ac:dyDescent="0.25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</row>
    <row r="215" spans="2:32" s="30" customFormat="1" ht="13.8" hidden="1" x14ac:dyDescent="0.25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</row>
    <row r="216" spans="2:32" s="30" customFormat="1" ht="13.8" hidden="1" x14ac:dyDescent="0.25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 spans="2:32" s="30" customFormat="1" ht="13.8" hidden="1" x14ac:dyDescent="0.25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</row>
    <row r="218" spans="2:32" s="30" customFormat="1" ht="13.8" hidden="1" x14ac:dyDescent="0.25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</row>
    <row r="219" spans="2:32" s="30" customFormat="1" ht="13.8" hidden="1" x14ac:dyDescent="0.25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 spans="2:32" s="30" customFormat="1" ht="13.8" hidden="1" x14ac:dyDescent="0.25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</row>
    <row r="221" spans="2:32" s="30" customFormat="1" ht="13.8" hidden="1" x14ac:dyDescent="0.25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</row>
    <row r="222" spans="2:32" s="30" customFormat="1" ht="13.8" hidden="1" x14ac:dyDescent="0.25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</row>
    <row r="223" spans="2:32" s="30" customFormat="1" ht="13.8" hidden="1" x14ac:dyDescent="0.25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</row>
    <row r="224" spans="2:32" s="30" customFormat="1" ht="13.8" hidden="1" x14ac:dyDescent="0.25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</row>
    <row r="225" spans="2:32" s="30" customFormat="1" ht="13.8" hidden="1" x14ac:dyDescent="0.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</row>
    <row r="226" spans="2:32" s="30" customFormat="1" ht="13.8" hidden="1" x14ac:dyDescent="0.25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 spans="2:32" s="30" customFormat="1" ht="13.8" hidden="1" x14ac:dyDescent="0.25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</row>
    <row r="228" spans="2:32" s="30" customFormat="1" ht="13.8" hidden="1" x14ac:dyDescent="0.25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 spans="2:32" s="30" customFormat="1" ht="13.8" hidden="1" x14ac:dyDescent="0.25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</row>
    <row r="230" spans="2:32" s="30" customFormat="1" ht="13.8" hidden="1" x14ac:dyDescent="0.25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</row>
    <row r="231" spans="2:32" s="30" customFormat="1" ht="13.8" hidden="1" x14ac:dyDescent="0.25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</row>
    <row r="232" spans="2:32" s="30" customFormat="1" ht="13.8" hidden="1" x14ac:dyDescent="0.25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</row>
    <row r="233" spans="2:32" s="30" customFormat="1" ht="13.8" hidden="1" x14ac:dyDescent="0.25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</row>
    <row r="234" spans="2:32" s="30" customFormat="1" ht="13.8" hidden="1" x14ac:dyDescent="0.25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</row>
    <row r="235" spans="2:32" s="30" customFormat="1" ht="13.8" hidden="1" x14ac:dyDescent="0.25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</row>
    <row r="236" spans="2:32" s="30" customFormat="1" ht="13.8" hidden="1" x14ac:dyDescent="0.25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</row>
    <row r="237" spans="2:32" s="30" customFormat="1" ht="13.8" hidden="1" x14ac:dyDescent="0.25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</row>
    <row r="238" spans="2:32" s="30" customFormat="1" ht="13.8" hidden="1" x14ac:dyDescent="0.25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</row>
    <row r="239" spans="2:32" s="30" customFormat="1" ht="13.8" hidden="1" x14ac:dyDescent="0.25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</row>
    <row r="240" spans="2:32" s="30" customFormat="1" ht="13.8" hidden="1" x14ac:dyDescent="0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</row>
    <row r="241" spans="2:32" s="30" customFormat="1" ht="13.8" hidden="1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</row>
    <row r="242" spans="2:32" s="30" customFormat="1" ht="13.8" hidden="1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</row>
    <row r="243" spans="2:32" s="30" customFormat="1" ht="13.8" hidden="1" x14ac:dyDescent="0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</row>
    <row r="244" spans="2:32" s="30" customFormat="1" ht="13.8" hidden="1" x14ac:dyDescent="0.25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</row>
    <row r="245" spans="2:32" s="30" customFormat="1" ht="13.8" hidden="1" x14ac:dyDescent="0.25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</row>
    <row r="246" spans="2:32" s="30" customFormat="1" ht="13.8" hidden="1" x14ac:dyDescent="0.25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</row>
    <row r="247" spans="2:32" s="30" customFormat="1" ht="13.8" hidden="1" x14ac:dyDescent="0.25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</row>
    <row r="248" spans="2:32" s="30" customFormat="1" ht="13.8" hidden="1" x14ac:dyDescent="0.25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</row>
    <row r="249" spans="2:32" s="30" customFormat="1" ht="13.8" hidden="1" x14ac:dyDescent="0.25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</row>
    <row r="250" spans="2:32" s="30" customFormat="1" ht="13.8" hidden="1" x14ac:dyDescent="0.25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</row>
    <row r="251" spans="2:32" s="30" customFormat="1" ht="13.8" hidden="1" x14ac:dyDescent="0.25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</row>
    <row r="252" spans="2:32" s="30" customFormat="1" ht="13.8" hidden="1" x14ac:dyDescent="0.25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</row>
    <row r="253" spans="2:32" s="30" customFormat="1" ht="13.8" hidden="1" x14ac:dyDescent="0.25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</row>
    <row r="254" spans="2:32" s="30" customFormat="1" ht="13.8" hidden="1" x14ac:dyDescent="0.25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</row>
    <row r="255" spans="2:32" s="30" customFormat="1" ht="13.8" hidden="1" x14ac:dyDescent="0.25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</row>
    <row r="256" spans="2:32" s="30" customFormat="1" ht="13.8" hidden="1" x14ac:dyDescent="0.25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</row>
    <row r="257" spans="2:32" s="30" customFormat="1" ht="13.8" hidden="1" x14ac:dyDescent="0.25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</row>
    <row r="258" spans="2:32" s="30" customFormat="1" ht="13.8" hidden="1" x14ac:dyDescent="0.25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</row>
    <row r="259" spans="2:32" s="30" customFormat="1" ht="13.8" hidden="1" x14ac:dyDescent="0.25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</row>
    <row r="260" spans="2:32" s="30" customFormat="1" ht="13.8" hidden="1" x14ac:dyDescent="0.25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</row>
    <row r="261" spans="2:32" s="30" customFormat="1" ht="13.8" hidden="1" x14ac:dyDescent="0.25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</row>
    <row r="262" spans="2:32" s="30" customFormat="1" ht="13.8" hidden="1" x14ac:dyDescent="0.25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</row>
    <row r="263" spans="2:32" s="30" customFormat="1" ht="13.8" hidden="1" x14ac:dyDescent="0.25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</row>
    <row r="264" spans="2:32" s="30" customFormat="1" ht="13.8" hidden="1" x14ac:dyDescent="0.25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</row>
    <row r="265" spans="2:32" s="30" customFormat="1" ht="13.8" hidden="1" x14ac:dyDescent="0.25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</row>
    <row r="266" spans="2:32" s="30" customFormat="1" ht="13.8" hidden="1" x14ac:dyDescent="0.25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</row>
    <row r="267" spans="2:32" s="30" customFormat="1" ht="13.8" hidden="1" x14ac:dyDescent="0.25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</row>
    <row r="268" spans="2:32" s="30" customFormat="1" ht="13.8" hidden="1" x14ac:dyDescent="0.25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</row>
    <row r="269" spans="2:32" s="30" customFormat="1" ht="13.8" hidden="1" x14ac:dyDescent="0.25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</row>
    <row r="270" spans="2:32" s="30" customFormat="1" ht="13.8" hidden="1" x14ac:dyDescent="0.25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 spans="2:32" s="30" customFormat="1" ht="13.8" hidden="1" x14ac:dyDescent="0.25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</row>
    <row r="272" spans="2:32" s="30" customFormat="1" ht="13.8" hidden="1" x14ac:dyDescent="0.25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 spans="2:32" s="30" customFormat="1" ht="13.8" hidden="1" x14ac:dyDescent="0.25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 spans="2:32" s="30" customFormat="1" ht="13.8" hidden="1" x14ac:dyDescent="0.25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</row>
    <row r="275" spans="2:32" s="30" customFormat="1" ht="13.8" hidden="1" x14ac:dyDescent="0.25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</row>
    <row r="276" spans="2:32" s="30" customFormat="1" ht="13.8" hidden="1" x14ac:dyDescent="0.25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 spans="2:32" s="30" customFormat="1" ht="13.8" hidden="1" x14ac:dyDescent="0.25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</row>
    <row r="278" spans="2:32" s="30" customFormat="1" ht="13.8" hidden="1" x14ac:dyDescent="0.25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</row>
    <row r="279" spans="2:32" s="30" customFormat="1" ht="13.8" hidden="1" x14ac:dyDescent="0.25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 spans="2:32" s="30" customFormat="1" ht="13.8" hidden="1" x14ac:dyDescent="0.25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</row>
    <row r="281" spans="2:32" s="30" customFormat="1" ht="13.8" hidden="1" x14ac:dyDescent="0.25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</row>
    <row r="282" spans="2:32" s="30" customFormat="1" ht="13.8" hidden="1" x14ac:dyDescent="0.25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 spans="2:32" s="30" customFormat="1" ht="13.8" hidden="1" x14ac:dyDescent="0.25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</row>
    <row r="284" spans="2:32" s="30" customFormat="1" ht="13.8" hidden="1" x14ac:dyDescent="0.25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</row>
    <row r="285" spans="2:32" s="30" customFormat="1" ht="13.8" hidden="1" x14ac:dyDescent="0.25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 spans="2:32" s="30" customFormat="1" ht="13.8" hidden="1" x14ac:dyDescent="0.25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</row>
    <row r="287" spans="2:32" s="30" customFormat="1" ht="13.8" hidden="1" x14ac:dyDescent="0.25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 spans="2:32" s="30" customFormat="1" ht="13.8" hidden="1" x14ac:dyDescent="0.25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 spans="2:32" s="30" customFormat="1" ht="13.8" hidden="1" x14ac:dyDescent="0.25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</row>
    <row r="290" spans="2:32" s="30" customFormat="1" ht="13.8" hidden="1" x14ac:dyDescent="0.25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</row>
    <row r="291" spans="2:32" s="30" customFormat="1" ht="13.8" hidden="1" x14ac:dyDescent="0.25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 spans="2:32" s="30" customFormat="1" ht="13.8" hidden="1" x14ac:dyDescent="0.25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</row>
    <row r="293" spans="2:32" s="30" customFormat="1" ht="13.8" hidden="1" x14ac:dyDescent="0.25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</row>
    <row r="294" spans="2:32" s="30" customFormat="1" ht="13.8" hidden="1" x14ac:dyDescent="0.25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 spans="2:32" s="30" customFormat="1" ht="13.8" hidden="1" x14ac:dyDescent="0.25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</row>
    <row r="296" spans="2:32" s="30" customFormat="1" ht="13.8" hidden="1" x14ac:dyDescent="0.25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</row>
    <row r="297" spans="2:32" s="30" customFormat="1" ht="13.8" hidden="1" x14ac:dyDescent="0.25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 spans="2:32" s="30" customFormat="1" ht="13.8" hidden="1" x14ac:dyDescent="0.25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</row>
    <row r="299" spans="2:32" s="30" customFormat="1" ht="13.8" hidden="1" x14ac:dyDescent="0.25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</row>
    <row r="300" spans="2:32" s="30" customFormat="1" ht="13.8" hidden="1" x14ac:dyDescent="0.25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 spans="2:32" s="30" customFormat="1" ht="13.8" hidden="1" x14ac:dyDescent="0.25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</row>
    <row r="302" spans="2:32" s="30" customFormat="1" ht="13.8" hidden="1" x14ac:dyDescent="0.25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</row>
    <row r="303" spans="2:32" s="30" customFormat="1" ht="13.8" hidden="1" x14ac:dyDescent="0.25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spans="2:32" s="30" customFormat="1" ht="13.8" hidden="1" x14ac:dyDescent="0.25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</row>
    <row r="305" spans="2:32" s="30" customFormat="1" ht="13.8" hidden="1" x14ac:dyDescent="0.25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</row>
    <row r="306" spans="2:32" s="30" customFormat="1" ht="13.8" hidden="1" x14ac:dyDescent="0.25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 spans="2:32" s="30" customFormat="1" ht="13.8" hidden="1" x14ac:dyDescent="0.25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</row>
    <row r="308" spans="2:32" s="30" customFormat="1" ht="13.8" hidden="1" x14ac:dyDescent="0.25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</row>
    <row r="309" spans="2:32" s="30" customFormat="1" ht="13.8" hidden="1" x14ac:dyDescent="0.25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 spans="2:32" s="30" customFormat="1" ht="13.8" hidden="1" x14ac:dyDescent="0.25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</row>
    <row r="311" spans="2:32" s="30" customFormat="1" ht="13.8" hidden="1" x14ac:dyDescent="0.25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</row>
    <row r="312" spans="2:32" s="30" customFormat="1" ht="13.8" hidden="1" x14ac:dyDescent="0.25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 spans="2:32" s="30" customFormat="1" ht="13.8" hidden="1" x14ac:dyDescent="0.25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</row>
    <row r="314" spans="2:32" s="30" customFormat="1" ht="13.8" hidden="1" x14ac:dyDescent="0.25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</row>
    <row r="315" spans="2:32" s="30" customFormat="1" ht="13.8" hidden="1" x14ac:dyDescent="0.25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</row>
    <row r="316" spans="2:32" s="30" customFormat="1" ht="13.8" hidden="1" x14ac:dyDescent="0.25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</row>
    <row r="317" spans="2:32" s="30" customFormat="1" ht="13.8" hidden="1" x14ac:dyDescent="0.25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</row>
    <row r="318" spans="2:32" s="30" customFormat="1" ht="13.8" hidden="1" x14ac:dyDescent="0.25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</row>
    <row r="319" spans="2:32" s="30" customFormat="1" ht="13.8" hidden="1" x14ac:dyDescent="0.25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</row>
    <row r="320" spans="2:32" s="30" customFormat="1" ht="13.8" hidden="1" x14ac:dyDescent="0.25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</row>
    <row r="321" spans="2:32" s="30" customFormat="1" ht="13.8" hidden="1" x14ac:dyDescent="0.25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</row>
    <row r="322" spans="2:32" s="30" customFormat="1" ht="13.8" hidden="1" x14ac:dyDescent="0.25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</row>
    <row r="323" spans="2:32" s="30" customFormat="1" ht="13.8" hidden="1" x14ac:dyDescent="0.25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</row>
    <row r="324" spans="2:32" s="30" customFormat="1" ht="13.8" hidden="1" x14ac:dyDescent="0.25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</row>
    <row r="325" spans="2:32" s="30" customFormat="1" ht="13.8" hidden="1" x14ac:dyDescent="0.25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</row>
    <row r="326" spans="2:32" s="30" customFormat="1" ht="13.8" hidden="1" x14ac:dyDescent="0.25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</row>
    <row r="327" spans="2:32" s="30" customFormat="1" ht="13.8" hidden="1" x14ac:dyDescent="0.25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</row>
    <row r="328" spans="2:32" s="30" customFormat="1" ht="13.8" hidden="1" x14ac:dyDescent="0.25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</row>
    <row r="329" spans="2:32" s="30" customFormat="1" ht="13.8" hidden="1" x14ac:dyDescent="0.25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</row>
    <row r="330" spans="2:32" s="30" customFormat="1" ht="13.8" hidden="1" x14ac:dyDescent="0.25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</row>
    <row r="331" spans="2:32" s="30" customFormat="1" ht="13.8" hidden="1" x14ac:dyDescent="0.25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</row>
    <row r="332" spans="2:32" s="30" customFormat="1" ht="13.8" hidden="1" x14ac:dyDescent="0.25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</row>
    <row r="333" spans="2:32" s="30" customFormat="1" ht="13.8" hidden="1" x14ac:dyDescent="0.25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</row>
    <row r="334" spans="2:32" s="30" customFormat="1" ht="13.8" hidden="1" x14ac:dyDescent="0.25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</row>
    <row r="335" spans="2:32" s="30" customFormat="1" ht="13.8" hidden="1" x14ac:dyDescent="0.25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</row>
    <row r="336" spans="2:32" s="30" customFormat="1" ht="13.8" hidden="1" x14ac:dyDescent="0.25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</row>
    <row r="337" spans="2:32" s="30" customFormat="1" ht="13.8" hidden="1" x14ac:dyDescent="0.25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</row>
    <row r="338" spans="2:32" s="30" customFormat="1" ht="13.8" hidden="1" x14ac:dyDescent="0.25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</row>
    <row r="339" spans="2:32" s="30" customFormat="1" ht="13.8" hidden="1" x14ac:dyDescent="0.25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</row>
    <row r="340" spans="2:32" s="30" customFormat="1" ht="13.8" hidden="1" x14ac:dyDescent="0.25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</row>
    <row r="341" spans="2:32" s="30" customFormat="1" ht="13.8" hidden="1" x14ac:dyDescent="0.25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</row>
    <row r="342" spans="2:32" s="30" customFormat="1" ht="13.8" hidden="1" x14ac:dyDescent="0.25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</row>
    <row r="343" spans="2:32" s="30" customFormat="1" ht="13.8" hidden="1" x14ac:dyDescent="0.25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</row>
    <row r="344" spans="2:32" s="30" customFormat="1" ht="13.8" hidden="1" x14ac:dyDescent="0.25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</row>
    <row r="345" spans="2:32" s="30" customFormat="1" ht="13.8" hidden="1" x14ac:dyDescent="0.25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</row>
    <row r="346" spans="2:32" s="30" customFormat="1" ht="13.8" hidden="1" x14ac:dyDescent="0.25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</row>
    <row r="347" spans="2:32" s="30" customFormat="1" ht="13.8" hidden="1" x14ac:dyDescent="0.25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</row>
    <row r="348" spans="2:32" s="30" customFormat="1" ht="13.8" hidden="1" x14ac:dyDescent="0.25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</row>
    <row r="349" spans="2:32" s="30" customFormat="1" ht="13.8" hidden="1" x14ac:dyDescent="0.25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</row>
    <row r="350" spans="2:32" s="30" customFormat="1" ht="13.8" hidden="1" x14ac:dyDescent="0.25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</row>
    <row r="351" spans="2:32" s="30" customFormat="1" ht="13.8" hidden="1" x14ac:dyDescent="0.25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</row>
    <row r="352" spans="2:32" s="30" customFormat="1" ht="13.8" hidden="1" x14ac:dyDescent="0.25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</row>
    <row r="353" spans="2:32" s="30" customFormat="1" ht="13.8" hidden="1" x14ac:dyDescent="0.25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</row>
    <row r="354" spans="2:32" s="30" customFormat="1" ht="13.8" hidden="1" x14ac:dyDescent="0.25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</row>
    <row r="355" spans="2:32" s="30" customFormat="1" ht="13.8" hidden="1" x14ac:dyDescent="0.25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 spans="2:32" s="30" customFormat="1" ht="13.8" hidden="1" x14ac:dyDescent="0.25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</row>
    <row r="357" spans="2:32" s="30" customFormat="1" ht="13.8" hidden="1" x14ac:dyDescent="0.25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</row>
    <row r="358" spans="2:32" s="30" customFormat="1" ht="13.8" hidden="1" x14ac:dyDescent="0.25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</row>
    <row r="359" spans="2:32" s="30" customFormat="1" ht="13.8" hidden="1" x14ac:dyDescent="0.25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</row>
    <row r="360" spans="2:32" s="30" customFormat="1" ht="13.8" hidden="1" x14ac:dyDescent="0.25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</row>
    <row r="361" spans="2:32" s="30" customFormat="1" ht="13.8" hidden="1" x14ac:dyDescent="0.25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</row>
    <row r="362" spans="2:32" s="30" customFormat="1" ht="13.8" hidden="1" x14ac:dyDescent="0.25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</row>
    <row r="363" spans="2:32" s="30" customFormat="1" ht="13.8" hidden="1" x14ac:dyDescent="0.25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</row>
    <row r="364" spans="2:32" s="30" customFormat="1" ht="13.8" hidden="1" x14ac:dyDescent="0.25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</row>
    <row r="365" spans="2:32" s="30" customFormat="1" ht="13.8" hidden="1" x14ac:dyDescent="0.25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</row>
    <row r="366" spans="2:32" s="30" customFormat="1" ht="13.8" hidden="1" x14ac:dyDescent="0.25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</row>
    <row r="367" spans="2:32" s="30" customFormat="1" ht="13.8" hidden="1" x14ac:dyDescent="0.25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</row>
    <row r="368" spans="2:32" s="30" customFormat="1" ht="13.8" hidden="1" x14ac:dyDescent="0.25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</row>
    <row r="369" spans="2:32" s="30" customFormat="1" ht="13.8" hidden="1" x14ac:dyDescent="0.25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</row>
    <row r="370" spans="2:32" s="30" customFormat="1" ht="13.8" hidden="1" x14ac:dyDescent="0.25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</row>
    <row r="371" spans="2:32" s="30" customFormat="1" ht="13.8" hidden="1" x14ac:dyDescent="0.25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</row>
    <row r="372" spans="2:32" s="30" customFormat="1" ht="13.8" hidden="1" x14ac:dyDescent="0.25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</row>
    <row r="373" spans="2:32" s="30" customFormat="1" ht="13.8" hidden="1" x14ac:dyDescent="0.25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</row>
    <row r="374" spans="2:32" s="30" customFormat="1" ht="13.8" hidden="1" x14ac:dyDescent="0.25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</row>
    <row r="375" spans="2:32" s="30" customFormat="1" ht="13.8" hidden="1" x14ac:dyDescent="0.25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</row>
    <row r="376" spans="2:32" s="30" customFormat="1" ht="13.8" hidden="1" x14ac:dyDescent="0.25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</row>
    <row r="377" spans="2:32" s="30" customFormat="1" ht="13.8" hidden="1" x14ac:dyDescent="0.25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</row>
    <row r="378" spans="2:32" s="30" customFormat="1" ht="13.8" hidden="1" x14ac:dyDescent="0.25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</row>
    <row r="379" spans="2:32" s="30" customFormat="1" ht="13.8" hidden="1" x14ac:dyDescent="0.25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</row>
    <row r="380" spans="2:32" s="30" customFormat="1" ht="13.8" hidden="1" x14ac:dyDescent="0.25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</row>
    <row r="381" spans="2:32" s="30" customFormat="1" ht="13.8" hidden="1" x14ac:dyDescent="0.25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</row>
    <row r="382" spans="2:32" s="30" customFormat="1" ht="13.8" hidden="1" x14ac:dyDescent="0.25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</row>
    <row r="383" spans="2:32" s="30" customFormat="1" ht="13.8" hidden="1" x14ac:dyDescent="0.25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</row>
    <row r="384" spans="2:32" s="30" customFormat="1" ht="13.8" hidden="1" x14ac:dyDescent="0.25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</row>
    <row r="385" spans="2:32" s="30" customFormat="1" ht="13.8" hidden="1" x14ac:dyDescent="0.25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</row>
    <row r="386" spans="2:32" s="30" customFormat="1" ht="13.8" hidden="1" x14ac:dyDescent="0.25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</row>
    <row r="387" spans="2:32" s="30" customFormat="1" ht="13.8" hidden="1" x14ac:dyDescent="0.25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</row>
    <row r="388" spans="2:32" s="30" customFormat="1" ht="13.8" hidden="1" x14ac:dyDescent="0.25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</row>
    <row r="389" spans="2:32" s="30" customFormat="1" ht="13.8" hidden="1" x14ac:dyDescent="0.25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</row>
    <row r="390" spans="2:32" s="30" customFormat="1" ht="13.8" hidden="1" x14ac:dyDescent="0.25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</row>
    <row r="391" spans="2:32" s="30" customFormat="1" ht="13.8" hidden="1" x14ac:dyDescent="0.25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</row>
    <row r="392" spans="2:32" s="30" customFormat="1" ht="13.8" hidden="1" x14ac:dyDescent="0.25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</row>
    <row r="393" spans="2:32" s="30" customFormat="1" ht="13.8" hidden="1" x14ac:dyDescent="0.25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</row>
    <row r="394" spans="2:32" s="30" customFormat="1" ht="13.8" hidden="1" x14ac:dyDescent="0.25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</row>
    <row r="395" spans="2:32" s="30" customFormat="1" ht="13.8" hidden="1" x14ac:dyDescent="0.25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</row>
    <row r="396" spans="2:32" s="30" customFormat="1" ht="13.8" hidden="1" x14ac:dyDescent="0.25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</row>
    <row r="397" spans="2:32" s="30" customFormat="1" ht="13.8" hidden="1" x14ac:dyDescent="0.25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</row>
    <row r="398" spans="2:32" s="30" customFormat="1" ht="13.8" hidden="1" x14ac:dyDescent="0.25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 spans="2:32" s="30" customFormat="1" ht="13.8" hidden="1" x14ac:dyDescent="0.25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</row>
    <row r="400" spans="2:32" s="30" customFormat="1" ht="13.8" hidden="1" x14ac:dyDescent="0.25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</row>
    <row r="401" spans="2:32" s="30" customFormat="1" ht="13.8" hidden="1" x14ac:dyDescent="0.25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</row>
    <row r="402" spans="2:32" s="30" customFormat="1" ht="13.8" hidden="1" x14ac:dyDescent="0.25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</row>
    <row r="403" spans="2:32" s="30" customFormat="1" ht="13.8" hidden="1" x14ac:dyDescent="0.25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</row>
    <row r="404" spans="2:32" s="30" customFormat="1" ht="13.8" hidden="1" x14ac:dyDescent="0.25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</row>
    <row r="405" spans="2:32" s="30" customFormat="1" ht="13.8" hidden="1" x14ac:dyDescent="0.25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</row>
    <row r="406" spans="2:32" s="30" customFormat="1" ht="13.8" hidden="1" x14ac:dyDescent="0.25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</row>
    <row r="407" spans="2:32" s="30" customFormat="1" ht="13.8" hidden="1" x14ac:dyDescent="0.25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</row>
    <row r="408" spans="2:32" s="30" customFormat="1" ht="13.8" hidden="1" x14ac:dyDescent="0.25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</row>
    <row r="409" spans="2:32" s="30" customFormat="1" ht="13.8" hidden="1" x14ac:dyDescent="0.25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</row>
    <row r="410" spans="2:32" s="30" customFormat="1" ht="13.8" hidden="1" x14ac:dyDescent="0.25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</row>
    <row r="411" spans="2:32" s="30" customFormat="1" ht="13.8" hidden="1" x14ac:dyDescent="0.25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</row>
    <row r="412" spans="2:32" s="30" customFormat="1" ht="13.8" hidden="1" x14ac:dyDescent="0.25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</row>
    <row r="413" spans="2:32" s="30" customFormat="1" ht="13.8" hidden="1" x14ac:dyDescent="0.25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</row>
    <row r="414" spans="2:32" s="30" customFormat="1" ht="13.8" hidden="1" x14ac:dyDescent="0.25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</row>
    <row r="415" spans="2:32" s="30" customFormat="1" ht="13.8" hidden="1" x14ac:dyDescent="0.25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</row>
    <row r="416" spans="2:32" s="30" customFormat="1" ht="13.8" hidden="1" x14ac:dyDescent="0.25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</row>
    <row r="417" spans="2:32" s="30" customFormat="1" ht="13.8" hidden="1" x14ac:dyDescent="0.25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</row>
    <row r="418" spans="2:32" s="30" customFormat="1" ht="13.8" hidden="1" x14ac:dyDescent="0.25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</row>
    <row r="419" spans="2:32" s="30" customFormat="1" ht="13.8" hidden="1" x14ac:dyDescent="0.25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</row>
    <row r="420" spans="2:32" s="30" customFormat="1" ht="13.8" hidden="1" x14ac:dyDescent="0.25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</row>
    <row r="421" spans="2:32" s="30" customFormat="1" ht="13.8" hidden="1" x14ac:dyDescent="0.25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 spans="2:32" s="30" customFormat="1" ht="13.8" hidden="1" x14ac:dyDescent="0.25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 spans="2:32" s="30" customFormat="1" ht="13.8" hidden="1" x14ac:dyDescent="0.25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 spans="2:32" s="30" customFormat="1" ht="13.8" hidden="1" x14ac:dyDescent="0.25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 spans="2:32" s="30" customFormat="1" ht="13.8" hidden="1" x14ac:dyDescent="0.25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 spans="2:32" s="30" customFormat="1" ht="13.8" hidden="1" x14ac:dyDescent="0.25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 spans="2:32" s="30" customFormat="1" ht="13.8" hidden="1" x14ac:dyDescent="0.25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 spans="2:32" s="30" customFormat="1" ht="13.8" hidden="1" x14ac:dyDescent="0.25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 spans="2:32" s="30" customFormat="1" ht="13.8" hidden="1" x14ac:dyDescent="0.25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 spans="2:32" s="30" customFormat="1" ht="13.8" hidden="1" x14ac:dyDescent="0.25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 spans="2:32" s="30" customFormat="1" ht="13.8" hidden="1" x14ac:dyDescent="0.25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 spans="2:32" s="30" customFormat="1" ht="13.8" hidden="1" x14ac:dyDescent="0.25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 spans="2:32" s="30" customFormat="1" ht="13.8" hidden="1" x14ac:dyDescent="0.25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 spans="2:32" s="30" customFormat="1" ht="13.8" hidden="1" x14ac:dyDescent="0.25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 spans="2:32" s="30" customFormat="1" ht="13.8" hidden="1" x14ac:dyDescent="0.25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 spans="2:32" s="30" customFormat="1" ht="13.8" hidden="1" x14ac:dyDescent="0.25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 spans="2:32" s="30" customFormat="1" ht="13.8" hidden="1" x14ac:dyDescent="0.25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 spans="2:32" s="30" customFormat="1" ht="13.8" hidden="1" x14ac:dyDescent="0.25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 spans="2:32" s="30" customFormat="1" ht="13.8" hidden="1" x14ac:dyDescent="0.25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 spans="2:32" s="30" customFormat="1" ht="13.8" hidden="1" x14ac:dyDescent="0.25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 spans="2:32" s="30" customFormat="1" ht="13.8" hidden="1" x14ac:dyDescent="0.25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 spans="2:32" s="30" customFormat="1" ht="13.8" hidden="1" x14ac:dyDescent="0.25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 spans="2:32" s="30" customFormat="1" ht="13.8" hidden="1" x14ac:dyDescent="0.25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 spans="2:32" s="30" customFormat="1" ht="13.8" hidden="1" x14ac:dyDescent="0.25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 spans="2:32" s="30" customFormat="1" ht="13.8" hidden="1" x14ac:dyDescent="0.25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</row>
    <row r="446" spans="2:32" s="30" customFormat="1" ht="13.8" hidden="1" x14ac:dyDescent="0.25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</row>
    <row r="447" spans="2:32" s="30" customFormat="1" ht="13.8" hidden="1" x14ac:dyDescent="0.25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</row>
    <row r="448" spans="2:32" s="30" customFormat="1" ht="13.8" hidden="1" x14ac:dyDescent="0.25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</row>
    <row r="449" spans="2:32" s="30" customFormat="1" ht="13.8" hidden="1" x14ac:dyDescent="0.25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</row>
    <row r="450" spans="2:32" s="30" customFormat="1" ht="13.8" hidden="1" x14ac:dyDescent="0.25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</row>
    <row r="451" spans="2:32" s="30" customFormat="1" ht="13.8" hidden="1" x14ac:dyDescent="0.25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</row>
    <row r="452" spans="2:32" s="30" customFormat="1" ht="13.8" hidden="1" x14ac:dyDescent="0.25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 spans="2:32" s="30" customFormat="1" ht="13.8" hidden="1" x14ac:dyDescent="0.25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</row>
    <row r="454" spans="2:32" s="30" customFormat="1" ht="13.8" hidden="1" x14ac:dyDescent="0.25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 spans="2:32" s="30" customFormat="1" ht="13.8" hidden="1" x14ac:dyDescent="0.25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</row>
    <row r="456" spans="2:32" s="30" customFormat="1" ht="13.8" hidden="1" x14ac:dyDescent="0.25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</row>
    <row r="457" spans="2:32" s="30" customFormat="1" ht="13.8" hidden="1" x14ac:dyDescent="0.25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</row>
    <row r="458" spans="2:32" s="30" customFormat="1" ht="13.8" hidden="1" x14ac:dyDescent="0.25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</row>
    <row r="459" spans="2:32" s="30" customFormat="1" ht="13.8" hidden="1" x14ac:dyDescent="0.25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</row>
    <row r="460" spans="2:32" s="30" customFormat="1" ht="13.8" hidden="1" x14ac:dyDescent="0.25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</row>
    <row r="461" spans="2:32" s="30" customFormat="1" ht="13.8" hidden="1" x14ac:dyDescent="0.25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</row>
    <row r="462" spans="2:32" s="30" customFormat="1" ht="13.8" hidden="1" x14ac:dyDescent="0.25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</row>
    <row r="463" spans="2:32" s="30" customFormat="1" ht="13.8" hidden="1" x14ac:dyDescent="0.25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</row>
    <row r="464" spans="2:32" s="30" customFormat="1" ht="13.8" hidden="1" x14ac:dyDescent="0.25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</row>
    <row r="465" spans="2:32" s="30" customFormat="1" ht="13.8" hidden="1" x14ac:dyDescent="0.25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</row>
    <row r="466" spans="2:32" s="30" customFormat="1" ht="13.8" hidden="1" x14ac:dyDescent="0.25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</row>
    <row r="467" spans="2:32" s="30" customFormat="1" ht="13.8" hidden="1" x14ac:dyDescent="0.25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</row>
    <row r="468" spans="2:32" s="30" customFormat="1" ht="13.8" hidden="1" x14ac:dyDescent="0.25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</row>
    <row r="469" spans="2:32" s="30" customFormat="1" ht="13.8" hidden="1" x14ac:dyDescent="0.25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</row>
    <row r="470" spans="2:32" s="30" customFormat="1" ht="13.8" hidden="1" x14ac:dyDescent="0.25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</row>
    <row r="471" spans="2:32" s="30" customFormat="1" ht="13.8" hidden="1" x14ac:dyDescent="0.25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</row>
    <row r="472" spans="2:32" s="30" customFormat="1" ht="13.8" hidden="1" x14ac:dyDescent="0.25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</row>
    <row r="473" spans="2:32" s="30" customFormat="1" ht="13.8" hidden="1" x14ac:dyDescent="0.25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</row>
    <row r="474" spans="2:32" s="30" customFormat="1" ht="13.8" hidden="1" x14ac:dyDescent="0.25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</row>
    <row r="475" spans="2:32" s="30" customFormat="1" ht="13.8" hidden="1" x14ac:dyDescent="0.25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</row>
    <row r="476" spans="2:32" s="30" customFormat="1" ht="13.8" hidden="1" x14ac:dyDescent="0.25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</row>
    <row r="477" spans="2:32" s="30" customFormat="1" ht="13.8" hidden="1" x14ac:dyDescent="0.25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</row>
    <row r="478" spans="2:32" s="30" customFormat="1" ht="13.8" hidden="1" x14ac:dyDescent="0.25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</row>
    <row r="479" spans="2:32" s="30" customFormat="1" ht="13.8" hidden="1" x14ac:dyDescent="0.25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</row>
    <row r="480" spans="2:32" s="30" customFormat="1" ht="13.8" hidden="1" x14ac:dyDescent="0.25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</row>
    <row r="481" spans="2:32" s="30" customFormat="1" ht="13.8" hidden="1" x14ac:dyDescent="0.25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</row>
    <row r="482" spans="2:32" s="30" customFormat="1" ht="13.8" hidden="1" x14ac:dyDescent="0.25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</row>
    <row r="483" spans="2:32" s="30" customFormat="1" ht="13.8" hidden="1" x14ac:dyDescent="0.25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</row>
    <row r="484" spans="2:32" s="30" customFormat="1" ht="13.8" hidden="1" x14ac:dyDescent="0.25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</row>
    <row r="485" spans="2:32" s="30" customFormat="1" ht="13.8" hidden="1" x14ac:dyDescent="0.2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</row>
    <row r="486" spans="2:32" s="30" customFormat="1" ht="13.8" hidden="1" x14ac:dyDescent="0.25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</row>
    <row r="487" spans="2:32" s="30" customFormat="1" ht="13.8" hidden="1" x14ac:dyDescent="0.25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</row>
    <row r="488" spans="2:32" s="30" customFormat="1" ht="13.8" hidden="1" x14ac:dyDescent="0.25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</row>
    <row r="489" spans="2:32" s="30" customFormat="1" ht="13.8" hidden="1" x14ac:dyDescent="0.25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</row>
    <row r="490" spans="2:32" s="30" customFormat="1" ht="13.8" hidden="1" x14ac:dyDescent="0.25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</row>
    <row r="491" spans="2:32" s="30" customFormat="1" ht="13.8" hidden="1" x14ac:dyDescent="0.25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</row>
    <row r="492" spans="2:32" s="30" customFormat="1" ht="13.8" hidden="1" x14ac:dyDescent="0.25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</row>
    <row r="493" spans="2:32" s="30" customFormat="1" ht="13.8" hidden="1" x14ac:dyDescent="0.25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</row>
    <row r="494" spans="2:32" s="30" customFormat="1" ht="13.8" hidden="1" x14ac:dyDescent="0.25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</row>
    <row r="495" spans="2:32" s="30" customFormat="1" ht="13.8" hidden="1" x14ac:dyDescent="0.2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</row>
    <row r="496" spans="2:32" s="30" customFormat="1" ht="13.8" hidden="1" x14ac:dyDescent="0.25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</row>
    <row r="497" spans="2:32" s="30" customFormat="1" ht="13.8" hidden="1" x14ac:dyDescent="0.25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</row>
    <row r="498" spans="2:32" s="30" customFormat="1" ht="13.8" hidden="1" x14ac:dyDescent="0.25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</row>
    <row r="499" spans="2:32" s="30" customFormat="1" ht="13.8" hidden="1" x14ac:dyDescent="0.25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</row>
    <row r="500" spans="2:32" s="30" customFormat="1" ht="13.8" hidden="1" x14ac:dyDescent="0.25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</row>
    <row r="501" spans="2:32" s="30" customFormat="1" ht="13.8" hidden="1" x14ac:dyDescent="0.25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</row>
    <row r="502" spans="2:32" s="30" customFormat="1" ht="13.8" hidden="1" x14ac:dyDescent="0.25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</row>
    <row r="503" spans="2:32" s="30" customFormat="1" ht="13.8" hidden="1" x14ac:dyDescent="0.25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</row>
    <row r="504" spans="2:32" s="30" customFormat="1" ht="13.8" hidden="1" x14ac:dyDescent="0.25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</row>
    <row r="505" spans="2:32" s="30" customFormat="1" ht="13.8" hidden="1" x14ac:dyDescent="0.2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</row>
    <row r="506" spans="2:32" s="30" customFormat="1" ht="13.8" hidden="1" x14ac:dyDescent="0.25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</row>
    <row r="507" spans="2:32" s="30" customFormat="1" ht="13.8" hidden="1" x14ac:dyDescent="0.25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</row>
    <row r="508" spans="2:32" s="30" customFormat="1" ht="13.8" hidden="1" x14ac:dyDescent="0.25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</row>
    <row r="509" spans="2:32" s="30" customFormat="1" ht="13.8" hidden="1" x14ac:dyDescent="0.25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</row>
    <row r="510" spans="2:32" s="30" customFormat="1" ht="13.8" hidden="1" x14ac:dyDescent="0.25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</row>
    <row r="511" spans="2:32" s="30" customFormat="1" ht="13.8" hidden="1" x14ac:dyDescent="0.25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</row>
    <row r="512" spans="2:32" s="30" customFormat="1" ht="13.8" hidden="1" x14ac:dyDescent="0.25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</row>
    <row r="513" spans="2:32" s="30" customFormat="1" ht="13.8" hidden="1" x14ac:dyDescent="0.25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</row>
    <row r="514" spans="2:32" s="30" customFormat="1" ht="13.8" hidden="1" x14ac:dyDescent="0.25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</row>
    <row r="515" spans="2:32" s="30" customFormat="1" ht="13.8" hidden="1" x14ac:dyDescent="0.2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</row>
    <row r="516" spans="2:32" s="30" customFormat="1" ht="13.8" hidden="1" x14ac:dyDescent="0.25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</row>
    <row r="517" spans="2:32" s="30" customFormat="1" ht="13.8" hidden="1" x14ac:dyDescent="0.25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</row>
    <row r="518" spans="2:32" s="30" customFormat="1" ht="13.8" hidden="1" x14ac:dyDescent="0.25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</row>
    <row r="519" spans="2:32" s="30" customFormat="1" ht="13.8" hidden="1" x14ac:dyDescent="0.25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</row>
    <row r="520" spans="2:32" s="30" customFormat="1" ht="13.8" hidden="1" x14ac:dyDescent="0.25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</row>
    <row r="521" spans="2:32" s="30" customFormat="1" ht="13.8" hidden="1" x14ac:dyDescent="0.25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</row>
    <row r="522" spans="2:32" s="30" customFormat="1" ht="13.8" hidden="1" x14ac:dyDescent="0.25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</row>
    <row r="523" spans="2:32" s="30" customFormat="1" ht="13.8" hidden="1" x14ac:dyDescent="0.25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</row>
    <row r="524" spans="2:32" s="30" customFormat="1" ht="13.8" hidden="1" x14ac:dyDescent="0.25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</row>
    <row r="525" spans="2:32" s="30" customFormat="1" ht="13.8" hidden="1" x14ac:dyDescent="0.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</row>
    <row r="526" spans="2:32" s="30" customFormat="1" ht="13.8" hidden="1" x14ac:dyDescent="0.25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</row>
    <row r="527" spans="2:32" s="30" customFormat="1" ht="13.8" hidden="1" x14ac:dyDescent="0.25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</row>
    <row r="528" spans="2:32" s="30" customFormat="1" ht="13.8" hidden="1" x14ac:dyDescent="0.25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 spans="2:32" s="30" customFormat="1" ht="13.8" hidden="1" x14ac:dyDescent="0.25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</row>
    <row r="530" spans="2:32" s="30" customFormat="1" ht="13.8" hidden="1" x14ac:dyDescent="0.25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</row>
    <row r="531" spans="2:32" s="30" customFormat="1" ht="13.8" hidden="1" x14ac:dyDescent="0.25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</row>
    <row r="532" spans="2:32" s="30" customFormat="1" ht="13.8" hidden="1" x14ac:dyDescent="0.25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</row>
    <row r="533" spans="2:32" s="30" customFormat="1" ht="13.8" hidden="1" x14ac:dyDescent="0.25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</row>
    <row r="534" spans="2:32" s="30" customFormat="1" ht="13.8" hidden="1" x14ac:dyDescent="0.25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</row>
    <row r="535" spans="2:32" s="30" customFormat="1" ht="13.8" hidden="1" x14ac:dyDescent="0.2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</row>
    <row r="536" spans="2:32" s="30" customFormat="1" ht="13.8" hidden="1" x14ac:dyDescent="0.25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</row>
    <row r="537" spans="2:32" s="30" customFormat="1" ht="13.8" hidden="1" x14ac:dyDescent="0.25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</row>
    <row r="538" spans="2:32" s="30" customFormat="1" ht="13.8" hidden="1" x14ac:dyDescent="0.25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</row>
    <row r="539" spans="2:32" s="30" customFormat="1" ht="13.8" hidden="1" x14ac:dyDescent="0.25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</row>
    <row r="540" spans="2:32" s="30" customFormat="1" ht="13.8" hidden="1" x14ac:dyDescent="0.25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</row>
    <row r="541" spans="2:32" s="30" customFormat="1" ht="13.8" hidden="1" x14ac:dyDescent="0.25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</row>
    <row r="542" spans="2:32" s="30" customFormat="1" ht="13.8" hidden="1" x14ac:dyDescent="0.25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</row>
    <row r="543" spans="2:32" s="30" customFormat="1" ht="13.8" hidden="1" x14ac:dyDescent="0.25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</row>
    <row r="544" spans="2:32" s="30" customFormat="1" ht="13.8" hidden="1" x14ac:dyDescent="0.25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</row>
    <row r="545" spans="2:32" s="30" customFormat="1" ht="13.8" hidden="1" x14ac:dyDescent="0.25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</row>
    <row r="546" spans="2:32" s="30" customFormat="1" ht="13.8" hidden="1" x14ac:dyDescent="0.25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</row>
    <row r="547" spans="2:32" s="30" customFormat="1" ht="13.8" hidden="1" x14ac:dyDescent="0.25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</row>
    <row r="548" spans="2:32" s="30" customFormat="1" ht="13.8" hidden="1" x14ac:dyDescent="0.25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</row>
    <row r="549" spans="2:32" s="30" customFormat="1" ht="13.8" hidden="1" x14ac:dyDescent="0.25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</row>
    <row r="550" spans="2:32" s="30" customFormat="1" ht="13.8" hidden="1" x14ac:dyDescent="0.25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</row>
    <row r="551" spans="2:32" s="30" customFormat="1" ht="13.8" hidden="1" x14ac:dyDescent="0.25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</row>
    <row r="552" spans="2:32" s="30" customFormat="1" ht="13.8" hidden="1" x14ac:dyDescent="0.25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</row>
    <row r="553" spans="2:32" s="30" customFormat="1" ht="13.8" hidden="1" x14ac:dyDescent="0.25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</row>
    <row r="554" spans="2:32" s="30" customFormat="1" ht="13.8" hidden="1" x14ac:dyDescent="0.25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</row>
    <row r="555" spans="2:32" s="30" customFormat="1" ht="13.8" hidden="1" x14ac:dyDescent="0.25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</row>
    <row r="556" spans="2:32" s="30" customFormat="1" ht="13.8" hidden="1" x14ac:dyDescent="0.25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</row>
    <row r="557" spans="2:32" s="30" customFormat="1" ht="13.8" hidden="1" x14ac:dyDescent="0.25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</row>
    <row r="558" spans="2:32" s="30" customFormat="1" ht="13.8" hidden="1" x14ac:dyDescent="0.25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</row>
    <row r="559" spans="2:32" s="30" customFormat="1" ht="13.8" hidden="1" x14ac:dyDescent="0.25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</row>
    <row r="560" spans="2:32" s="30" customFormat="1" ht="13.8" hidden="1" x14ac:dyDescent="0.25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</row>
    <row r="561" spans="2:32" s="30" customFormat="1" ht="13.8" hidden="1" x14ac:dyDescent="0.25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</row>
    <row r="562" spans="2:32" s="30" customFormat="1" ht="13.8" hidden="1" x14ac:dyDescent="0.25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</row>
    <row r="563" spans="2:32" s="30" customFormat="1" ht="13.8" hidden="1" x14ac:dyDescent="0.25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 spans="2:32" s="30" customFormat="1" ht="13.8" hidden="1" x14ac:dyDescent="0.25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</row>
    <row r="565" spans="2:32" s="30" customFormat="1" ht="13.8" hidden="1" x14ac:dyDescent="0.25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</row>
    <row r="566" spans="2:32" s="30" customFormat="1" ht="13.8" hidden="1" x14ac:dyDescent="0.25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</row>
    <row r="567" spans="2:32" s="30" customFormat="1" ht="13.8" hidden="1" x14ac:dyDescent="0.25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</row>
    <row r="568" spans="2:32" s="30" customFormat="1" ht="13.8" hidden="1" x14ac:dyDescent="0.25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</row>
    <row r="569" spans="2:32" s="30" customFormat="1" ht="13.8" hidden="1" x14ac:dyDescent="0.25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</row>
    <row r="570" spans="2:32" s="30" customFormat="1" ht="13.8" hidden="1" x14ac:dyDescent="0.25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</row>
    <row r="571" spans="2:32" s="30" customFormat="1" ht="13.8" hidden="1" x14ac:dyDescent="0.25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</row>
    <row r="572" spans="2:32" s="30" customFormat="1" ht="13.8" hidden="1" x14ac:dyDescent="0.25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</row>
    <row r="573" spans="2:32" s="30" customFormat="1" ht="13.8" hidden="1" x14ac:dyDescent="0.25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</row>
    <row r="574" spans="2:32" s="30" customFormat="1" ht="13.8" hidden="1" x14ac:dyDescent="0.25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</row>
    <row r="575" spans="2:32" s="30" customFormat="1" ht="13.8" hidden="1" x14ac:dyDescent="0.25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</row>
    <row r="576" spans="2:32" s="30" customFormat="1" ht="13.8" hidden="1" x14ac:dyDescent="0.25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</row>
    <row r="577" spans="2:32" s="30" customFormat="1" ht="13.8" hidden="1" x14ac:dyDescent="0.25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</row>
    <row r="578" spans="2:32" s="30" customFormat="1" ht="13.8" hidden="1" x14ac:dyDescent="0.25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</row>
    <row r="579" spans="2:32" s="30" customFormat="1" ht="13.8" hidden="1" x14ac:dyDescent="0.25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</row>
    <row r="580" spans="2:32" s="30" customFormat="1" ht="13.8" hidden="1" x14ac:dyDescent="0.25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</row>
    <row r="581" spans="2:32" s="30" customFormat="1" ht="13.8" hidden="1" x14ac:dyDescent="0.25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</row>
    <row r="582" spans="2:32" s="30" customFormat="1" ht="13.8" hidden="1" x14ac:dyDescent="0.25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</row>
    <row r="583" spans="2:32" s="30" customFormat="1" ht="13.8" hidden="1" x14ac:dyDescent="0.25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</row>
    <row r="584" spans="2:32" s="30" customFormat="1" ht="13.8" hidden="1" x14ac:dyDescent="0.25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</row>
    <row r="585" spans="2:32" s="30" customFormat="1" ht="13.8" hidden="1" x14ac:dyDescent="0.25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 spans="2:32" s="30" customFormat="1" ht="13.8" hidden="1" x14ac:dyDescent="0.25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</row>
    <row r="587" spans="2:32" s="30" customFormat="1" ht="13.8" hidden="1" x14ac:dyDescent="0.25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</row>
    <row r="588" spans="2:32" s="30" customFormat="1" ht="13.8" hidden="1" x14ac:dyDescent="0.25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</row>
    <row r="589" spans="2:32" s="30" customFormat="1" ht="13.8" hidden="1" x14ac:dyDescent="0.25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</row>
    <row r="590" spans="2:32" s="30" customFormat="1" ht="13.8" hidden="1" x14ac:dyDescent="0.25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</row>
    <row r="591" spans="2:32" s="30" customFormat="1" ht="13.8" hidden="1" x14ac:dyDescent="0.25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</row>
    <row r="592" spans="2:32" s="30" customFormat="1" ht="13.8" hidden="1" x14ac:dyDescent="0.25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</row>
    <row r="593" spans="2:32" s="30" customFormat="1" ht="13.8" hidden="1" x14ac:dyDescent="0.25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</row>
    <row r="594" spans="2:32" s="30" customFormat="1" ht="13.8" hidden="1" x14ac:dyDescent="0.25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</row>
    <row r="595" spans="2:32" s="30" customFormat="1" ht="13.8" hidden="1" x14ac:dyDescent="0.25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</row>
    <row r="596" spans="2:32" s="30" customFormat="1" ht="13.8" hidden="1" x14ac:dyDescent="0.25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</row>
    <row r="597" spans="2:32" s="30" customFormat="1" ht="13.8" hidden="1" x14ac:dyDescent="0.25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</row>
    <row r="598" spans="2:32" s="30" customFormat="1" ht="13.8" hidden="1" x14ac:dyDescent="0.25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</row>
    <row r="599" spans="2:32" s="30" customFormat="1" ht="13.8" hidden="1" x14ac:dyDescent="0.25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</row>
    <row r="600" spans="2:32" s="30" customFormat="1" ht="13.8" hidden="1" x14ac:dyDescent="0.25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</row>
    <row r="601" spans="2:32" s="30" customFormat="1" ht="13.8" hidden="1" x14ac:dyDescent="0.25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</row>
    <row r="602" spans="2:32" s="30" customFormat="1" ht="13.8" hidden="1" x14ac:dyDescent="0.25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</row>
    <row r="603" spans="2:32" s="30" customFormat="1" ht="13.8" hidden="1" x14ac:dyDescent="0.25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</row>
    <row r="604" spans="2:32" s="30" customFormat="1" ht="13.8" hidden="1" x14ac:dyDescent="0.25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</row>
    <row r="605" spans="2:32" s="30" customFormat="1" ht="13.8" hidden="1" x14ac:dyDescent="0.25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</row>
    <row r="606" spans="2:32" s="30" customFormat="1" ht="13.8" hidden="1" x14ac:dyDescent="0.25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</row>
    <row r="607" spans="2:32" s="30" customFormat="1" ht="13.8" hidden="1" x14ac:dyDescent="0.25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</row>
    <row r="608" spans="2:32" s="30" customFormat="1" ht="13.8" hidden="1" x14ac:dyDescent="0.25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</row>
    <row r="609" spans="2:32" s="30" customFormat="1" ht="13.8" hidden="1" x14ac:dyDescent="0.25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</row>
    <row r="610" spans="2:32" s="30" customFormat="1" ht="13.8" hidden="1" x14ac:dyDescent="0.25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</row>
    <row r="611" spans="2:32" s="30" customFormat="1" ht="13.8" hidden="1" x14ac:dyDescent="0.25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</row>
    <row r="612" spans="2:32" s="30" customFormat="1" ht="13.8" hidden="1" x14ac:dyDescent="0.25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</row>
    <row r="613" spans="2:32" s="30" customFormat="1" ht="13.8" hidden="1" x14ac:dyDescent="0.25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</row>
    <row r="614" spans="2:32" s="30" customFormat="1" ht="13.8" hidden="1" x14ac:dyDescent="0.25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</row>
    <row r="615" spans="2:32" s="30" customFormat="1" ht="13.8" hidden="1" x14ac:dyDescent="0.25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</row>
    <row r="616" spans="2:32" s="30" customFormat="1" ht="13.8" hidden="1" x14ac:dyDescent="0.25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</row>
    <row r="617" spans="2:32" s="30" customFormat="1" ht="13.8" hidden="1" x14ac:dyDescent="0.25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</row>
    <row r="618" spans="2:32" s="30" customFormat="1" ht="13.8" hidden="1" x14ac:dyDescent="0.25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</row>
    <row r="619" spans="2:32" s="30" customFormat="1" ht="13.8" hidden="1" x14ac:dyDescent="0.25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</row>
    <row r="620" spans="2:32" s="30" customFormat="1" ht="13.8" hidden="1" x14ac:dyDescent="0.25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 spans="2:32" s="30" customFormat="1" ht="13.8" hidden="1" x14ac:dyDescent="0.25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 spans="2:32" s="30" customFormat="1" ht="13.8" hidden="1" x14ac:dyDescent="0.25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 spans="2:32" s="30" customFormat="1" ht="13.8" hidden="1" x14ac:dyDescent="0.25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</row>
    <row r="624" spans="2:32" s="30" customFormat="1" ht="13.8" hidden="1" x14ac:dyDescent="0.25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</row>
    <row r="625" spans="2:32" s="30" customFormat="1" ht="13.8" hidden="1" x14ac:dyDescent="0.25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</row>
    <row r="626" spans="2:32" s="30" customFormat="1" ht="13.8" hidden="1" x14ac:dyDescent="0.25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</row>
    <row r="627" spans="2:32" s="30" customFormat="1" ht="13.8" hidden="1" x14ac:dyDescent="0.25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</row>
    <row r="628" spans="2:32" s="30" customFormat="1" ht="13.8" hidden="1" x14ac:dyDescent="0.25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</row>
    <row r="629" spans="2:32" s="30" customFormat="1" ht="13.8" hidden="1" x14ac:dyDescent="0.25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</row>
    <row r="630" spans="2:32" s="30" customFormat="1" ht="13.8" hidden="1" x14ac:dyDescent="0.25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</row>
    <row r="631" spans="2:32" s="30" customFormat="1" ht="13.8" hidden="1" x14ac:dyDescent="0.25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</row>
    <row r="632" spans="2:32" s="30" customFormat="1" ht="13.8" hidden="1" x14ac:dyDescent="0.25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</row>
    <row r="633" spans="2:32" s="30" customFormat="1" ht="13.8" hidden="1" x14ac:dyDescent="0.25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</row>
    <row r="634" spans="2:32" s="30" customFormat="1" ht="13.8" hidden="1" x14ac:dyDescent="0.25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</row>
    <row r="635" spans="2:32" s="30" customFormat="1" ht="13.8" hidden="1" x14ac:dyDescent="0.25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</row>
    <row r="636" spans="2:32" s="30" customFormat="1" ht="13.8" hidden="1" x14ac:dyDescent="0.25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</row>
    <row r="637" spans="2:32" s="30" customFormat="1" ht="13.8" hidden="1" x14ac:dyDescent="0.25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</row>
    <row r="638" spans="2:32" s="30" customFormat="1" ht="13.8" hidden="1" x14ac:dyDescent="0.25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</row>
    <row r="639" spans="2:32" s="30" customFormat="1" ht="13.8" hidden="1" x14ac:dyDescent="0.25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</row>
    <row r="640" spans="2:32" s="30" customFormat="1" ht="13.8" hidden="1" x14ac:dyDescent="0.25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</row>
    <row r="641" spans="2:32" s="30" customFormat="1" ht="13.8" hidden="1" x14ac:dyDescent="0.25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</row>
    <row r="642" spans="2:32" s="30" customFormat="1" ht="13.8" hidden="1" x14ac:dyDescent="0.25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</row>
    <row r="643" spans="2:32" s="30" customFormat="1" ht="13.8" hidden="1" x14ac:dyDescent="0.25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</row>
    <row r="644" spans="2:32" s="30" customFormat="1" ht="13.8" hidden="1" x14ac:dyDescent="0.25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</row>
    <row r="645" spans="2:32" s="30" customFormat="1" ht="13.8" hidden="1" x14ac:dyDescent="0.25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</row>
    <row r="646" spans="2:32" s="30" customFormat="1" ht="13.8" hidden="1" x14ac:dyDescent="0.25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</row>
    <row r="647" spans="2:32" s="30" customFormat="1" ht="13.8" hidden="1" x14ac:dyDescent="0.25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</row>
    <row r="648" spans="2:32" s="30" customFormat="1" ht="13.8" hidden="1" x14ac:dyDescent="0.25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</row>
    <row r="649" spans="2:32" s="30" customFormat="1" ht="13.8" hidden="1" x14ac:dyDescent="0.25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</row>
    <row r="650" spans="2:32" s="30" customFormat="1" ht="13.8" hidden="1" x14ac:dyDescent="0.25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</row>
    <row r="651" spans="2:32" s="30" customFormat="1" ht="13.8" hidden="1" x14ac:dyDescent="0.25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</row>
    <row r="652" spans="2:32" s="30" customFormat="1" ht="13.8" hidden="1" x14ac:dyDescent="0.25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</row>
    <row r="653" spans="2:32" s="30" customFormat="1" ht="13.8" hidden="1" x14ac:dyDescent="0.25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</row>
    <row r="654" spans="2:32" s="30" customFormat="1" ht="13.8" hidden="1" x14ac:dyDescent="0.25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</row>
    <row r="655" spans="2:32" s="30" customFormat="1" ht="13.8" hidden="1" x14ac:dyDescent="0.25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</row>
    <row r="656" spans="2:32" s="30" customFormat="1" ht="13.8" hidden="1" x14ac:dyDescent="0.25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</row>
    <row r="657" spans="2:32" s="30" customFormat="1" ht="13.8" hidden="1" x14ac:dyDescent="0.25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</row>
    <row r="658" spans="2:32" s="30" customFormat="1" ht="13.8" hidden="1" x14ac:dyDescent="0.25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</row>
    <row r="659" spans="2:32" s="30" customFormat="1" ht="13.8" hidden="1" x14ac:dyDescent="0.25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</row>
    <row r="660" spans="2:32" s="30" customFormat="1" ht="13.8" hidden="1" x14ac:dyDescent="0.25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</row>
    <row r="661" spans="2:32" s="30" customFormat="1" ht="13.8" hidden="1" x14ac:dyDescent="0.25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</row>
    <row r="662" spans="2:32" s="30" customFormat="1" ht="13.8" hidden="1" x14ac:dyDescent="0.25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</row>
    <row r="663" spans="2:32" s="30" customFormat="1" ht="13.8" hidden="1" x14ac:dyDescent="0.25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</row>
    <row r="664" spans="2:32" s="30" customFormat="1" ht="13.8" hidden="1" x14ac:dyDescent="0.25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</row>
    <row r="665" spans="2:32" s="30" customFormat="1" ht="13.8" hidden="1" x14ac:dyDescent="0.25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</row>
    <row r="666" spans="2:32" s="30" customFormat="1" ht="13.8" hidden="1" x14ac:dyDescent="0.25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</row>
    <row r="667" spans="2:32" s="30" customFormat="1" ht="13.8" hidden="1" x14ac:dyDescent="0.25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</row>
    <row r="668" spans="2:32" s="30" customFormat="1" ht="13.8" hidden="1" x14ac:dyDescent="0.25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 spans="2:32" s="30" customFormat="1" ht="13.8" hidden="1" x14ac:dyDescent="0.25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</row>
    <row r="670" spans="2:32" s="30" customFormat="1" ht="13.8" hidden="1" x14ac:dyDescent="0.25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</row>
    <row r="671" spans="2:32" s="30" customFormat="1" ht="13.8" hidden="1" x14ac:dyDescent="0.25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</row>
    <row r="672" spans="2:32" s="30" customFormat="1" ht="13.8" hidden="1" x14ac:dyDescent="0.25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</row>
    <row r="673" spans="2:32" s="30" customFormat="1" ht="13.8" hidden="1" x14ac:dyDescent="0.25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</row>
    <row r="674" spans="2:32" s="30" customFormat="1" ht="13.8" hidden="1" x14ac:dyDescent="0.25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</row>
    <row r="675" spans="2:32" s="30" customFormat="1" ht="13.8" hidden="1" x14ac:dyDescent="0.25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</row>
    <row r="676" spans="2:32" s="30" customFormat="1" ht="13.8" hidden="1" x14ac:dyDescent="0.25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</row>
    <row r="677" spans="2:32" s="30" customFormat="1" ht="13.8" hidden="1" x14ac:dyDescent="0.25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</row>
    <row r="678" spans="2:32" s="30" customFormat="1" ht="13.8" hidden="1" x14ac:dyDescent="0.25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</row>
    <row r="679" spans="2:32" s="30" customFormat="1" ht="13.8" hidden="1" x14ac:dyDescent="0.25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</row>
    <row r="680" spans="2:32" s="30" customFormat="1" ht="13.8" hidden="1" x14ac:dyDescent="0.25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</row>
    <row r="681" spans="2:32" s="30" customFormat="1" ht="13.8" hidden="1" x14ac:dyDescent="0.25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</row>
    <row r="682" spans="2:32" s="30" customFormat="1" ht="13.8" hidden="1" x14ac:dyDescent="0.25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</row>
    <row r="683" spans="2:32" s="30" customFormat="1" ht="13.8" hidden="1" x14ac:dyDescent="0.25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</row>
    <row r="684" spans="2:32" s="30" customFormat="1" ht="13.8" hidden="1" x14ac:dyDescent="0.25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</row>
    <row r="685" spans="2:32" s="30" customFormat="1" ht="13.8" hidden="1" x14ac:dyDescent="0.25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</row>
    <row r="686" spans="2:32" s="30" customFormat="1" ht="13.8" hidden="1" x14ac:dyDescent="0.25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</row>
    <row r="687" spans="2:32" s="30" customFormat="1" ht="13.8" hidden="1" x14ac:dyDescent="0.25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</row>
    <row r="688" spans="2:32" s="30" customFormat="1" ht="13.8" hidden="1" x14ac:dyDescent="0.25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</row>
    <row r="689" spans="2:32" s="30" customFormat="1" ht="13.8" hidden="1" x14ac:dyDescent="0.25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</row>
    <row r="690" spans="2:32" s="30" customFormat="1" ht="13.8" hidden="1" x14ac:dyDescent="0.25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</row>
    <row r="691" spans="2:32" s="30" customFormat="1" ht="13.8" hidden="1" x14ac:dyDescent="0.25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</row>
    <row r="692" spans="2:32" s="30" customFormat="1" ht="13.8" hidden="1" x14ac:dyDescent="0.25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</row>
    <row r="693" spans="2:32" s="30" customFormat="1" ht="13.8" hidden="1" x14ac:dyDescent="0.25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</row>
    <row r="694" spans="2:32" s="30" customFormat="1" ht="13.8" hidden="1" x14ac:dyDescent="0.25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</row>
    <row r="695" spans="2:32" s="30" customFormat="1" ht="13.8" hidden="1" x14ac:dyDescent="0.25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</row>
    <row r="696" spans="2:32" s="30" customFormat="1" ht="13.8" hidden="1" x14ac:dyDescent="0.25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</row>
    <row r="697" spans="2:32" s="30" customFormat="1" ht="13.8" hidden="1" x14ac:dyDescent="0.25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</row>
    <row r="698" spans="2:32" s="30" customFormat="1" ht="13.8" hidden="1" x14ac:dyDescent="0.25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</row>
    <row r="699" spans="2:32" s="30" customFormat="1" ht="13.8" hidden="1" x14ac:dyDescent="0.25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</row>
    <row r="700" spans="2:32" s="30" customFormat="1" ht="13.8" hidden="1" x14ac:dyDescent="0.25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</row>
    <row r="701" spans="2:32" s="30" customFormat="1" ht="13.8" hidden="1" x14ac:dyDescent="0.25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</row>
    <row r="702" spans="2:32" s="30" customFormat="1" ht="13.8" hidden="1" x14ac:dyDescent="0.25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</row>
    <row r="703" spans="2:32" s="30" customFormat="1" ht="13.8" hidden="1" x14ac:dyDescent="0.25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</row>
    <row r="704" spans="2:32" s="30" customFormat="1" ht="13.8" hidden="1" x14ac:dyDescent="0.25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</row>
    <row r="705" spans="2:32" s="30" customFormat="1" ht="13.8" hidden="1" x14ac:dyDescent="0.25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</row>
    <row r="706" spans="2:32" s="30" customFormat="1" ht="13.8" hidden="1" x14ac:dyDescent="0.25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</row>
    <row r="707" spans="2:32" s="30" customFormat="1" ht="13.8" hidden="1" x14ac:dyDescent="0.25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</row>
    <row r="708" spans="2:32" s="30" customFormat="1" ht="13.8" hidden="1" x14ac:dyDescent="0.25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</row>
    <row r="709" spans="2:32" s="30" customFormat="1" ht="13.8" hidden="1" x14ac:dyDescent="0.25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</row>
    <row r="710" spans="2:32" s="30" customFormat="1" ht="13.8" hidden="1" x14ac:dyDescent="0.25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</row>
    <row r="711" spans="2:32" s="30" customFormat="1" ht="13.8" hidden="1" x14ac:dyDescent="0.25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</row>
    <row r="712" spans="2:32" s="30" customFormat="1" ht="13.8" hidden="1" x14ac:dyDescent="0.25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</row>
    <row r="713" spans="2:32" s="30" customFormat="1" ht="13.8" hidden="1" x14ac:dyDescent="0.25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</row>
    <row r="714" spans="2:32" s="30" customFormat="1" ht="13.8" hidden="1" x14ac:dyDescent="0.25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</row>
    <row r="715" spans="2:32" s="30" customFormat="1" ht="13.8" hidden="1" x14ac:dyDescent="0.25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</row>
    <row r="716" spans="2:32" s="30" customFormat="1" ht="13.8" hidden="1" x14ac:dyDescent="0.25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</row>
    <row r="717" spans="2:32" s="30" customFormat="1" ht="13.8" hidden="1" x14ac:dyDescent="0.25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</row>
    <row r="718" spans="2:32" s="30" customFormat="1" ht="13.8" hidden="1" x14ac:dyDescent="0.25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</row>
    <row r="719" spans="2:32" s="30" customFormat="1" ht="13.8" hidden="1" x14ac:dyDescent="0.25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</row>
    <row r="720" spans="2:32" s="30" customFormat="1" ht="13.8" hidden="1" x14ac:dyDescent="0.25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</row>
    <row r="721" spans="2:32" s="30" customFormat="1" ht="13.8" hidden="1" x14ac:dyDescent="0.25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</row>
    <row r="722" spans="2:32" s="30" customFormat="1" ht="13.8" hidden="1" x14ac:dyDescent="0.25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</row>
    <row r="723" spans="2:32" s="30" customFormat="1" ht="13.8" hidden="1" x14ac:dyDescent="0.25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</row>
    <row r="724" spans="2:32" s="30" customFormat="1" ht="13.8" hidden="1" x14ac:dyDescent="0.25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</row>
    <row r="725" spans="2:32" s="30" customFormat="1" ht="13.8" hidden="1" x14ac:dyDescent="0.25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</row>
    <row r="726" spans="2:32" s="30" customFormat="1" ht="13.8" hidden="1" x14ac:dyDescent="0.25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</row>
    <row r="727" spans="2:32" s="30" customFormat="1" ht="13.8" hidden="1" x14ac:dyDescent="0.25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</row>
    <row r="728" spans="2:32" s="30" customFormat="1" ht="13.8" hidden="1" x14ac:dyDescent="0.25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</row>
    <row r="729" spans="2:32" s="30" customFormat="1" ht="13.8" hidden="1" x14ac:dyDescent="0.25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</row>
    <row r="730" spans="2:32" s="30" customFormat="1" ht="13.8" hidden="1" x14ac:dyDescent="0.25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</row>
    <row r="731" spans="2:32" s="30" customFormat="1" ht="13.8" hidden="1" x14ac:dyDescent="0.25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</row>
    <row r="732" spans="2:32" s="30" customFormat="1" ht="13.8" hidden="1" x14ac:dyDescent="0.25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</row>
    <row r="733" spans="2:32" s="30" customFormat="1" ht="13.8" hidden="1" x14ac:dyDescent="0.25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</row>
    <row r="734" spans="2:32" s="30" customFormat="1" ht="13.8" hidden="1" x14ac:dyDescent="0.25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</row>
    <row r="735" spans="2:32" s="30" customFormat="1" ht="13.8" hidden="1" x14ac:dyDescent="0.25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</row>
    <row r="736" spans="2:32" s="30" customFormat="1" ht="13.8" hidden="1" x14ac:dyDescent="0.25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</row>
    <row r="737" spans="2:32" s="30" customFormat="1" ht="13.8" hidden="1" x14ac:dyDescent="0.25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</row>
    <row r="738" spans="2:32" s="30" customFormat="1" ht="13.8" hidden="1" x14ac:dyDescent="0.25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</row>
    <row r="739" spans="2:32" s="30" customFormat="1" ht="13.8" hidden="1" x14ac:dyDescent="0.25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 spans="2:32" s="30" customFormat="1" ht="13.8" hidden="1" x14ac:dyDescent="0.25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</row>
    <row r="741" spans="2:32" s="30" customFormat="1" ht="13.8" hidden="1" x14ac:dyDescent="0.25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</row>
    <row r="742" spans="2:32" s="30" customFormat="1" ht="13.8" hidden="1" x14ac:dyDescent="0.25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</row>
    <row r="743" spans="2:32" s="30" customFormat="1" ht="13.8" hidden="1" x14ac:dyDescent="0.25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</row>
    <row r="744" spans="2:32" s="30" customFormat="1" ht="13.8" hidden="1" x14ac:dyDescent="0.25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</row>
    <row r="745" spans="2:32" s="30" customFormat="1" ht="13.8" hidden="1" x14ac:dyDescent="0.25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</row>
    <row r="746" spans="2:32" s="30" customFormat="1" ht="13.8" hidden="1" x14ac:dyDescent="0.25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</row>
    <row r="747" spans="2:32" s="30" customFormat="1" ht="13.8" hidden="1" x14ac:dyDescent="0.25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</row>
    <row r="748" spans="2:32" s="30" customFormat="1" ht="13.8" hidden="1" x14ac:dyDescent="0.25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</row>
    <row r="749" spans="2:32" s="30" customFormat="1" ht="13.8" hidden="1" x14ac:dyDescent="0.25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</row>
    <row r="750" spans="2:32" s="30" customFormat="1" ht="13.8" hidden="1" x14ac:dyDescent="0.25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</row>
    <row r="751" spans="2:32" s="30" customFormat="1" ht="13.8" hidden="1" x14ac:dyDescent="0.25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</row>
    <row r="752" spans="2:32" s="30" customFormat="1" ht="13.8" hidden="1" x14ac:dyDescent="0.25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</row>
    <row r="753" spans="2:32" s="30" customFormat="1" ht="13.8" hidden="1" x14ac:dyDescent="0.25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</row>
    <row r="754" spans="2:32" s="30" customFormat="1" ht="13.8" hidden="1" x14ac:dyDescent="0.25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</row>
    <row r="755" spans="2:32" s="30" customFormat="1" ht="13.8" hidden="1" x14ac:dyDescent="0.25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</row>
    <row r="756" spans="2:32" s="30" customFormat="1" ht="13.8" hidden="1" x14ac:dyDescent="0.25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</row>
    <row r="757" spans="2:32" s="30" customFormat="1" ht="13.8" hidden="1" x14ac:dyDescent="0.25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</row>
    <row r="758" spans="2:32" s="30" customFormat="1" ht="13.8" hidden="1" x14ac:dyDescent="0.25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</row>
    <row r="759" spans="2:32" s="30" customFormat="1" ht="13.8" hidden="1" x14ac:dyDescent="0.25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</row>
    <row r="760" spans="2:32" s="30" customFormat="1" ht="13.8" hidden="1" x14ac:dyDescent="0.25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</row>
    <row r="761" spans="2:32" s="30" customFormat="1" ht="13.8" hidden="1" x14ac:dyDescent="0.25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</row>
    <row r="762" spans="2:32" s="30" customFormat="1" ht="13.8" hidden="1" x14ac:dyDescent="0.25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</row>
    <row r="763" spans="2:32" s="30" customFormat="1" ht="13.8" hidden="1" x14ac:dyDescent="0.25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</row>
    <row r="764" spans="2:32" s="30" customFormat="1" ht="13.8" hidden="1" x14ac:dyDescent="0.25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</row>
    <row r="765" spans="2:32" s="30" customFormat="1" ht="13.8" hidden="1" x14ac:dyDescent="0.25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 spans="2:32" s="30" customFormat="1" ht="13.8" hidden="1" x14ac:dyDescent="0.25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</row>
    <row r="767" spans="2:32" s="30" customFormat="1" ht="13.8" hidden="1" x14ac:dyDescent="0.25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 spans="2:32" s="30" customFormat="1" ht="13.8" hidden="1" x14ac:dyDescent="0.25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</row>
    <row r="769" spans="2:32" s="30" customFormat="1" ht="13.8" hidden="1" x14ac:dyDescent="0.25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</row>
    <row r="770" spans="2:32" s="30" customFormat="1" ht="13.8" hidden="1" x14ac:dyDescent="0.25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</row>
    <row r="771" spans="2:32" s="30" customFormat="1" ht="13.8" hidden="1" x14ac:dyDescent="0.25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</row>
    <row r="772" spans="2:32" s="30" customFormat="1" ht="13.8" hidden="1" x14ac:dyDescent="0.25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</row>
    <row r="773" spans="2:32" s="30" customFormat="1" ht="13.8" hidden="1" x14ac:dyDescent="0.25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</row>
    <row r="774" spans="2:32" s="30" customFormat="1" ht="13.8" hidden="1" x14ac:dyDescent="0.25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</row>
    <row r="775" spans="2:32" s="30" customFormat="1" ht="13.8" hidden="1" x14ac:dyDescent="0.25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</row>
    <row r="776" spans="2:32" s="30" customFormat="1" ht="13.8" hidden="1" x14ac:dyDescent="0.25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</row>
    <row r="777" spans="2:32" s="30" customFormat="1" ht="13.8" hidden="1" x14ac:dyDescent="0.25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</row>
    <row r="778" spans="2:32" s="30" customFormat="1" ht="13.8" hidden="1" x14ac:dyDescent="0.25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</row>
    <row r="779" spans="2:32" s="30" customFormat="1" ht="13.8" hidden="1" x14ac:dyDescent="0.25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</row>
    <row r="780" spans="2:32" s="30" customFormat="1" ht="13.8" hidden="1" x14ac:dyDescent="0.25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</row>
    <row r="781" spans="2:32" s="30" customFormat="1" ht="13.8" hidden="1" x14ac:dyDescent="0.25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</row>
    <row r="782" spans="2:32" s="30" customFormat="1" ht="13.8" hidden="1" x14ac:dyDescent="0.25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</row>
    <row r="783" spans="2:32" s="30" customFormat="1" ht="13.8" hidden="1" x14ac:dyDescent="0.25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</row>
    <row r="784" spans="2:32" s="30" customFormat="1" ht="13.8" hidden="1" x14ac:dyDescent="0.25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</row>
    <row r="785" spans="2:32" s="30" customFormat="1" ht="13.8" hidden="1" x14ac:dyDescent="0.25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</row>
    <row r="786" spans="2:32" s="30" customFormat="1" ht="13.8" hidden="1" x14ac:dyDescent="0.25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</row>
    <row r="787" spans="2:32" s="30" customFormat="1" ht="13.8" hidden="1" x14ac:dyDescent="0.25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</row>
    <row r="788" spans="2:32" s="30" customFormat="1" ht="13.8" hidden="1" x14ac:dyDescent="0.25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</row>
    <row r="789" spans="2:32" s="30" customFormat="1" ht="13.8" hidden="1" x14ac:dyDescent="0.25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</row>
    <row r="790" spans="2:32" s="30" customFormat="1" ht="13.8" hidden="1" x14ac:dyDescent="0.25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</row>
    <row r="791" spans="2:32" s="30" customFormat="1" ht="13.8" hidden="1" x14ac:dyDescent="0.25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</row>
    <row r="792" spans="2:32" s="30" customFormat="1" ht="13.8" hidden="1" x14ac:dyDescent="0.25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 spans="2:32" s="30" customFormat="1" ht="13.8" hidden="1" x14ac:dyDescent="0.25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</row>
    <row r="794" spans="2:32" s="30" customFormat="1" ht="13.8" hidden="1" x14ac:dyDescent="0.25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</row>
    <row r="795" spans="2:32" s="30" customFormat="1" ht="13.8" hidden="1" x14ac:dyDescent="0.25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</row>
    <row r="796" spans="2:32" s="30" customFormat="1" ht="13.8" hidden="1" x14ac:dyDescent="0.25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</row>
    <row r="797" spans="2:32" s="30" customFormat="1" ht="13.8" hidden="1" x14ac:dyDescent="0.25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</row>
    <row r="798" spans="2:32" s="30" customFormat="1" ht="13.8" hidden="1" x14ac:dyDescent="0.25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</row>
    <row r="799" spans="2:32" s="30" customFormat="1" ht="13.8" hidden="1" x14ac:dyDescent="0.25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</row>
    <row r="800" spans="2:32" s="30" customFormat="1" ht="13.8" hidden="1" x14ac:dyDescent="0.25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</row>
    <row r="801" spans="2:32" s="30" customFormat="1" ht="13.8" hidden="1" x14ac:dyDescent="0.25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</row>
    <row r="802" spans="2:32" s="30" customFormat="1" ht="13.8" hidden="1" x14ac:dyDescent="0.25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</row>
    <row r="803" spans="2:32" s="30" customFormat="1" ht="13.8" hidden="1" x14ac:dyDescent="0.25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</row>
    <row r="804" spans="2:32" s="30" customFormat="1" ht="13.8" hidden="1" x14ac:dyDescent="0.25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</row>
    <row r="805" spans="2:32" s="30" customFormat="1" ht="13.8" hidden="1" x14ac:dyDescent="0.25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</row>
    <row r="806" spans="2:32" s="30" customFormat="1" ht="13.8" hidden="1" x14ac:dyDescent="0.25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</row>
    <row r="807" spans="2:32" s="30" customFormat="1" ht="13.8" hidden="1" x14ac:dyDescent="0.25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</row>
    <row r="808" spans="2:32" s="30" customFormat="1" ht="13.8" hidden="1" x14ac:dyDescent="0.25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</row>
    <row r="809" spans="2:32" s="30" customFormat="1" ht="13.8" hidden="1" x14ac:dyDescent="0.25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</row>
    <row r="810" spans="2:32" s="30" customFormat="1" ht="13.8" hidden="1" x14ac:dyDescent="0.25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</row>
    <row r="811" spans="2:32" s="30" customFormat="1" ht="13.8" hidden="1" x14ac:dyDescent="0.25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</row>
    <row r="812" spans="2:32" s="30" customFormat="1" ht="13.8" hidden="1" x14ac:dyDescent="0.25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</row>
    <row r="813" spans="2:32" s="30" customFormat="1" ht="13.8" hidden="1" x14ac:dyDescent="0.25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</row>
    <row r="814" spans="2:32" s="30" customFormat="1" ht="13.8" hidden="1" x14ac:dyDescent="0.25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</row>
    <row r="815" spans="2:32" s="30" customFormat="1" ht="13.8" hidden="1" x14ac:dyDescent="0.25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</row>
    <row r="816" spans="2:32" s="30" customFormat="1" ht="13.8" hidden="1" x14ac:dyDescent="0.25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 spans="2:32" s="30" customFormat="1" ht="13.8" hidden="1" x14ac:dyDescent="0.25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 spans="2:32" s="30" customFormat="1" ht="13.8" hidden="1" x14ac:dyDescent="0.25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</row>
    <row r="819" spans="2:32" s="30" customFormat="1" ht="13.8" hidden="1" x14ac:dyDescent="0.25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</row>
    <row r="820" spans="2:32" s="30" customFormat="1" ht="13.8" hidden="1" x14ac:dyDescent="0.25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</row>
    <row r="821" spans="2:32" s="30" customFormat="1" ht="13.8" hidden="1" x14ac:dyDescent="0.25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</row>
    <row r="822" spans="2:32" s="30" customFormat="1" ht="13.8" hidden="1" x14ac:dyDescent="0.25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</row>
    <row r="823" spans="2:32" s="30" customFormat="1" ht="13.8" hidden="1" x14ac:dyDescent="0.25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</row>
    <row r="824" spans="2:32" s="30" customFormat="1" ht="13.8" hidden="1" x14ac:dyDescent="0.25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</row>
    <row r="825" spans="2:32" s="30" customFormat="1" ht="13.8" hidden="1" x14ac:dyDescent="0.25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</row>
    <row r="826" spans="2:32" s="30" customFormat="1" ht="13.8" hidden="1" x14ac:dyDescent="0.25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</row>
    <row r="827" spans="2:32" s="30" customFormat="1" ht="13.8" hidden="1" x14ac:dyDescent="0.25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</row>
    <row r="828" spans="2:32" s="30" customFormat="1" ht="13.8" hidden="1" x14ac:dyDescent="0.25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</row>
    <row r="829" spans="2:32" s="30" customFormat="1" ht="13.8" hidden="1" x14ac:dyDescent="0.25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</row>
    <row r="830" spans="2:32" s="30" customFormat="1" ht="13.8" hidden="1" x14ac:dyDescent="0.25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</row>
    <row r="831" spans="2:32" s="30" customFormat="1" ht="13.8" hidden="1" x14ac:dyDescent="0.25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</row>
    <row r="832" spans="2:32" s="30" customFormat="1" ht="13.8" hidden="1" x14ac:dyDescent="0.25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</row>
    <row r="833" spans="2:32" s="30" customFormat="1" ht="13.8" hidden="1" x14ac:dyDescent="0.25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</row>
    <row r="834" spans="2:32" s="30" customFormat="1" ht="13.8" hidden="1" x14ac:dyDescent="0.25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</row>
    <row r="835" spans="2:32" s="30" customFormat="1" ht="13.8" hidden="1" x14ac:dyDescent="0.25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</row>
    <row r="836" spans="2:32" s="30" customFormat="1" ht="13.8" hidden="1" x14ac:dyDescent="0.25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</row>
    <row r="837" spans="2:32" s="30" customFormat="1" ht="13.8" hidden="1" x14ac:dyDescent="0.25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</row>
    <row r="838" spans="2:32" s="30" customFormat="1" ht="13.8" hidden="1" x14ac:dyDescent="0.25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</row>
    <row r="839" spans="2:32" s="30" customFormat="1" ht="13.8" hidden="1" x14ac:dyDescent="0.25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</row>
    <row r="840" spans="2:32" s="30" customFormat="1" ht="13.8" hidden="1" x14ac:dyDescent="0.25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</row>
    <row r="841" spans="2:32" s="30" customFormat="1" ht="13.8" hidden="1" x14ac:dyDescent="0.25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</row>
    <row r="842" spans="2:32" s="30" customFormat="1" ht="13.8" hidden="1" x14ac:dyDescent="0.25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</row>
    <row r="843" spans="2:32" s="30" customFormat="1" ht="13.8" hidden="1" x14ac:dyDescent="0.25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 spans="2:32" s="30" customFormat="1" ht="13.8" hidden="1" x14ac:dyDescent="0.25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</row>
    <row r="845" spans="2:32" s="30" customFormat="1" ht="13.8" hidden="1" x14ac:dyDescent="0.25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</row>
    <row r="846" spans="2:32" s="30" customFormat="1" ht="13.8" hidden="1" x14ac:dyDescent="0.25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</row>
    <row r="847" spans="2:32" s="30" customFormat="1" ht="13.8" hidden="1" x14ac:dyDescent="0.25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</row>
    <row r="848" spans="2:32" s="30" customFormat="1" ht="13.8" hidden="1" x14ac:dyDescent="0.25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</row>
    <row r="849" spans="2:32" s="30" customFormat="1" ht="13.8" hidden="1" x14ac:dyDescent="0.25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</row>
    <row r="850" spans="2:32" s="30" customFormat="1" ht="13.8" hidden="1" x14ac:dyDescent="0.25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</row>
    <row r="851" spans="2:32" s="30" customFormat="1" ht="13.8" hidden="1" x14ac:dyDescent="0.25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</row>
    <row r="852" spans="2:32" s="30" customFormat="1" ht="13.8" hidden="1" x14ac:dyDescent="0.25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</row>
    <row r="853" spans="2:32" s="30" customFormat="1" ht="13.8" hidden="1" x14ac:dyDescent="0.25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</row>
    <row r="854" spans="2:32" s="30" customFormat="1" ht="13.8" hidden="1" x14ac:dyDescent="0.25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</row>
    <row r="855" spans="2:32" s="30" customFormat="1" ht="13.8" hidden="1" x14ac:dyDescent="0.25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</row>
    <row r="856" spans="2:32" s="30" customFormat="1" ht="13.8" hidden="1" x14ac:dyDescent="0.25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</row>
    <row r="857" spans="2:32" s="30" customFormat="1" ht="13.8" hidden="1" x14ac:dyDescent="0.25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</row>
    <row r="858" spans="2:32" s="30" customFormat="1" ht="13.8" hidden="1" x14ac:dyDescent="0.25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</row>
    <row r="859" spans="2:32" s="30" customFormat="1" ht="13.8" hidden="1" x14ac:dyDescent="0.25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</row>
    <row r="860" spans="2:32" s="30" customFormat="1" ht="13.8" hidden="1" x14ac:dyDescent="0.25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</row>
    <row r="861" spans="2:32" s="30" customFormat="1" ht="13.8" hidden="1" x14ac:dyDescent="0.25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</row>
    <row r="862" spans="2:32" s="30" customFormat="1" ht="13.8" hidden="1" x14ac:dyDescent="0.25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</row>
    <row r="863" spans="2:32" s="30" customFormat="1" ht="13.8" hidden="1" x14ac:dyDescent="0.25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</row>
    <row r="864" spans="2:32" s="30" customFormat="1" ht="13.8" hidden="1" x14ac:dyDescent="0.25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</row>
    <row r="865" spans="2:32" s="30" customFormat="1" ht="13.8" hidden="1" x14ac:dyDescent="0.25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</row>
    <row r="866" spans="2:32" s="30" customFormat="1" ht="13.8" hidden="1" x14ac:dyDescent="0.25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</row>
    <row r="867" spans="2:32" s="30" customFormat="1" ht="13.8" hidden="1" x14ac:dyDescent="0.25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</row>
    <row r="868" spans="2:32" s="30" customFormat="1" ht="13.8" hidden="1" x14ac:dyDescent="0.25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</row>
    <row r="869" spans="2:32" s="30" customFormat="1" ht="13.8" hidden="1" x14ac:dyDescent="0.25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</row>
    <row r="870" spans="2:32" s="30" customFormat="1" ht="13.8" hidden="1" x14ac:dyDescent="0.25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</row>
    <row r="871" spans="2:32" s="30" customFormat="1" ht="13.8" hidden="1" x14ac:dyDescent="0.25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</row>
    <row r="872" spans="2:32" s="30" customFormat="1" ht="13.8" hidden="1" x14ac:dyDescent="0.25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</row>
    <row r="873" spans="2:32" s="30" customFormat="1" ht="13.8" hidden="1" x14ac:dyDescent="0.25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</row>
    <row r="874" spans="2:32" s="30" customFormat="1" ht="13.8" hidden="1" x14ac:dyDescent="0.25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</row>
    <row r="875" spans="2:32" s="30" customFormat="1" ht="13.8" hidden="1" x14ac:dyDescent="0.25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</row>
    <row r="876" spans="2:32" s="30" customFormat="1" ht="13.8" hidden="1" x14ac:dyDescent="0.25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</row>
    <row r="877" spans="2:32" s="30" customFormat="1" ht="13.8" hidden="1" x14ac:dyDescent="0.25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</row>
    <row r="878" spans="2:32" s="30" customFormat="1" ht="13.8" hidden="1" x14ac:dyDescent="0.25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</row>
    <row r="879" spans="2:32" s="30" customFormat="1" ht="13.8" hidden="1" x14ac:dyDescent="0.25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</row>
    <row r="880" spans="2:32" s="30" customFormat="1" ht="13.8" hidden="1" x14ac:dyDescent="0.25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</row>
    <row r="881" spans="2:32" s="30" customFormat="1" ht="13.8" hidden="1" x14ac:dyDescent="0.25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</row>
    <row r="882" spans="2:32" s="30" customFormat="1" ht="13.8" hidden="1" x14ac:dyDescent="0.25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</row>
    <row r="883" spans="2:32" s="30" customFormat="1" ht="13.8" hidden="1" x14ac:dyDescent="0.25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</row>
    <row r="884" spans="2:32" s="30" customFormat="1" ht="13.8" hidden="1" x14ac:dyDescent="0.25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</row>
    <row r="885" spans="2:32" s="30" customFormat="1" ht="13.8" hidden="1" x14ac:dyDescent="0.25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</row>
    <row r="886" spans="2:32" s="30" customFormat="1" ht="13.8" hidden="1" x14ac:dyDescent="0.25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</row>
    <row r="887" spans="2:32" s="30" customFormat="1" ht="13.8" hidden="1" x14ac:dyDescent="0.25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</row>
    <row r="888" spans="2:32" s="30" customFormat="1" ht="13.8" hidden="1" x14ac:dyDescent="0.25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 spans="2:32" s="30" customFormat="1" ht="13.8" hidden="1" x14ac:dyDescent="0.25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</row>
    <row r="890" spans="2:32" s="30" customFormat="1" ht="13.8" hidden="1" x14ac:dyDescent="0.25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</row>
    <row r="891" spans="2:32" s="30" customFormat="1" ht="13.8" hidden="1" x14ac:dyDescent="0.25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</row>
    <row r="892" spans="2:32" s="30" customFormat="1" ht="13.8" hidden="1" x14ac:dyDescent="0.25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</row>
    <row r="893" spans="2:32" s="30" customFormat="1" ht="13.8" hidden="1" x14ac:dyDescent="0.25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</row>
    <row r="894" spans="2:32" s="30" customFormat="1" ht="13.8" hidden="1" x14ac:dyDescent="0.25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</row>
    <row r="895" spans="2:32" s="30" customFormat="1" ht="13.8" hidden="1" x14ac:dyDescent="0.25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</row>
    <row r="896" spans="2:32" s="30" customFormat="1" ht="13.8" hidden="1" x14ac:dyDescent="0.25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</row>
    <row r="897" spans="2:32" s="30" customFormat="1" ht="13.8" hidden="1" x14ac:dyDescent="0.25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</row>
    <row r="898" spans="2:32" s="30" customFormat="1" ht="13.8" hidden="1" x14ac:dyDescent="0.25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</row>
    <row r="899" spans="2:32" s="30" customFormat="1" ht="13.8" hidden="1" x14ac:dyDescent="0.25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</row>
    <row r="900" spans="2:32" s="30" customFormat="1" ht="13.8" hidden="1" x14ac:dyDescent="0.25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</row>
    <row r="901" spans="2:32" s="30" customFormat="1" ht="13.8" hidden="1" x14ac:dyDescent="0.25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</row>
    <row r="902" spans="2:32" s="30" customFormat="1" ht="13.8" hidden="1" x14ac:dyDescent="0.25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</row>
    <row r="903" spans="2:32" s="30" customFormat="1" ht="13.8" hidden="1" x14ac:dyDescent="0.25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</row>
    <row r="904" spans="2:32" s="30" customFormat="1" ht="13.8" hidden="1" x14ac:dyDescent="0.25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</row>
    <row r="905" spans="2:32" s="30" customFormat="1" ht="13.8" hidden="1" x14ac:dyDescent="0.25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</row>
    <row r="906" spans="2:32" s="30" customFormat="1" ht="13.8" hidden="1" x14ac:dyDescent="0.25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</row>
    <row r="907" spans="2:32" s="30" customFormat="1" ht="13.8" hidden="1" x14ac:dyDescent="0.25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</row>
    <row r="908" spans="2:32" s="30" customFormat="1" ht="13.8" hidden="1" x14ac:dyDescent="0.25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</row>
    <row r="909" spans="2:32" s="30" customFormat="1" ht="13.8" hidden="1" x14ac:dyDescent="0.25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</row>
    <row r="910" spans="2:32" s="30" customFormat="1" ht="13.8" hidden="1" x14ac:dyDescent="0.25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</row>
    <row r="911" spans="2:32" s="30" customFormat="1" ht="13.8" hidden="1" x14ac:dyDescent="0.25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</row>
    <row r="912" spans="2:32" s="30" customFormat="1" ht="13.8" hidden="1" x14ac:dyDescent="0.25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</row>
    <row r="913" spans="2:32" s="30" customFormat="1" ht="13.8" hidden="1" x14ac:dyDescent="0.25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</row>
    <row r="914" spans="2:32" s="30" customFormat="1" ht="13.8" hidden="1" x14ac:dyDescent="0.25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</row>
    <row r="915" spans="2:32" s="30" customFormat="1" ht="13.8" hidden="1" x14ac:dyDescent="0.25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</row>
    <row r="916" spans="2:32" s="30" customFormat="1" ht="13.8" hidden="1" x14ac:dyDescent="0.25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 spans="2:32" s="30" customFormat="1" ht="13.8" hidden="1" x14ac:dyDescent="0.25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</row>
    <row r="918" spans="2:32" s="30" customFormat="1" ht="13.8" hidden="1" x14ac:dyDescent="0.25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</row>
    <row r="919" spans="2:32" s="30" customFormat="1" ht="13.8" hidden="1" x14ac:dyDescent="0.25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</row>
    <row r="920" spans="2:32" s="30" customFormat="1" ht="13.8" hidden="1" x14ac:dyDescent="0.25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</row>
    <row r="921" spans="2:32" s="30" customFormat="1" ht="13.8" hidden="1" x14ac:dyDescent="0.25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</row>
    <row r="922" spans="2:32" s="30" customFormat="1" ht="13.8" hidden="1" x14ac:dyDescent="0.25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</row>
    <row r="923" spans="2:32" s="30" customFormat="1" ht="13.8" hidden="1" x14ac:dyDescent="0.25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</row>
    <row r="924" spans="2:32" s="30" customFormat="1" ht="13.8" hidden="1" x14ac:dyDescent="0.25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</row>
    <row r="925" spans="2:32" s="30" customFormat="1" ht="13.8" hidden="1" x14ac:dyDescent="0.25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</row>
    <row r="926" spans="2:32" s="30" customFormat="1" ht="13.8" hidden="1" x14ac:dyDescent="0.25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</row>
    <row r="927" spans="2:32" s="30" customFormat="1" ht="13.8" hidden="1" x14ac:dyDescent="0.25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</row>
    <row r="928" spans="2:32" s="30" customFormat="1" ht="13.8" hidden="1" x14ac:dyDescent="0.25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</row>
    <row r="929" spans="2:32" s="30" customFormat="1" ht="13.8" hidden="1" x14ac:dyDescent="0.25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</row>
    <row r="930" spans="2:32" s="30" customFormat="1" ht="13.8" hidden="1" x14ac:dyDescent="0.25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</row>
    <row r="931" spans="2:32" s="30" customFormat="1" ht="13.8" hidden="1" x14ac:dyDescent="0.25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</row>
    <row r="932" spans="2:32" s="30" customFormat="1" ht="13.8" hidden="1" x14ac:dyDescent="0.25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</row>
    <row r="933" spans="2:32" s="30" customFormat="1" ht="13.8" hidden="1" x14ac:dyDescent="0.25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</row>
    <row r="934" spans="2:32" s="30" customFormat="1" ht="13.8" hidden="1" x14ac:dyDescent="0.25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</row>
    <row r="935" spans="2:32" s="30" customFormat="1" ht="13.8" hidden="1" x14ac:dyDescent="0.25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</row>
    <row r="936" spans="2:32" s="30" customFormat="1" ht="13.8" hidden="1" x14ac:dyDescent="0.25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</row>
    <row r="937" spans="2:32" s="30" customFormat="1" ht="13.8" hidden="1" x14ac:dyDescent="0.25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</row>
    <row r="938" spans="2:32" s="30" customFormat="1" ht="13.8" hidden="1" x14ac:dyDescent="0.25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</row>
    <row r="939" spans="2:32" s="30" customFormat="1" ht="13.8" hidden="1" x14ac:dyDescent="0.25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</row>
    <row r="940" spans="2:32" s="30" customFormat="1" ht="13.8" hidden="1" x14ac:dyDescent="0.25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</row>
    <row r="941" spans="2:32" s="30" customFormat="1" ht="13.8" hidden="1" x14ac:dyDescent="0.25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</row>
    <row r="942" spans="2:32" s="30" customFormat="1" ht="13.8" hidden="1" x14ac:dyDescent="0.25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</row>
    <row r="943" spans="2:32" s="30" customFormat="1" ht="13.8" hidden="1" x14ac:dyDescent="0.25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</row>
    <row r="944" spans="2:32" s="30" customFormat="1" ht="13.8" hidden="1" x14ac:dyDescent="0.25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</row>
    <row r="945" spans="2:32" s="30" customFormat="1" ht="13.8" hidden="1" x14ac:dyDescent="0.25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</row>
    <row r="946" spans="2:32" s="30" customFormat="1" ht="13.8" hidden="1" x14ac:dyDescent="0.25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</row>
    <row r="947" spans="2:32" s="30" customFormat="1" ht="13.8" hidden="1" x14ac:dyDescent="0.25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</row>
    <row r="948" spans="2:32" s="30" customFormat="1" ht="13.8" hidden="1" x14ac:dyDescent="0.25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</row>
    <row r="949" spans="2:32" s="30" customFormat="1" ht="13.8" hidden="1" x14ac:dyDescent="0.25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</row>
    <row r="950" spans="2:32" s="30" customFormat="1" ht="13.8" hidden="1" x14ac:dyDescent="0.25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</row>
    <row r="951" spans="2:32" s="30" customFormat="1" ht="13.8" hidden="1" x14ac:dyDescent="0.25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</row>
    <row r="952" spans="2:32" s="30" customFormat="1" ht="13.8" hidden="1" x14ac:dyDescent="0.25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</row>
    <row r="953" spans="2:32" s="30" customFormat="1" ht="13.8" hidden="1" x14ac:dyDescent="0.25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</row>
    <row r="954" spans="2:32" s="30" customFormat="1" ht="13.8" hidden="1" x14ac:dyDescent="0.25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</row>
    <row r="955" spans="2:32" s="30" customFormat="1" ht="13.8" hidden="1" x14ac:dyDescent="0.25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</row>
    <row r="956" spans="2:32" s="30" customFormat="1" ht="13.8" hidden="1" x14ac:dyDescent="0.25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</row>
    <row r="957" spans="2:32" s="30" customFormat="1" ht="13.8" hidden="1" x14ac:dyDescent="0.25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</row>
    <row r="958" spans="2:32" s="30" customFormat="1" ht="13.8" hidden="1" x14ac:dyDescent="0.25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 spans="2:32" s="30" customFormat="1" ht="13.8" hidden="1" x14ac:dyDescent="0.25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</row>
    <row r="960" spans="2:32" s="30" customFormat="1" ht="13.8" hidden="1" x14ac:dyDescent="0.25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</row>
    <row r="961" spans="2:32" s="30" customFormat="1" ht="13.8" hidden="1" x14ac:dyDescent="0.25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</row>
    <row r="962" spans="2:32" s="30" customFormat="1" ht="13.8" hidden="1" x14ac:dyDescent="0.25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</row>
    <row r="963" spans="2:32" s="30" customFormat="1" ht="13.8" hidden="1" x14ac:dyDescent="0.25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</row>
    <row r="964" spans="2:32" s="30" customFormat="1" ht="13.8" hidden="1" x14ac:dyDescent="0.25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</row>
    <row r="965" spans="2:32" s="30" customFormat="1" ht="13.8" hidden="1" x14ac:dyDescent="0.25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</row>
    <row r="966" spans="2:32" s="30" customFormat="1" ht="13.8" hidden="1" x14ac:dyDescent="0.25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</row>
    <row r="967" spans="2:32" s="30" customFormat="1" ht="13.8" hidden="1" x14ac:dyDescent="0.25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</row>
    <row r="968" spans="2:32" s="30" customFormat="1" ht="13.8" hidden="1" x14ac:dyDescent="0.25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</row>
    <row r="969" spans="2:32" s="30" customFormat="1" ht="13.8" hidden="1" x14ac:dyDescent="0.25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</row>
    <row r="970" spans="2:32" s="30" customFormat="1" ht="13.8" hidden="1" x14ac:dyDescent="0.25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</row>
    <row r="971" spans="2:32" s="30" customFormat="1" ht="13.8" hidden="1" x14ac:dyDescent="0.25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</row>
    <row r="972" spans="2:32" s="30" customFormat="1" ht="13.8" hidden="1" x14ac:dyDescent="0.25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</row>
    <row r="973" spans="2:32" s="30" customFormat="1" ht="13.8" hidden="1" x14ac:dyDescent="0.25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</row>
    <row r="974" spans="2:32" s="30" customFormat="1" ht="13.8" hidden="1" x14ac:dyDescent="0.25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</row>
    <row r="975" spans="2:32" s="30" customFormat="1" ht="13.8" hidden="1" x14ac:dyDescent="0.25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</row>
    <row r="976" spans="2:32" s="30" customFormat="1" ht="13.8" hidden="1" x14ac:dyDescent="0.25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</row>
    <row r="977" spans="2:32" s="30" customFormat="1" ht="13.8" hidden="1" x14ac:dyDescent="0.25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</row>
    <row r="978" spans="2:32" s="30" customFormat="1" ht="13.8" hidden="1" x14ac:dyDescent="0.25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</row>
    <row r="979" spans="2:32" s="30" customFormat="1" ht="13.8" hidden="1" x14ac:dyDescent="0.25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</row>
    <row r="980" spans="2:32" s="30" customFormat="1" ht="13.8" hidden="1" x14ac:dyDescent="0.25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</row>
    <row r="981" spans="2:32" s="30" customFormat="1" ht="13.8" hidden="1" x14ac:dyDescent="0.25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</row>
    <row r="982" spans="2:32" s="30" customFormat="1" ht="13.8" hidden="1" x14ac:dyDescent="0.25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</row>
    <row r="983" spans="2:32" s="30" customFormat="1" ht="13.8" hidden="1" x14ac:dyDescent="0.25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</row>
    <row r="984" spans="2:32" s="30" customFormat="1" ht="13.8" hidden="1" x14ac:dyDescent="0.25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</row>
    <row r="985" spans="2:32" s="30" customFormat="1" ht="13.8" hidden="1" x14ac:dyDescent="0.25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</row>
    <row r="986" spans="2:32" s="30" customFormat="1" ht="13.8" hidden="1" x14ac:dyDescent="0.25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 spans="2:32" s="30" customFormat="1" ht="13.8" hidden="1" x14ac:dyDescent="0.25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</row>
    <row r="988" spans="2:32" s="30" customFormat="1" ht="13.8" hidden="1" x14ac:dyDescent="0.25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</row>
    <row r="989" spans="2:32" s="30" customFormat="1" ht="13.8" hidden="1" x14ac:dyDescent="0.25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</row>
    <row r="990" spans="2:32" s="30" customFormat="1" ht="13.8" hidden="1" x14ac:dyDescent="0.25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</row>
    <row r="991" spans="2:32" s="30" customFormat="1" ht="13.8" hidden="1" x14ac:dyDescent="0.25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</row>
    <row r="992" spans="2:32" s="30" customFormat="1" ht="13.8" hidden="1" x14ac:dyDescent="0.25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</row>
    <row r="993" spans="2:32" s="30" customFormat="1" ht="13.8" hidden="1" x14ac:dyDescent="0.25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</row>
    <row r="994" spans="2:32" s="30" customFormat="1" ht="13.8" hidden="1" x14ac:dyDescent="0.25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</row>
    <row r="995" spans="2:32" s="30" customFormat="1" ht="13.8" hidden="1" x14ac:dyDescent="0.25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</row>
    <row r="996" spans="2:32" s="30" customFormat="1" ht="13.8" hidden="1" x14ac:dyDescent="0.25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</row>
    <row r="997" spans="2:32" s="30" customFormat="1" ht="13.8" hidden="1" x14ac:dyDescent="0.25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</row>
    <row r="998" spans="2:32" s="30" customFormat="1" ht="13.8" hidden="1" x14ac:dyDescent="0.25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</row>
    <row r="999" spans="2:32" s="30" customFormat="1" ht="13.8" hidden="1" x14ac:dyDescent="0.25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</row>
    <row r="1000" spans="2:32" s="30" customFormat="1" ht="13.8" hidden="1" x14ac:dyDescent="0.25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</row>
    <row r="1001" spans="2:32" s="30" customFormat="1" ht="13.8" hidden="1" x14ac:dyDescent="0.25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</row>
    <row r="1002" spans="2:32" s="30" customFormat="1" ht="13.8" hidden="1" x14ac:dyDescent="0.25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</row>
    <row r="1003" spans="2:32" s="30" customFormat="1" ht="13.8" hidden="1" x14ac:dyDescent="0.25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</row>
    <row r="1004" spans="2:32" s="30" customFormat="1" ht="13.8" hidden="1" x14ac:dyDescent="0.25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</row>
    <row r="1005" spans="2:32" s="30" customFormat="1" ht="13.8" hidden="1" x14ac:dyDescent="0.25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</row>
    <row r="1006" spans="2:32" s="30" customFormat="1" ht="13.8" hidden="1" x14ac:dyDescent="0.25"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</row>
    <row r="1007" spans="2:32" s="30" customFormat="1" ht="13.8" hidden="1" x14ac:dyDescent="0.25"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</row>
    <row r="1008" spans="2:32" s="30" customFormat="1" ht="13.8" hidden="1" x14ac:dyDescent="0.25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</row>
    <row r="1009" spans="2:32" s="30" customFormat="1" ht="13.8" hidden="1" x14ac:dyDescent="0.25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</row>
    <row r="1010" spans="2:32" s="30" customFormat="1" ht="13.8" hidden="1" x14ac:dyDescent="0.25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</row>
    <row r="1011" spans="2:32" s="30" customFormat="1" ht="13.8" hidden="1" x14ac:dyDescent="0.25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</row>
    <row r="1012" spans="2:32" s="30" customFormat="1" ht="13.8" hidden="1" x14ac:dyDescent="0.25"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</row>
    <row r="1013" spans="2:32" s="30" customFormat="1" ht="13.8" hidden="1" x14ac:dyDescent="0.25"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</row>
    <row r="1014" spans="2:32" s="30" customFormat="1" ht="13.8" hidden="1" x14ac:dyDescent="0.25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</row>
    <row r="1015" spans="2:32" s="30" customFormat="1" ht="13.8" hidden="1" x14ac:dyDescent="0.25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</row>
    <row r="1016" spans="2:32" s="30" customFormat="1" ht="13.8" hidden="1" x14ac:dyDescent="0.25"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</row>
    <row r="1017" spans="2:32" s="30" customFormat="1" ht="13.8" hidden="1" x14ac:dyDescent="0.25"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</row>
    <row r="1018" spans="2:32" s="30" customFormat="1" ht="13.8" hidden="1" x14ac:dyDescent="0.25"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</row>
    <row r="1019" spans="2:32" s="30" customFormat="1" ht="13.8" hidden="1" x14ac:dyDescent="0.25"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</row>
    <row r="1020" spans="2:32" s="30" customFormat="1" ht="13.8" hidden="1" x14ac:dyDescent="0.25"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</row>
    <row r="1021" spans="2:32" s="30" customFormat="1" ht="13.8" hidden="1" x14ac:dyDescent="0.25"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</row>
    <row r="1022" spans="2:32" s="30" customFormat="1" ht="13.8" hidden="1" x14ac:dyDescent="0.25"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</row>
    <row r="1023" spans="2:32" s="30" customFormat="1" ht="13.8" hidden="1" x14ac:dyDescent="0.25"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</row>
    <row r="1024" spans="2:32" s="30" customFormat="1" ht="13.8" hidden="1" x14ac:dyDescent="0.25"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</row>
    <row r="1025" spans="2:32" s="30" customFormat="1" ht="13.8" hidden="1" x14ac:dyDescent="0.25"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</row>
    <row r="1026" spans="2:32" s="30" customFormat="1" ht="13.8" hidden="1" x14ac:dyDescent="0.25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</row>
    <row r="1027" spans="2:32" s="30" customFormat="1" ht="13.8" hidden="1" x14ac:dyDescent="0.25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</row>
    <row r="1028" spans="2:32" s="30" customFormat="1" ht="13.8" hidden="1" x14ac:dyDescent="0.25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</row>
    <row r="1029" spans="2:32" s="30" customFormat="1" ht="13.8" hidden="1" x14ac:dyDescent="0.25"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</row>
    <row r="1030" spans="2:32" s="30" customFormat="1" ht="13.8" hidden="1" x14ac:dyDescent="0.25"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</row>
    <row r="1031" spans="2:32" s="30" customFormat="1" ht="13.8" hidden="1" x14ac:dyDescent="0.25"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</row>
    <row r="1032" spans="2:32" s="30" customFormat="1" ht="13.8" hidden="1" x14ac:dyDescent="0.25"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</row>
    <row r="1033" spans="2:32" s="30" customFormat="1" ht="13.8" hidden="1" x14ac:dyDescent="0.25"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</row>
    <row r="1034" spans="2:32" s="30" customFormat="1" ht="13.8" hidden="1" x14ac:dyDescent="0.25"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</row>
    <row r="1035" spans="2:32" s="30" customFormat="1" ht="13.8" hidden="1" x14ac:dyDescent="0.25"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</row>
    <row r="1036" spans="2:32" s="30" customFormat="1" ht="13.8" hidden="1" x14ac:dyDescent="0.25"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</row>
    <row r="1037" spans="2:32" s="30" customFormat="1" ht="13.8" hidden="1" x14ac:dyDescent="0.25"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</row>
    <row r="1038" spans="2:32" s="30" customFormat="1" ht="13.8" hidden="1" x14ac:dyDescent="0.25"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</row>
    <row r="1039" spans="2:32" s="30" customFormat="1" ht="13.8" hidden="1" x14ac:dyDescent="0.25"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</row>
    <row r="1040" spans="2:32" s="30" customFormat="1" ht="13.8" hidden="1" x14ac:dyDescent="0.25"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</row>
    <row r="1041" spans="2:32" s="30" customFormat="1" ht="13.8" hidden="1" x14ac:dyDescent="0.25"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</row>
    <row r="1042" spans="2:32" s="30" customFormat="1" ht="13.8" hidden="1" x14ac:dyDescent="0.25"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</row>
    <row r="1043" spans="2:32" s="30" customFormat="1" ht="13.8" hidden="1" x14ac:dyDescent="0.25"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</row>
    <row r="1044" spans="2:32" s="30" customFormat="1" ht="13.8" hidden="1" x14ac:dyDescent="0.25"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</row>
    <row r="1045" spans="2:32" s="30" customFormat="1" ht="13.8" hidden="1" x14ac:dyDescent="0.25"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</row>
    <row r="1046" spans="2:32" s="30" customFormat="1" ht="13.8" hidden="1" x14ac:dyDescent="0.25"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</row>
    <row r="1047" spans="2:32" s="30" customFormat="1" ht="13.8" hidden="1" x14ac:dyDescent="0.25"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</row>
    <row r="1048" spans="2:32" s="30" customFormat="1" ht="13.8" hidden="1" x14ac:dyDescent="0.25"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</row>
    <row r="1049" spans="2:32" s="30" customFormat="1" ht="13.8" hidden="1" x14ac:dyDescent="0.25"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</row>
    <row r="1050" spans="2:32" s="30" customFormat="1" ht="13.8" hidden="1" x14ac:dyDescent="0.25"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</row>
    <row r="1051" spans="2:32" s="30" customFormat="1" ht="13.8" hidden="1" x14ac:dyDescent="0.25"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</row>
    <row r="1052" spans="2:32" s="30" customFormat="1" ht="13.8" hidden="1" x14ac:dyDescent="0.25"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</row>
    <row r="1053" spans="2:32" s="30" customFormat="1" ht="13.8" hidden="1" x14ac:dyDescent="0.25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</row>
    <row r="1054" spans="2:32" s="30" customFormat="1" ht="13.8" hidden="1" x14ac:dyDescent="0.25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</row>
    <row r="1055" spans="2:32" s="30" customFormat="1" ht="13.8" hidden="1" x14ac:dyDescent="0.25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</row>
    <row r="1056" spans="2:32" s="30" customFormat="1" ht="13.8" hidden="1" x14ac:dyDescent="0.25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</row>
    <row r="1057" spans="2:32" s="30" customFormat="1" ht="13.8" hidden="1" x14ac:dyDescent="0.25"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</row>
    <row r="1058" spans="2:32" s="30" customFormat="1" ht="13.8" hidden="1" x14ac:dyDescent="0.25"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</row>
    <row r="1059" spans="2:32" s="30" customFormat="1" ht="13.8" hidden="1" x14ac:dyDescent="0.25"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</row>
    <row r="1060" spans="2:32" s="30" customFormat="1" ht="13.8" hidden="1" x14ac:dyDescent="0.25"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</row>
    <row r="1061" spans="2:32" s="30" customFormat="1" ht="13.8" hidden="1" x14ac:dyDescent="0.25"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</row>
    <row r="1062" spans="2:32" s="30" customFormat="1" ht="13.8" hidden="1" x14ac:dyDescent="0.25"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</row>
    <row r="1063" spans="2:32" s="30" customFormat="1" ht="13.8" hidden="1" x14ac:dyDescent="0.25"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</row>
    <row r="1064" spans="2:32" s="30" customFormat="1" ht="13.8" hidden="1" x14ac:dyDescent="0.25"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</row>
    <row r="1065" spans="2:32" s="30" customFormat="1" ht="13.8" hidden="1" x14ac:dyDescent="0.25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</row>
    <row r="1066" spans="2:32" s="30" customFormat="1" ht="13.8" hidden="1" x14ac:dyDescent="0.25"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</row>
    <row r="1067" spans="2:32" s="30" customFormat="1" ht="13.8" hidden="1" x14ac:dyDescent="0.25"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</row>
    <row r="1068" spans="2:32" s="30" customFormat="1" ht="13.8" hidden="1" x14ac:dyDescent="0.25"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</row>
    <row r="1069" spans="2:32" s="30" customFormat="1" ht="13.8" hidden="1" x14ac:dyDescent="0.25"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</row>
    <row r="1070" spans="2:32" s="30" customFormat="1" ht="13.8" hidden="1" x14ac:dyDescent="0.25"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</row>
    <row r="1071" spans="2:32" s="30" customFormat="1" ht="13.8" hidden="1" x14ac:dyDescent="0.25"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</row>
    <row r="1072" spans="2:32" s="30" customFormat="1" ht="13.8" hidden="1" x14ac:dyDescent="0.25"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</row>
    <row r="1073" spans="2:32" s="30" customFormat="1" ht="13.8" hidden="1" x14ac:dyDescent="0.25"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</row>
    <row r="1074" spans="2:32" s="30" customFormat="1" ht="13.8" hidden="1" x14ac:dyDescent="0.25"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</row>
    <row r="1075" spans="2:32" s="30" customFormat="1" ht="13.8" hidden="1" x14ac:dyDescent="0.25"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</row>
    <row r="1076" spans="2:32" s="30" customFormat="1" ht="13.8" hidden="1" x14ac:dyDescent="0.25"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</row>
    <row r="1077" spans="2:32" s="30" customFormat="1" ht="13.8" hidden="1" x14ac:dyDescent="0.25"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</row>
    <row r="1078" spans="2:32" s="30" customFormat="1" ht="13.8" hidden="1" x14ac:dyDescent="0.25"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</row>
    <row r="1079" spans="2:32" s="30" customFormat="1" ht="13.8" hidden="1" x14ac:dyDescent="0.25"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</row>
    <row r="1080" spans="2:32" s="30" customFormat="1" ht="13.8" hidden="1" x14ac:dyDescent="0.25"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</row>
    <row r="1081" spans="2:32" s="30" customFormat="1" ht="13.8" hidden="1" x14ac:dyDescent="0.25"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</row>
    <row r="1082" spans="2:32" s="30" customFormat="1" ht="13.8" hidden="1" x14ac:dyDescent="0.25"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</row>
    <row r="1083" spans="2:32" s="30" customFormat="1" ht="13.8" hidden="1" x14ac:dyDescent="0.25"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</row>
    <row r="1084" spans="2:32" s="30" customFormat="1" ht="13.8" hidden="1" x14ac:dyDescent="0.25"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</row>
    <row r="1085" spans="2:32" s="30" customFormat="1" ht="13.8" hidden="1" x14ac:dyDescent="0.25"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</row>
    <row r="1086" spans="2:32" s="30" customFormat="1" ht="13.8" hidden="1" x14ac:dyDescent="0.25"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</row>
    <row r="1087" spans="2:32" s="30" customFormat="1" ht="13.8" hidden="1" x14ac:dyDescent="0.25"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</row>
    <row r="1088" spans="2:32" s="30" customFormat="1" ht="13.8" hidden="1" x14ac:dyDescent="0.25"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</row>
    <row r="1089" spans="2:32" s="30" customFormat="1" ht="13.8" hidden="1" x14ac:dyDescent="0.25"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</row>
    <row r="1090" spans="2:32" s="30" customFormat="1" ht="13.8" hidden="1" x14ac:dyDescent="0.25"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</row>
    <row r="1091" spans="2:32" s="30" customFormat="1" ht="13.8" hidden="1" x14ac:dyDescent="0.25"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</row>
    <row r="1092" spans="2:32" s="30" customFormat="1" ht="13.8" hidden="1" x14ac:dyDescent="0.25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</row>
    <row r="1093" spans="2:32" s="30" customFormat="1" ht="13.8" hidden="1" x14ac:dyDescent="0.25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</row>
    <row r="1094" spans="2:32" s="30" customFormat="1" ht="13.8" hidden="1" x14ac:dyDescent="0.25"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</row>
    <row r="1095" spans="2:32" s="30" customFormat="1" ht="13.8" hidden="1" x14ac:dyDescent="0.25"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</row>
    <row r="1096" spans="2:32" s="30" customFormat="1" ht="13.8" hidden="1" x14ac:dyDescent="0.25"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</row>
    <row r="1097" spans="2:32" s="30" customFormat="1" ht="13.8" hidden="1" x14ac:dyDescent="0.25"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</row>
    <row r="1098" spans="2:32" s="30" customFormat="1" ht="13.8" hidden="1" x14ac:dyDescent="0.25"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</row>
    <row r="1099" spans="2:32" s="30" customFormat="1" ht="13.8" hidden="1" x14ac:dyDescent="0.25"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</row>
    <row r="1100" spans="2:32" s="30" customFormat="1" ht="13.8" hidden="1" x14ac:dyDescent="0.25"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</row>
    <row r="1101" spans="2:32" s="30" customFormat="1" ht="13.8" hidden="1" x14ac:dyDescent="0.25"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</row>
    <row r="1102" spans="2:32" s="30" customFormat="1" ht="13.8" hidden="1" x14ac:dyDescent="0.25"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</row>
    <row r="1103" spans="2:32" s="30" customFormat="1" ht="13.8" hidden="1" x14ac:dyDescent="0.25"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</row>
    <row r="1104" spans="2:32" s="30" customFormat="1" ht="13.8" hidden="1" x14ac:dyDescent="0.25"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</row>
    <row r="1105" spans="2:32" s="30" customFormat="1" ht="13.8" hidden="1" x14ac:dyDescent="0.25"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</row>
    <row r="1106" spans="2:32" s="30" customFormat="1" ht="13.8" hidden="1" x14ac:dyDescent="0.25"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</row>
    <row r="1107" spans="2:32" s="30" customFormat="1" ht="13.8" hidden="1" x14ac:dyDescent="0.25"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</row>
    <row r="1108" spans="2:32" s="30" customFormat="1" ht="13.8" hidden="1" x14ac:dyDescent="0.25"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</row>
    <row r="1109" spans="2:32" s="30" customFormat="1" ht="13.8" hidden="1" x14ac:dyDescent="0.25"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</row>
    <row r="1110" spans="2:32" s="30" customFormat="1" ht="13.8" hidden="1" x14ac:dyDescent="0.25"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</row>
    <row r="1111" spans="2:32" s="30" customFormat="1" ht="13.8" hidden="1" x14ac:dyDescent="0.25"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</row>
    <row r="1112" spans="2:32" s="30" customFormat="1" ht="13.8" hidden="1" x14ac:dyDescent="0.25"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</row>
    <row r="1113" spans="2:32" s="30" customFormat="1" ht="13.8" hidden="1" x14ac:dyDescent="0.25"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</row>
    <row r="1114" spans="2:32" s="30" customFormat="1" ht="13.8" hidden="1" x14ac:dyDescent="0.25"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</row>
    <row r="1115" spans="2:32" s="30" customFormat="1" ht="13.8" hidden="1" x14ac:dyDescent="0.25"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</row>
    <row r="1116" spans="2:32" s="30" customFormat="1" ht="13.8" hidden="1" x14ac:dyDescent="0.25"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</row>
    <row r="1117" spans="2:32" s="30" customFormat="1" ht="13.8" hidden="1" x14ac:dyDescent="0.25"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</row>
    <row r="1118" spans="2:32" s="30" customFormat="1" ht="13.8" hidden="1" x14ac:dyDescent="0.25"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</row>
    <row r="1119" spans="2:32" s="30" customFormat="1" ht="13.8" hidden="1" x14ac:dyDescent="0.25"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</row>
    <row r="1120" spans="2:32" s="30" customFormat="1" ht="13.8" hidden="1" x14ac:dyDescent="0.25"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</row>
    <row r="1121" spans="2:32" s="30" customFormat="1" ht="13.8" hidden="1" x14ac:dyDescent="0.25"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</row>
    <row r="1122" spans="2:32" s="30" customFormat="1" ht="13.8" hidden="1" x14ac:dyDescent="0.25"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</row>
    <row r="1123" spans="2:32" s="30" customFormat="1" ht="13.8" hidden="1" x14ac:dyDescent="0.25"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</row>
    <row r="1124" spans="2:32" s="30" customFormat="1" ht="13.8" hidden="1" x14ac:dyDescent="0.25"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</row>
    <row r="1125" spans="2:32" s="30" customFormat="1" ht="13.8" hidden="1" x14ac:dyDescent="0.25"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</row>
    <row r="1126" spans="2:32" s="30" customFormat="1" ht="13.8" hidden="1" x14ac:dyDescent="0.25"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</row>
    <row r="1127" spans="2:32" s="30" customFormat="1" ht="13.8" hidden="1" x14ac:dyDescent="0.25"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</row>
    <row r="1128" spans="2:32" s="30" customFormat="1" ht="13.8" hidden="1" x14ac:dyDescent="0.25"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</row>
    <row r="1129" spans="2:32" s="30" customFormat="1" ht="13.8" hidden="1" x14ac:dyDescent="0.25"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</row>
    <row r="1130" spans="2:32" s="30" customFormat="1" ht="13.8" hidden="1" x14ac:dyDescent="0.25"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</row>
    <row r="1131" spans="2:32" s="30" customFormat="1" ht="13.8" hidden="1" x14ac:dyDescent="0.25"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</row>
    <row r="1132" spans="2:32" s="30" customFormat="1" ht="13.8" hidden="1" x14ac:dyDescent="0.25"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</row>
    <row r="1133" spans="2:32" s="30" customFormat="1" ht="13.8" hidden="1" x14ac:dyDescent="0.25"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</row>
    <row r="1134" spans="2:32" s="30" customFormat="1" ht="13.8" hidden="1" x14ac:dyDescent="0.25"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</row>
    <row r="1135" spans="2:32" s="30" customFormat="1" ht="13.8" hidden="1" x14ac:dyDescent="0.25"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</row>
    <row r="1136" spans="2:32" s="30" customFormat="1" ht="13.8" hidden="1" x14ac:dyDescent="0.25"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</row>
    <row r="1137" spans="2:32" s="30" customFormat="1" ht="13.8" hidden="1" x14ac:dyDescent="0.25"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</row>
    <row r="1138" spans="2:32" s="30" customFormat="1" ht="13.8" hidden="1" x14ac:dyDescent="0.25"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</row>
    <row r="1139" spans="2:32" s="30" customFormat="1" ht="13.8" hidden="1" x14ac:dyDescent="0.25"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</row>
    <row r="1140" spans="2:32" s="30" customFormat="1" ht="13.8" hidden="1" x14ac:dyDescent="0.25"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</row>
    <row r="1141" spans="2:32" s="30" customFormat="1" ht="13.8" hidden="1" x14ac:dyDescent="0.25"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</row>
    <row r="1142" spans="2:32" s="30" customFormat="1" ht="13.8" hidden="1" x14ac:dyDescent="0.25"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</row>
    <row r="1143" spans="2:32" s="30" customFormat="1" ht="13.8" hidden="1" x14ac:dyDescent="0.25"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</row>
    <row r="1144" spans="2:32" s="30" customFormat="1" ht="13.8" hidden="1" x14ac:dyDescent="0.25"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</row>
    <row r="1145" spans="2:32" s="30" customFormat="1" ht="13.8" hidden="1" x14ac:dyDescent="0.25"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</row>
    <row r="1146" spans="2:32" s="30" customFormat="1" ht="13.8" hidden="1" x14ac:dyDescent="0.25"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</row>
    <row r="1147" spans="2:32" s="30" customFormat="1" ht="13.8" hidden="1" x14ac:dyDescent="0.25"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</row>
    <row r="1148" spans="2:32" s="30" customFormat="1" ht="13.8" hidden="1" x14ac:dyDescent="0.25"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</row>
    <row r="1149" spans="2:32" s="30" customFormat="1" ht="13.8" hidden="1" x14ac:dyDescent="0.25"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</row>
    <row r="1150" spans="2:32" s="30" customFormat="1" ht="13.8" hidden="1" x14ac:dyDescent="0.25"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</row>
    <row r="1151" spans="2:32" s="30" customFormat="1" ht="13.8" hidden="1" x14ac:dyDescent="0.25"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</row>
    <row r="1152" spans="2:32" s="30" customFormat="1" ht="13.8" hidden="1" x14ac:dyDescent="0.25"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</row>
    <row r="1153" spans="2:32" s="30" customFormat="1" ht="13.8" hidden="1" x14ac:dyDescent="0.25"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</row>
    <row r="1154" spans="2:32" s="30" customFormat="1" ht="13.8" hidden="1" x14ac:dyDescent="0.25"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</row>
    <row r="1155" spans="2:32" s="30" customFormat="1" ht="13.8" hidden="1" x14ac:dyDescent="0.25"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</row>
    <row r="1156" spans="2:32" s="30" customFormat="1" ht="13.8" hidden="1" x14ac:dyDescent="0.25"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</row>
    <row r="1157" spans="2:32" s="30" customFormat="1" ht="13.8" hidden="1" x14ac:dyDescent="0.25"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</row>
    <row r="1158" spans="2:32" s="30" customFormat="1" ht="13.8" hidden="1" x14ac:dyDescent="0.25"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</row>
    <row r="1159" spans="2:32" s="30" customFormat="1" ht="13.8" hidden="1" x14ac:dyDescent="0.25"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</row>
    <row r="1160" spans="2:32" s="30" customFormat="1" ht="13.8" hidden="1" x14ac:dyDescent="0.25"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</row>
    <row r="1161" spans="2:32" s="30" customFormat="1" ht="13.8" hidden="1" x14ac:dyDescent="0.25"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</row>
    <row r="1162" spans="2:32" s="30" customFormat="1" ht="13.8" hidden="1" x14ac:dyDescent="0.25"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</row>
    <row r="1163" spans="2:32" s="30" customFormat="1" ht="13.8" hidden="1" x14ac:dyDescent="0.25"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</row>
    <row r="1164" spans="2:32" s="30" customFormat="1" ht="13.8" hidden="1" x14ac:dyDescent="0.25"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</row>
    <row r="1165" spans="2:32" s="30" customFormat="1" ht="13.8" hidden="1" x14ac:dyDescent="0.25"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</row>
    <row r="1166" spans="2:32" s="30" customFormat="1" ht="13.8" hidden="1" x14ac:dyDescent="0.25"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</row>
    <row r="1167" spans="2:32" s="30" customFormat="1" ht="13.8" hidden="1" x14ac:dyDescent="0.25"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</row>
    <row r="1168" spans="2:32" s="30" customFormat="1" ht="13.8" hidden="1" x14ac:dyDescent="0.25"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</row>
    <row r="1169" spans="2:32" s="30" customFormat="1" ht="13.8" hidden="1" x14ac:dyDescent="0.25"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</row>
    <row r="1170" spans="2:32" s="30" customFormat="1" ht="13.8" hidden="1" x14ac:dyDescent="0.25"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</row>
    <row r="1171" spans="2:32" s="30" customFormat="1" ht="13.8" hidden="1" x14ac:dyDescent="0.25"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</row>
    <row r="1172" spans="2:32" s="30" customFormat="1" ht="13.8" hidden="1" x14ac:dyDescent="0.25"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</row>
    <row r="1173" spans="2:32" s="30" customFormat="1" ht="13.8" hidden="1" x14ac:dyDescent="0.25"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</row>
    <row r="1174" spans="2:32" s="30" customFormat="1" ht="13.8" hidden="1" x14ac:dyDescent="0.25"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</row>
    <row r="1175" spans="2:32" s="30" customFormat="1" ht="13.8" hidden="1" x14ac:dyDescent="0.25"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</row>
    <row r="1176" spans="2:32" s="30" customFormat="1" ht="13.8" hidden="1" x14ac:dyDescent="0.25"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</row>
    <row r="1177" spans="2:32" s="30" customFormat="1" ht="13.8" hidden="1" x14ac:dyDescent="0.25"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</row>
    <row r="1178" spans="2:32" s="30" customFormat="1" ht="13.8" hidden="1" x14ac:dyDescent="0.25"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</row>
    <row r="1179" spans="2:32" s="30" customFormat="1" ht="13.8" hidden="1" x14ac:dyDescent="0.25"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</row>
    <row r="1180" spans="2:32" s="30" customFormat="1" ht="13.8" hidden="1" x14ac:dyDescent="0.25"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</row>
    <row r="1181" spans="2:32" s="30" customFormat="1" ht="13.8" hidden="1" x14ac:dyDescent="0.25"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</row>
    <row r="1182" spans="2:32" s="30" customFormat="1" ht="13.8" hidden="1" x14ac:dyDescent="0.25"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</row>
    <row r="1183" spans="2:32" s="30" customFormat="1" ht="13.8" hidden="1" x14ac:dyDescent="0.25"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</row>
    <row r="1184" spans="2:32" s="30" customFormat="1" ht="13.8" hidden="1" x14ac:dyDescent="0.25"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</row>
    <row r="1185" spans="2:32" s="30" customFormat="1" ht="13.8" hidden="1" x14ac:dyDescent="0.25"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</row>
    <row r="1186" spans="2:32" s="30" customFormat="1" ht="13.8" hidden="1" x14ac:dyDescent="0.25"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</row>
    <row r="1187" spans="2:32" s="30" customFormat="1" ht="13.8" hidden="1" x14ac:dyDescent="0.25"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</row>
    <row r="1188" spans="2:32" s="30" customFormat="1" ht="13.8" hidden="1" x14ac:dyDescent="0.25"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</row>
    <row r="1189" spans="2:32" s="30" customFormat="1" ht="13.8" hidden="1" x14ac:dyDescent="0.25"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</row>
    <row r="1190" spans="2:32" s="30" customFormat="1" ht="13.8" hidden="1" x14ac:dyDescent="0.25"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</row>
    <row r="1191" spans="2:32" s="30" customFormat="1" ht="13.8" hidden="1" x14ac:dyDescent="0.25"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</row>
    <row r="1192" spans="2:32" s="30" customFormat="1" ht="13.8" hidden="1" x14ac:dyDescent="0.25"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</row>
    <row r="1193" spans="2:32" s="30" customFormat="1" ht="13.8" hidden="1" x14ac:dyDescent="0.25"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</row>
    <row r="1194" spans="2:32" s="30" customFormat="1" ht="13.8" hidden="1" x14ac:dyDescent="0.25"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</row>
    <row r="1195" spans="2:32" s="30" customFormat="1" ht="13.8" hidden="1" x14ac:dyDescent="0.25"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</row>
    <row r="1196" spans="2:32" s="30" customFormat="1" ht="13.8" hidden="1" x14ac:dyDescent="0.25"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</row>
    <row r="1197" spans="2:32" s="30" customFormat="1" ht="13.8" hidden="1" x14ac:dyDescent="0.25"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</row>
    <row r="1198" spans="2:32" s="30" customFormat="1" ht="13.8" hidden="1" x14ac:dyDescent="0.25"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</row>
    <row r="1199" spans="2:32" s="30" customFormat="1" ht="13.8" hidden="1" x14ac:dyDescent="0.25"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</row>
    <row r="1200" spans="2:32" s="30" customFormat="1" ht="13.8" hidden="1" x14ac:dyDescent="0.25"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</row>
    <row r="1201" spans="2:32" s="30" customFormat="1" ht="13.8" hidden="1" x14ac:dyDescent="0.25"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27"/>
      <c r="AF1201" s="27"/>
    </row>
    <row r="1202" spans="2:32" s="30" customFormat="1" ht="13.8" hidden="1" x14ac:dyDescent="0.25"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  <c r="AD1202" s="27"/>
      <c r="AE1202" s="27"/>
      <c r="AF1202" s="27"/>
    </row>
    <row r="1203" spans="2:32" s="30" customFormat="1" ht="13.8" hidden="1" x14ac:dyDescent="0.25"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  <c r="AD1203" s="27"/>
      <c r="AE1203" s="27"/>
      <c r="AF1203" s="27"/>
    </row>
    <row r="1204" spans="2:32" s="30" customFormat="1" ht="13.8" hidden="1" x14ac:dyDescent="0.25"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  <c r="AD1204" s="27"/>
      <c r="AE1204" s="27"/>
      <c r="AF1204" s="27"/>
    </row>
    <row r="1205" spans="2:32" s="30" customFormat="1" ht="13.8" hidden="1" x14ac:dyDescent="0.25"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  <c r="AD1205" s="27"/>
      <c r="AE1205" s="27"/>
      <c r="AF1205" s="27"/>
    </row>
    <row r="1206" spans="2:32" s="30" customFormat="1" ht="13.8" hidden="1" x14ac:dyDescent="0.25"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</row>
    <row r="1207" spans="2:32" s="30" customFormat="1" ht="13.8" hidden="1" x14ac:dyDescent="0.25"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</row>
    <row r="1208" spans="2:32" s="30" customFormat="1" ht="13.8" hidden="1" x14ac:dyDescent="0.25"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</row>
    <row r="1209" spans="2:32" s="30" customFormat="1" ht="13.8" hidden="1" x14ac:dyDescent="0.25"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</row>
    <row r="1210" spans="2:32" s="30" customFormat="1" ht="13.8" hidden="1" x14ac:dyDescent="0.25"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</row>
    <row r="1211" spans="2:32" s="30" customFormat="1" ht="13.8" hidden="1" x14ac:dyDescent="0.25"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</row>
    <row r="1212" spans="2:32" s="30" customFormat="1" ht="13.8" hidden="1" x14ac:dyDescent="0.25"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</row>
    <row r="1213" spans="2:32" s="30" customFormat="1" ht="13.8" hidden="1" x14ac:dyDescent="0.25"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</row>
    <row r="1214" spans="2:32" s="30" customFormat="1" ht="13.8" hidden="1" x14ac:dyDescent="0.25"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</row>
    <row r="1215" spans="2:32" s="30" customFormat="1" ht="13.8" hidden="1" x14ac:dyDescent="0.25"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</row>
    <row r="1216" spans="2:32" s="30" customFormat="1" ht="13.8" hidden="1" x14ac:dyDescent="0.25"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</row>
    <row r="1217" spans="2:32" s="30" customFormat="1" ht="13.8" hidden="1" x14ac:dyDescent="0.25"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</row>
    <row r="1218" spans="2:32" s="30" customFormat="1" ht="13.8" hidden="1" x14ac:dyDescent="0.25"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</row>
    <row r="1219" spans="2:32" s="30" customFormat="1" ht="13.8" hidden="1" x14ac:dyDescent="0.25"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</row>
    <row r="1220" spans="2:32" s="30" customFormat="1" ht="13.8" hidden="1" x14ac:dyDescent="0.25"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</row>
    <row r="1221" spans="2:32" s="30" customFormat="1" ht="13.8" hidden="1" x14ac:dyDescent="0.25"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</row>
    <row r="1222" spans="2:32" s="30" customFormat="1" ht="13.8" hidden="1" x14ac:dyDescent="0.25"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</row>
    <row r="1223" spans="2:32" s="30" customFormat="1" ht="13.8" hidden="1" x14ac:dyDescent="0.25"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</row>
    <row r="1224" spans="2:32" s="30" customFormat="1" ht="13.8" hidden="1" x14ac:dyDescent="0.25"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</row>
    <row r="1225" spans="2:32" s="30" customFormat="1" ht="13.8" hidden="1" x14ac:dyDescent="0.25"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</row>
    <row r="1226" spans="2:32" s="30" customFormat="1" ht="13.8" hidden="1" x14ac:dyDescent="0.25"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</row>
    <row r="1227" spans="2:32" s="30" customFormat="1" ht="13.8" hidden="1" x14ac:dyDescent="0.25"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</row>
    <row r="1228" spans="2:32" s="30" customFormat="1" ht="13.8" hidden="1" x14ac:dyDescent="0.25"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</row>
    <row r="1229" spans="2:32" s="30" customFormat="1" ht="13.8" hidden="1" x14ac:dyDescent="0.25"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</row>
    <row r="1230" spans="2:32" s="30" customFormat="1" ht="13.8" hidden="1" x14ac:dyDescent="0.25"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</row>
    <row r="1231" spans="2:32" s="30" customFormat="1" ht="13.8" hidden="1" x14ac:dyDescent="0.25"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</row>
    <row r="1232" spans="2:32" s="30" customFormat="1" ht="13.8" hidden="1" x14ac:dyDescent="0.25"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</row>
    <row r="1233" spans="2:32" s="30" customFormat="1" ht="13.8" hidden="1" x14ac:dyDescent="0.25"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</row>
    <row r="1234" spans="2:32" s="30" customFormat="1" ht="13.8" hidden="1" x14ac:dyDescent="0.25"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</row>
    <row r="1235" spans="2:32" s="30" customFormat="1" ht="13.8" hidden="1" x14ac:dyDescent="0.25"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</row>
    <row r="1236" spans="2:32" s="30" customFormat="1" ht="13.8" hidden="1" x14ac:dyDescent="0.25"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</row>
    <row r="1237" spans="2:32" s="30" customFormat="1" ht="13.8" hidden="1" x14ac:dyDescent="0.25"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</row>
    <row r="1238" spans="2:32" s="30" customFormat="1" ht="13.8" hidden="1" x14ac:dyDescent="0.25"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</row>
    <row r="1239" spans="2:32" s="30" customFormat="1" ht="13.8" hidden="1" x14ac:dyDescent="0.25"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</row>
    <row r="1240" spans="2:32" s="30" customFormat="1" ht="13.8" hidden="1" x14ac:dyDescent="0.25"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</row>
    <row r="1241" spans="2:32" s="30" customFormat="1" ht="13.8" hidden="1" x14ac:dyDescent="0.25"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</row>
    <row r="1242" spans="2:32" s="30" customFormat="1" ht="13.8" hidden="1" x14ac:dyDescent="0.25"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</row>
    <row r="1243" spans="2:32" s="30" customFormat="1" ht="13.8" hidden="1" x14ac:dyDescent="0.25"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</row>
    <row r="1244" spans="2:32" s="30" customFormat="1" ht="13.8" hidden="1" x14ac:dyDescent="0.25"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</row>
    <row r="1245" spans="2:32" s="30" customFormat="1" ht="13.8" hidden="1" x14ac:dyDescent="0.25"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</row>
    <row r="1246" spans="2:32" s="30" customFormat="1" ht="13.8" hidden="1" x14ac:dyDescent="0.25"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</row>
    <row r="1247" spans="2:32" s="30" customFormat="1" ht="13.8" hidden="1" x14ac:dyDescent="0.25"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</row>
    <row r="1248" spans="2:32" s="30" customFormat="1" ht="13.8" hidden="1" x14ac:dyDescent="0.25"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</row>
    <row r="1249" spans="2:32" s="30" customFormat="1" ht="13.8" hidden="1" x14ac:dyDescent="0.25"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</row>
    <row r="1250" spans="2:32" s="30" customFormat="1" ht="13.8" hidden="1" x14ac:dyDescent="0.25"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</row>
    <row r="1251" spans="2:32" s="30" customFormat="1" ht="13.8" hidden="1" x14ac:dyDescent="0.25"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</row>
    <row r="1252" spans="2:32" s="30" customFormat="1" ht="13.8" hidden="1" x14ac:dyDescent="0.25"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</row>
    <row r="1253" spans="2:32" s="30" customFormat="1" ht="13.8" hidden="1" x14ac:dyDescent="0.25"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</row>
    <row r="1254" spans="2:32" s="30" customFormat="1" ht="13.8" hidden="1" x14ac:dyDescent="0.25"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</row>
    <row r="1255" spans="2:32" s="30" customFormat="1" ht="13.8" hidden="1" x14ac:dyDescent="0.25"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</row>
    <row r="1256" spans="2:32" s="30" customFormat="1" ht="13.8" hidden="1" x14ac:dyDescent="0.25"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</row>
    <row r="1257" spans="2:32" s="30" customFormat="1" ht="13.8" hidden="1" x14ac:dyDescent="0.25"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</row>
    <row r="1258" spans="2:32" s="30" customFormat="1" ht="13.8" hidden="1" x14ac:dyDescent="0.25"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</row>
    <row r="1259" spans="2:32" s="30" customFormat="1" ht="13.8" hidden="1" x14ac:dyDescent="0.25"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</row>
    <row r="1260" spans="2:32" s="30" customFormat="1" ht="13.8" hidden="1" x14ac:dyDescent="0.25"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</row>
    <row r="1261" spans="2:32" s="30" customFormat="1" ht="13.8" hidden="1" x14ac:dyDescent="0.25"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</row>
    <row r="1262" spans="2:32" s="30" customFormat="1" ht="13.8" hidden="1" x14ac:dyDescent="0.25"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</row>
    <row r="1263" spans="2:32" s="30" customFormat="1" ht="13.8" hidden="1" x14ac:dyDescent="0.25"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</row>
    <row r="1264" spans="2:32" s="30" customFormat="1" ht="13.8" hidden="1" x14ac:dyDescent="0.25"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</row>
    <row r="1265" spans="2:32" s="30" customFormat="1" ht="13.8" hidden="1" x14ac:dyDescent="0.25"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</row>
    <row r="1266" spans="2:32" s="30" customFormat="1" ht="13.8" hidden="1" x14ac:dyDescent="0.25"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</row>
    <row r="1267" spans="2:32" s="30" customFormat="1" ht="13.8" hidden="1" x14ac:dyDescent="0.25"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</row>
    <row r="1268" spans="2:32" s="30" customFormat="1" ht="13.8" hidden="1" x14ac:dyDescent="0.25"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</row>
    <row r="1269" spans="2:32" s="30" customFormat="1" ht="13.8" hidden="1" x14ac:dyDescent="0.25"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</row>
    <row r="1270" spans="2:32" s="30" customFormat="1" ht="13.8" hidden="1" x14ac:dyDescent="0.25"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</row>
    <row r="1271" spans="2:32" s="30" customFormat="1" ht="13.8" hidden="1" x14ac:dyDescent="0.25"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</row>
    <row r="1272" spans="2:32" s="30" customFormat="1" ht="13.8" hidden="1" x14ac:dyDescent="0.25"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</row>
    <row r="1273" spans="2:32" s="30" customFormat="1" ht="13.8" hidden="1" x14ac:dyDescent="0.25"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</row>
    <row r="1274" spans="2:32" s="30" customFormat="1" ht="13.8" hidden="1" x14ac:dyDescent="0.25"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</row>
    <row r="1275" spans="2:32" s="30" customFormat="1" ht="13.8" hidden="1" x14ac:dyDescent="0.25"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</row>
    <row r="1276" spans="2:32" s="30" customFormat="1" ht="13.8" hidden="1" x14ac:dyDescent="0.25"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</row>
    <row r="1277" spans="2:32" s="30" customFormat="1" ht="13.8" hidden="1" x14ac:dyDescent="0.25"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</row>
    <row r="1278" spans="2:32" s="30" customFormat="1" ht="13.8" hidden="1" x14ac:dyDescent="0.25"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</row>
    <row r="1279" spans="2:32" s="30" customFormat="1" ht="13.8" hidden="1" x14ac:dyDescent="0.25"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</row>
    <row r="1280" spans="2:32" s="30" customFormat="1" ht="13.8" hidden="1" x14ac:dyDescent="0.25"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</row>
    <row r="1281" spans="2:32" s="30" customFormat="1" ht="13.8" hidden="1" x14ac:dyDescent="0.25"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</row>
    <row r="1282" spans="2:32" s="30" customFormat="1" ht="13.8" hidden="1" x14ac:dyDescent="0.25"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</row>
    <row r="1283" spans="2:32" s="30" customFormat="1" ht="13.8" hidden="1" x14ac:dyDescent="0.25"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</row>
    <row r="1284" spans="2:32" s="30" customFormat="1" ht="13.8" hidden="1" x14ac:dyDescent="0.25"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</row>
    <row r="1285" spans="2:32" s="30" customFormat="1" ht="13.8" hidden="1" x14ac:dyDescent="0.25"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</row>
    <row r="1286" spans="2:32" s="30" customFormat="1" ht="13.8" hidden="1" x14ac:dyDescent="0.25"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</row>
    <row r="1287" spans="2:32" s="30" customFormat="1" ht="13.8" hidden="1" x14ac:dyDescent="0.25"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</row>
    <row r="1288" spans="2:32" s="30" customFormat="1" ht="13.8" hidden="1" x14ac:dyDescent="0.25"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</row>
    <row r="1289" spans="2:32" s="30" customFormat="1" ht="13.8" hidden="1" x14ac:dyDescent="0.25"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</row>
    <row r="1290" spans="2:32" s="30" customFormat="1" ht="13.8" hidden="1" x14ac:dyDescent="0.25"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</row>
    <row r="1291" spans="2:32" s="30" customFormat="1" ht="13.8" hidden="1" x14ac:dyDescent="0.25"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</row>
    <row r="1292" spans="2:32" s="30" customFormat="1" ht="13.8" hidden="1" x14ac:dyDescent="0.25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</row>
    <row r="1293" spans="2:32" s="30" customFormat="1" ht="13.8" hidden="1" x14ac:dyDescent="0.25"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</row>
    <row r="1294" spans="2:32" s="30" customFormat="1" ht="13.8" hidden="1" x14ac:dyDescent="0.25"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</row>
    <row r="1295" spans="2:32" s="30" customFormat="1" ht="13.8" hidden="1" x14ac:dyDescent="0.25"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</row>
    <row r="1296" spans="2:32" s="30" customFormat="1" ht="13.8" hidden="1" x14ac:dyDescent="0.25"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</row>
    <row r="1297" spans="2:32" s="30" customFormat="1" ht="13.8" hidden="1" x14ac:dyDescent="0.25"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</row>
    <row r="1298" spans="2:32" s="30" customFormat="1" ht="13.8" hidden="1" x14ac:dyDescent="0.25"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</row>
    <row r="1299" spans="2:32" s="30" customFormat="1" ht="13.8" hidden="1" x14ac:dyDescent="0.25"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</row>
    <row r="1300" spans="2:32" s="30" customFormat="1" ht="13.8" hidden="1" x14ac:dyDescent="0.25"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</row>
    <row r="1301" spans="2:32" s="30" customFormat="1" ht="13.8" hidden="1" x14ac:dyDescent="0.25"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</row>
    <row r="1302" spans="2:32" s="30" customFormat="1" ht="13.8" hidden="1" x14ac:dyDescent="0.25"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</row>
    <row r="1303" spans="2:32" s="30" customFormat="1" ht="13.8" hidden="1" x14ac:dyDescent="0.25"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</row>
    <row r="1304" spans="2:32" s="30" customFormat="1" ht="13.8" hidden="1" x14ac:dyDescent="0.25"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</row>
    <row r="1305" spans="2:32" s="30" customFormat="1" ht="13.8" hidden="1" x14ac:dyDescent="0.25"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</row>
    <row r="1306" spans="2:32" s="30" customFormat="1" ht="13.8" hidden="1" x14ac:dyDescent="0.25"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</row>
    <row r="1307" spans="2:32" s="30" customFormat="1" ht="13.8" hidden="1" x14ac:dyDescent="0.25"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</row>
    <row r="1308" spans="2:32" s="30" customFormat="1" ht="13.8" hidden="1" x14ac:dyDescent="0.25"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</row>
    <row r="1309" spans="2:32" s="30" customFormat="1" ht="13.8" hidden="1" x14ac:dyDescent="0.25"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</row>
    <row r="1310" spans="2:32" s="30" customFormat="1" ht="13.8" hidden="1" x14ac:dyDescent="0.25"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</row>
    <row r="1311" spans="2:32" s="30" customFormat="1" ht="13.8" hidden="1" x14ac:dyDescent="0.25"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</row>
    <row r="1312" spans="2:32" s="30" customFormat="1" ht="13.8" hidden="1" x14ac:dyDescent="0.25"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</row>
    <row r="1313" spans="2:32" s="30" customFormat="1" ht="13.8" hidden="1" x14ac:dyDescent="0.25"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</row>
    <row r="1314" spans="2:32" s="30" customFormat="1" ht="13.8" hidden="1" x14ac:dyDescent="0.25"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</row>
    <row r="1315" spans="2:32" s="30" customFormat="1" ht="13.8" hidden="1" x14ac:dyDescent="0.25"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</row>
    <row r="1316" spans="2:32" s="30" customFormat="1" ht="13.8" hidden="1" x14ac:dyDescent="0.25"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</row>
    <row r="1317" spans="2:32" s="30" customFormat="1" ht="13.8" hidden="1" x14ac:dyDescent="0.25"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</row>
    <row r="1318" spans="2:32" s="30" customFormat="1" ht="13.8" hidden="1" x14ac:dyDescent="0.25"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</row>
    <row r="1319" spans="2:32" s="30" customFormat="1" ht="13.8" hidden="1" x14ac:dyDescent="0.25"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</row>
    <row r="1320" spans="2:32" s="30" customFormat="1" ht="13.8" hidden="1" x14ac:dyDescent="0.25"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</row>
    <row r="1321" spans="2:32" s="30" customFormat="1" ht="13.8" hidden="1" x14ac:dyDescent="0.25"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</row>
    <row r="1322" spans="2:32" s="30" customFormat="1" ht="13.8" hidden="1" x14ac:dyDescent="0.25"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</row>
    <row r="1323" spans="2:32" s="30" customFormat="1" ht="13.8" hidden="1" x14ac:dyDescent="0.25"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</row>
    <row r="1324" spans="2:32" s="30" customFormat="1" ht="13.8" hidden="1" x14ac:dyDescent="0.25"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</row>
    <row r="1325" spans="2:32" s="30" customFormat="1" ht="13.8" hidden="1" x14ac:dyDescent="0.25"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</row>
    <row r="1326" spans="2:32" s="30" customFormat="1" ht="13.8" hidden="1" x14ac:dyDescent="0.25"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</row>
    <row r="1327" spans="2:32" s="30" customFormat="1" ht="13.8" hidden="1" x14ac:dyDescent="0.25"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</row>
    <row r="1328" spans="2:32" s="30" customFormat="1" ht="13.8" hidden="1" x14ac:dyDescent="0.25"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</row>
    <row r="1329" spans="2:32" s="30" customFormat="1" ht="13.8" hidden="1" x14ac:dyDescent="0.25"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</row>
    <row r="1330" spans="2:32" s="30" customFormat="1" ht="13.8" hidden="1" x14ac:dyDescent="0.25"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</row>
    <row r="1331" spans="2:32" s="30" customFormat="1" ht="13.8" hidden="1" x14ac:dyDescent="0.25"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</row>
    <row r="1332" spans="2:32" s="30" customFormat="1" ht="13.8" hidden="1" x14ac:dyDescent="0.25"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</row>
    <row r="1333" spans="2:32" s="30" customFormat="1" ht="13.8" hidden="1" x14ac:dyDescent="0.25"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</row>
    <row r="1334" spans="2:32" s="30" customFormat="1" ht="13.8" hidden="1" x14ac:dyDescent="0.25"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</row>
    <row r="1335" spans="2:32" s="30" customFormat="1" ht="13.8" hidden="1" x14ac:dyDescent="0.25"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</row>
    <row r="1336" spans="2:32" s="30" customFormat="1" ht="13.8" hidden="1" x14ac:dyDescent="0.25"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</row>
    <row r="1337" spans="2:32" s="30" customFormat="1" ht="13.8" hidden="1" x14ac:dyDescent="0.25"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</row>
    <row r="1338" spans="2:32" s="30" customFormat="1" ht="13.8" hidden="1" x14ac:dyDescent="0.25"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</row>
    <row r="1339" spans="2:32" s="30" customFormat="1" ht="13.8" hidden="1" x14ac:dyDescent="0.25"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</row>
    <row r="1340" spans="2:32" s="30" customFormat="1" ht="13.8" hidden="1" x14ac:dyDescent="0.25"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</row>
    <row r="1341" spans="2:32" s="30" customFormat="1" ht="13.8" hidden="1" x14ac:dyDescent="0.25"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</row>
    <row r="1342" spans="2:32" s="30" customFormat="1" ht="13.8" hidden="1" x14ac:dyDescent="0.25"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</row>
    <row r="1343" spans="2:32" s="30" customFormat="1" ht="13.8" hidden="1" x14ac:dyDescent="0.25"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</row>
    <row r="1344" spans="2:32" s="30" customFormat="1" ht="13.8" hidden="1" x14ac:dyDescent="0.25"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</row>
    <row r="1345" spans="2:32" s="30" customFormat="1" ht="13.8" hidden="1" x14ac:dyDescent="0.25"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</row>
    <row r="1346" spans="2:32" s="30" customFormat="1" ht="13.8" hidden="1" x14ac:dyDescent="0.25"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</row>
    <row r="1347" spans="2:32" s="30" customFormat="1" ht="13.8" hidden="1" x14ac:dyDescent="0.25"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</row>
    <row r="1348" spans="2:32" s="30" customFormat="1" ht="13.8" hidden="1" x14ac:dyDescent="0.25"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</row>
    <row r="1349" spans="2:32" s="30" customFormat="1" ht="13.8" hidden="1" x14ac:dyDescent="0.25"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</row>
    <row r="1350" spans="2:32" s="30" customFormat="1" ht="13.8" hidden="1" x14ac:dyDescent="0.25"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</row>
    <row r="1351" spans="2:32" s="30" customFormat="1" ht="13.8" hidden="1" x14ac:dyDescent="0.25"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</row>
    <row r="1352" spans="2:32" s="30" customFormat="1" ht="13.8" hidden="1" x14ac:dyDescent="0.25"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</row>
    <row r="1353" spans="2:32" s="30" customFormat="1" ht="13.8" hidden="1" x14ac:dyDescent="0.25"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</row>
    <row r="1354" spans="2:32" s="30" customFormat="1" ht="13.8" hidden="1" x14ac:dyDescent="0.25"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</row>
    <row r="1355" spans="2:32" s="30" customFormat="1" ht="13.8" hidden="1" x14ac:dyDescent="0.25"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</row>
    <row r="1356" spans="2:32" s="30" customFormat="1" ht="13.8" hidden="1" x14ac:dyDescent="0.25"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</row>
    <row r="1357" spans="2:32" s="30" customFormat="1" ht="13.8" hidden="1" x14ac:dyDescent="0.25"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</row>
    <row r="1358" spans="2:32" s="30" customFormat="1" ht="13.8" hidden="1" x14ac:dyDescent="0.25"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</row>
    <row r="1359" spans="2:32" s="30" customFormat="1" ht="13.8" hidden="1" x14ac:dyDescent="0.25"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</row>
    <row r="1360" spans="2:32" s="30" customFormat="1" ht="13.8" hidden="1" x14ac:dyDescent="0.25"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</row>
    <row r="1361" spans="2:32" s="30" customFormat="1" ht="13.8" hidden="1" x14ac:dyDescent="0.25"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</row>
    <row r="1362" spans="2:32" s="30" customFormat="1" ht="13.8" hidden="1" x14ac:dyDescent="0.25"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</row>
    <row r="1363" spans="2:32" s="30" customFormat="1" ht="13.8" hidden="1" x14ac:dyDescent="0.25"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</row>
    <row r="1364" spans="2:32" s="30" customFormat="1" ht="13.8" hidden="1" x14ac:dyDescent="0.25"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</row>
    <row r="1365" spans="2:32" s="30" customFormat="1" ht="13.8" hidden="1" x14ac:dyDescent="0.25"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</row>
    <row r="1366" spans="2:32" s="30" customFormat="1" ht="13.8" hidden="1" x14ac:dyDescent="0.25"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</row>
    <row r="1367" spans="2:32" s="30" customFormat="1" ht="13.8" hidden="1" x14ac:dyDescent="0.25"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</row>
    <row r="1368" spans="2:32" s="30" customFormat="1" ht="13.8" hidden="1" x14ac:dyDescent="0.25"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</row>
    <row r="1369" spans="2:32" s="30" customFormat="1" ht="13.8" hidden="1" x14ac:dyDescent="0.25"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</row>
    <row r="1370" spans="2:32" s="30" customFormat="1" ht="13.8" hidden="1" x14ac:dyDescent="0.25"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</row>
    <row r="1371" spans="2:32" s="30" customFormat="1" ht="13.8" hidden="1" x14ac:dyDescent="0.25"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</row>
    <row r="1372" spans="2:32" s="30" customFormat="1" ht="13.8" hidden="1" x14ac:dyDescent="0.25"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</row>
    <row r="1373" spans="2:32" s="30" customFormat="1" ht="13.8" hidden="1" x14ac:dyDescent="0.25"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</row>
    <row r="1374" spans="2:32" s="30" customFormat="1" ht="13.8" hidden="1" x14ac:dyDescent="0.25"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</row>
    <row r="1375" spans="2:32" s="30" customFormat="1" ht="13.8" hidden="1" x14ac:dyDescent="0.25"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</row>
    <row r="1376" spans="2:32" s="30" customFormat="1" ht="13.8" hidden="1" x14ac:dyDescent="0.25"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</row>
    <row r="1377" spans="2:32" s="30" customFormat="1" ht="13.8" hidden="1" x14ac:dyDescent="0.25"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</row>
    <row r="1378" spans="2:32" s="30" customFormat="1" ht="13.8" hidden="1" x14ac:dyDescent="0.25"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</row>
    <row r="1379" spans="2:32" s="30" customFormat="1" ht="13.8" hidden="1" x14ac:dyDescent="0.25"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</row>
    <row r="1380" spans="2:32" s="30" customFormat="1" ht="13.8" hidden="1" x14ac:dyDescent="0.25"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</row>
    <row r="1381" spans="2:32" s="30" customFormat="1" ht="13.8" hidden="1" x14ac:dyDescent="0.25"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</row>
    <row r="1382" spans="2:32" s="30" customFormat="1" ht="13.8" hidden="1" x14ac:dyDescent="0.25"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</row>
    <row r="1383" spans="2:32" s="30" customFormat="1" ht="13.8" hidden="1" x14ac:dyDescent="0.25"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</row>
    <row r="1384" spans="2:32" s="30" customFormat="1" ht="13.8" hidden="1" x14ac:dyDescent="0.25"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27"/>
      <c r="AF1384" s="27"/>
    </row>
    <row r="1385" spans="2:32" s="30" customFormat="1" ht="13.8" hidden="1" x14ac:dyDescent="0.25"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</row>
    <row r="1386" spans="2:32" s="30" customFormat="1" ht="13.8" hidden="1" x14ac:dyDescent="0.25"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</row>
    <row r="1387" spans="2:32" s="30" customFormat="1" ht="13.8" hidden="1" x14ac:dyDescent="0.25"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</row>
    <row r="1388" spans="2:32" s="30" customFormat="1" ht="13.8" hidden="1" x14ac:dyDescent="0.25"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</row>
    <row r="1389" spans="2:32" s="30" customFormat="1" ht="13.8" hidden="1" x14ac:dyDescent="0.25"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</row>
    <row r="1390" spans="2:32" s="30" customFormat="1" ht="13.8" hidden="1" x14ac:dyDescent="0.25"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</row>
    <row r="1391" spans="2:32" s="30" customFormat="1" ht="13.8" hidden="1" x14ac:dyDescent="0.25"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</row>
    <row r="1392" spans="2:32" s="30" customFormat="1" ht="13.8" hidden="1" x14ac:dyDescent="0.25"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</row>
    <row r="1393" spans="2:32" s="30" customFormat="1" ht="13.8" hidden="1" x14ac:dyDescent="0.25"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27"/>
      <c r="AF1393" s="27"/>
    </row>
    <row r="1394" spans="2:32" s="30" customFormat="1" ht="13.8" hidden="1" x14ac:dyDescent="0.25"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</row>
    <row r="1395" spans="2:32" s="30" customFormat="1" ht="13.8" hidden="1" x14ac:dyDescent="0.25"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</row>
    <row r="1396" spans="2:32" s="30" customFormat="1" ht="13.8" hidden="1" x14ac:dyDescent="0.25"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</row>
    <row r="1397" spans="2:32" s="30" customFormat="1" ht="13.8" hidden="1" x14ac:dyDescent="0.25"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</row>
    <row r="1398" spans="2:32" s="30" customFormat="1" ht="13.8" hidden="1" x14ac:dyDescent="0.25"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</row>
    <row r="1399" spans="2:32" s="30" customFormat="1" ht="13.8" hidden="1" x14ac:dyDescent="0.25"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</row>
    <row r="1400" spans="2:32" s="30" customFormat="1" ht="13.8" hidden="1" x14ac:dyDescent="0.25"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</row>
    <row r="1401" spans="2:32" s="30" customFormat="1" ht="13.8" hidden="1" x14ac:dyDescent="0.25"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</row>
    <row r="1402" spans="2:32" s="30" customFormat="1" ht="13.8" hidden="1" x14ac:dyDescent="0.25"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</row>
    <row r="1403" spans="2:32" s="30" customFormat="1" ht="13.8" hidden="1" x14ac:dyDescent="0.25"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</row>
    <row r="1404" spans="2:32" s="30" customFormat="1" ht="13.8" hidden="1" x14ac:dyDescent="0.25"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</row>
    <row r="1405" spans="2:32" s="30" customFormat="1" ht="13.8" hidden="1" x14ac:dyDescent="0.25"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</row>
    <row r="1406" spans="2:32" s="30" customFormat="1" ht="13.8" hidden="1" x14ac:dyDescent="0.25"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</row>
    <row r="1407" spans="2:32" s="30" customFormat="1" ht="13.8" hidden="1" x14ac:dyDescent="0.25"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</row>
    <row r="1408" spans="2:32" s="30" customFormat="1" ht="13.8" hidden="1" x14ac:dyDescent="0.25"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</row>
    <row r="1409" spans="2:32" s="30" customFormat="1" ht="13.8" hidden="1" x14ac:dyDescent="0.25"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</row>
    <row r="1410" spans="2:32" s="30" customFormat="1" ht="13.8" hidden="1" x14ac:dyDescent="0.25"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</row>
    <row r="1411" spans="2:32" s="30" customFormat="1" ht="13.8" hidden="1" x14ac:dyDescent="0.25"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</row>
    <row r="1412" spans="2:32" s="30" customFormat="1" ht="13.8" hidden="1" x14ac:dyDescent="0.25"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</row>
    <row r="1413" spans="2:32" s="30" customFormat="1" ht="13.8" hidden="1" x14ac:dyDescent="0.25"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27"/>
      <c r="AF1413" s="27"/>
    </row>
    <row r="1414" spans="2:32" s="30" customFormat="1" ht="13.8" hidden="1" x14ac:dyDescent="0.25"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27"/>
      <c r="AF1414" s="27"/>
    </row>
    <row r="1415" spans="2:32" s="30" customFormat="1" ht="13.8" hidden="1" x14ac:dyDescent="0.25"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</row>
    <row r="1416" spans="2:32" s="30" customFormat="1" ht="13.8" hidden="1" x14ac:dyDescent="0.25"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</row>
    <row r="1417" spans="2:32" s="30" customFormat="1" ht="13.8" hidden="1" x14ac:dyDescent="0.25"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</row>
    <row r="1418" spans="2:32" s="30" customFormat="1" ht="13.8" hidden="1" x14ac:dyDescent="0.25"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</row>
    <row r="1419" spans="2:32" s="30" customFormat="1" ht="13.8" hidden="1" x14ac:dyDescent="0.25"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</row>
    <row r="1420" spans="2:32" s="30" customFormat="1" ht="13.8" hidden="1" x14ac:dyDescent="0.25"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</row>
    <row r="1421" spans="2:32" s="30" customFormat="1" ht="13.8" hidden="1" x14ac:dyDescent="0.25"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  <c r="AD1421" s="27"/>
      <c r="AE1421" s="27"/>
      <c r="AF1421" s="27"/>
    </row>
    <row r="1422" spans="2:32" s="30" customFormat="1" ht="13.8" hidden="1" x14ac:dyDescent="0.25"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  <c r="AD1422" s="27"/>
      <c r="AE1422" s="27"/>
      <c r="AF1422" s="27"/>
    </row>
    <row r="1423" spans="2:32" s="30" customFormat="1" ht="13.8" hidden="1" x14ac:dyDescent="0.25"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</row>
    <row r="1424" spans="2:32" s="30" customFormat="1" ht="13.8" hidden="1" x14ac:dyDescent="0.25"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</row>
    <row r="1425" spans="2:32" s="30" customFormat="1" ht="13.8" hidden="1" x14ac:dyDescent="0.25"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</row>
    <row r="1426" spans="2:32" s="30" customFormat="1" ht="13.8" hidden="1" x14ac:dyDescent="0.25"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  <c r="AD1426" s="27"/>
      <c r="AE1426" s="27"/>
      <c r="AF1426" s="27"/>
    </row>
    <row r="1427" spans="2:32" s="30" customFormat="1" ht="13.8" hidden="1" x14ac:dyDescent="0.25"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</row>
    <row r="1428" spans="2:32" s="30" customFormat="1" ht="13.8" hidden="1" x14ac:dyDescent="0.25"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27"/>
      <c r="AF1428" s="27"/>
    </row>
    <row r="1429" spans="2:32" s="30" customFormat="1" ht="13.8" hidden="1" x14ac:dyDescent="0.25"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</row>
    <row r="1430" spans="2:32" s="30" customFormat="1" ht="13.8" hidden="1" x14ac:dyDescent="0.25"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27"/>
      <c r="AF1430" s="27"/>
    </row>
    <row r="1431" spans="2:32" s="30" customFormat="1" ht="13.8" hidden="1" x14ac:dyDescent="0.25"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</row>
    <row r="1432" spans="2:32" s="30" customFormat="1" ht="13.8" hidden="1" x14ac:dyDescent="0.25"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</row>
    <row r="1433" spans="2:32" s="30" customFormat="1" ht="13.8" hidden="1" x14ac:dyDescent="0.25"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</row>
    <row r="1434" spans="2:32" s="30" customFormat="1" ht="13.8" hidden="1" x14ac:dyDescent="0.25"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27"/>
      <c r="AF1434" s="27"/>
    </row>
    <row r="1435" spans="2:32" s="30" customFormat="1" ht="13.8" hidden="1" x14ac:dyDescent="0.25"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</row>
    <row r="1436" spans="2:32" s="30" customFormat="1" ht="13.8" hidden="1" x14ac:dyDescent="0.25"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</row>
    <row r="1437" spans="2:32" s="30" customFormat="1" ht="13.8" hidden="1" x14ac:dyDescent="0.25"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27"/>
      <c r="AF1437" s="27"/>
    </row>
    <row r="1438" spans="2:32" s="30" customFormat="1" ht="13.8" hidden="1" x14ac:dyDescent="0.25"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  <c r="AE1438" s="27"/>
      <c r="AF1438" s="27"/>
    </row>
    <row r="1439" spans="2:32" s="30" customFormat="1" ht="13.8" hidden="1" x14ac:dyDescent="0.25"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</row>
    <row r="1440" spans="2:32" s="30" customFormat="1" ht="13.8" hidden="1" x14ac:dyDescent="0.25"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</row>
    <row r="1441" spans="2:32" s="30" customFormat="1" ht="13.8" hidden="1" x14ac:dyDescent="0.25"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</row>
    <row r="1442" spans="2:32" s="30" customFormat="1" ht="13.8" hidden="1" x14ac:dyDescent="0.25"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27"/>
      <c r="AF1442" s="27"/>
    </row>
    <row r="1443" spans="2:32" s="30" customFormat="1" ht="13.8" hidden="1" x14ac:dyDescent="0.25"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</row>
    <row r="1444" spans="2:32" s="30" customFormat="1" ht="13.8" hidden="1" x14ac:dyDescent="0.25"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27"/>
      <c r="AF1444" s="27"/>
    </row>
    <row r="1445" spans="2:32" s="30" customFormat="1" ht="13.8" hidden="1" x14ac:dyDescent="0.25"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  <c r="AD1445" s="27"/>
      <c r="AE1445" s="27"/>
      <c r="AF1445" s="27"/>
    </row>
    <row r="1446" spans="2:32" s="30" customFormat="1" ht="13.8" hidden="1" x14ac:dyDescent="0.25"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  <c r="AD1446" s="27"/>
      <c r="AE1446" s="27"/>
      <c r="AF1446" s="27"/>
    </row>
    <row r="1447" spans="2:32" s="30" customFormat="1" ht="13.8" hidden="1" x14ac:dyDescent="0.25"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  <c r="AE1447" s="27"/>
      <c r="AF1447" s="27"/>
    </row>
    <row r="1448" spans="2:32" s="30" customFormat="1" ht="13.8" hidden="1" x14ac:dyDescent="0.25"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</row>
    <row r="1449" spans="2:32" s="30" customFormat="1" ht="13.8" hidden="1" x14ac:dyDescent="0.25"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  <c r="AE1449" s="27"/>
      <c r="AF1449" s="27"/>
    </row>
    <row r="1450" spans="2:32" s="30" customFormat="1" ht="13.8" hidden="1" x14ac:dyDescent="0.25"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  <c r="AD1450" s="27"/>
      <c r="AE1450" s="27"/>
      <c r="AF1450" s="27"/>
    </row>
    <row r="1451" spans="2:32" s="30" customFormat="1" ht="13.8" hidden="1" x14ac:dyDescent="0.25"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  <c r="AD1451" s="27"/>
      <c r="AE1451" s="27"/>
      <c r="AF1451" s="27"/>
    </row>
    <row r="1452" spans="2:32" s="30" customFormat="1" ht="13.8" hidden="1" x14ac:dyDescent="0.25"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</row>
    <row r="1453" spans="2:32" s="30" customFormat="1" ht="13.8" hidden="1" x14ac:dyDescent="0.25"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27"/>
      <c r="AF1453" s="27"/>
    </row>
    <row r="1454" spans="2:32" s="30" customFormat="1" ht="13.8" hidden="1" x14ac:dyDescent="0.25"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</row>
    <row r="1455" spans="2:32" s="30" customFormat="1" ht="13.8" hidden="1" x14ac:dyDescent="0.25"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  <c r="AD1455" s="27"/>
      <c r="AE1455" s="27"/>
      <c r="AF1455" s="27"/>
    </row>
    <row r="1456" spans="2:32" s="30" customFormat="1" ht="13.8" hidden="1" x14ac:dyDescent="0.25"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</row>
    <row r="1457" spans="2:32" s="30" customFormat="1" ht="13.8" hidden="1" x14ac:dyDescent="0.25"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</row>
    <row r="1458" spans="2:32" s="30" customFormat="1" ht="13.8" hidden="1" x14ac:dyDescent="0.25"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</row>
    <row r="1459" spans="2:32" s="30" customFormat="1" ht="13.8" hidden="1" x14ac:dyDescent="0.25"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</row>
    <row r="1460" spans="2:32" s="30" customFormat="1" ht="13.8" hidden="1" x14ac:dyDescent="0.25"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</row>
    <row r="1461" spans="2:32" s="30" customFormat="1" ht="13.8" hidden="1" x14ac:dyDescent="0.25"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</row>
    <row r="1462" spans="2:32" s="30" customFormat="1" ht="13.8" hidden="1" x14ac:dyDescent="0.25"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</row>
    <row r="1463" spans="2:32" s="30" customFormat="1" ht="13.8" hidden="1" x14ac:dyDescent="0.25"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</row>
    <row r="1464" spans="2:32" s="30" customFormat="1" ht="13.8" hidden="1" x14ac:dyDescent="0.25"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</row>
    <row r="1465" spans="2:32" s="30" customFormat="1" ht="13.8" hidden="1" x14ac:dyDescent="0.25"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</row>
    <row r="1466" spans="2:32" s="30" customFormat="1" ht="13.8" hidden="1" x14ac:dyDescent="0.25"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</row>
    <row r="1467" spans="2:32" s="30" customFormat="1" ht="13.8" hidden="1" x14ac:dyDescent="0.25"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</row>
    <row r="1468" spans="2:32" s="30" customFormat="1" ht="13.8" hidden="1" x14ac:dyDescent="0.25"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</row>
    <row r="1469" spans="2:32" s="30" customFormat="1" ht="13.8" hidden="1" x14ac:dyDescent="0.25"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</row>
    <row r="1470" spans="2:32" s="30" customFormat="1" ht="13.8" hidden="1" x14ac:dyDescent="0.25"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</row>
    <row r="1471" spans="2:32" s="30" customFormat="1" ht="13.8" hidden="1" x14ac:dyDescent="0.25"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</row>
    <row r="1472" spans="2:32" s="30" customFormat="1" ht="13.8" hidden="1" x14ac:dyDescent="0.25"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</row>
    <row r="1473" spans="2:32" s="30" customFormat="1" ht="13.8" hidden="1" x14ac:dyDescent="0.25"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</row>
    <row r="1474" spans="2:32" s="30" customFormat="1" ht="13.8" hidden="1" x14ac:dyDescent="0.25"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</row>
    <row r="1475" spans="2:32" s="30" customFormat="1" ht="13.8" hidden="1" x14ac:dyDescent="0.25"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</row>
    <row r="1476" spans="2:32" s="30" customFormat="1" ht="13.8" hidden="1" x14ac:dyDescent="0.25"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</row>
    <row r="1477" spans="2:32" s="30" customFormat="1" ht="13.8" hidden="1" x14ac:dyDescent="0.25"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</row>
    <row r="1478" spans="2:32" s="30" customFormat="1" ht="13.8" hidden="1" x14ac:dyDescent="0.25"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</row>
    <row r="1479" spans="2:32" s="30" customFormat="1" ht="13.8" hidden="1" x14ac:dyDescent="0.25"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</row>
    <row r="1480" spans="2:32" s="30" customFormat="1" ht="13.8" hidden="1" x14ac:dyDescent="0.25"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</row>
    <row r="1481" spans="2:32" s="30" customFormat="1" ht="13.8" hidden="1" x14ac:dyDescent="0.25"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</row>
    <row r="1482" spans="2:32" s="30" customFormat="1" ht="13.8" hidden="1" x14ac:dyDescent="0.25"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</row>
    <row r="1483" spans="2:32" s="30" customFormat="1" ht="13.8" hidden="1" x14ac:dyDescent="0.25"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</row>
    <row r="1484" spans="2:32" s="30" customFormat="1" ht="13.8" hidden="1" x14ac:dyDescent="0.25"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</row>
    <row r="1485" spans="2:32" s="30" customFormat="1" ht="13.8" hidden="1" x14ac:dyDescent="0.25"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</row>
    <row r="1486" spans="2:32" s="30" customFormat="1" ht="13.8" hidden="1" x14ac:dyDescent="0.25"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</row>
    <row r="1487" spans="2:32" s="30" customFormat="1" ht="13.8" hidden="1" x14ac:dyDescent="0.25"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</row>
    <row r="1488" spans="2:32" s="30" customFormat="1" ht="13.8" hidden="1" x14ac:dyDescent="0.25"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</row>
    <row r="1489" spans="2:32" s="30" customFormat="1" ht="13.8" hidden="1" x14ac:dyDescent="0.25"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</row>
    <row r="1490" spans="2:32" s="30" customFormat="1" ht="13.8" hidden="1" x14ac:dyDescent="0.25"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</row>
    <row r="1491" spans="2:32" s="30" customFormat="1" ht="13.8" hidden="1" x14ac:dyDescent="0.25"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</row>
    <row r="1492" spans="2:32" s="30" customFormat="1" ht="13.8" hidden="1" x14ac:dyDescent="0.25"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</row>
    <row r="1493" spans="2:32" s="30" customFormat="1" ht="13.8" hidden="1" x14ac:dyDescent="0.25"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</row>
    <row r="1494" spans="2:32" s="30" customFormat="1" ht="13.8" hidden="1" x14ac:dyDescent="0.25"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</row>
    <row r="1495" spans="2:32" s="30" customFormat="1" ht="13.8" hidden="1" x14ac:dyDescent="0.25"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</row>
    <row r="1496" spans="2:32" s="30" customFormat="1" ht="13.8" hidden="1" x14ac:dyDescent="0.25"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</row>
    <row r="1497" spans="2:32" s="30" customFormat="1" ht="13.8" hidden="1" x14ac:dyDescent="0.25"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</row>
    <row r="1498" spans="2:32" s="30" customFormat="1" ht="13.8" hidden="1" x14ac:dyDescent="0.25"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</row>
    <row r="1499" spans="2:32" s="30" customFormat="1" ht="15" hidden="1" customHeight="1" x14ac:dyDescent="0.25"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</row>
    <row r="1500" spans="2:32" s="30" customFormat="1" ht="15" hidden="1" customHeight="1" x14ac:dyDescent="0.25"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</row>
    <row r="1501" spans="2:32" s="30" customFormat="1" ht="15" hidden="1" customHeight="1" x14ac:dyDescent="0.25"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</row>
    <row r="1502" spans="2:32" s="30" customFormat="1" ht="15" hidden="1" customHeight="1" x14ac:dyDescent="0.25"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</row>
    <row r="1503" spans="2:32" s="30" customFormat="1" ht="15" hidden="1" customHeight="1" x14ac:dyDescent="0.25"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</row>
    <row r="1504" spans="2:32" s="30" customFormat="1" ht="15" hidden="1" customHeight="1" x14ac:dyDescent="0.25"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</row>
    <row r="1505" spans="2:32" s="30" customFormat="1" ht="15" hidden="1" customHeight="1" x14ac:dyDescent="0.25"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</row>
    <row r="1506" spans="2:32" s="30" customFormat="1" ht="15" hidden="1" customHeight="1" x14ac:dyDescent="0.25"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</row>
    <row r="1507" spans="2:32" s="30" customFormat="1" ht="15" hidden="1" customHeight="1" x14ac:dyDescent="0.25"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</row>
    <row r="1508" spans="2:32" s="30" customFormat="1" ht="15" hidden="1" customHeight="1" x14ac:dyDescent="0.25"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</row>
    <row r="1509" spans="2:32" s="30" customFormat="1" ht="15" hidden="1" customHeight="1" x14ac:dyDescent="0.25"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</row>
    <row r="1510" spans="2:32" s="30" customFormat="1" ht="15" hidden="1" customHeight="1" x14ac:dyDescent="0.25"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</row>
    <row r="1511" spans="2:32" s="30" customFormat="1" ht="15" hidden="1" customHeight="1" x14ac:dyDescent="0.25"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</row>
    <row r="1512" spans="2:32" s="30" customFormat="1" ht="15" hidden="1" customHeight="1" x14ac:dyDescent="0.25"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</row>
    <row r="1513" spans="2:32" s="30" customFormat="1" ht="15" hidden="1" customHeight="1" x14ac:dyDescent="0.25"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</row>
    <row r="1514" spans="2:32" s="30" customFormat="1" ht="15" hidden="1" customHeight="1" x14ac:dyDescent="0.25"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  <c r="AD1514" s="27"/>
      <c r="AE1514" s="27"/>
      <c r="AF1514" s="27"/>
    </row>
    <row r="1515" spans="2:32" s="30" customFormat="1" ht="15" hidden="1" customHeight="1" x14ac:dyDescent="0.25"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</row>
    <row r="1516" spans="2:32" s="30" customFormat="1" ht="15" hidden="1" customHeight="1" x14ac:dyDescent="0.25"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</row>
    <row r="1517" spans="2:32" s="30" customFormat="1" ht="15" hidden="1" customHeight="1" x14ac:dyDescent="0.25"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</row>
    <row r="1518" spans="2:32" s="30" customFormat="1" ht="15" hidden="1" customHeight="1" x14ac:dyDescent="0.25"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  <c r="AD1518" s="27"/>
      <c r="AE1518" s="27"/>
      <c r="AF1518" s="27"/>
    </row>
    <row r="1519" spans="2:32" s="30" customFormat="1" ht="15" hidden="1" customHeight="1" x14ac:dyDescent="0.25"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</row>
    <row r="1520" spans="2:32" s="30" customFormat="1" ht="15" hidden="1" customHeight="1" x14ac:dyDescent="0.25"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</row>
    <row r="1521" spans="2:32" s="30" customFormat="1" ht="15" hidden="1" customHeight="1" x14ac:dyDescent="0.25"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</row>
    <row r="1522" spans="2:32" s="30" customFormat="1" ht="15" hidden="1" customHeight="1" x14ac:dyDescent="0.25"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</row>
    <row r="1523" spans="2:32" s="30" customFormat="1" ht="15" hidden="1" customHeight="1" x14ac:dyDescent="0.25"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</row>
    <row r="1524" spans="2:32" s="30" customFormat="1" ht="15" hidden="1" customHeight="1" x14ac:dyDescent="0.25"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</row>
    <row r="1525" spans="2:32" s="30" customFormat="1" ht="15" hidden="1" customHeight="1" x14ac:dyDescent="0.25"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</row>
    <row r="1526" spans="2:32" s="30" customFormat="1" ht="15" hidden="1" customHeight="1" x14ac:dyDescent="0.25"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</row>
    <row r="1527" spans="2:32" s="30" customFormat="1" ht="15" hidden="1" customHeight="1" x14ac:dyDescent="0.25"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</row>
    <row r="1528" spans="2:32" s="30" customFormat="1" ht="15" hidden="1" customHeight="1" x14ac:dyDescent="0.25"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</row>
    <row r="1529" spans="2:32" s="30" customFormat="1" ht="15" hidden="1" customHeight="1" x14ac:dyDescent="0.25"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</row>
    <row r="1530" spans="2:32" s="30" customFormat="1" ht="15" hidden="1" customHeight="1" x14ac:dyDescent="0.25"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</row>
    <row r="1531" spans="2:32" s="30" customFormat="1" ht="15" hidden="1" customHeight="1" x14ac:dyDescent="0.25"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</row>
    <row r="1532" spans="2:32" s="30" customFormat="1" ht="15" hidden="1" customHeight="1" x14ac:dyDescent="0.25"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</row>
    <row r="1533" spans="2:32" s="30" customFormat="1" ht="15" hidden="1" customHeight="1" x14ac:dyDescent="0.25"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</row>
    <row r="1534" spans="2:32" s="30" customFormat="1" ht="15" hidden="1" customHeight="1" x14ac:dyDescent="0.25"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</row>
    <row r="1535" spans="2:32" s="30" customFormat="1" ht="15" hidden="1" customHeight="1" x14ac:dyDescent="0.25"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</row>
    <row r="1536" spans="2:32" s="30" customFormat="1" ht="15" hidden="1" customHeight="1" x14ac:dyDescent="0.25"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</row>
    <row r="1537" spans="2:32" s="30" customFormat="1" ht="15" hidden="1" customHeight="1" x14ac:dyDescent="0.25"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  <c r="AE1537" s="27"/>
      <c r="AF1537" s="27"/>
    </row>
    <row r="1538" spans="2:32" s="30" customFormat="1" ht="15" hidden="1" customHeight="1" x14ac:dyDescent="0.25"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</row>
    <row r="1539" spans="2:32" s="30" customFormat="1" ht="15" hidden="1" customHeight="1" x14ac:dyDescent="0.25"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</row>
    <row r="1540" spans="2:32" s="30" customFormat="1" ht="15" hidden="1" customHeight="1" x14ac:dyDescent="0.25"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</row>
    <row r="1541" spans="2:32" s="30" customFormat="1" ht="15" hidden="1" customHeight="1" x14ac:dyDescent="0.25"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</row>
    <row r="1542" spans="2:32" s="30" customFormat="1" ht="15" hidden="1" customHeight="1" x14ac:dyDescent="0.25"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</row>
    <row r="1543" spans="2:32" s="30" customFormat="1" ht="15" hidden="1" customHeight="1" x14ac:dyDescent="0.25"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</row>
    <row r="1544" spans="2:32" s="30" customFormat="1" ht="15" hidden="1" customHeight="1" x14ac:dyDescent="0.25"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  <c r="AF1544" s="27"/>
    </row>
    <row r="1545" spans="2:32" s="30" customFormat="1" ht="15" hidden="1" customHeight="1" x14ac:dyDescent="0.25"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</row>
    <row r="1546" spans="2:32" s="30" customFormat="1" ht="15" hidden="1" customHeight="1" x14ac:dyDescent="0.25"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</row>
    <row r="1547" spans="2:32" s="30" customFormat="1" ht="15" hidden="1" customHeight="1" x14ac:dyDescent="0.25"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</row>
    <row r="1548" spans="2:32" s="30" customFormat="1" ht="15" hidden="1" customHeight="1" x14ac:dyDescent="0.25"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</row>
    <row r="1549" spans="2:32" s="30" customFormat="1" ht="15" hidden="1" customHeight="1" x14ac:dyDescent="0.25"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</row>
    <row r="1550" spans="2:32" s="30" customFormat="1" ht="15" hidden="1" customHeight="1" x14ac:dyDescent="0.25"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</row>
    <row r="1551" spans="2:32" s="30" customFormat="1" ht="15" hidden="1" customHeight="1" x14ac:dyDescent="0.25"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</row>
    <row r="1552" spans="2:32" s="30" customFormat="1" ht="15" hidden="1" customHeight="1" x14ac:dyDescent="0.25"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</row>
    <row r="1553" spans="2:32" s="30" customFormat="1" ht="15" hidden="1" customHeight="1" x14ac:dyDescent="0.25"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</row>
    <row r="1554" spans="2:32" s="30" customFormat="1" ht="15" hidden="1" customHeight="1" x14ac:dyDescent="0.25"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</row>
    <row r="1555" spans="2:32" s="30" customFormat="1" ht="15" hidden="1" customHeight="1" x14ac:dyDescent="0.25"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</row>
    <row r="1556" spans="2:32" s="30" customFormat="1" ht="15" hidden="1" customHeight="1" x14ac:dyDescent="0.25"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</row>
    <row r="1557" spans="2:32" s="30" customFormat="1" ht="15" hidden="1" customHeight="1" x14ac:dyDescent="0.25"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</row>
    <row r="1558" spans="2:32" s="30" customFormat="1" ht="15" hidden="1" customHeight="1" x14ac:dyDescent="0.25"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</row>
    <row r="1559" spans="2:32" s="30" customFormat="1" ht="15" hidden="1" customHeight="1" x14ac:dyDescent="0.25"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</row>
    <row r="1560" spans="2:32" s="30" customFormat="1" ht="15" hidden="1" customHeight="1" x14ac:dyDescent="0.25"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</row>
    <row r="1561" spans="2:32" s="30" customFormat="1" ht="15" hidden="1" customHeight="1" x14ac:dyDescent="0.25"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</row>
    <row r="1562" spans="2:32" s="30" customFormat="1" ht="15" hidden="1" customHeight="1" x14ac:dyDescent="0.25"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</row>
    <row r="1563" spans="2:32" s="30" customFormat="1" ht="15" hidden="1" customHeight="1" x14ac:dyDescent="0.25">
      <c r="B1563" s="27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  <c r="AC1563" s="27"/>
      <c r="AD1563" s="27"/>
      <c r="AE1563" s="27"/>
      <c r="AF1563" s="27"/>
    </row>
    <row r="1564" spans="2:32" ht="15" hidden="1" customHeight="1" x14ac:dyDescent="0.25"/>
    <row r="1565" spans="2:32" ht="15" hidden="1" customHeight="1" x14ac:dyDescent="0.25"/>
    <row r="1566" spans="2:32" ht="15" hidden="1" customHeight="1" x14ac:dyDescent="0.25"/>
    <row r="1567" spans="2:32" ht="15" hidden="1" customHeight="1" x14ac:dyDescent="0.25"/>
    <row r="1568" spans="2:32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  <row r="1607" ht="15" hidden="1" customHeight="1" x14ac:dyDescent="0.25"/>
    <row r="1608" ht="15" hidden="1" customHeight="1" x14ac:dyDescent="0.25"/>
    <row r="1609" ht="15" hidden="1" customHeight="1" x14ac:dyDescent="0.25"/>
    <row r="1610" ht="15" hidden="1" customHeight="1" x14ac:dyDescent="0.25"/>
    <row r="1611" ht="15" hidden="1" customHeight="1" x14ac:dyDescent="0.25"/>
    <row r="1612" ht="15" hidden="1" customHeight="1" x14ac:dyDescent="0.25"/>
    <row r="1613" ht="15" hidden="1" customHeight="1" x14ac:dyDescent="0.25"/>
    <row r="1614" ht="15" hidden="1" customHeight="1" x14ac:dyDescent="0.25"/>
    <row r="1615" ht="15" hidden="1" customHeight="1" x14ac:dyDescent="0.25"/>
    <row r="1616" ht="15" hidden="1" customHeight="1" x14ac:dyDescent="0.25"/>
  </sheetData>
  <mergeCells count="8">
    <mergeCell ref="B9:B10"/>
    <mergeCell ref="B26:B27"/>
    <mergeCell ref="C54:C55"/>
    <mergeCell ref="D54:D55"/>
    <mergeCell ref="E54:E55"/>
    <mergeCell ref="C45:C46"/>
    <mergeCell ref="D45:D46"/>
    <mergeCell ref="E45:E4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G1616"/>
  <sheetViews>
    <sheetView showGridLines="0" zoomScale="90" zoomScaleNormal="90" workbookViewId="0"/>
  </sheetViews>
  <sheetFormatPr defaultColWidth="0" defaultRowHeight="0" customHeight="1" zeroHeight="1" x14ac:dyDescent="0.3"/>
  <cols>
    <col min="1" max="1" width="3.5546875" style="3" customWidth="1"/>
    <col min="2" max="8" width="25.5546875" customWidth="1"/>
    <col min="9" max="9" width="3.21875" customWidth="1"/>
    <col min="10" max="10" width="15.77734375" hidden="1" customWidth="1"/>
    <col min="11" max="11" width="13.33203125" hidden="1" customWidth="1"/>
    <col min="12" max="12" width="18" hidden="1" customWidth="1"/>
    <col min="13" max="13" width="23.21875" hidden="1" customWidth="1"/>
    <col min="14" max="15" width="15.77734375" hidden="1" customWidth="1"/>
    <col min="16" max="16" width="3.21875" hidden="1" customWidth="1"/>
    <col min="17" max="33" width="0" hidden="1" customWidth="1"/>
    <col min="34" max="16384" width="9" hidden="1"/>
  </cols>
  <sheetData>
    <row r="1" spans="1:30" ht="14.4" x14ac:dyDescent="0.3">
      <c r="A1" s="9"/>
      <c r="B1" s="10"/>
      <c r="C1" s="10"/>
      <c r="D1" s="10"/>
      <c r="E1" s="10"/>
      <c r="F1" s="10"/>
      <c r="G1" s="10"/>
      <c r="H1" s="10"/>
      <c r="I1" s="10"/>
    </row>
    <row r="2" spans="1:30" ht="14.4" x14ac:dyDescent="0.3">
      <c r="A2" s="9"/>
      <c r="B2" s="10"/>
      <c r="C2" s="10"/>
      <c r="D2" s="10"/>
      <c r="E2" s="10"/>
      <c r="F2" s="10"/>
      <c r="G2" s="10"/>
      <c r="H2" s="10"/>
      <c r="I2" s="10"/>
    </row>
    <row r="3" spans="1:30" ht="14.4" x14ac:dyDescent="0.3">
      <c r="A3" s="9"/>
      <c r="B3" s="10"/>
      <c r="C3" s="10"/>
      <c r="D3" s="10"/>
      <c r="E3" s="10"/>
      <c r="F3" s="10"/>
      <c r="G3" s="10"/>
      <c r="H3" s="10"/>
      <c r="I3" s="10"/>
    </row>
    <row r="4" spans="1:30" ht="14.4" x14ac:dyDescent="0.3">
      <c r="A4" s="9"/>
      <c r="B4" s="10"/>
      <c r="C4" s="10"/>
      <c r="D4" s="10"/>
      <c r="E4" s="10"/>
      <c r="F4" s="10"/>
      <c r="G4" s="10"/>
      <c r="H4" s="10"/>
      <c r="I4" s="10"/>
    </row>
    <row r="5" spans="1:30" ht="3" customHeight="1" x14ac:dyDescent="0.3">
      <c r="A5" s="1"/>
      <c r="B5" s="2"/>
      <c r="C5" s="2"/>
      <c r="D5" s="2"/>
      <c r="E5" s="2"/>
      <c r="F5" s="2"/>
      <c r="G5" s="2"/>
      <c r="H5" s="2"/>
      <c r="I5" s="2"/>
    </row>
    <row r="6" spans="1:30" ht="14.4" x14ac:dyDescent="0.3"/>
    <row r="7" spans="1:30" ht="14.4" x14ac:dyDescent="0.3">
      <c r="B7" s="66" t="s">
        <v>94</v>
      </c>
      <c r="C7" s="46"/>
      <c r="D7" s="46"/>
      <c r="E7" s="46"/>
      <c r="F7" s="46"/>
      <c r="G7" s="46"/>
      <c r="H7" s="46"/>
      <c r="I7" s="46"/>
      <c r="J7" s="50"/>
      <c r="N7" s="7"/>
    </row>
    <row r="8" spans="1:30" ht="5.0999999999999996" customHeight="1" x14ac:dyDescent="0.3">
      <c r="B8" s="46"/>
      <c r="C8" s="46"/>
      <c r="D8" s="46"/>
      <c r="E8" s="46"/>
      <c r="F8" s="46"/>
      <c r="G8" s="46"/>
      <c r="H8" s="46"/>
      <c r="I8" s="46"/>
      <c r="J8" s="50"/>
      <c r="N8" s="7"/>
    </row>
    <row r="9" spans="1:30" ht="15" customHeight="1" x14ac:dyDescent="0.3">
      <c r="B9" s="163" t="s">
        <v>23</v>
      </c>
      <c r="C9" s="123" t="s">
        <v>1051</v>
      </c>
      <c r="D9" s="123"/>
      <c r="E9" s="124"/>
      <c r="F9" s="123" t="s">
        <v>1054</v>
      </c>
      <c r="G9" s="123"/>
      <c r="H9" s="124"/>
      <c r="I9" s="46"/>
      <c r="J9" s="46"/>
    </row>
    <row r="10" spans="1:30" ht="26.4" x14ac:dyDescent="0.3">
      <c r="B10" s="163"/>
      <c r="C10" s="122" t="s">
        <v>2</v>
      </c>
      <c r="D10" s="122" t="s">
        <v>3</v>
      </c>
      <c r="E10" s="121" t="s">
        <v>4</v>
      </c>
      <c r="F10" s="122" t="s">
        <v>2</v>
      </c>
      <c r="G10" s="122" t="s">
        <v>3</v>
      </c>
      <c r="H10" s="121" t="s">
        <v>4</v>
      </c>
      <c r="I10" s="46"/>
      <c r="J10" s="46"/>
    </row>
    <row r="11" spans="1:30" ht="14.4" x14ac:dyDescent="0.3">
      <c r="B11" s="67" t="s">
        <v>24</v>
      </c>
      <c r="C11" s="68">
        <v>1166790709.1243401</v>
      </c>
      <c r="D11" s="69">
        <f t="shared" ref="D11:D18" si="0">C11/$C$20</f>
        <v>9.4750957737136626E-2</v>
      </c>
      <c r="E11" s="70">
        <v>1815.7049287512</v>
      </c>
      <c r="F11" s="68">
        <v>1166790709.1243401</v>
      </c>
      <c r="G11" s="69">
        <f>F11/$F$20</f>
        <v>0.10649358404625991</v>
      </c>
      <c r="H11" s="70">
        <v>2343.1253843611998</v>
      </c>
      <c r="I11" s="46"/>
      <c r="J11" s="46"/>
    </row>
    <row r="12" spans="1:30" s="3" customFormat="1" ht="14.4" x14ac:dyDescent="0.3">
      <c r="B12" s="71" t="s">
        <v>25</v>
      </c>
      <c r="C12" s="72">
        <v>498684732.37188703</v>
      </c>
      <c r="D12" s="73">
        <f t="shared" si="0"/>
        <v>4.0496428049710015E-2</v>
      </c>
      <c r="E12" s="74">
        <v>297.01848425759999</v>
      </c>
      <c r="F12" s="72">
        <v>0</v>
      </c>
      <c r="G12" s="73">
        <f t="shared" ref="G12:G19" si="1">F12/$F$20</f>
        <v>0</v>
      </c>
      <c r="H12" s="74">
        <v>0</v>
      </c>
      <c r="I12" s="46"/>
      <c r="J12" s="46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s="3" customFormat="1" ht="14.4" x14ac:dyDescent="0.3">
      <c r="B13" s="71" t="s">
        <v>26</v>
      </c>
      <c r="C13" s="72">
        <v>789078770.21412694</v>
      </c>
      <c r="D13" s="73">
        <f t="shared" si="0"/>
        <v>6.4078303523638178E-2</v>
      </c>
      <c r="E13" s="74">
        <v>2288.3153536647001</v>
      </c>
      <c r="F13" s="72">
        <v>789078770.21412694</v>
      </c>
      <c r="G13" s="73">
        <f t="shared" si="1"/>
        <v>7.2019622437671141E-2</v>
      </c>
      <c r="H13" s="74">
        <v>4686.6709806069002</v>
      </c>
      <c r="I13" s="46"/>
      <c r="J13" s="46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30" s="3" customFormat="1" ht="14.4" x14ac:dyDescent="0.3">
      <c r="B14" s="71" t="s">
        <v>27</v>
      </c>
      <c r="C14" s="72">
        <v>861473921.65305495</v>
      </c>
      <c r="D14" s="73">
        <f t="shared" si="0"/>
        <v>6.9957258404510891E-2</v>
      </c>
      <c r="E14" s="74">
        <v>3410.55649572619</v>
      </c>
      <c r="F14" s="72">
        <v>0</v>
      </c>
      <c r="G14" s="73">
        <f t="shared" si="1"/>
        <v>0</v>
      </c>
      <c r="H14" s="74">
        <v>0</v>
      </c>
      <c r="I14" s="46"/>
      <c r="J14" s="46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 s="3" customFormat="1" ht="14.4" x14ac:dyDescent="0.3">
      <c r="B15" s="71" t="s">
        <v>28</v>
      </c>
      <c r="C15" s="72">
        <v>3205024818.82582</v>
      </c>
      <c r="D15" s="73">
        <f t="shared" si="0"/>
        <v>0.26026876009575545</v>
      </c>
      <c r="E15" s="74">
        <v>17425.618842736701</v>
      </c>
      <c r="F15" s="72">
        <v>3205024818.82582</v>
      </c>
      <c r="G15" s="73">
        <f t="shared" si="1"/>
        <v>0.2925242524172379</v>
      </c>
      <c r="H15" s="74">
        <v>28098.797598905399</v>
      </c>
      <c r="I15" s="46"/>
      <c r="J15" s="46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 s="3" customFormat="1" ht="14.4" x14ac:dyDescent="0.3">
      <c r="B16" s="71" t="s">
        <v>29</v>
      </c>
      <c r="C16" s="72">
        <v>3210771117.9623399</v>
      </c>
      <c r="D16" s="73">
        <f t="shared" si="0"/>
        <v>0.26073539677907115</v>
      </c>
      <c r="E16" s="74">
        <v>26741.8426892795</v>
      </c>
      <c r="F16" s="72">
        <v>3210771117.9623399</v>
      </c>
      <c r="G16" s="73">
        <f t="shared" si="1"/>
        <v>0.2930487200747745</v>
      </c>
      <c r="H16" s="74">
        <v>42962.3666292735</v>
      </c>
      <c r="I16" s="46"/>
      <c r="J16" s="4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2:30" s="3" customFormat="1" ht="14.4" x14ac:dyDescent="0.3">
      <c r="B17" s="71" t="s">
        <v>30</v>
      </c>
      <c r="C17" s="72">
        <v>1795008472.4951</v>
      </c>
      <c r="D17" s="73">
        <f t="shared" si="0"/>
        <v>0.14576630631797463</v>
      </c>
      <c r="E17" s="74">
        <v>21588.719603408699</v>
      </c>
      <c r="F17" s="72">
        <v>1795008472.4951</v>
      </c>
      <c r="G17" s="73">
        <f t="shared" si="1"/>
        <v>0.16383134021770376</v>
      </c>
      <c r="H17" s="74">
        <v>34030.699056127203</v>
      </c>
      <c r="I17" s="46"/>
      <c r="J17" s="46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2:30" s="3" customFormat="1" ht="14.4" x14ac:dyDescent="0.3">
      <c r="B18" s="71" t="s">
        <v>31</v>
      </c>
      <c r="C18" s="72">
        <v>787456800.59475398</v>
      </c>
      <c r="D18" s="73">
        <f t="shared" si="0"/>
        <v>6.3946589092203035E-2</v>
      </c>
      <c r="E18" s="74">
        <v>13783.0528609147</v>
      </c>
      <c r="F18" s="72">
        <v>787456800.59475398</v>
      </c>
      <c r="G18" s="73">
        <f t="shared" si="1"/>
        <v>7.1871584441970268E-2</v>
      </c>
      <c r="H18" s="74">
        <v>24136.337159907602</v>
      </c>
      <c r="I18" s="46"/>
      <c r="J18" s="46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2:30" s="30" customFormat="1" ht="13.8" x14ac:dyDescent="0.25">
      <c r="B19" s="46" t="s">
        <v>32</v>
      </c>
      <c r="C19" s="126" t="s">
        <v>1056</v>
      </c>
      <c r="D19" s="128"/>
      <c r="E19" s="127"/>
      <c r="F19" s="79">
        <v>2310673.65</v>
      </c>
      <c r="G19" s="73">
        <f t="shared" si="1"/>
        <v>2.1089636438262923E-4</v>
      </c>
      <c r="H19" s="80">
        <v>86.466531639899699</v>
      </c>
      <c r="I19" s="46"/>
      <c r="J19" s="27"/>
      <c r="K19" s="34"/>
      <c r="L19" s="34"/>
      <c r="M19" s="34"/>
      <c r="N19" s="34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2:30" s="3" customFormat="1" ht="14.4" x14ac:dyDescent="0.3">
      <c r="B20" s="75" t="s">
        <v>20</v>
      </c>
      <c r="C20" s="76">
        <f>+SUM(C11:C19)</f>
        <v>12314289343.241423</v>
      </c>
      <c r="D20" s="77">
        <f>+SUM(D11:D19)</f>
        <v>1</v>
      </c>
      <c r="E20" s="78">
        <f>+SUM(E11:E19)</f>
        <v>87350.829258739293</v>
      </c>
      <c r="F20" s="76">
        <f>+SUM(F11:F19)</f>
        <v>10956441362.86648</v>
      </c>
      <c r="G20" s="77">
        <f>SUM(G11:G19)</f>
        <v>1</v>
      </c>
      <c r="H20" s="78">
        <f>+SUM(H11:H19)</f>
        <v>136344.46334082168</v>
      </c>
      <c r="I20" s="46"/>
      <c r="J20" s="46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2:30" s="3" customFormat="1" ht="5.0999999999999996" customHeight="1" x14ac:dyDescent="0.3">
      <c r="B21" s="46"/>
      <c r="C21" s="79"/>
      <c r="D21" s="79"/>
      <c r="E21" s="80"/>
      <c r="F21" s="80"/>
      <c r="G21" s="80"/>
      <c r="H21" s="80"/>
      <c r="I21" s="46"/>
      <c r="J21" s="46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2:30" s="3" customFormat="1" ht="14.4" x14ac:dyDescent="0.3">
      <c r="B22" s="46"/>
      <c r="C22" s="79"/>
      <c r="D22" s="79"/>
      <c r="E22" s="80"/>
      <c r="G22" s="80"/>
      <c r="H22" s="80"/>
      <c r="I22" s="46"/>
      <c r="J22" s="46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2:30" s="3" customFormat="1" ht="14.4" x14ac:dyDescent="0.3">
      <c r="B23" s="66" t="s">
        <v>95</v>
      </c>
      <c r="C23" s="79"/>
      <c r="D23" s="79"/>
      <c r="E23" s="80"/>
      <c r="F23" s="80"/>
      <c r="G23" s="80"/>
      <c r="H23" s="80"/>
      <c r="I23" s="46"/>
      <c r="J23" s="46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0" s="3" customFormat="1" ht="14.4" x14ac:dyDescent="0.3">
      <c r="B24" s="81" t="s">
        <v>33</v>
      </c>
      <c r="C24" s="79"/>
      <c r="D24" s="79"/>
      <c r="E24" s="80"/>
      <c r="F24" s="80"/>
      <c r="G24" s="80"/>
      <c r="H24" s="80"/>
      <c r="I24" s="46"/>
      <c r="J24" s="46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0" s="3" customFormat="1" ht="5.0999999999999996" customHeight="1" x14ac:dyDescent="0.3">
      <c r="B25" s="46"/>
      <c r="C25" s="79"/>
      <c r="D25" s="79"/>
      <c r="E25" s="80"/>
      <c r="F25" s="80"/>
      <c r="G25" s="80"/>
      <c r="H25" s="80"/>
      <c r="I25" s="46"/>
      <c r="J25" s="46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0" s="3" customFormat="1" ht="15" customHeight="1" x14ac:dyDescent="0.3">
      <c r="B26" s="163" t="s">
        <v>23</v>
      </c>
      <c r="C26" s="123" t="s">
        <v>1051</v>
      </c>
      <c r="D26" s="123"/>
      <c r="E26" s="124"/>
      <c r="F26" s="123" t="s">
        <v>1054</v>
      </c>
      <c r="G26" s="123"/>
      <c r="H26" s="124"/>
      <c r="I26" s="46"/>
      <c r="J26" s="4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0" s="3" customFormat="1" ht="26.4" x14ac:dyDescent="0.3">
      <c r="B27" s="163"/>
      <c r="C27" s="122" t="s">
        <v>2</v>
      </c>
      <c r="D27" s="122" t="s">
        <v>3</v>
      </c>
      <c r="E27" s="121" t="s">
        <v>4</v>
      </c>
      <c r="F27" s="122" t="s">
        <v>2</v>
      </c>
      <c r="G27" s="122" t="s">
        <v>3</v>
      </c>
      <c r="H27" s="121" t="s">
        <v>4</v>
      </c>
      <c r="I27" s="46"/>
      <c r="J27" s="46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0" s="3" customFormat="1" ht="14.4" x14ac:dyDescent="0.3">
      <c r="B28" s="71" t="s">
        <v>24</v>
      </c>
      <c r="C28" s="72">
        <v>508623110.96065527</v>
      </c>
      <c r="D28" s="73">
        <f t="shared" ref="D28:D39" si="2">C28/$C$40</f>
        <v>4.6268630898259715E-2</v>
      </c>
      <c r="E28" s="74">
        <v>9062.3233495682598</v>
      </c>
      <c r="F28" s="72">
        <v>508623110.96065527</v>
      </c>
      <c r="G28" s="73">
        <f t="shared" ref="G28:G39" si="3">F28/$F$40</f>
        <v>4.1181802772151527E-2</v>
      </c>
      <c r="H28" s="74">
        <v>12389.140898768661</v>
      </c>
      <c r="I28" s="46"/>
      <c r="J28" s="46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0" s="3" customFormat="1" ht="14.4" x14ac:dyDescent="0.3">
      <c r="B29" s="71" t="s">
        <v>25</v>
      </c>
      <c r="C29" s="72">
        <v>187302985.02251211</v>
      </c>
      <c r="D29" s="73">
        <f t="shared" si="2"/>
        <v>1.7038652969938013E-2</v>
      </c>
      <c r="E29" s="74">
        <v>4157.4001532851398</v>
      </c>
      <c r="F29" s="72">
        <v>685987717.39439905</v>
      </c>
      <c r="G29" s="73">
        <f t="shared" si="3"/>
        <v>5.5542523084523905E-2</v>
      </c>
      <c r="H29" s="74">
        <v>13485.75827195983</v>
      </c>
      <c r="I29" s="46"/>
      <c r="J29" s="46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0" s="3" customFormat="1" ht="14.4" x14ac:dyDescent="0.3">
      <c r="B30" s="71" t="s">
        <v>26</v>
      </c>
      <c r="C30" s="72">
        <v>575721255.97702241</v>
      </c>
      <c r="D30" s="73">
        <f t="shared" si="2"/>
        <v>5.2372441831774981E-2</v>
      </c>
      <c r="E30" s="74">
        <v>32999.506016182546</v>
      </c>
      <c r="F30" s="72">
        <v>575721255.97702241</v>
      </c>
      <c r="G30" s="73">
        <f t="shared" si="3"/>
        <v>4.6614553496400472E-2</v>
      </c>
      <c r="H30" s="74">
        <v>45355.370076977117</v>
      </c>
      <c r="I30" s="46"/>
      <c r="J30" s="46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2:30" s="3" customFormat="1" ht="14.4" x14ac:dyDescent="0.3">
      <c r="B31" s="71" t="s">
        <v>27</v>
      </c>
      <c r="C31" s="72">
        <v>602216892.60274506</v>
      </c>
      <c r="D31" s="73">
        <f t="shared" si="2"/>
        <v>5.4782707517765018E-2</v>
      </c>
      <c r="E31" s="74">
        <v>11723.410361213801</v>
      </c>
      <c r="F31" s="72">
        <v>1463624715.7358</v>
      </c>
      <c r="G31" s="73">
        <f t="shared" si="3"/>
        <v>0.11850563428396911</v>
      </c>
      <c r="H31" s="74">
        <v>28397.737787480717</v>
      </c>
      <c r="I31" s="46"/>
      <c r="J31" s="46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2:30" s="3" customFormat="1" ht="14.4" x14ac:dyDescent="0.3">
      <c r="B32" s="71" t="s">
        <v>28</v>
      </c>
      <c r="C32" s="72">
        <v>3438038607.8722563</v>
      </c>
      <c r="D32" s="73">
        <f t="shared" si="2"/>
        <v>0.31275287326437129</v>
      </c>
      <c r="E32" s="74">
        <v>71525.374836634408</v>
      </c>
      <c r="F32" s="72">
        <v>3438038607.8722563</v>
      </c>
      <c r="G32" s="73">
        <f t="shared" si="3"/>
        <v>0.2783684516517968</v>
      </c>
      <c r="H32" s="74">
        <v>91620.556670064281</v>
      </c>
      <c r="I32" s="46"/>
      <c r="J32" s="46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2:32" s="3" customFormat="1" ht="14.4" x14ac:dyDescent="0.3">
      <c r="B33" s="71" t="s">
        <v>29</v>
      </c>
      <c r="C33" s="72">
        <v>3249379776.608644</v>
      </c>
      <c r="D33" s="73">
        <f t="shared" si="2"/>
        <v>0.29559088113045828</v>
      </c>
      <c r="E33" s="74">
        <v>130825.53175430314</v>
      </c>
      <c r="F33" s="72">
        <v>3249379776.608644</v>
      </c>
      <c r="G33" s="73">
        <f t="shared" si="3"/>
        <v>0.26309326927628796</v>
      </c>
      <c r="H33" s="74">
        <v>175125.06829429342</v>
      </c>
      <c r="I33" s="46"/>
      <c r="J33" s="46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2:32" s="3" customFormat="1" ht="14.4" x14ac:dyDescent="0.3">
      <c r="B34" s="71" t="s">
        <v>30</v>
      </c>
      <c r="C34" s="72">
        <v>1433154562.5843809</v>
      </c>
      <c r="D34" s="73">
        <f t="shared" si="2"/>
        <v>0.13037177833136845</v>
      </c>
      <c r="E34" s="74">
        <v>29542.3308094323</v>
      </c>
      <c r="F34" s="72">
        <v>1433154562.5843809</v>
      </c>
      <c r="G34" s="73">
        <f t="shared" si="3"/>
        <v>0.1160385504836499</v>
      </c>
      <c r="H34" s="74">
        <v>41178.658847377657</v>
      </c>
      <c r="I34" s="46"/>
      <c r="J34" s="46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2:32" s="3" customFormat="1" ht="14.4" x14ac:dyDescent="0.3">
      <c r="B35" s="71" t="s">
        <v>31</v>
      </c>
      <c r="C35" s="72">
        <v>908142285.13261211</v>
      </c>
      <c r="D35" s="73">
        <f t="shared" si="2"/>
        <v>8.2612251170697024E-2</v>
      </c>
      <c r="E35" s="74">
        <v>43896.892492301355</v>
      </c>
      <c r="F35" s="72">
        <v>908142285.13261211</v>
      </c>
      <c r="G35" s="73">
        <f t="shared" si="3"/>
        <v>7.3529762351430453E-2</v>
      </c>
      <c r="H35" s="74">
        <v>60982.018375787979</v>
      </c>
      <c r="I35" s="46"/>
      <c r="J35" s="46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2:32" s="3" customFormat="1" ht="14.4" x14ac:dyDescent="0.3">
      <c r="B36" s="71" t="s">
        <v>32</v>
      </c>
      <c r="C36" s="72">
        <v>49814981.322100446</v>
      </c>
      <c r="D36" s="73">
        <f t="shared" si="2"/>
        <v>4.5315891754164929E-3</v>
      </c>
      <c r="E36" s="74">
        <v>1066.0231398940541</v>
      </c>
      <c r="F36" s="72">
        <v>47548621.642100453</v>
      </c>
      <c r="G36" s="73">
        <f t="shared" si="3"/>
        <v>3.8498800317080142E-3</v>
      </c>
      <c r="H36" s="74">
        <v>1367.5737570630999</v>
      </c>
      <c r="I36" s="46"/>
      <c r="J36" s="4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2:32" s="30" customFormat="1" ht="13.8" x14ac:dyDescent="0.25">
      <c r="B37" s="83" t="s">
        <v>104</v>
      </c>
      <c r="C37" s="72">
        <v>819783.32476034563</v>
      </c>
      <c r="D37" s="73">
        <f t="shared" si="2"/>
        <v>7.4574377869390042E-5</v>
      </c>
      <c r="E37" s="74">
        <v>239.53170564430002</v>
      </c>
      <c r="F37" s="72">
        <v>819783.32476034563</v>
      </c>
      <c r="G37" s="73">
        <f t="shared" si="3"/>
        <v>6.6375582368672045E-5</v>
      </c>
      <c r="H37" s="74">
        <v>149.94770400747998</v>
      </c>
      <c r="I37" s="46"/>
      <c r="J37" s="27"/>
      <c r="K37" s="34"/>
      <c r="L37" s="34"/>
      <c r="M37" s="34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2:32" s="30" customFormat="1" ht="14.4" customHeight="1" x14ac:dyDescent="0.25">
      <c r="B38" s="71" t="s">
        <v>68</v>
      </c>
      <c r="C38" s="72">
        <v>36675990.390000001</v>
      </c>
      <c r="D38" s="73">
        <f t="shared" si="2"/>
        <v>3.3363561851877752E-3</v>
      </c>
      <c r="E38" s="74">
        <v>0</v>
      </c>
      <c r="F38" s="72">
        <v>36675990.390000001</v>
      </c>
      <c r="G38" s="73">
        <f t="shared" si="3"/>
        <v>2.9695532313928634E-3</v>
      </c>
      <c r="H38" s="74">
        <v>0</v>
      </c>
      <c r="I38" s="46"/>
      <c r="J38" s="27"/>
      <c r="K38" s="34"/>
      <c r="L38" s="34"/>
      <c r="M38" s="34"/>
      <c r="N38" s="34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2:32" s="3" customFormat="1" ht="14.4" x14ac:dyDescent="0.3">
      <c r="B39" s="71" t="s">
        <v>91</v>
      </c>
      <c r="C39" s="72">
        <v>2937977.8605747605</v>
      </c>
      <c r="D39" s="73">
        <f t="shared" si="2"/>
        <v>2.6726314689366862E-4</v>
      </c>
      <c r="E39" s="74">
        <v>0</v>
      </c>
      <c r="F39" s="72">
        <v>2959762.4105747598</v>
      </c>
      <c r="G39" s="73">
        <f t="shared" si="3"/>
        <v>2.3964375432036992E-4</v>
      </c>
      <c r="H39" s="74">
        <v>0</v>
      </c>
      <c r="I39" s="46"/>
      <c r="J39" s="4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2:32" s="3" customFormat="1" ht="14.4" x14ac:dyDescent="0.3">
      <c r="B40" s="75" t="s">
        <v>20</v>
      </c>
      <c r="C40" s="76">
        <f t="shared" ref="C40:H40" si="4">+SUM(C28:C39)</f>
        <v>10992828209.658262</v>
      </c>
      <c r="D40" s="77">
        <f t="shared" si="4"/>
        <v>1.0000000000000002</v>
      </c>
      <c r="E40" s="78">
        <f t="shared" si="4"/>
        <v>335038.32461845927</v>
      </c>
      <c r="F40" s="76">
        <f t="shared" si="4"/>
        <v>12350676190.033205</v>
      </c>
      <c r="G40" s="77">
        <f t="shared" si="4"/>
        <v>1.0000000000000002</v>
      </c>
      <c r="H40" s="78">
        <f t="shared" si="4"/>
        <v>470051.83068378025</v>
      </c>
      <c r="I40" s="46"/>
      <c r="J40" s="4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2:32" s="3" customFormat="1" ht="5.0999999999999996" customHeight="1" x14ac:dyDescent="0.3">
      <c r="B41" s="46"/>
      <c r="C41" s="79"/>
      <c r="D41" s="79"/>
      <c r="E41" s="80"/>
      <c r="F41" s="80"/>
      <c r="G41" s="80"/>
      <c r="H41" s="80"/>
      <c r="I41" s="46"/>
      <c r="J41" s="46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2:32" s="3" customFormat="1" ht="14.4" x14ac:dyDescent="0.3">
      <c r="B42" s="46"/>
      <c r="C42" s="79"/>
      <c r="D42" s="46"/>
      <c r="E42" s="143"/>
      <c r="F42" s="143"/>
      <c r="G42" s="46"/>
      <c r="H42" s="143"/>
      <c r="I42" s="46"/>
      <c r="J42" s="46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2:32" s="3" customFormat="1" ht="14.4" x14ac:dyDescent="0.3">
      <c r="B43" s="82" t="s">
        <v>1057</v>
      </c>
      <c r="C43" s="80"/>
      <c r="D43" s="46"/>
      <c r="E43" s="46"/>
      <c r="F43" s="79"/>
      <c r="G43" s="46"/>
      <c r="H43" s="143"/>
      <c r="I43" s="46"/>
      <c r="J43" s="46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2:32" s="3" customFormat="1" ht="5.0999999999999996" customHeight="1" x14ac:dyDescent="0.3">
      <c r="B44" s="46"/>
      <c r="C44" s="46"/>
      <c r="D44" s="46"/>
      <c r="E44" s="46"/>
      <c r="F44" s="46"/>
      <c r="G44" s="46"/>
      <c r="H44" s="143"/>
      <c r="I44" s="46"/>
      <c r="J44" s="46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2:32" s="3" customFormat="1" ht="14.1" customHeight="1" x14ac:dyDescent="0.3">
      <c r="B45" s="44"/>
      <c r="C45" s="159" t="s">
        <v>2</v>
      </c>
      <c r="D45" s="159" t="s">
        <v>3</v>
      </c>
      <c r="E45" s="157" t="s">
        <v>4</v>
      </c>
      <c r="F45" s="46"/>
      <c r="G45" s="46"/>
      <c r="H45" s="143"/>
      <c r="I45" s="46"/>
      <c r="J45" s="46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2:32" s="3" customFormat="1" ht="14.4" x14ac:dyDescent="0.3">
      <c r="B46" s="44"/>
      <c r="C46" s="160"/>
      <c r="D46" s="160"/>
      <c r="E46" s="158"/>
      <c r="F46" s="46"/>
      <c r="G46" s="46"/>
      <c r="H46" s="46"/>
      <c r="I46" s="46"/>
      <c r="J46" s="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2:32" s="3" customFormat="1" ht="14.4" x14ac:dyDescent="0.3">
      <c r="B47" s="118" t="s">
        <v>89</v>
      </c>
      <c r="C47" s="129">
        <f>+C20</f>
        <v>12314289343.241423</v>
      </c>
      <c r="D47" s="120">
        <f>C47/$C$50</f>
        <v>0.52834887520054474</v>
      </c>
      <c r="E47" s="74">
        <f>+E20</f>
        <v>87350.829258739293</v>
      </c>
      <c r="F47" s="79"/>
      <c r="G47" s="134"/>
      <c r="H47" s="80"/>
      <c r="I47" s="46"/>
      <c r="J47" s="46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2:32" s="3" customFormat="1" ht="14.4" x14ac:dyDescent="0.3">
      <c r="B48" s="118" t="s">
        <v>90</v>
      </c>
      <c r="C48" s="129">
        <f>+SUM(C28:C38)</f>
        <v>10989890231.797688</v>
      </c>
      <c r="D48" s="120">
        <f>C48/$C$50</f>
        <v>0.47152506983560538</v>
      </c>
      <c r="E48" s="74">
        <f>+SUM(E28:E38)</f>
        <v>335038.32461845927</v>
      </c>
      <c r="F48" s="145"/>
      <c r="G48" s="46"/>
      <c r="H48" s="80"/>
      <c r="I48" s="46"/>
      <c r="J48" s="46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2:32" s="3" customFormat="1" ht="14.4" x14ac:dyDescent="0.3">
      <c r="B49" s="118" t="s">
        <v>102</v>
      </c>
      <c r="C49" s="129">
        <f>+C39</f>
        <v>2937977.8605747605</v>
      </c>
      <c r="D49" s="120">
        <f>C49/$C$50</f>
        <v>1.2605496384984082E-4</v>
      </c>
      <c r="E49" s="74">
        <f>E39</f>
        <v>0</v>
      </c>
      <c r="F49" s="92"/>
      <c r="G49" s="146"/>
      <c r="H49" s="80"/>
      <c r="I49" s="46"/>
      <c r="J49" s="46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2:32" s="3" customFormat="1" ht="14.4" x14ac:dyDescent="0.3">
      <c r="B50" s="75" t="s">
        <v>20</v>
      </c>
      <c r="C50" s="76">
        <f>SUM(C47:C49)</f>
        <v>23307117552.899685</v>
      </c>
      <c r="D50" s="77">
        <f>SUM(D47:D49)</f>
        <v>1</v>
      </c>
      <c r="E50" s="76">
        <f>SUM(E47:E49)</f>
        <v>422389.15387719858</v>
      </c>
      <c r="F50" s="46"/>
      <c r="G50" s="46"/>
      <c r="H50" s="46"/>
      <c r="I50" s="46"/>
      <c r="J50" s="46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2:32" s="3" customFormat="1" ht="14.4" x14ac:dyDescent="0.3">
      <c r="B51" s="46"/>
      <c r="C51" s="79"/>
      <c r="D51" s="46"/>
      <c r="E51" s="46"/>
      <c r="F51" s="46"/>
      <c r="G51" s="46"/>
      <c r="H51" s="46"/>
      <c r="I51" s="46"/>
      <c r="J51" s="46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2:32" s="3" customFormat="1" ht="14.4" x14ac:dyDescent="0.3">
      <c r="B52" s="82" t="s">
        <v>1053</v>
      </c>
      <c r="C52" s="80"/>
      <c r="D52" s="46"/>
      <c r="E52" s="46"/>
      <c r="F52" s="46"/>
      <c r="G52" s="46"/>
      <c r="H52" s="46"/>
      <c r="I52" s="46"/>
      <c r="J52" s="46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2:32" s="3" customFormat="1" ht="5.0999999999999996" customHeight="1" x14ac:dyDescent="0.3">
      <c r="B53" s="46"/>
      <c r="C53" s="46"/>
      <c r="D53" s="46"/>
      <c r="E53" s="46"/>
      <c r="F53" s="46"/>
      <c r="G53" s="46"/>
      <c r="H53" s="46"/>
      <c r="I53" s="46"/>
      <c r="J53" s="46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2:32" s="3" customFormat="1" ht="14.1" customHeight="1" x14ac:dyDescent="0.3">
      <c r="B54" s="44"/>
      <c r="C54" s="159" t="s">
        <v>2</v>
      </c>
      <c r="D54" s="159" t="s">
        <v>3</v>
      </c>
      <c r="E54" s="157" t="s">
        <v>4</v>
      </c>
      <c r="F54" s="46"/>
      <c r="G54" s="46"/>
      <c r="H54" s="46"/>
      <c r="I54" s="46"/>
      <c r="J54" s="46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2:32" s="3" customFormat="1" ht="14.4" x14ac:dyDescent="0.3">
      <c r="B55" s="44"/>
      <c r="C55" s="160"/>
      <c r="D55" s="160"/>
      <c r="E55" s="158"/>
      <c r="F55" s="46"/>
      <c r="G55" s="46"/>
      <c r="H55" s="50"/>
      <c r="I55" s="46"/>
      <c r="J55" s="46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2:32" s="3" customFormat="1" ht="14.4" x14ac:dyDescent="0.3">
      <c r="B56" s="118" t="s">
        <v>89</v>
      </c>
      <c r="C56" s="129">
        <f>+F20</f>
        <v>10956441362.86648</v>
      </c>
      <c r="D56" s="120">
        <f>C56/$C$59</f>
        <v>0.47008993445881364</v>
      </c>
      <c r="E56" s="74">
        <f>+H20</f>
        <v>136344.46334082168</v>
      </c>
      <c r="F56" s="79"/>
      <c r="G56" s="134"/>
      <c r="H56" s="50"/>
      <c r="I56" s="46"/>
      <c r="J56" s="4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2:32" s="3" customFormat="1" ht="14.4" x14ac:dyDescent="0.3">
      <c r="B57" s="118" t="s">
        <v>90</v>
      </c>
      <c r="C57" s="129">
        <f>+SUM(F28:F38)</f>
        <v>12347716427.622631</v>
      </c>
      <c r="D57" s="120">
        <f>C57/$C$59</f>
        <v>0.52978307590362783</v>
      </c>
      <c r="E57" s="74">
        <f>+SUM(H28:H38)</f>
        <v>470051.83068378025</v>
      </c>
      <c r="F57" s="79"/>
      <c r="G57" s="50"/>
      <c r="H57" s="46"/>
      <c r="I57" s="46"/>
      <c r="J57" s="46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2:32" s="3" customFormat="1" ht="14.4" x14ac:dyDescent="0.3">
      <c r="B58" s="118" t="s">
        <v>102</v>
      </c>
      <c r="C58" s="129">
        <f>+F39</f>
        <v>2959762.4105747598</v>
      </c>
      <c r="D58" s="120">
        <f>C58/$C$59</f>
        <v>1.2698963755844315E-4</v>
      </c>
      <c r="E58" s="74">
        <f>+H39</f>
        <v>0</v>
      </c>
      <c r="F58" s="134"/>
      <c r="G58" s="50"/>
      <c r="H58" s="46"/>
      <c r="I58" s="46"/>
      <c r="J58" s="46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2:32" s="3" customFormat="1" ht="14.4" x14ac:dyDescent="0.3">
      <c r="B59" s="75" t="s">
        <v>20</v>
      </c>
      <c r="C59" s="76">
        <f>SUM(C56:C58)</f>
        <v>23307117552.899689</v>
      </c>
      <c r="D59" s="77">
        <f>SUM(D56:D58)</f>
        <v>0.99999999999999989</v>
      </c>
      <c r="E59" s="76">
        <f>SUM(E56:E58)</f>
        <v>606396.29402460193</v>
      </c>
      <c r="F59" s="46"/>
      <c r="G59" s="46"/>
      <c r="H59" s="46"/>
      <c r="I59" s="46"/>
      <c r="J59" s="46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2:32" s="3" customFormat="1" ht="14.4" x14ac:dyDescent="0.3">
      <c r="B60" s="46"/>
      <c r="C60" s="79"/>
      <c r="D60" s="46"/>
      <c r="E60" s="46"/>
      <c r="F60" s="46"/>
      <c r="G60" s="46"/>
      <c r="H60" s="46"/>
      <c r="I60" s="46"/>
      <c r="J60" s="46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2:32" s="3" customFormat="1" ht="14.4" hidden="1" x14ac:dyDescent="0.3">
      <c r="B61" s="46"/>
      <c r="C61" s="46"/>
      <c r="D61" s="46"/>
      <c r="E61" s="46"/>
      <c r="F61" s="46"/>
      <c r="G61" s="46"/>
      <c r="H61" s="46"/>
      <c r="I61" s="46"/>
      <c r="J61" s="46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2:32" s="3" customFormat="1" ht="14.4" hidden="1" x14ac:dyDescent="0.3">
      <c r="B62" s="46"/>
      <c r="C62" s="46"/>
      <c r="D62" s="46"/>
      <c r="E62" s="46"/>
      <c r="F62" s="46"/>
      <c r="G62" s="46"/>
      <c r="H62" s="46"/>
      <c r="I62" s="46"/>
      <c r="J62" s="46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2:32" s="3" customFormat="1" ht="14.4" hidden="1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2:32" s="3" customFormat="1" ht="14.4" hidden="1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2:32" s="3" customFormat="1" ht="14.4" hidden="1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2:32" s="3" customFormat="1" ht="14.4" hidden="1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2:32" s="3" customFormat="1" ht="14.4" hidden="1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2:32" s="3" customFormat="1" ht="14.4" hidden="1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2:32" s="3" customFormat="1" ht="14.4" hidden="1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2:32" s="3" customFormat="1" ht="14.4" hidden="1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2:32" s="3" customFormat="1" ht="14.4" hidden="1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2:32" s="3" customFormat="1" ht="14.4" hidden="1" x14ac:dyDescent="0.3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2:32" s="3" customFormat="1" ht="14.4" hidden="1" x14ac:dyDescent="0.3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2:32" s="3" customFormat="1" ht="14.4" hidden="1" x14ac:dyDescent="0.3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2:32" s="3" customFormat="1" ht="14.4" hidden="1" x14ac:dyDescent="0.3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2:32" s="3" customFormat="1" ht="14.4" hidden="1" x14ac:dyDescent="0.3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2:32" s="3" customFormat="1" ht="14.4" hidden="1" x14ac:dyDescent="0.3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2:32" s="3" customFormat="1" ht="14.4" hidden="1" x14ac:dyDescent="0.3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2:32" s="3" customFormat="1" ht="14.4" hidden="1" x14ac:dyDescent="0.3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2:32" s="3" customFormat="1" ht="14.4" hidden="1" x14ac:dyDescent="0.3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2:32" s="3" customFormat="1" ht="14.4" hidden="1" x14ac:dyDescent="0.3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2:32" s="3" customFormat="1" ht="14.4" hidden="1" x14ac:dyDescent="0.3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2:32" s="3" customFormat="1" ht="14.4" hidden="1" x14ac:dyDescent="0.3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2:32" s="3" customFormat="1" ht="14.4" hidden="1" x14ac:dyDescent="0.3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2:32" s="3" customFormat="1" ht="14.4" hidden="1" x14ac:dyDescent="0.3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2:32" s="3" customFormat="1" ht="14.4" hidden="1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2:32" s="3" customFormat="1" ht="14.4" hidden="1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2:32" s="3" customFormat="1" ht="14.4" hidden="1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2:32" s="3" customFormat="1" ht="14.4" hidden="1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2:32" s="3" customFormat="1" ht="14.4" hidden="1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2:32" s="3" customFormat="1" ht="14.4" hidden="1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2:32" s="3" customFormat="1" ht="14.4" hidden="1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2:32" s="3" customFormat="1" ht="14.4" hidden="1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2:32" s="3" customFormat="1" ht="14.4" hidden="1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2:32" s="3" customFormat="1" ht="14.4" hidden="1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2:32" s="3" customFormat="1" ht="14.4" hidden="1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2:32" s="3" customFormat="1" ht="14.4" hidden="1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2:32" s="3" customFormat="1" ht="14.4" hidden="1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2:32" s="3" customFormat="1" ht="14.4" hidden="1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2:32" s="3" customFormat="1" ht="14.4" hidden="1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2:32" s="3" customFormat="1" ht="14.4" hidden="1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2:32" s="3" customFormat="1" ht="14.4" hidden="1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2:32" s="3" customFormat="1" ht="14.4" hidden="1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2:32" s="3" customFormat="1" ht="14.4" hidden="1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2:32" s="3" customFormat="1" ht="14.4" hidden="1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2:32" s="3" customFormat="1" ht="14.4" hidden="1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2:32" s="3" customFormat="1" ht="14.4" hidden="1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2:32" s="3" customFormat="1" ht="14.4" hidden="1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2:32" s="3" customFormat="1" ht="14.4" hidden="1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2:32" s="3" customFormat="1" ht="14.4" hidden="1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2:32" s="3" customFormat="1" ht="14.4" hidden="1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2:32" s="3" customFormat="1" ht="14.4" hidden="1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2:32" s="3" customFormat="1" ht="14.4" hidden="1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2:32" s="3" customFormat="1" ht="14.4" hidden="1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2:32" s="3" customFormat="1" ht="14.4" hidden="1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2:32" s="3" customFormat="1" ht="14.4" hidden="1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2:32" s="3" customFormat="1" ht="14.4" hidden="1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2:32" s="3" customFormat="1" ht="14.4" hidden="1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2:32" s="3" customFormat="1" ht="14.4" hidden="1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2:32" s="3" customFormat="1" ht="14.4" hidden="1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2:32" s="3" customFormat="1" ht="14.4" hidden="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2:32" s="3" customFormat="1" ht="14.4" hidden="1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2:32" s="3" customFormat="1" ht="14.4" hidden="1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2:32" s="3" customFormat="1" ht="14.4" hidden="1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2:32" s="3" customFormat="1" ht="14.4" hidden="1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2:32" s="3" customFormat="1" ht="14.4" hidden="1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2:32" s="3" customFormat="1" ht="14.4" hidden="1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2:32" s="3" customFormat="1" ht="14.4" hidden="1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2:32" s="3" customFormat="1" ht="14.4" hidden="1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2:32" s="3" customFormat="1" ht="14.4" hidden="1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2:32" s="3" customFormat="1" ht="14.4" hidden="1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2:32" s="3" customFormat="1" ht="14.4" hidden="1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2:32" s="3" customFormat="1" ht="14.4" hidden="1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2:32" s="3" customFormat="1" ht="14.4" hidden="1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2:32" s="3" customFormat="1" ht="14.4" hidden="1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2:32" s="3" customFormat="1" ht="14.4" hidden="1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2:32" s="3" customFormat="1" ht="14.4" hidden="1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2:32" s="3" customFormat="1" ht="14.4" hidden="1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2:32" s="3" customFormat="1" ht="14.4" hidden="1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2:32" s="3" customFormat="1" ht="14.4" hidden="1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2:32" s="3" customFormat="1" ht="14.4" hidden="1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2:32" s="3" customFormat="1" ht="14.4" hidden="1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2:32" s="3" customFormat="1" ht="14.4" hidden="1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2:32" s="3" customFormat="1" ht="14.4" hidden="1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2:32" s="3" customFormat="1" ht="14.4" hidden="1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2:32" s="3" customFormat="1" ht="14.4" hidden="1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2:32" s="3" customFormat="1" ht="14.4" hidden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2:32" s="3" customFormat="1" ht="14.4" hidden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2:32" s="3" customFormat="1" ht="14.4" hidden="1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2:32" s="3" customFormat="1" ht="14.4" hidden="1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2:32" s="3" customFormat="1" ht="14.4" hidden="1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2:32" s="3" customFormat="1" ht="14.4" hidden="1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2:32" s="3" customFormat="1" ht="14.4" hidden="1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2:32" s="3" customFormat="1" ht="14.4" hidden="1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2:32" s="3" customFormat="1" ht="14.4" hidden="1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2:32" s="3" customFormat="1" ht="14.4" hidden="1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2:32" s="3" customFormat="1" ht="14.4" hidden="1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2:32" s="3" customFormat="1" ht="14.4" hidden="1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2:32" s="3" customFormat="1" ht="14.4" hidden="1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2:32" s="3" customFormat="1" ht="14.4" hidden="1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2:32" s="3" customFormat="1" ht="14.4" hidden="1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2:32" s="3" customFormat="1" ht="14.4" hidden="1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2:32" s="3" customFormat="1" ht="14.4" hidden="1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2:32" s="3" customFormat="1" ht="14.4" hidden="1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2:32" s="3" customFormat="1" ht="14.4" hidden="1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2:32" s="3" customFormat="1" ht="14.4" hidden="1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2:32" s="3" customFormat="1" ht="14.4" hidden="1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2:32" s="3" customFormat="1" ht="14.4" hidden="1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2:32" s="3" customFormat="1" ht="14.4" hidden="1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2:32" s="3" customFormat="1" ht="14.4" hidden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2:32" s="3" customFormat="1" ht="14.4" hidden="1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2:32" s="3" customFormat="1" ht="14.4" hidden="1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2:32" s="3" customFormat="1" ht="14.4" hidden="1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2:32" s="3" customFormat="1" ht="14.4" hidden="1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2:32" s="3" customFormat="1" ht="14.4" hidden="1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2:32" s="3" customFormat="1" ht="14.4" hidden="1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2:32" s="3" customFormat="1" ht="14.4" hidden="1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2:32" s="3" customFormat="1" ht="14.4" hidden="1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2:32" s="3" customFormat="1" ht="14.4" hidden="1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2:32" s="3" customFormat="1" ht="14.4" hidden="1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2:32" s="3" customFormat="1" ht="14.4" hidden="1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2:32" s="3" customFormat="1" ht="14.4" hidden="1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2:32" s="3" customFormat="1" ht="14.4" hidden="1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2:32" s="3" customFormat="1" ht="14.4" hidden="1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2:32" s="3" customFormat="1" ht="14.4" hidden="1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2:32" s="3" customFormat="1" ht="14.4" hidden="1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2:32" s="3" customFormat="1" ht="14.4" hidden="1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2:32" s="3" customFormat="1" ht="14.4" hidden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2:32" s="3" customFormat="1" ht="14.4" hidden="1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2:32" s="3" customFormat="1" ht="14.4" hidden="1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2:32" s="3" customFormat="1" ht="14.4" hidden="1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2:32" s="3" customFormat="1" ht="14.4" hidden="1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2:32" s="3" customFormat="1" ht="14.4" hidden="1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2:32" s="3" customFormat="1" ht="14.4" hidden="1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2:32" s="3" customFormat="1" ht="14.4" hidden="1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2:32" s="3" customFormat="1" ht="14.4" hidden="1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2:32" s="3" customFormat="1" ht="14.4" hidden="1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2:32" s="3" customFormat="1" ht="14.4" hidden="1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2:32" s="3" customFormat="1" ht="14.4" hidden="1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2:32" s="3" customFormat="1" ht="14.4" hidden="1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2:32" s="3" customFormat="1" ht="14.4" hidden="1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2:32" s="3" customFormat="1" ht="14.4" hidden="1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2:32" s="3" customFormat="1" ht="14.4" hidden="1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2:32" s="3" customFormat="1" ht="14.4" hidden="1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2:32" s="3" customFormat="1" ht="14.4" hidden="1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2:32" s="3" customFormat="1" ht="14.4" hidden="1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2:32" s="3" customFormat="1" ht="14.4" hidden="1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2:32" s="3" customFormat="1" ht="14.4" hidden="1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2:32" s="3" customFormat="1" ht="14.4" hidden="1" x14ac:dyDescent="0.3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2:32" s="3" customFormat="1" ht="14.4" hidden="1" x14ac:dyDescent="0.3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2:32" s="3" customFormat="1" ht="14.4" hidden="1" x14ac:dyDescent="0.3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2:32" s="3" customFormat="1" ht="14.4" hidden="1" x14ac:dyDescent="0.3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2:32" s="3" customFormat="1" ht="14.4" hidden="1" x14ac:dyDescent="0.3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2:32" s="3" customFormat="1" ht="14.4" hidden="1" x14ac:dyDescent="0.3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2:32" s="3" customFormat="1" ht="14.4" hidden="1" x14ac:dyDescent="0.3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2:32" s="3" customFormat="1" ht="14.4" hidden="1" x14ac:dyDescent="0.3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2:32" s="3" customFormat="1" ht="14.4" hidden="1" x14ac:dyDescent="0.3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2:32" s="3" customFormat="1" ht="14.4" hidden="1" x14ac:dyDescent="0.3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2:32" s="3" customFormat="1" ht="14.4" hidden="1" x14ac:dyDescent="0.3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2:32" s="3" customFormat="1" ht="14.4" hidden="1" x14ac:dyDescent="0.3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2:32" s="3" customFormat="1" ht="14.4" hidden="1" x14ac:dyDescent="0.3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2:32" s="3" customFormat="1" ht="14.4" hidden="1" x14ac:dyDescent="0.3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2:32" s="3" customFormat="1" ht="14.4" hidden="1" x14ac:dyDescent="0.3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2:32" s="3" customFormat="1" ht="14.4" hidden="1" x14ac:dyDescent="0.3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2:32" s="3" customFormat="1" ht="14.4" hidden="1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2:32" s="3" customFormat="1" ht="14.4" hidden="1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2:32" s="3" customFormat="1" ht="14.4" hidden="1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2:32" s="3" customFormat="1" ht="14.4" hidden="1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2:32" s="3" customFormat="1" ht="14.4" hidden="1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2:32" s="3" customFormat="1" ht="14.4" hidden="1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2:32" s="3" customFormat="1" ht="14.4" hidden="1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2:32" s="3" customFormat="1" ht="14.4" hidden="1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2:32" s="3" customFormat="1" ht="14.4" hidden="1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2:32" s="3" customFormat="1" ht="14.4" hidden="1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2:32" s="3" customFormat="1" ht="14.4" hidden="1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2:32" s="3" customFormat="1" ht="14.4" hidden="1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2:32" s="3" customFormat="1" ht="14.4" hidden="1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2:32" s="3" customFormat="1" ht="14.4" hidden="1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2:32" s="3" customFormat="1" ht="14.4" hidden="1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2:32" s="3" customFormat="1" ht="14.4" hidden="1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2:32" s="3" customFormat="1" ht="14.4" hidden="1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2:32" s="3" customFormat="1" ht="14.4" hidden="1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2:32" s="3" customFormat="1" ht="14.4" hidden="1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2:32" s="3" customFormat="1" ht="14.4" hidden="1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2:32" s="3" customFormat="1" ht="14.4" hidden="1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2:32" s="3" customFormat="1" ht="14.4" hidden="1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2:32" s="3" customFormat="1" ht="14.4" hidden="1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2:32" s="3" customFormat="1" ht="14.4" hidden="1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2:32" s="3" customFormat="1" ht="14.4" hidden="1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2:32" s="3" customFormat="1" ht="14.4" hidden="1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2:32" s="3" customFormat="1" ht="14.4" hidden="1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2:32" s="3" customFormat="1" ht="14.4" hidden="1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2:32" s="3" customFormat="1" ht="14.4" hidden="1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2:32" s="3" customFormat="1" ht="14.4" hidden="1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2:32" s="3" customFormat="1" ht="14.4" hidden="1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2:32" s="3" customFormat="1" ht="14.4" hidden="1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2:32" s="3" customFormat="1" ht="14.4" hidden="1" x14ac:dyDescent="0.3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2:32" s="3" customFormat="1" ht="14.4" hidden="1" x14ac:dyDescent="0.3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2:32" s="3" customFormat="1" ht="14.4" hidden="1" x14ac:dyDescent="0.3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2:32" s="3" customFormat="1" ht="14.4" hidden="1" x14ac:dyDescent="0.3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2:32" s="3" customFormat="1" ht="14.4" hidden="1" x14ac:dyDescent="0.3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 spans="2:32" s="3" customFormat="1" ht="14.4" hidden="1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2:32" s="3" customFormat="1" ht="14.4" hidden="1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2:32" s="3" customFormat="1" ht="14.4" hidden="1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2:32" s="3" customFormat="1" ht="14.4" hidden="1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2:32" s="3" customFormat="1" ht="14.4" hidden="1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2:32" s="3" customFormat="1" ht="14.4" hidden="1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2:32" s="3" customFormat="1" ht="14.4" hidden="1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 spans="2:32" s="3" customFormat="1" ht="14.4" hidden="1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2:32" s="3" customFormat="1" ht="14.4" hidden="1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2:32" s="3" customFormat="1" ht="14.4" hidden="1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2:32" s="3" customFormat="1" ht="14.4" hidden="1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2:32" s="3" customFormat="1" ht="14.4" hidden="1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2:32" s="3" customFormat="1" ht="14.4" hidden="1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2:32" s="3" customFormat="1" ht="14.4" hidden="1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2:32" s="3" customFormat="1" ht="14.4" hidden="1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2:32" s="3" customFormat="1" ht="14.4" hidden="1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2:32" s="3" customFormat="1" ht="14.4" hidden="1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2:32" s="3" customFormat="1" ht="14.4" hidden="1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2:32" s="3" customFormat="1" ht="14.4" hidden="1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2:32" s="3" customFormat="1" ht="14.4" hidden="1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2:32" s="3" customFormat="1" ht="14.4" hidden="1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2:32" s="3" customFormat="1" ht="14.4" hidden="1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2:32" s="3" customFormat="1" ht="14.4" hidden="1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2:32" s="3" customFormat="1" ht="14.4" hidden="1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2:32" s="3" customFormat="1" ht="14.4" hidden="1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2:32" s="3" customFormat="1" ht="14.4" hidden="1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2:32" s="3" customFormat="1" ht="14.4" hidden="1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2:32" s="3" customFormat="1" ht="14.4" hidden="1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2:32" s="3" customFormat="1" ht="14.4" hidden="1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2:32" s="3" customFormat="1" ht="14.4" hidden="1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2:32" s="3" customFormat="1" ht="14.4" hidden="1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2:32" s="3" customFormat="1" ht="14.4" hidden="1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2:32" s="3" customFormat="1" ht="14.4" hidden="1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2:32" s="3" customFormat="1" ht="14.4" hidden="1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2:32" s="3" customFormat="1" ht="14.4" hidden="1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2:32" s="3" customFormat="1" ht="14.4" hidden="1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2:32" s="3" customFormat="1" ht="14.4" hidden="1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2:32" s="3" customFormat="1" ht="14.4" hidden="1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2:32" s="3" customFormat="1" ht="14.4" hidden="1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2:32" s="3" customFormat="1" ht="14.4" hidden="1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2:32" s="3" customFormat="1" ht="14.4" hidden="1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2:32" s="3" customFormat="1" ht="14.4" hidden="1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2:32" s="3" customFormat="1" ht="14.4" hidden="1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2:32" s="3" customFormat="1" ht="14.4" hidden="1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2:32" s="3" customFormat="1" ht="14.4" hidden="1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2:32" s="3" customFormat="1" ht="14.4" hidden="1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2:32" s="3" customFormat="1" ht="14.4" hidden="1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2:32" s="3" customFormat="1" ht="14.4" hidden="1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2:32" s="3" customFormat="1" ht="14.4" hidden="1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2:32" s="3" customFormat="1" ht="14.4" hidden="1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2:32" s="3" customFormat="1" ht="14.4" hidden="1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2:32" s="3" customFormat="1" ht="14.4" hidden="1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2:32" s="3" customFormat="1" ht="14.4" hidden="1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2:32" s="3" customFormat="1" ht="14.4" hidden="1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2:32" s="3" customFormat="1" ht="14.4" hidden="1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2:32" s="3" customFormat="1" ht="14.4" hidden="1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2:32" s="3" customFormat="1" ht="14.4" hidden="1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2:32" s="3" customFormat="1" ht="14.4" hidden="1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2:32" s="3" customFormat="1" ht="14.4" hidden="1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2:32" s="3" customFormat="1" ht="14.4" hidden="1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2:32" s="3" customFormat="1" ht="14.4" hidden="1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2:32" s="3" customFormat="1" ht="14.4" hidden="1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2:32" s="3" customFormat="1" ht="14.4" hidden="1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2:32" s="3" customFormat="1" ht="14.4" hidden="1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2:32" s="3" customFormat="1" ht="14.4" hidden="1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2:32" s="3" customFormat="1" ht="14.4" hidden="1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2:32" s="3" customFormat="1" ht="14.4" hidden="1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2:32" s="3" customFormat="1" ht="14.4" hidden="1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2:32" s="3" customFormat="1" ht="14.4" hidden="1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2:32" s="3" customFormat="1" ht="14.4" hidden="1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2:32" s="3" customFormat="1" ht="14.4" hidden="1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2:32" s="3" customFormat="1" ht="14.4" hidden="1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2:32" s="3" customFormat="1" ht="14.4" hidden="1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2:32" s="3" customFormat="1" ht="14.4" hidden="1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2:32" s="3" customFormat="1" ht="14.4" hidden="1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2:32" s="3" customFormat="1" ht="14.4" hidden="1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2:32" s="3" customFormat="1" ht="14.4" hidden="1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2:32" s="3" customFormat="1" ht="14.4" hidden="1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2:32" s="3" customFormat="1" ht="14.4" hidden="1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2:32" s="3" customFormat="1" ht="14.4" hidden="1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2:32" s="3" customFormat="1" ht="14.4" hidden="1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2:32" s="3" customFormat="1" ht="14.4" hidden="1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2:32" s="3" customFormat="1" ht="14.4" hidden="1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2:32" s="3" customFormat="1" ht="14.4" hidden="1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2:32" s="3" customFormat="1" ht="14.4" hidden="1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2:32" s="3" customFormat="1" ht="14.4" hidden="1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2:32" s="3" customFormat="1" ht="14.4" hidden="1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2:32" s="3" customFormat="1" ht="14.4" hidden="1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2:32" s="3" customFormat="1" ht="14.4" hidden="1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2:32" s="3" customFormat="1" ht="14.4" hidden="1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2:32" s="3" customFormat="1" ht="14.4" hidden="1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2:32" s="3" customFormat="1" ht="14.4" hidden="1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2:32" s="3" customFormat="1" ht="14.4" hidden="1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2:32" s="3" customFormat="1" ht="14.4" hidden="1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2:32" s="3" customFormat="1" ht="14.4" hidden="1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2:32" s="3" customFormat="1" ht="14.4" hidden="1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2:32" s="3" customFormat="1" ht="14.4" hidden="1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2:32" s="3" customFormat="1" ht="14.4" hidden="1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2:32" s="3" customFormat="1" ht="14.4" hidden="1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2:32" s="3" customFormat="1" ht="14.4" hidden="1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2:32" s="3" customFormat="1" ht="14.4" hidden="1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2:32" s="3" customFormat="1" ht="14.4" hidden="1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2:32" s="3" customFormat="1" ht="14.4" hidden="1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2:32" s="3" customFormat="1" ht="14.4" hidden="1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2:32" s="3" customFormat="1" ht="14.4" hidden="1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2:32" s="3" customFormat="1" ht="14.4" hidden="1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2:32" s="3" customFormat="1" ht="14.4" hidden="1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2:32" s="3" customFormat="1" ht="14.4" hidden="1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2:32" s="3" customFormat="1" ht="14.4" hidden="1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2:32" s="3" customFormat="1" ht="14.4" hidden="1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2:32" s="3" customFormat="1" ht="14.4" hidden="1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2:32" s="3" customFormat="1" ht="14.4" hidden="1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2:32" s="3" customFormat="1" ht="14.4" hidden="1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2:32" s="3" customFormat="1" ht="14.4" hidden="1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2:32" s="3" customFormat="1" ht="14.4" hidden="1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2:32" s="3" customFormat="1" ht="14.4" hidden="1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2:32" s="3" customFormat="1" ht="14.4" hidden="1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2:32" s="3" customFormat="1" ht="14.4" hidden="1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2:32" s="3" customFormat="1" ht="14.4" hidden="1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2:32" s="3" customFormat="1" ht="14.4" hidden="1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2:32" s="3" customFormat="1" ht="14.4" hidden="1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2:32" s="3" customFormat="1" ht="14.4" hidden="1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2:32" s="3" customFormat="1" ht="14.4" hidden="1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2:32" s="3" customFormat="1" ht="14.4" hidden="1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2:32" s="3" customFormat="1" ht="14.4" hidden="1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2:32" s="3" customFormat="1" ht="14.4" hidden="1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2:32" s="3" customFormat="1" ht="14.4" hidden="1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2:32" s="3" customFormat="1" ht="14.4" hidden="1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2:32" s="3" customFormat="1" ht="14.4" hidden="1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2:32" s="3" customFormat="1" ht="14.4" hidden="1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2:32" s="3" customFormat="1" ht="14.4" hidden="1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2:32" s="3" customFormat="1" ht="14.4" hidden="1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2:32" s="3" customFormat="1" ht="14.4" hidden="1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2:32" s="3" customFormat="1" ht="14.4" hidden="1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2:32" s="3" customFormat="1" ht="14.4" hidden="1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2:32" s="3" customFormat="1" ht="14.4" hidden="1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2:32" s="3" customFormat="1" ht="14.4" hidden="1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2:32" s="3" customFormat="1" ht="14.4" hidden="1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2:32" s="3" customFormat="1" ht="14.4" hidden="1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2:32" s="3" customFormat="1" ht="14.4" hidden="1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2:32" s="3" customFormat="1" ht="14.4" hidden="1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2:32" s="3" customFormat="1" ht="14.4" hidden="1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2:32" s="3" customFormat="1" ht="14.4" hidden="1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2:32" s="3" customFormat="1" ht="14.4" hidden="1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2:32" s="3" customFormat="1" ht="14.4" hidden="1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2:32" s="3" customFormat="1" ht="14.4" hidden="1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2:32" s="3" customFormat="1" ht="14.4" hidden="1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2:32" s="3" customFormat="1" ht="14.4" hidden="1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2:32" s="3" customFormat="1" ht="14.4" hidden="1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2:32" s="3" customFormat="1" ht="14.4" hidden="1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2:32" s="3" customFormat="1" ht="14.4" hidden="1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2:32" s="3" customFormat="1" ht="14.4" hidden="1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2:32" s="3" customFormat="1" ht="14.4" hidden="1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2:32" s="3" customFormat="1" ht="14.4" hidden="1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2:32" s="3" customFormat="1" ht="14.4" hidden="1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2:32" s="3" customFormat="1" ht="14.4" hidden="1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2:32" s="3" customFormat="1" ht="14.4" hidden="1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2:32" s="3" customFormat="1" ht="14.4" hidden="1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2:32" s="3" customFormat="1" ht="14.4" hidden="1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2:32" s="3" customFormat="1" ht="14.4" hidden="1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2:32" s="3" customFormat="1" ht="14.4" hidden="1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2:32" s="3" customFormat="1" ht="14.4" hidden="1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2:32" s="3" customFormat="1" ht="14.4" hidden="1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2:32" s="3" customFormat="1" ht="14.4" hidden="1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2:32" s="3" customFormat="1" ht="14.4" hidden="1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2:32" s="3" customFormat="1" ht="14.4" hidden="1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2:32" s="3" customFormat="1" ht="14.4" hidden="1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2:32" s="3" customFormat="1" ht="14.4" hidden="1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2:32" s="3" customFormat="1" ht="14.4" hidden="1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2:32" s="3" customFormat="1" ht="14.4" hidden="1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2:32" s="3" customFormat="1" ht="14.4" hidden="1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2:32" s="3" customFormat="1" ht="14.4" hidden="1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2:32" s="3" customFormat="1" ht="14.4" hidden="1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2:32" s="3" customFormat="1" ht="14.4" hidden="1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2:32" s="3" customFormat="1" ht="14.4" hidden="1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2:32" s="3" customFormat="1" ht="14.4" hidden="1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2:32" s="3" customFormat="1" ht="14.4" hidden="1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2:32" s="3" customFormat="1" ht="14.4" hidden="1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2:32" s="3" customFormat="1" ht="14.4" hidden="1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2:32" s="3" customFormat="1" ht="14.4" hidden="1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2:32" s="3" customFormat="1" ht="14.4" hidden="1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2:32" s="3" customFormat="1" ht="14.4" hidden="1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2:32" s="3" customFormat="1" ht="14.4" hidden="1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2:32" s="3" customFormat="1" ht="14.4" hidden="1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2:32" s="3" customFormat="1" ht="14.4" hidden="1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2:32" s="3" customFormat="1" ht="14.4" hidden="1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2:32" s="3" customFormat="1" ht="14.4" hidden="1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2:32" s="3" customFormat="1" ht="14.4" hidden="1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2:32" s="3" customFormat="1" ht="14.4" hidden="1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2:32" s="3" customFormat="1" ht="14.4" hidden="1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2:32" s="3" customFormat="1" ht="14.4" hidden="1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2:32" s="3" customFormat="1" ht="14.4" hidden="1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2:32" s="3" customFormat="1" ht="14.4" hidden="1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2:32" s="3" customFormat="1" ht="14.4" hidden="1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2:32" s="3" customFormat="1" ht="14.4" hidden="1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2:32" s="3" customFormat="1" ht="14.4" hidden="1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2:32" s="3" customFormat="1" ht="14.4" hidden="1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2:32" s="3" customFormat="1" ht="14.4" hidden="1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2:32" s="3" customFormat="1" ht="14.4" hidden="1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2:32" s="3" customFormat="1" ht="14.4" hidden="1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2:32" s="3" customFormat="1" ht="14.4" hidden="1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2:32" s="3" customFormat="1" ht="14.4" hidden="1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2:32" s="3" customFormat="1" ht="14.4" hidden="1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2:32" s="3" customFormat="1" ht="14.4" hidden="1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2:32" s="3" customFormat="1" ht="14.4" hidden="1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2:32" s="3" customFormat="1" ht="14.4" hidden="1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2:32" s="3" customFormat="1" ht="14.4" hidden="1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2:32" s="3" customFormat="1" ht="14.4" hidden="1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2:32" s="3" customFormat="1" ht="14.4" hidden="1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2:32" s="3" customFormat="1" ht="14.4" hidden="1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2:32" s="3" customFormat="1" ht="14.4" hidden="1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2:32" s="3" customFormat="1" ht="14.4" hidden="1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2:32" s="3" customFormat="1" ht="14.4" hidden="1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2:32" s="3" customFormat="1" ht="14.4" hidden="1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2:32" s="3" customFormat="1" ht="14.4" hidden="1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2:32" s="3" customFormat="1" ht="14.4" hidden="1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2:32" s="3" customFormat="1" ht="14.4" hidden="1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2:32" s="3" customFormat="1" ht="14.4" hidden="1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2:32" s="3" customFormat="1" ht="14.4" hidden="1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2:32" s="3" customFormat="1" ht="14.4" hidden="1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2:32" s="3" customFormat="1" ht="14.4" hidden="1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2:32" s="3" customFormat="1" ht="14.4" hidden="1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2:32" s="3" customFormat="1" ht="14.4" hidden="1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2:32" s="3" customFormat="1" ht="14.4" hidden="1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2:32" s="3" customFormat="1" ht="14.4" hidden="1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2:32" s="3" customFormat="1" ht="14.4" hidden="1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2:32" s="3" customFormat="1" ht="14.4" hidden="1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2:32" s="3" customFormat="1" ht="14.4" hidden="1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2:32" s="3" customFormat="1" ht="14.4" hidden="1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2:32" s="3" customFormat="1" ht="14.4" hidden="1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2:32" s="3" customFormat="1" ht="14.4" hidden="1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2:32" s="3" customFormat="1" ht="14.4" hidden="1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2:32" s="3" customFormat="1" ht="14.4" hidden="1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2:32" s="3" customFormat="1" ht="14.4" hidden="1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2:32" s="3" customFormat="1" ht="14.4" hidden="1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2:32" s="3" customFormat="1" ht="14.4" hidden="1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2:32" s="3" customFormat="1" ht="14.4" hidden="1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2:32" s="3" customFormat="1" ht="14.4" hidden="1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2:32" s="3" customFormat="1" ht="14.4" hidden="1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2:32" s="3" customFormat="1" ht="14.4" hidden="1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2:32" s="3" customFormat="1" ht="14.4" hidden="1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2:32" s="3" customFormat="1" ht="14.4" hidden="1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2:32" s="3" customFormat="1" ht="14.4" hidden="1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2:32" s="3" customFormat="1" ht="14.4" hidden="1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2:32" s="3" customFormat="1" ht="14.4" hidden="1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2:32" s="3" customFormat="1" ht="14.4" hidden="1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2:32" s="3" customFormat="1" ht="14.4" hidden="1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2:32" s="3" customFormat="1" ht="14.4" hidden="1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2:32" s="3" customFormat="1" ht="14.4" hidden="1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2:32" s="3" customFormat="1" ht="14.4" hidden="1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2:32" s="3" customFormat="1" ht="14.4" hidden="1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2:32" s="3" customFormat="1" ht="14.4" hidden="1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2:32" s="3" customFormat="1" ht="14.4" hidden="1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2:32" s="3" customFormat="1" ht="14.4" hidden="1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2:32" s="3" customFormat="1" ht="14.4" hidden="1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2:32" s="3" customFormat="1" ht="14.4" hidden="1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2:32" s="3" customFormat="1" ht="14.4" hidden="1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2:32" s="3" customFormat="1" ht="14.4" hidden="1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2:32" s="3" customFormat="1" ht="14.4" hidden="1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2:32" s="3" customFormat="1" ht="14.4" hidden="1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2:32" s="3" customFormat="1" ht="14.4" hidden="1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2:32" s="3" customFormat="1" ht="14.4" hidden="1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2:32" s="3" customFormat="1" ht="14.4" hidden="1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2:32" s="3" customFormat="1" ht="14.4" hidden="1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2:32" s="3" customFormat="1" ht="14.4" hidden="1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2:32" s="3" customFormat="1" ht="14.4" hidden="1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2:32" s="3" customFormat="1" ht="14.4" hidden="1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2:32" s="3" customFormat="1" ht="14.4" hidden="1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2:32" s="3" customFormat="1" ht="14.4" hidden="1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2:32" s="3" customFormat="1" ht="14.4" hidden="1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2:32" s="3" customFormat="1" ht="14.4" hidden="1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2:32" s="3" customFormat="1" ht="14.4" hidden="1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2:32" s="3" customFormat="1" ht="14.4" hidden="1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2:32" s="3" customFormat="1" ht="14.4" hidden="1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2:32" s="3" customFormat="1" ht="14.4" hidden="1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2:32" s="3" customFormat="1" ht="14.4" hidden="1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2:32" s="3" customFormat="1" ht="14.4" hidden="1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2:32" s="3" customFormat="1" ht="14.4" hidden="1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2:32" s="3" customFormat="1" ht="14.4" hidden="1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2:32" s="3" customFormat="1" ht="14.4" hidden="1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2:32" s="3" customFormat="1" ht="14.4" hidden="1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2:32" s="3" customFormat="1" ht="14.4" hidden="1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2:32" s="3" customFormat="1" ht="14.4" hidden="1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2:32" s="3" customFormat="1" ht="14.4" hidden="1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2:32" s="3" customFormat="1" ht="14.4" hidden="1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2:32" s="3" customFormat="1" ht="14.4" hidden="1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2:32" s="3" customFormat="1" ht="14.4" hidden="1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2:32" s="3" customFormat="1" ht="14.4" hidden="1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2:32" s="3" customFormat="1" ht="14.4" hidden="1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2:32" s="3" customFormat="1" ht="14.4" hidden="1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2:32" s="3" customFormat="1" ht="14.4" hidden="1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2:32" s="3" customFormat="1" ht="14.4" hidden="1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2:32" s="3" customFormat="1" ht="14.4" hidden="1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2:32" s="3" customFormat="1" ht="14.4" hidden="1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2:32" s="3" customFormat="1" ht="14.4" hidden="1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2:32" s="3" customFormat="1" ht="14.4" hidden="1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2:32" s="3" customFormat="1" ht="14.4" hidden="1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2:32" s="3" customFormat="1" ht="14.4" hidden="1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2:32" s="3" customFormat="1" ht="14.4" hidden="1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2:32" s="3" customFormat="1" ht="14.4" hidden="1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2:32" s="3" customFormat="1" ht="14.4" hidden="1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2:32" s="3" customFormat="1" ht="14.4" hidden="1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2:32" s="3" customFormat="1" ht="14.4" hidden="1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2:32" s="3" customFormat="1" ht="14.4" hidden="1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2:32" s="3" customFormat="1" ht="14.4" hidden="1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2:32" s="3" customFormat="1" ht="14.4" hidden="1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2:32" s="3" customFormat="1" ht="14.4" hidden="1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2:32" s="3" customFormat="1" ht="14.4" hidden="1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2:32" s="3" customFormat="1" ht="14.4" hidden="1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2:32" s="3" customFormat="1" ht="14.4" hidden="1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2:32" s="3" customFormat="1" ht="14.4" hidden="1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2:32" s="3" customFormat="1" ht="14.4" hidden="1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2:32" s="3" customFormat="1" ht="14.4" hidden="1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2:32" s="3" customFormat="1" ht="14.4" hidden="1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2:32" s="3" customFormat="1" ht="14.4" hidden="1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2:32" s="3" customFormat="1" ht="14.4" hidden="1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2:32" s="3" customFormat="1" ht="14.4" hidden="1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2:32" s="3" customFormat="1" ht="14.4" hidden="1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2:32" s="3" customFormat="1" ht="14.4" hidden="1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2:32" s="3" customFormat="1" ht="14.4" hidden="1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2:32" s="3" customFormat="1" ht="14.4" hidden="1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2:32" s="3" customFormat="1" ht="14.4" hidden="1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2:32" s="3" customFormat="1" ht="14.4" hidden="1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2:32" s="3" customFormat="1" ht="14.4" hidden="1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2:32" s="3" customFormat="1" ht="14.4" hidden="1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2:32" s="3" customFormat="1" ht="14.4" hidden="1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2:32" s="3" customFormat="1" ht="14.4" hidden="1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2:32" s="3" customFormat="1" ht="14.4" hidden="1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2:32" s="3" customFormat="1" ht="14.4" hidden="1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2:32" s="3" customFormat="1" ht="14.4" hidden="1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2:32" s="3" customFormat="1" ht="14.4" hidden="1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2:32" s="3" customFormat="1" ht="14.4" hidden="1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2:32" s="3" customFormat="1" ht="14.4" hidden="1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2:32" s="3" customFormat="1" ht="14.4" hidden="1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2:32" s="3" customFormat="1" ht="14.4" hidden="1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2:32" s="3" customFormat="1" ht="14.4" hidden="1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2:32" s="3" customFormat="1" ht="14.4" hidden="1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2:32" s="3" customFormat="1" ht="14.4" hidden="1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2:32" s="3" customFormat="1" ht="14.4" hidden="1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2:32" s="3" customFormat="1" ht="14.4" hidden="1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2:32" s="3" customFormat="1" ht="14.4" hidden="1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2:32" s="3" customFormat="1" ht="14.4" hidden="1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2:32" s="3" customFormat="1" ht="14.4" hidden="1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2:32" s="3" customFormat="1" ht="14.4" hidden="1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2:32" s="3" customFormat="1" ht="14.4" hidden="1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2:32" s="3" customFormat="1" ht="14.4" hidden="1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2:32" s="3" customFormat="1" ht="14.4" hidden="1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2:32" s="3" customFormat="1" ht="14.4" hidden="1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2:32" s="3" customFormat="1" ht="14.4" hidden="1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2:32" s="3" customFormat="1" ht="14.4" hidden="1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2:32" s="3" customFormat="1" ht="14.4" hidden="1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2:32" s="3" customFormat="1" ht="14.4" hidden="1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2:32" s="3" customFormat="1" ht="14.4" hidden="1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2:32" s="3" customFormat="1" ht="14.4" hidden="1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2:32" s="3" customFormat="1" ht="14.4" hidden="1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2:32" s="3" customFormat="1" ht="14.4" hidden="1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2:32" s="3" customFormat="1" ht="14.4" hidden="1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2:32" s="3" customFormat="1" ht="14.4" hidden="1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2:32" s="3" customFormat="1" ht="14.4" hidden="1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2:32" s="3" customFormat="1" ht="14.4" hidden="1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2:32" s="3" customFormat="1" ht="14.4" hidden="1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2:32" s="3" customFormat="1" ht="14.4" hidden="1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2:32" s="3" customFormat="1" ht="14.4" hidden="1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2:32" s="3" customFormat="1" ht="14.4" hidden="1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2:32" s="3" customFormat="1" ht="14.4" hidden="1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2:32" s="3" customFormat="1" ht="14.4" hidden="1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 spans="2:32" s="3" customFormat="1" ht="14.4" hidden="1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2:32" s="3" customFormat="1" ht="14.4" hidden="1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2:32" s="3" customFormat="1" ht="14.4" hidden="1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2:32" s="3" customFormat="1" ht="14.4" hidden="1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2:32" s="3" customFormat="1" ht="14.4" hidden="1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2:32" s="3" customFormat="1" ht="14.4" hidden="1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2:32" s="3" customFormat="1" ht="14.4" hidden="1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2:32" s="3" customFormat="1" ht="14.4" hidden="1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2:32" s="3" customFormat="1" ht="14.4" hidden="1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 spans="2:32" s="3" customFormat="1" ht="14.4" hidden="1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2:32" s="3" customFormat="1" ht="14.4" hidden="1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2:32" s="3" customFormat="1" ht="14.4" hidden="1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2:32" s="3" customFormat="1" ht="14.4" hidden="1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2:32" s="3" customFormat="1" ht="14.4" hidden="1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2:32" s="3" customFormat="1" ht="14.4" hidden="1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2:32" s="3" customFormat="1" ht="14.4" hidden="1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2:32" s="3" customFormat="1" ht="14.4" hidden="1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2:32" s="3" customFormat="1" ht="14.4" hidden="1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2:32" s="3" customFormat="1" ht="14.4" hidden="1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2:32" s="3" customFormat="1" ht="14.4" hidden="1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2:32" s="3" customFormat="1" ht="14.4" hidden="1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2:32" s="3" customFormat="1" ht="14.4" hidden="1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2:32" s="3" customFormat="1" ht="14.4" hidden="1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2:32" s="3" customFormat="1" ht="14.4" hidden="1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2:32" s="3" customFormat="1" ht="14.4" hidden="1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2:32" s="3" customFormat="1" ht="14.4" hidden="1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2:32" s="3" customFormat="1" ht="14.4" hidden="1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2:32" s="3" customFormat="1" ht="14.4" hidden="1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2:32" s="3" customFormat="1" ht="14.4" hidden="1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2:32" s="3" customFormat="1" ht="14.4" hidden="1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2:32" s="3" customFormat="1" ht="14.4" hidden="1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2:32" s="3" customFormat="1" ht="14.4" hidden="1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2:32" s="3" customFormat="1" ht="14.4" hidden="1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2:32" s="3" customFormat="1" ht="14.4" hidden="1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2:32" s="3" customFormat="1" ht="14.4" hidden="1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2:32" s="3" customFormat="1" ht="14.4" hidden="1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2:32" s="3" customFormat="1" ht="14.4" hidden="1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2:32" s="3" customFormat="1" ht="14.4" hidden="1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2:32" s="3" customFormat="1" ht="14.4" hidden="1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2:32" s="3" customFormat="1" ht="14.4" hidden="1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2:32" s="3" customFormat="1" ht="14.4" hidden="1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2:32" s="3" customFormat="1" ht="14.4" hidden="1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2:32" s="3" customFormat="1" ht="14.4" hidden="1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2:32" s="3" customFormat="1" ht="14.4" hidden="1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2:32" s="3" customFormat="1" ht="14.4" hidden="1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2:32" s="3" customFormat="1" ht="14.4" hidden="1" x14ac:dyDescent="0.3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2:32" s="3" customFormat="1" ht="14.4" hidden="1" x14ac:dyDescent="0.3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2:32" s="3" customFormat="1" ht="14.4" hidden="1" x14ac:dyDescent="0.3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2:32" s="3" customFormat="1" ht="14.4" hidden="1" x14ac:dyDescent="0.3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2:32" s="3" customFormat="1" ht="14.4" hidden="1" x14ac:dyDescent="0.3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2:32" s="3" customFormat="1" ht="14.4" hidden="1" x14ac:dyDescent="0.3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2:32" s="3" customFormat="1" ht="14.4" hidden="1" x14ac:dyDescent="0.3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2:32" s="3" customFormat="1" ht="14.4" hidden="1" x14ac:dyDescent="0.3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2:32" s="3" customFormat="1" ht="14.4" hidden="1" x14ac:dyDescent="0.3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2:32" s="3" customFormat="1" ht="14.4" hidden="1" x14ac:dyDescent="0.3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2:32" s="3" customFormat="1" ht="14.4" hidden="1" x14ac:dyDescent="0.3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2:32" s="3" customFormat="1" ht="14.4" hidden="1" x14ac:dyDescent="0.3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2:32" s="3" customFormat="1" ht="14.4" hidden="1" x14ac:dyDescent="0.3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2:32" s="3" customFormat="1" ht="14.4" hidden="1" x14ac:dyDescent="0.3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2:32" s="3" customFormat="1" ht="14.4" hidden="1" x14ac:dyDescent="0.3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2:32" s="3" customFormat="1" ht="14.4" hidden="1" x14ac:dyDescent="0.3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2:32" s="3" customFormat="1" ht="14.4" hidden="1" x14ac:dyDescent="0.3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2:32" s="3" customFormat="1" ht="14.4" hidden="1" x14ac:dyDescent="0.3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2:32" s="3" customFormat="1" ht="14.4" hidden="1" x14ac:dyDescent="0.3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2:32" s="3" customFormat="1" ht="14.4" hidden="1" x14ac:dyDescent="0.3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2:32" s="3" customFormat="1" ht="14.4" hidden="1" x14ac:dyDescent="0.3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2:32" s="3" customFormat="1" ht="14.4" hidden="1" x14ac:dyDescent="0.3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2:32" s="3" customFormat="1" ht="14.4" hidden="1" x14ac:dyDescent="0.3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2:32" s="3" customFormat="1" ht="14.4" hidden="1" x14ac:dyDescent="0.3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2:32" s="3" customFormat="1" ht="14.4" hidden="1" x14ac:dyDescent="0.3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2:32" s="3" customFormat="1" ht="14.4" hidden="1" x14ac:dyDescent="0.3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2:32" s="3" customFormat="1" ht="14.4" hidden="1" x14ac:dyDescent="0.3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2:32" s="3" customFormat="1" ht="14.4" hidden="1" x14ac:dyDescent="0.3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2:32" s="3" customFormat="1" ht="14.4" hidden="1" x14ac:dyDescent="0.3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2:32" s="3" customFormat="1" ht="14.4" hidden="1" x14ac:dyDescent="0.3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2:32" s="3" customFormat="1" ht="14.4" hidden="1" x14ac:dyDescent="0.3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2:32" s="3" customFormat="1" ht="14.4" hidden="1" x14ac:dyDescent="0.3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2:32" s="3" customFormat="1" ht="14.4" hidden="1" x14ac:dyDescent="0.3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2:32" s="3" customFormat="1" ht="14.4" hidden="1" x14ac:dyDescent="0.3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2:32" s="3" customFormat="1" ht="14.4" hidden="1" x14ac:dyDescent="0.3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2:32" s="3" customFormat="1" ht="14.4" hidden="1" x14ac:dyDescent="0.3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2:32" s="3" customFormat="1" ht="14.4" hidden="1" x14ac:dyDescent="0.3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2:32" s="3" customFormat="1" ht="14.4" hidden="1" x14ac:dyDescent="0.3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2:32" s="3" customFormat="1" ht="14.4" hidden="1" x14ac:dyDescent="0.3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 spans="2:32" s="3" customFormat="1" ht="14.4" hidden="1" x14ac:dyDescent="0.3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2:32" s="3" customFormat="1" ht="14.4" hidden="1" x14ac:dyDescent="0.3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2:32" s="3" customFormat="1" ht="14.4" hidden="1" x14ac:dyDescent="0.3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2:32" s="3" customFormat="1" ht="14.4" hidden="1" x14ac:dyDescent="0.3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2:32" s="3" customFormat="1" ht="14.4" hidden="1" x14ac:dyDescent="0.3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2:32" s="3" customFormat="1" ht="14.4" hidden="1" x14ac:dyDescent="0.3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2:32" s="3" customFormat="1" ht="14.4" hidden="1" x14ac:dyDescent="0.3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2:32" s="3" customFormat="1" ht="14.4" hidden="1" x14ac:dyDescent="0.3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2:32" s="3" customFormat="1" ht="14.4" hidden="1" x14ac:dyDescent="0.3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2:32" s="3" customFormat="1" ht="14.4" hidden="1" x14ac:dyDescent="0.3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2:32" s="3" customFormat="1" ht="14.4" hidden="1" x14ac:dyDescent="0.3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2:32" s="3" customFormat="1" ht="14.4" hidden="1" x14ac:dyDescent="0.3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2:32" s="3" customFormat="1" ht="14.4" hidden="1" x14ac:dyDescent="0.3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2:32" s="3" customFormat="1" ht="14.4" hidden="1" x14ac:dyDescent="0.3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2:32" s="3" customFormat="1" ht="14.4" hidden="1" x14ac:dyDescent="0.3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2:32" s="3" customFormat="1" ht="14.4" hidden="1" x14ac:dyDescent="0.3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2:32" s="3" customFormat="1" ht="14.4" hidden="1" x14ac:dyDescent="0.3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2:32" s="3" customFormat="1" ht="14.4" hidden="1" x14ac:dyDescent="0.3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2:32" s="3" customFormat="1" ht="14.4" hidden="1" x14ac:dyDescent="0.3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2:32" s="3" customFormat="1" ht="14.4" hidden="1" x14ac:dyDescent="0.3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2:32" s="3" customFormat="1" ht="14.4" hidden="1" x14ac:dyDescent="0.3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2:32" s="3" customFormat="1" ht="14.4" hidden="1" x14ac:dyDescent="0.3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2:32" s="3" customFormat="1" ht="14.4" hidden="1" x14ac:dyDescent="0.3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2:32" s="3" customFormat="1" ht="14.4" hidden="1" x14ac:dyDescent="0.3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2:32" s="3" customFormat="1" ht="14.4" hidden="1" x14ac:dyDescent="0.3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2:32" s="3" customFormat="1" ht="14.4" hidden="1" x14ac:dyDescent="0.3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 spans="2:32" s="3" customFormat="1" ht="14.4" hidden="1" x14ac:dyDescent="0.3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2:32" s="3" customFormat="1" ht="14.4" hidden="1" x14ac:dyDescent="0.3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2:32" s="3" customFormat="1" ht="14.4" hidden="1" x14ac:dyDescent="0.3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2:32" s="3" customFormat="1" ht="14.4" hidden="1" x14ac:dyDescent="0.3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2:32" s="3" customFormat="1" ht="14.4" hidden="1" x14ac:dyDescent="0.3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2:32" s="3" customFormat="1" ht="14.4" hidden="1" x14ac:dyDescent="0.3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 spans="2:32" s="3" customFormat="1" ht="14.4" hidden="1" x14ac:dyDescent="0.3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2:32" s="3" customFormat="1" ht="14.4" hidden="1" x14ac:dyDescent="0.3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2:32" s="3" customFormat="1" ht="14.4" hidden="1" x14ac:dyDescent="0.3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2:32" s="3" customFormat="1" ht="14.4" hidden="1" x14ac:dyDescent="0.3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2:32" s="3" customFormat="1" ht="14.4" hidden="1" x14ac:dyDescent="0.3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2:32" s="3" customFormat="1" ht="14.4" hidden="1" x14ac:dyDescent="0.3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2:32" s="3" customFormat="1" ht="14.4" hidden="1" x14ac:dyDescent="0.3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2:32" s="3" customFormat="1" ht="14.4" hidden="1" x14ac:dyDescent="0.3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2:32" s="3" customFormat="1" ht="14.4" hidden="1" x14ac:dyDescent="0.3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2:32" s="3" customFormat="1" ht="14.4" hidden="1" x14ac:dyDescent="0.3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2:32" s="3" customFormat="1" ht="14.4" hidden="1" x14ac:dyDescent="0.3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2:32" s="3" customFormat="1" ht="14.4" hidden="1" x14ac:dyDescent="0.3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2:32" s="3" customFormat="1" ht="14.4" hidden="1" x14ac:dyDescent="0.3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2:32" s="3" customFormat="1" ht="14.4" hidden="1" x14ac:dyDescent="0.3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2:32" s="3" customFormat="1" ht="14.4" hidden="1" x14ac:dyDescent="0.3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2:32" s="3" customFormat="1" ht="14.4" hidden="1" x14ac:dyDescent="0.3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2:32" s="3" customFormat="1" ht="14.4" hidden="1" x14ac:dyDescent="0.3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2:32" s="3" customFormat="1" ht="14.4" hidden="1" x14ac:dyDescent="0.3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2:32" s="3" customFormat="1" ht="14.4" hidden="1" x14ac:dyDescent="0.3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2:32" s="3" customFormat="1" ht="14.4" hidden="1" x14ac:dyDescent="0.3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2:32" s="3" customFormat="1" ht="14.4" hidden="1" x14ac:dyDescent="0.3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 spans="2:32" s="3" customFormat="1" ht="14.4" hidden="1" x14ac:dyDescent="0.3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2:32" s="3" customFormat="1" ht="14.4" hidden="1" x14ac:dyDescent="0.3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2:32" s="3" customFormat="1" ht="14.4" hidden="1" x14ac:dyDescent="0.3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2:32" s="3" customFormat="1" ht="14.4" hidden="1" x14ac:dyDescent="0.3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2:32" s="3" customFormat="1" ht="14.4" hidden="1" x14ac:dyDescent="0.3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2:32" s="3" customFormat="1" ht="14.4" hidden="1" x14ac:dyDescent="0.3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2:32" s="3" customFormat="1" ht="14.4" hidden="1" x14ac:dyDescent="0.3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2:32" s="3" customFormat="1" ht="14.4" hidden="1" x14ac:dyDescent="0.3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2:32" s="3" customFormat="1" ht="14.4" hidden="1" x14ac:dyDescent="0.3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2:32" s="3" customFormat="1" ht="14.4" hidden="1" x14ac:dyDescent="0.3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2:32" s="3" customFormat="1" ht="14.4" hidden="1" x14ac:dyDescent="0.3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2:32" s="3" customFormat="1" ht="14.4" hidden="1" x14ac:dyDescent="0.3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2:32" s="3" customFormat="1" ht="14.4" hidden="1" x14ac:dyDescent="0.3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2:32" s="3" customFormat="1" ht="14.4" hidden="1" x14ac:dyDescent="0.3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2:32" s="3" customFormat="1" ht="14.4" hidden="1" x14ac:dyDescent="0.3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2:32" s="3" customFormat="1" ht="14.4" hidden="1" x14ac:dyDescent="0.3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2:32" s="3" customFormat="1" ht="14.4" hidden="1" x14ac:dyDescent="0.3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2:32" s="3" customFormat="1" ht="14.4" hidden="1" x14ac:dyDescent="0.3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2:32" s="3" customFormat="1" ht="14.4" hidden="1" x14ac:dyDescent="0.3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2:32" s="3" customFormat="1" ht="14.4" hidden="1" x14ac:dyDescent="0.3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2:32" s="3" customFormat="1" ht="14.4" hidden="1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2:32" s="3" customFormat="1" ht="14.4" hidden="1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2:32" s="3" customFormat="1" ht="14.4" hidden="1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2:32" s="3" customFormat="1" ht="14.4" hidden="1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2:32" s="3" customFormat="1" ht="14.4" hidden="1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2:32" s="3" customFormat="1" ht="14.4" hidden="1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2:32" s="3" customFormat="1" ht="14.4" hidden="1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2:32" s="3" customFormat="1" ht="14.4" hidden="1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2:32" s="3" customFormat="1" ht="14.4" hidden="1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2:32" s="3" customFormat="1" ht="14.4" hidden="1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2:32" s="3" customFormat="1" ht="14.4" hidden="1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2:32" s="3" customFormat="1" ht="14.4" hidden="1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2:32" s="3" customFormat="1" ht="14.4" hidden="1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2:32" s="3" customFormat="1" ht="14.4" hidden="1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2:32" s="3" customFormat="1" ht="14.4" hidden="1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2:32" s="3" customFormat="1" ht="14.4" hidden="1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 spans="2:32" s="3" customFormat="1" ht="14.4" hidden="1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2:32" s="3" customFormat="1" ht="14.4" hidden="1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2:32" s="3" customFormat="1" ht="14.4" hidden="1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 spans="2:32" s="3" customFormat="1" ht="14.4" hidden="1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2:32" s="3" customFormat="1" ht="14.4" hidden="1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2:32" s="3" customFormat="1" ht="14.4" hidden="1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2:32" s="3" customFormat="1" ht="14.4" hidden="1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2:32" s="3" customFormat="1" ht="14.4" hidden="1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 spans="2:32" s="3" customFormat="1" ht="14.4" hidden="1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2:32" s="3" customFormat="1" ht="14.4" hidden="1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2:32" s="3" customFormat="1" ht="14.4" hidden="1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2:32" s="3" customFormat="1" ht="14.4" hidden="1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2:32" s="3" customFormat="1" ht="14.4" hidden="1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2:32" s="3" customFormat="1" ht="14.4" hidden="1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2:32" s="3" customFormat="1" ht="14.4" hidden="1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2:32" s="3" customFormat="1" ht="14.4" hidden="1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2:32" s="3" customFormat="1" ht="14.4" hidden="1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2:32" s="3" customFormat="1" ht="14.4" hidden="1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2:32" s="3" customFormat="1" ht="14.4" hidden="1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2:32" s="3" customFormat="1" ht="14.4" hidden="1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2:32" s="3" customFormat="1" ht="14.4" hidden="1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2:32" s="3" customFormat="1" ht="14.4" hidden="1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2:32" s="3" customFormat="1" ht="14.4" hidden="1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2:32" s="3" customFormat="1" ht="14.4" hidden="1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2:32" s="3" customFormat="1" ht="14.4" hidden="1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2:32" s="3" customFormat="1" ht="14.4" hidden="1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2:32" s="3" customFormat="1" ht="14.4" hidden="1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2:32" s="3" customFormat="1" ht="14.4" hidden="1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2:32" s="3" customFormat="1" ht="14.4" hidden="1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2:32" s="3" customFormat="1" ht="14.4" hidden="1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2:32" s="3" customFormat="1" ht="14.4" hidden="1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 spans="2:32" s="3" customFormat="1" ht="14.4" hidden="1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2:32" s="3" customFormat="1" ht="14.4" hidden="1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 spans="2:32" s="3" customFormat="1" ht="14.4" hidden="1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2:32" s="3" customFormat="1" ht="14.4" hidden="1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2:32" s="3" customFormat="1" ht="14.4" hidden="1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2:32" s="3" customFormat="1" ht="14.4" hidden="1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2:32" s="3" customFormat="1" ht="14.4" hidden="1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2:32" s="3" customFormat="1" ht="14.4" hidden="1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2:32" s="3" customFormat="1" ht="14.4" hidden="1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2:32" s="3" customFormat="1" ht="14.4" hidden="1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2:32" s="3" customFormat="1" ht="14.4" hidden="1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2:32" s="3" customFormat="1" ht="14.4" hidden="1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2:32" s="3" customFormat="1" ht="14.4" hidden="1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2:32" s="3" customFormat="1" ht="14.4" hidden="1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2:32" s="3" customFormat="1" ht="14.4" hidden="1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2:32" s="3" customFormat="1" ht="14.4" hidden="1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2:32" s="3" customFormat="1" ht="14.4" hidden="1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2:32" s="3" customFormat="1" ht="14.4" hidden="1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2:32" s="3" customFormat="1" ht="14.4" hidden="1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2:32" s="3" customFormat="1" ht="14.4" hidden="1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2:32" s="3" customFormat="1" ht="14.4" hidden="1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2:32" s="3" customFormat="1" ht="14.4" hidden="1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2:32" s="3" customFormat="1" ht="14.4" hidden="1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2:32" s="3" customFormat="1" ht="14.4" hidden="1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2:32" s="3" customFormat="1" ht="14.4" hidden="1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2:32" s="3" customFormat="1" ht="14.4" hidden="1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2:32" s="3" customFormat="1" ht="14.4" hidden="1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2:32" s="3" customFormat="1" ht="14.4" hidden="1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2:32" s="3" customFormat="1" ht="14.4" hidden="1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2:32" s="3" customFormat="1" ht="14.4" hidden="1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2:32" s="3" customFormat="1" ht="14.4" hidden="1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2:32" s="3" customFormat="1" ht="14.4" hidden="1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2:32" s="3" customFormat="1" ht="14.4" hidden="1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2:32" s="3" customFormat="1" ht="14.4" hidden="1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2:32" s="3" customFormat="1" ht="14.4" hidden="1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2:32" s="3" customFormat="1" ht="14.4" hidden="1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2:32" s="3" customFormat="1" ht="14.4" hidden="1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2:32" s="3" customFormat="1" ht="14.4" hidden="1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2:32" s="3" customFormat="1" ht="14.4" hidden="1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2:32" s="3" customFormat="1" ht="14.4" hidden="1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2:32" s="3" customFormat="1" ht="14.4" hidden="1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2:32" s="3" customFormat="1" ht="14.4" hidden="1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2:32" s="3" customFormat="1" ht="14.4" hidden="1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2:32" s="3" customFormat="1" ht="14.4" hidden="1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2:32" s="3" customFormat="1" ht="14.4" hidden="1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2:32" s="3" customFormat="1" ht="14.4" hidden="1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2:32" s="3" customFormat="1" ht="14.4" hidden="1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2:32" s="3" customFormat="1" ht="14.4" hidden="1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2:32" s="3" customFormat="1" ht="14.4" hidden="1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 spans="2:32" s="3" customFormat="1" ht="14.4" hidden="1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 spans="2:32" s="3" customFormat="1" ht="14.4" hidden="1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2:32" s="3" customFormat="1" ht="14.4" hidden="1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2:32" s="3" customFormat="1" ht="14.4" hidden="1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2:32" s="3" customFormat="1" ht="14.4" hidden="1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2:32" s="3" customFormat="1" ht="14.4" hidden="1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2:32" s="3" customFormat="1" ht="14.4" hidden="1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 spans="2:32" s="3" customFormat="1" ht="14.4" hidden="1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2:32" s="3" customFormat="1" ht="14.4" hidden="1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2:32" s="3" customFormat="1" ht="14.4" hidden="1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2:32" s="3" customFormat="1" ht="14.4" hidden="1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2:32" s="3" customFormat="1" ht="14.4" hidden="1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2:32" s="3" customFormat="1" ht="14.4" hidden="1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2:32" s="3" customFormat="1" ht="14.4" hidden="1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2:32" s="3" customFormat="1" ht="14.4" hidden="1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2:32" s="3" customFormat="1" ht="14.4" hidden="1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2:32" s="3" customFormat="1" ht="14.4" hidden="1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2:32" s="3" customFormat="1" ht="14.4" hidden="1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 spans="2:32" s="3" customFormat="1" ht="14.4" hidden="1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2:32" s="3" customFormat="1" ht="14.4" hidden="1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 spans="2:32" s="3" customFormat="1" ht="14.4" hidden="1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2:32" s="3" customFormat="1" ht="14.4" hidden="1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2:32" s="3" customFormat="1" ht="14.4" hidden="1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2:32" s="3" customFormat="1" ht="14.4" hidden="1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2:32" s="3" customFormat="1" ht="14.4" hidden="1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2:32" s="3" customFormat="1" ht="14.4" hidden="1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2:32" s="3" customFormat="1" ht="14.4" hidden="1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2:32" s="3" customFormat="1" ht="14.4" hidden="1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2:32" s="3" customFormat="1" ht="14.4" hidden="1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2:32" s="3" customFormat="1" ht="14.4" hidden="1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2:32" s="3" customFormat="1" ht="14.4" hidden="1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2:32" s="3" customFormat="1" ht="14.4" hidden="1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2:32" s="3" customFormat="1" ht="14.4" hidden="1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2:32" s="3" customFormat="1" ht="14.4" hidden="1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 spans="2:32" s="3" customFormat="1" ht="14.4" hidden="1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2:32" s="3" customFormat="1" ht="14.4" hidden="1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2:32" s="3" customFormat="1" ht="14.4" hidden="1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2:32" s="3" customFormat="1" ht="14.4" hidden="1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2:32" s="3" customFormat="1" ht="14.4" hidden="1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 spans="2:32" s="3" customFormat="1" ht="14.4" hidden="1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2:32" s="3" customFormat="1" ht="14.4" hidden="1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2:32" s="3" customFormat="1" ht="14.4" hidden="1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2:32" s="3" customFormat="1" ht="14.4" hidden="1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2:32" s="3" customFormat="1" ht="14.4" hidden="1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2:32" s="3" customFormat="1" ht="14.4" hidden="1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2:32" s="3" customFormat="1" ht="14.4" hidden="1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2:32" s="3" customFormat="1" ht="14.4" hidden="1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2:32" s="3" customFormat="1" ht="14.4" hidden="1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2:32" s="3" customFormat="1" ht="14.4" hidden="1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2:32" s="3" customFormat="1" ht="14.4" hidden="1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2:32" s="3" customFormat="1" ht="14.4" hidden="1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2:32" s="3" customFormat="1" ht="14.4" hidden="1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2:32" s="3" customFormat="1" ht="14.4" hidden="1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2:32" s="3" customFormat="1" ht="14.4" hidden="1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2:32" s="3" customFormat="1" ht="14.4" hidden="1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2:32" s="3" customFormat="1" ht="14.4" hidden="1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2:32" s="3" customFormat="1" ht="14.4" hidden="1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2:32" s="3" customFormat="1" ht="14.4" hidden="1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2:32" s="3" customFormat="1" ht="14.4" hidden="1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2:32" s="3" customFormat="1" ht="14.4" hidden="1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2:32" s="3" customFormat="1" ht="14.4" hidden="1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2:32" s="3" customFormat="1" ht="14.4" hidden="1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2:32" s="3" customFormat="1" ht="14.4" hidden="1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2:32" s="3" customFormat="1" ht="14.4" hidden="1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2:32" s="3" customFormat="1" ht="14.4" hidden="1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2:32" s="3" customFormat="1" ht="14.4" hidden="1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2:32" s="3" customFormat="1" ht="14.4" hidden="1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2:32" s="3" customFormat="1" ht="14.4" hidden="1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2:32" s="3" customFormat="1" ht="14.4" hidden="1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2:32" s="3" customFormat="1" ht="14.4" hidden="1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2:32" s="3" customFormat="1" ht="14.4" hidden="1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2:32" s="3" customFormat="1" ht="14.4" hidden="1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2:32" s="3" customFormat="1" ht="14.4" hidden="1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2:32" s="3" customFormat="1" ht="14.4" hidden="1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2:32" s="3" customFormat="1" ht="14.4" hidden="1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2:32" s="3" customFormat="1" ht="14.4" hidden="1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2:32" s="3" customFormat="1" ht="14.4" hidden="1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 spans="2:32" s="3" customFormat="1" ht="14.4" hidden="1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 spans="2:32" s="3" customFormat="1" ht="14.4" hidden="1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2:32" s="3" customFormat="1" ht="14.4" hidden="1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 spans="2:32" s="3" customFormat="1" ht="14.4" hidden="1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2:32" s="3" customFormat="1" ht="14.4" hidden="1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2:32" s="3" customFormat="1" ht="14.4" hidden="1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 spans="2:32" s="3" customFormat="1" ht="14.4" hidden="1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 spans="2:32" s="3" customFormat="1" ht="14.4" hidden="1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 spans="2:32" s="3" customFormat="1" ht="14.4" hidden="1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 spans="2:32" s="3" customFormat="1" ht="14.4" hidden="1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 spans="2:32" s="3" customFormat="1" ht="14.4" hidden="1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 spans="2:32" s="3" customFormat="1" ht="14.4" hidden="1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 spans="2:32" s="3" customFormat="1" ht="14.4" hidden="1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 spans="2:32" s="3" customFormat="1" ht="14.4" hidden="1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 spans="2:32" s="3" customFormat="1" ht="14.4" hidden="1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 spans="2:32" s="3" customFormat="1" ht="14.4" hidden="1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 spans="2:32" s="3" customFormat="1" ht="14.4" hidden="1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 spans="2:32" s="3" customFormat="1" ht="14.4" hidden="1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 spans="2:32" s="3" customFormat="1" ht="14.4" hidden="1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 spans="2:32" s="3" customFormat="1" ht="14.4" hidden="1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 spans="2:32" s="3" customFormat="1" ht="14.4" hidden="1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 spans="2:32" s="3" customFormat="1" ht="14.4" hidden="1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 spans="2:32" s="3" customFormat="1" ht="14.4" hidden="1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 spans="2:32" s="3" customFormat="1" ht="14.4" hidden="1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 spans="2:32" s="3" customFormat="1" ht="14.4" hidden="1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 spans="2:32" s="3" customFormat="1" ht="14.4" hidden="1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 spans="2:32" s="3" customFormat="1" ht="14.4" hidden="1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 spans="2:32" s="3" customFormat="1" ht="14.4" hidden="1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 spans="2:32" s="3" customFormat="1" ht="14.4" hidden="1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 spans="2:32" s="3" customFormat="1" ht="14.4" hidden="1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 spans="2:32" s="3" customFormat="1" ht="14.4" hidden="1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 spans="2:32" s="3" customFormat="1" ht="14.4" hidden="1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 spans="2:32" s="3" customFormat="1" ht="14.4" hidden="1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</row>
    <row r="991" spans="2:32" s="3" customFormat="1" ht="14.4" hidden="1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 spans="2:32" s="3" customFormat="1" ht="14.4" hidden="1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</row>
    <row r="993" spans="2:32" s="3" customFormat="1" ht="14.4" hidden="1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 spans="2:32" s="3" customFormat="1" ht="14.4" hidden="1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 spans="2:32" s="3" customFormat="1" ht="14.4" hidden="1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 spans="2:32" s="3" customFormat="1" ht="14.4" hidden="1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 spans="2:32" s="3" customFormat="1" ht="14.4" hidden="1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 spans="2:32" s="3" customFormat="1" ht="14.4" hidden="1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</row>
    <row r="999" spans="2:32" s="3" customFormat="1" ht="14.4" hidden="1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 spans="2:32" s="3" customFormat="1" ht="14.4" hidden="1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 spans="2:32" s="3" customFormat="1" ht="14.4" hidden="1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 spans="2:32" s="3" customFormat="1" ht="14.4" hidden="1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</row>
    <row r="1003" spans="2:32" s="3" customFormat="1" ht="14.4" hidden="1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</row>
    <row r="1004" spans="2:32" s="3" customFormat="1" ht="14.4" hidden="1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 spans="2:32" s="3" customFormat="1" ht="14.4" hidden="1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 spans="2:32" s="3" customFormat="1" ht="14.4" hidden="1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</row>
    <row r="1007" spans="2:32" s="3" customFormat="1" ht="14.4" hidden="1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 spans="2:32" s="3" customFormat="1" ht="14.4" hidden="1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 spans="2:32" s="3" customFormat="1" ht="14.4" hidden="1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 spans="2:32" s="3" customFormat="1" ht="14.4" hidden="1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 spans="2:32" s="3" customFormat="1" ht="14.4" hidden="1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 spans="2:32" s="3" customFormat="1" ht="14.4" hidden="1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</row>
    <row r="1013" spans="2:32" s="3" customFormat="1" ht="14.4" hidden="1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</row>
    <row r="1014" spans="2:32" s="3" customFormat="1" ht="14.4" hidden="1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</row>
    <row r="1015" spans="2:32" s="3" customFormat="1" ht="14.4" hidden="1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 spans="2:32" s="3" customFormat="1" ht="14.4" hidden="1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 spans="2:32" s="3" customFormat="1" ht="14.4" hidden="1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 spans="2:32" s="3" customFormat="1" ht="14.4" hidden="1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 spans="2:32" s="3" customFormat="1" ht="14.4" hidden="1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 spans="2:32" s="3" customFormat="1" ht="14.4" hidden="1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</row>
    <row r="1021" spans="2:32" s="3" customFormat="1" ht="14.4" hidden="1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</row>
    <row r="1022" spans="2:32" s="3" customFormat="1" ht="14.4" hidden="1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</row>
    <row r="1023" spans="2:32" s="3" customFormat="1" ht="14.4" hidden="1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 spans="2:32" s="3" customFormat="1" ht="14.4" hidden="1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 spans="2:32" s="3" customFormat="1" ht="14.4" hidden="1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</row>
    <row r="1026" spans="2:32" s="3" customFormat="1" ht="14.4" hidden="1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 spans="2:32" s="3" customFormat="1" ht="14.4" hidden="1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</row>
    <row r="1028" spans="2:32" s="3" customFormat="1" ht="14.4" hidden="1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 spans="2:32" s="3" customFormat="1" ht="14.4" hidden="1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 spans="2:32" s="3" customFormat="1" ht="14.4" hidden="1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</row>
    <row r="1031" spans="2:32" s="3" customFormat="1" ht="14.4" hidden="1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</row>
    <row r="1032" spans="2:32" s="3" customFormat="1" ht="14.4" hidden="1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</row>
    <row r="1033" spans="2:32" s="3" customFormat="1" ht="14.4" hidden="1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 spans="2:32" s="3" customFormat="1" ht="14.4" hidden="1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</row>
    <row r="1035" spans="2:32" s="3" customFormat="1" ht="14.4" hidden="1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 spans="2:32" s="3" customFormat="1" ht="14.4" hidden="1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</row>
    <row r="1037" spans="2:32" s="3" customFormat="1" ht="14.4" hidden="1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</row>
    <row r="1038" spans="2:32" s="3" customFormat="1" ht="14.4" hidden="1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 spans="2:32" s="3" customFormat="1" ht="14.4" hidden="1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</row>
    <row r="1040" spans="2:32" s="3" customFormat="1" ht="14.4" hidden="1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 spans="2:32" s="3" customFormat="1" ht="14.4" hidden="1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</row>
    <row r="1042" spans="2:32" s="3" customFormat="1" ht="14.4" hidden="1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 spans="2:32" s="3" customFormat="1" ht="14.4" hidden="1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 spans="2:32" s="3" customFormat="1" ht="14.4" hidden="1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</row>
    <row r="1045" spans="2:32" s="3" customFormat="1" ht="14.4" hidden="1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</row>
    <row r="1046" spans="2:32" s="3" customFormat="1" ht="14.4" hidden="1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 spans="2:32" s="3" customFormat="1" ht="14.4" hidden="1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 spans="2:32" s="3" customFormat="1" ht="14.4" hidden="1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 spans="2:32" s="3" customFormat="1" ht="14.4" hidden="1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 spans="2:32" s="3" customFormat="1" ht="14.4" hidden="1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</row>
    <row r="1051" spans="2:32" s="3" customFormat="1" ht="14.4" hidden="1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 spans="2:32" s="3" customFormat="1" ht="14.4" hidden="1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 spans="2:32" s="3" customFormat="1" ht="14.4" hidden="1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 spans="2:32" s="3" customFormat="1" ht="14.4" hidden="1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 spans="2:32" s="3" customFormat="1" ht="14.4" hidden="1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 spans="2:32" s="3" customFormat="1" ht="14.4" hidden="1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 spans="2:32" s="3" customFormat="1" ht="14.4" hidden="1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 spans="2:32" s="3" customFormat="1" ht="14.4" hidden="1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 spans="2:32" s="3" customFormat="1" ht="14.4" hidden="1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 spans="2:32" s="3" customFormat="1" ht="14.4" hidden="1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 spans="2:32" s="3" customFormat="1" ht="14.4" hidden="1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</row>
    <row r="1062" spans="2:32" s="3" customFormat="1" ht="14.4" hidden="1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 spans="2:32" s="3" customFormat="1" ht="14.4" hidden="1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 spans="2:32" s="3" customFormat="1" ht="14.4" hidden="1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</row>
    <row r="1065" spans="2:32" s="3" customFormat="1" ht="14.4" hidden="1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 spans="2:32" s="3" customFormat="1" ht="14.4" hidden="1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 spans="2:32" s="3" customFormat="1" ht="14.4" hidden="1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 spans="2:32" s="3" customFormat="1" ht="14.4" hidden="1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 spans="2:32" s="3" customFormat="1" ht="14.4" hidden="1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 spans="2:32" s="3" customFormat="1" ht="14.4" hidden="1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 spans="2:32" s="3" customFormat="1" ht="14.4" hidden="1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</row>
    <row r="1072" spans="2:32" s="3" customFormat="1" ht="14.4" hidden="1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 spans="2:32" s="3" customFormat="1" ht="14.4" hidden="1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 spans="2:32" s="3" customFormat="1" ht="14.4" hidden="1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</row>
    <row r="1075" spans="2:32" s="3" customFormat="1" ht="14.4" hidden="1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 spans="2:32" s="3" customFormat="1" ht="14.4" hidden="1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</row>
    <row r="1077" spans="2:32" s="3" customFormat="1" ht="14.4" hidden="1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</row>
    <row r="1078" spans="2:32" s="3" customFormat="1" ht="14.4" hidden="1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 spans="2:32" s="3" customFormat="1" ht="14.4" hidden="1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 spans="2:32" s="3" customFormat="1" ht="14.4" hidden="1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</row>
    <row r="1081" spans="2:32" s="3" customFormat="1" ht="14.4" hidden="1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 spans="2:32" s="3" customFormat="1" ht="14.4" hidden="1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</row>
    <row r="1083" spans="2:32" s="3" customFormat="1" ht="14.4" hidden="1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</row>
    <row r="1084" spans="2:32" s="3" customFormat="1" ht="14.4" hidden="1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 spans="2:32" s="3" customFormat="1" ht="14.4" hidden="1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 spans="2:32" s="3" customFormat="1" ht="14.4" hidden="1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 spans="2:32" s="3" customFormat="1" ht="14.4" hidden="1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</row>
    <row r="1088" spans="2:32" s="3" customFormat="1" ht="14.4" hidden="1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 spans="2:32" s="3" customFormat="1" ht="14.4" hidden="1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 spans="2:32" s="3" customFormat="1" ht="14.4" hidden="1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 spans="2:32" s="3" customFormat="1" ht="14.4" hidden="1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 spans="2:32" s="3" customFormat="1" ht="14.4" hidden="1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 spans="2:32" s="3" customFormat="1" ht="14.4" hidden="1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</row>
    <row r="1094" spans="2:32" s="3" customFormat="1" ht="14.4" hidden="1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 spans="2:32" s="3" customFormat="1" ht="14.4" hidden="1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</row>
    <row r="1096" spans="2:32" s="3" customFormat="1" ht="14.4" hidden="1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 spans="2:32" s="3" customFormat="1" ht="14.4" hidden="1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 spans="2:32" s="3" customFormat="1" ht="14.4" hidden="1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 spans="2:32" s="3" customFormat="1" ht="14.4" hidden="1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</row>
    <row r="1100" spans="2:32" s="3" customFormat="1" ht="14.4" hidden="1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 spans="2:32" s="3" customFormat="1" ht="14.4" hidden="1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</row>
    <row r="1102" spans="2:32" s="3" customFormat="1" ht="14.4" hidden="1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 spans="2:32" s="3" customFormat="1" ht="14.4" hidden="1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 spans="2:32" s="3" customFormat="1" ht="14.4" hidden="1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 spans="2:32" s="3" customFormat="1" ht="14.4" hidden="1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</row>
    <row r="1106" spans="2:32" s="3" customFormat="1" ht="14.4" hidden="1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</row>
    <row r="1107" spans="2:32" s="3" customFormat="1" ht="14.4" hidden="1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 spans="2:32" s="3" customFormat="1" ht="14.4" hidden="1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</row>
    <row r="1109" spans="2:32" s="3" customFormat="1" ht="14.4" hidden="1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 spans="2:32" s="3" customFormat="1" ht="14.4" hidden="1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</row>
    <row r="1111" spans="2:32" s="3" customFormat="1" ht="14.4" hidden="1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 spans="2:32" s="3" customFormat="1" ht="14.4" hidden="1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</row>
    <row r="1113" spans="2:32" s="3" customFormat="1" ht="14.4" hidden="1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 spans="2:32" s="3" customFormat="1" ht="14.4" hidden="1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 spans="2:32" s="3" customFormat="1" ht="14.4" hidden="1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</row>
    <row r="1116" spans="2:32" s="3" customFormat="1" ht="14.4" hidden="1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 spans="2:32" s="3" customFormat="1" ht="14.4" hidden="1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 spans="2:32" s="3" customFormat="1" ht="14.4" hidden="1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 spans="2:32" s="3" customFormat="1" ht="14.4" hidden="1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 spans="2:32" s="3" customFormat="1" ht="14.4" hidden="1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 spans="2:32" s="3" customFormat="1" ht="14.4" hidden="1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</row>
    <row r="1122" spans="2:32" s="3" customFormat="1" ht="14.4" hidden="1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 spans="2:32" s="3" customFormat="1" ht="14.4" hidden="1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</row>
    <row r="1124" spans="2:32" s="3" customFormat="1" ht="14.4" hidden="1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</row>
    <row r="1125" spans="2:32" s="3" customFormat="1" ht="14.4" hidden="1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 spans="2:32" s="3" customFormat="1" ht="14.4" hidden="1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 spans="2:32" s="3" customFormat="1" ht="14.4" hidden="1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 spans="2:32" s="3" customFormat="1" ht="14.4" hidden="1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 spans="2:32" s="3" customFormat="1" ht="14.4" hidden="1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 spans="2:32" s="3" customFormat="1" ht="14.4" hidden="1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 spans="2:32" s="3" customFormat="1" ht="14.4" hidden="1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 spans="2:32" s="3" customFormat="1" ht="14.4" hidden="1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</row>
    <row r="1133" spans="2:32" s="3" customFormat="1" ht="14.4" hidden="1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 spans="2:32" s="3" customFormat="1" ht="14.4" hidden="1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 spans="2:32" s="3" customFormat="1" ht="14.4" hidden="1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 spans="2:32" s="3" customFormat="1" ht="14.4" hidden="1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 spans="2:32" s="3" customFormat="1" ht="14.4" hidden="1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</row>
    <row r="1138" spans="2:32" s="3" customFormat="1" ht="14.4" hidden="1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 spans="2:32" s="3" customFormat="1" ht="14.4" hidden="1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 spans="2:32" s="3" customFormat="1" ht="14.4" hidden="1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</row>
    <row r="1141" spans="2:32" s="3" customFormat="1" ht="14.4" hidden="1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</row>
    <row r="1142" spans="2:32" s="3" customFormat="1" ht="14.4" hidden="1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 spans="2:32" s="3" customFormat="1" ht="14.4" hidden="1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 spans="2:32" s="3" customFormat="1" ht="14.4" hidden="1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</row>
    <row r="1145" spans="2:32" s="3" customFormat="1" ht="14.4" hidden="1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</row>
    <row r="1146" spans="2:32" s="3" customFormat="1" ht="14.4" hidden="1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 spans="2:32" s="3" customFormat="1" ht="14.4" hidden="1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</row>
    <row r="1148" spans="2:32" s="3" customFormat="1" ht="14.4" hidden="1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 spans="2:32" s="3" customFormat="1" ht="14.4" hidden="1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 spans="2:32" s="3" customFormat="1" ht="14.4" hidden="1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</row>
    <row r="1151" spans="2:32" s="3" customFormat="1" ht="14.4" hidden="1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 spans="2:32" s="3" customFormat="1" ht="14.4" hidden="1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 spans="2:32" s="3" customFormat="1" ht="14.4" hidden="1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 spans="2:32" s="3" customFormat="1" ht="14.4" hidden="1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 spans="2:32" s="3" customFormat="1" ht="14.4" hidden="1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 spans="2:32" s="3" customFormat="1" ht="14.4" hidden="1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</row>
    <row r="1157" spans="2:32" s="3" customFormat="1" ht="14.4" hidden="1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</row>
    <row r="1158" spans="2:32" s="3" customFormat="1" ht="14.4" hidden="1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</row>
    <row r="1159" spans="2:32" s="3" customFormat="1" ht="14.4" hidden="1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</row>
    <row r="1160" spans="2:32" s="3" customFormat="1" ht="14.4" hidden="1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 spans="2:32" s="3" customFormat="1" ht="14.4" hidden="1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</row>
    <row r="1162" spans="2:32" s="3" customFormat="1" ht="14.4" hidden="1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 spans="2:32" s="3" customFormat="1" ht="14.4" hidden="1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</row>
    <row r="1164" spans="2:32" s="3" customFormat="1" ht="14.4" hidden="1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 spans="2:32" s="3" customFormat="1" ht="14.4" hidden="1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</row>
    <row r="1166" spans="2:32" s="3" customFormat="1" ht="14.4" hidden="1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</row>
    <row r="1167" spans="2:32" s="3" customFormat="1" ht="14.4" hidden="1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 spans="2:32" s="3" customFormat="1" ht="14.4" hidden="1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 spans="2:32" s="3" customFormat="1" ht="14.4" hidden="1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</row>
    <row r="1170" spans="2:32" s="3" customFormat="1" ht="14.4" hidden="1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 spans="2:32" s="3" customFormat="1" ht="14.4" hidden="1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</row>
    <row r="1172" spans="2:32" s="3" customFormat="1" ht="14.4" hidden="1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</row>
    <row r="1173" spans="2:32" s="3" customFormat="1" ht="14.4" hidden="1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</row>
    <row r="1174" spans="2:32" s="3" customFormat="1" ht="14.4" hidden="1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</row>
    <row r="1175" spans="2:32" s="3" customFormat="1" ht="14.4" hidden="1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 spans="2:32" s="3" customFormat="1" ht="14.4" hidden="1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 spans="2:32" s="3" customFormat="1" ht="14.4" hidden="1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</row>
    <row r="1178" spans="2:32" s="3" customFormat="1" ht="14.4" hidden="1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</row>
    <row r="1179" spans="2:32" s="3" customFormat="1" ht="14.4" hidden="1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 spans="2:32" s="3" customFormat="1" ht="14.4" hidden="1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</row>
    <row r="1181" spans="2:32" s="3" customFormat="1" ht="14.4" hidden="1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</row>
    <row r="1182" spans="2:32" s="3" customFormat="1" ht="14.4" hidden="1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</row>
    <row r="1183" spans="2:32" s="3" customFormat="1" ht="14.4" hidden="1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 spans="2:32" s="3" customFormat="1" ht="14.4" hidden="1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</row>
    <row r="1185" spans="2:32" s="3" customFormat="1" ht="14.4" hidden="1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 spans="2:32" s="3" customFormat="1" ht="14.4" hidden="1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</row>
    <row r="1187" spans="2:32" s="3" customFormat="1" ht="14.4" hidden="1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</row>
    <row r="1188" spans="2:32" s="3" customFormat="1" ht="14.4" hidden="1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</row>
    <row r="1189" spans="2:32" s="3" customFormat="1" ht="14.4" hidden="1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 spans="2:32" s="3" customFormat="1" ht="14.4" hidden="1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 spans="2:32" s="3" customFormat="1" ht="14.4" hidden="1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 spans="2:32" s="3" customFormat="1" ht="14.4" hidden="1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</row>
    <row r="1193" spans="2:32" s="3" customFormat="1" ht="14.4" hidden="1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</row>
    <row r="1194" spans="2:32" s="3" customFormat="1" ht="14.4" hidden="1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</row>
    <row r="1195" spans="2:32" s="3" customFormat="1" ht="14.4" hidden="1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</row>
    <row r="1196" spans="2:32" s="3" customFormat="1" ht="14.4" hidden="1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</row>
    <row r="1197" spans="2:32" s="3" customFormat="1" ht="14.4" hidden="1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</row>
    <row r="1198" spans="2:32" s="3" customFormat="1" ht="14.4" hidden="1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</row>
    <row r="1199" spans="2:32" s="3" customFormat="1" ht="14.4" hidden="1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</row>
    <row r="1200" spans="2:32" s="3" customFormat="1" ht="14.4" hidden="1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</row>
    <row r="1201" spans="2:32" s="3" customFormat="1" ht="14.4" hidden="1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</row>
    <row r="1202" spans="2:32" s="3" customFormat="1" ht="14.4" hidden="1" x14ac:dyDescent="0.3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</row>
    <row r="1203" spans="2:32" s="3" customFormat="1" ht="14.4" hidden="1" x14ac:dyDescent="0.3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</row>
    <row r="1204" spans="2:32" s="3" customFormat="1" ht="14.4" hidden="1" x14ac:dyDescent="0.3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 spans="2:32" s="3" customFormat="1" ht="14.4" hidden="1" x14ac:dyDescent="0.3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</row>
    <row r="1206" spans="2:32" s="3" customFormat="1" ht="14.4" hidden="1" x14ac:dyDescent="0.3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</row>
    <row r="1207" spans="2:32" s="3" customFormat="1" ht="14.4" hidden="1" x14ac:dyDescent="0.3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 spans="2:32" s="3" customFormat="1" ht="14.4" hidden="1" x14ac:dyDescent="0.3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</row>
    <row r="1209" spans="2:32" s="3" customFormat="1" ht="14.4" hidden="1" x14ac:dyDescent="0.3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</row>
    <row r="1210" spans="2:32" s="3" customFormat="1" ht="14.4" hidden="1" x14ac:dyDescent="0.3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</row>
    <row r="1211" spans="2:32" s="3" customFormat="1" ht="14.4" hidden="1" x14ac:dyDescent="0.3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 spans="2:32" s="3" customFormat="1" ht="14.4" hidden="1" x14ac:dyDescent="0.3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 spans="2:32" s="3" customFormat="1" ht="14.4" hidden="1" x14ac:dyDescent="0.3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</row>
    <row r="1214" spans="2:32" s="3" customFormat="1" ht="14.4" hidden="1" x14ac:dyDescent="0.3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</row>
    <row r="1215" spans="2:32" s="3" customFormat="1" ht="14.4" hidden="1" x14ac:dyDescent="0.3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</row>
    <row r="1216" spans="2:32" s="3" customFormat="1" ht="14.4" hidden="1" x14ac:dyDescent="0.3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 spans="2:32" s="3" customFormat="1" ht="14.4" hidden="1" x14ac:dyDescent="0.3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 spans="2:32" s="3" customFormat="1" ht="14.4" hidden="1" x14ac:dyDescent="0.3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 spans="2:32" s="3" customFormat="1" ht="14.4" hidden="1" x14ac:dyDescent="0.3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 spans="2:32" s="3" customFormat="1" ht="14.4" hidden="1" x14ac:dyDescent="0.3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</row>
    <row r="1221" spans="2:32" s="3" customFormat="1" ht="14.4" hidden="1" x14ac:dyDescent="0.3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 spans="2:32" s="3" customFormat="1" ht="14.4" hidden="1" x14ac:dyDescent="0.3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</row>
    <row r="1223" spans="2:32" s="3" customFormat="1" ht="14.4" hidden="1" x14ac:dyDescent="0.3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</row>
    <row r="1224" spans="2:32" s="3" customFormat="1" ht="14.4" hidden="1" x14ac:dyDescent="0.3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 spans="2:32" s="3" customFormat="1" ht="14.4" hidden="1" x14ac:dyDescent="0.3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 spans="2:32" s="3" customFormat="1" ht="14.4" hidden="1" x14ac:dyDescent="0.3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</row>
    <row r="1227" spans="2:32" s="3" customFormat="1" ht="14.4" hidden="1" x14ac:dyDescent="0.3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 spans="2:32" s="3" customFormat="1" ht="14.4" hidden="1" x14ac:dyDescent="0.3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 spans="2:32" s="3" customFormat="1" ht="14.4" hidden="1" x14ac:dyDescent="0.3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</row>
    <row r="1230" spans="2:32" s="3" customFormat="1" ht="14.4" hidden="1" x14ac:dyDescent="0.3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 spans="2:32" s="3" customFormat="1" ht="14.4" hidden="1" x14ac:dyDescent="0.3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</row>
    <row r="1232" spans="2:32" s="3" customFormat="1" ht="14.4" hidden="1" x14ac:dyDescent="0.3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</row>
    <row r="1233" spans="2:32" s="3" customFormat="1" ht="14.4" hidden="1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 spans="2:32" s="3" customFormat="1" ht="14.4" hidden="1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</row>
    <row r="1235" spans="2:32" s="3" customFormat="1" ht="14.4" hidden="1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</row>
    <row r="1236" spans="2:32" s="3" customFormat="1" ht="14.4" hidden="1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</row>
    <row r="1237" spans="2:32" s="3" customFormat="1" ht="14.4" hidden="1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</row>
    <row r="1238" spans="2:32" s="3" customFormat="1" ht="14.4" hidden="1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</row>
    <row r="1239" spans="2:32" s="3" customFormat="1" ht="14.4" hidden="1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 spans="2:32" s="3" customFormat="1" ht="14.4" hidden="1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 spans="2:32" s="3" customFormat="1" ht="14.4" hidden="1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</row>
    <row r="1242" spans="2:32" s="3" customFormat="1" ht="14.4" hidden="1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</row>
    <row r="1243" spans="2:32" s="3" customFormat="1" ht="14.4" hidden="1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 spans="2:32" s="3" customFormat="1" ht="14.4" hidden="1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</row>
    <row r="1245" spans="2:32" s="3" customFormat="1" ht="14.4" hidden="1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</row>
    <row r="1246" spans="2:32" s="3" customFormat="1" ht="14.4" hidden="1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</row>
    <row r="1247" spans="2:32" s="3" customFormat="1" ht="14.4" hidden="1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 spans="2:32" s="3" customFormat="1" ht="14.4" hidden="1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 spans="2:32" s="3" customFormat="1" ht="14.4" hidden="1" x14ac:dyDescent="0.3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 spans="2:32" s="3" customFormat="1" ht="14.4" hidden="1" x14ac:dyDescent="0.3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 spans="2:32" s="3" customFormat="1" ht="14.4" hidden="1" x14ac:dyDescent="0.3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 spans="2:32" s="3" customFormat="1" ht="14.4" hidden="1" x14ac:dyDescent="0.3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</row>
    <row r="1253" spans="2:32" s="3" customFormat="1" ht="14.4" hidden="1" x14ac:dyDescent="0.3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 spans="2:32" s="3" customFormat="1" ht="14.4" hidden="1" x14ac:dyDescent="0.3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 spans="2:32" s="3" customFormat="1" ht="14.4" hidden="1" x14ac:dyDescent="0.3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</row>
    <row r="1256" spans="2:32" s="3" customFormat="1" ht="14.4" hidden="1" x14ac:dyDescent="0.3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 spans="2:32" s="3" customFormat="1" ht="14.4" hidden="1" x14ac:dyDescent="0.3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</row>
    <row r="1258" spans="2:32" s="3" customFormat="1" ht="14.4" hidden="1" x14ac:dyDescent="0.3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 spans="2:32" s="3" customFormat="1" ht="14.4" hidden="1" x14ac:dyDescent="0.3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 spans="2:32" s="3" customFormat="1" ht="14.4" hidden="1" x14ac:dyDescent="0.3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</row>
    <row r="1261" spans="2:32" s="3" customFormat="1" ht="14.4" hidden="1" x14ac:dyDescent="0.3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 spans="2:32" s="3" customFormat="1" ht="14.4" hidden="1" x14ac:dyDescent="0.3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 spans="2:32" s="3" customFormat="1" ht="14.4" hidden="1" x14ac:dyDescent="0.3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</row>
    <row r="1264" spans="2:32" s="3" customFormat="1" ht="14.4" hidden="1" x14ac:dyDescent="0.3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 spans="2:32" s="3" customFormat="1" ht="14.4" hidden="1" x14ac:dyDescent="0.3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 spans="2:32" s="3" customFormat="1" ht="14.4" hidden="1" x14ac:dyDescent="0.3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</row>
    <row r="1267" spans="2:32" s="3" customFormat="1" ht="14.4" hidden="1" x14ac:dyDescent="0.3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 spans="2:32" s="3" customFormat="1" ht="14.4" hidden="1" x14ac:dyDescent="0.3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</row>
    <row r="1269" spans="2:32" s="3" customFormat="1" ht="14.4" hidden="1" x14ac:dyDescent="0.3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 spans="2:32" s="3" customFormat="1" ht="14.4" hidden="1" x14ac:dyDescent="0.3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</row>
    <row r="1271" spans="2:32" s="3" customFormat="1" ht="14.4" hidden="1" x14ac:dyDescent="0.3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 spans="2:32" s="3" customFormat="1" ht="14.4" hidden="1" x14ac:dyDescent="0.3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</row>
    <row r="1273" spans="2:32" s="3" customFormat="1" ht="14.4" hidden="1" x14ac:dyDescent="0.3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</row>
    <row r="1274" spans="2:32" s="3" customFormat="1" ht="14.4" hidden="1" x14ac:dyDescent="0.3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</row>
    <row r="1275" spans="2:32" s="3" customFormat="1" ht="14.4" hidden="1" x14ac:dyDescent="0.3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 spans="2:32" s="3" customFormat="1" ht="14.4" hidden="1" x14ac:dyDescent="0.3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 spans="2:32" s="3" customFormat="1" ht="14.4" hidden="1" x14ac:dyDescent="0.3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</row>
    <row r="1278" spans="2:32" s="3" customFormat="1" ht="14.4" hidden="1" x14ac:dyDescent="0.3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 spans="2:32" s="3" customFormat="1" ht="14.4" hidden="1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 spans="2:32" s="3" customFormat="1" ht="14.4" hidden="1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 spans="2:32" s="3" customFormat="1" ht="14.4" hidden="1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</row>
    <row r="1282" spans="2:32" s="3" customFormat="1" ht="14.4" hidden="1" x14ac:dyDescent="0.3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 spans="2:32" s="3" customFormat="1" ht="14.4" hidden="1" x14ac:dyDescent="0.3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</row>
    <row r="1284" spans="2:32" s="3" customFormat="1" ht="14.4" hidden="1" x14ac:dyDescent="0.3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</row>
    <row r="1285" spans="2:32" s="3" customFormat="1" ht="14.4" hidden="1" x14ac:dyDescent="0.3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 spans="2:32" s="3" customFormat="1" ht="14.4" hidden="1" x14ac:dyDescent="0.3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</row>
    <row r="1287" spans="2:32" s="3" customFormat="1" ht="14.4" hidden="1" x14ac:dyDescent="0.3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 spans="2:32" s="3" customFormat="1" ht="14.4" hidden="1" x14ac:dyDescent="0.3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</row>
    <row r="1289" spans="2:32" s="3" customFormat="1" ht="14.4" hidden="1" x14ac:dyDescent="0.3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</row>
    <row r="1290" spans="2:32" s="3" customFormat="1" ht="14.4" hidden="1" x14ac:dyDescent="0.3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</row>
    <row r="1291" spans="2:32" s="3" customFormat="1" ht="14.4" hidden="1" x14ac:dyDescent="0.3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</row>
    <row r="1292" spans="2:32" s="3" customFormat="1" ht="14.4" hidden="1" x14ac:dyDescent="0.3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 spans="2:32" s="3" customFormat="1" ht="14.4" hidden="1" x14ac:dyDescent="0.3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</row>
    <row r="1294" spans="2:32" s="3" customFormat="1" ht="14.4" hidden="1" x14ac:dyDescent="0.3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</row>
    <row r="1295" spans="2:32" s="3" customFormat="1" ht="14.4" hidden="1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 spans="2:32" s="3" customFormat="1" ht="14.4" hidden="1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</row>
    <row r="1297" spans="2:32" s="3" customFormat="1" ht="14.4" hidden="1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 spans="2:32" s="3" customFormat="1" ht="14.4" hidden="1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</row>
    <row r="1299" spans="2:32" s="3" customFormat="1" ht="14.4" hidden="1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</row>
    <row r="1300" spans="2:32" s="3" customFormat="1" ht="14.4" hidden="1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 spans="2:32" s="3" customFormat="1" ht="14.4" hidden="1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</row>
    <row r="1302" spans="2:32" s="3" customFormat="1" ht="14.4" hidden="1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</row>
    <row r="1303" spans="2:32" s="3" customFormat="1" ht="14.4" hidden="1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 spans="2:32" s="3" customFormat="1" ht="14.4" hidden="1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 spans="2:32" s="3" customFormat="1" ht="14.4" hidden="1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 spans="2:32" s="3" customFormat="1" ht="14.4" hidden="1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</row>
    <row r="1307" spans="2:32" s="3" customFormat="1" ht="14.4" hidden="1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 spans="2:32" s="3" customFormat="1" ht="14.4" hidden="1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</row>
    <row r="1309" spans="2:32" s="3" customFormat="1" ht="14.4" hidden="1" x14ac:dyDescent="0.3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 spans="2:32" s="3" customFormat="1" ht="14.4" hidden="1" x14ac:dyDescent="0.3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 spans="2:32" s="3" customFormat="1" ht="14.4" hidden="1" x14ac:dyDescent="0.3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</row>
    <row r="1312" spans="2:32" s="3" customFormat="1" ht="14.4" hidden="1" x14ac:dyDescent="0.3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</row>
    <row r="1313" spans="2:32" s="3" customFormat="1" ht="14.4" hidden="1" x14ac:dyDescent="0.3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 spans="2:32" s="3" customFormat="1" ht="14.4" hidden="1" x14ac:dyDescent="0.3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</row>
    <row r="1315" spans="2:32" s="3" customFormat="1" ht="14.4" hidden="1" x14ac:dyDescent="0.3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 spans="2:32" s="3" customFormat="1" ht="14.4" hidden="1" x14ac:dyDescent="0.3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</row>
    <row r="1317" spans="2:32" s="3" customFormat="1" ht="14.4" hidden="1" x14ac:dyDescent="0.3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 spans="2:32" s="3" customFormat="1" ht="14.4" hidden="1" x14ac:dyDescent="0.3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</row>
    <row r="1319" spans="2:32" s="3" customFormat="1" ht="14.4" hidden="1" x14ac:dyDescent="0.3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</row>
    <row r="1320" spans="2:32" s="3" customFormat="1" ht="14.4" hidden="1" x14ac:dyDescent="0.3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</row>
    <row r="1321" spans="2:32" s="3" customFormat="1" ht="14.4" hidden="1" x14ac:dyDescent="0.3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 spans="2:32" s="3" customFormat="1" ht="14.4" hidden="1" x14ac:dyDescent="0.3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 spans="2:32" s="3" customFormat="1" ht="14.4" hidden="1" x14ac:dyDescent="0.3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 spans="2:32" s="3" customFormat="1" ht="14.4" hidden="1" x14ac:dyDescent="0.3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 spans="2:32" s="3" customFormat="1" ht="14.4" hidden="1" x14ac:dyDescent="0.3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</row>
    <row r="1326" spans="2:32" s="3" customFormat="1" ht="14.4" hidden="1" x14ac:dyDescent="0.3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</row>
    <row r="1327" spans="2:32" s="3" customFormat="1" ht="14.4" hidden="1" x14ac:dyDescent="0.3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</row>
    <row r="1328" spans="2:32" s="3" customFormat="1" ht="14.4" hidden="1" x14ac:dyDescent="0.3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</row>
    <row r="1329" spans="2:32" s="3" customFormat="1" ht="14.4" hidden="1" x14ac:dyDescent="0.3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 spans="2:32" s="3" customFormat="1" ht="14.4" hidden="1" x14ac:dyDescent="0.3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 spans="2:32" s="3" customFormat="1" ht="14.4" hidden="1" x14ac:dyDescent="0.3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</row>
    <row r="1332" spans="2:32" s="3" customFormat="1" ht="14.4" hidden="1" x14ac:dyDescent="0.3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</row>
    <row r="1333" spans="2:32" s="3" customFormat="1" ht="14.4" hidden="1" x14ac:dyDescent="0.3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</row>
    <row r="1334" spans="2:32" s="3" customFormat="1" ht="14.4" hidden="1" x14ac:dyDescent="0.3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</row>
    <row r="1335" spans="2:32" s="3" customFormat="1" ht="14.4" hidden="1" x14ac:dyDescent="0.3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</row>
    <row r="1336" spans="2:32" s="3" customFormat="1" ht="14.4" hidden="1" x14ac:dyDescent="0.3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 spans="2:32" s="3" customFormat="1" ht="14.4" hidden="1" x14ac:dyDescent="0.3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</row>
    <row r="1338" spans="2:32" s="3" customFormat="1" ht="14.4" hidden="1" x14ac:dyDescent="0.3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 spans="2:32" s="3" customFormat="1" ht="14.4" hidden="1" x14ac:dyDescent="0.3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</row>
    <row r="1340" spans="2:32" s="3" customFormat="1" ht="14.4" hidden="1" x14ac:dyDescent="0.3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</row>
    <row r="1341" spans="2:32" s="3" customFormat="1" ht="14.4" hidden="1" x14ac:dyDescent="0.3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</row>
    <row r="1342" spans="2:32" s="3" customFormat="1" ht="14.4" hidden="1" x14ac:dyDescent="0.3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</row>
    <row r="1343" spans="2:32" s="3" customFormat="1" ht="14.4" hidden="1" x14ac:dyDescent="0.3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 spans="2:32" s="3" customFormat="1" ht="14.4" hidden="1" x14ac:dyDescent="0.3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</row>
    <row r="1345" spans="2:32" s="3" customFormat="1" ht="14.4" hidden="1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</row>
    <row r="1346" spans="2:32" s="3" customFormat="1" ht="14.4" hidden="1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 spans="2:32" s="3" customFormat="1" ht="14.4" hidden="1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</row>
    <row r="1348" spans="2:32" s="3" customFormat="1" ht="14.4" hidden="1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</row>
    <row r="1349" spans="2:32" s="3" customFormat="1" ht="14.4" hidden="1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 spans="2:32" s="3" customFormat="1" ht="14.4" hidden="1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 spans="2:32" s="3" customFormat="1" ht="14.4" hidden="1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</row>
    <row r="1352" spans="2:32" s="3" customFormat="1" ht="14.4" hidden="1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 spans="2:32" s="3" customFormat="1" ht="14.4" hidden="1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 spans="2:32" s="3" customFormat="1" ht="14.4" hidden="1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 spans="2:32" s="3" customFormat="1" ht="14.4" hidden="1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 spans="2:32" s="3" customFormat="1" ht="14.4" hidden="1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</row>
    <row r="1357" spans="2:32" s="3" customFormat="1" ht="14.4" hidden="1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 spans="2:32" s="3" customFormat="1" ht="14.4" hidden="1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</row>
    <row r="1359" spans="2:32" s="3" customFormat="1" ht="14.4" hidden="1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</row>
    <row r="1360" spans="2:32" s="3" customFormat="1" ht="14.4" hidden="1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</row>
    <row r="1361" spans="2:32" s="3" customFormat="1" ht="14.4" hidden="1" x14ac:dyDescent="0.3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</row>
    <row r="1362" spans="2:32" s="3" customFormat="1" ht="14.4" hidden="1" x14ac:dyDescent="0.3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</row>
    <row r="1363" spans="2:32" s="3" customFormat="1" ht="14.4" hidden="1" x14ac:dyDescent="0.3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</row>
    <row r="1364" spans="2:32" s="3" customFormat="1" ht="14.4" hidden="1" x14ac:dyDescent="0.3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</row>
    <row r="1365" spans="2:32" s="3" customFormat="1" ht="14.4" hidden="1" x14ac:dyDescent="0.3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 spans="2:32" s="3" customFormat="1" ht="14.4" hidden="1" x14ac:dyDescent="0.3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</row>
    <row r="1367" spans="2:32" s="3" customFormat="1" ht="14.4" hidden="1" x14ac:dyDescent="0.3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</row>
    <row r="1368" spans="2:32" s="3" customFormat="1" ht="14.4" hidden="1" x14ac:dyDescent="0.3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</row>
    <row r="1369" spans="2:32" s="3" customFormat="1" ht="14.4" hidden="1" x14ac:dyDescent="0.3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 spans="2:32" s="3" customFormat="1" ht="14.4" hidden="1" x14ac:dyDescent="0.3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 spans="2:32" s="3" customFormat="1" ht="14.4" hidden="1" x14ac:dyDescent="0.3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</row>
    <row r="1372" spans="2:32" s="3" customFormat="1" ht="14.4" hidden="1" x14ac:dyDescent="0.3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 spans="2:32" s="3" customFormat="1" ht="14.4" hidden="1" x14ac:dyDescent="0.3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 spans="2:32" s="3" customFormat="1" ht="14.4" hidden="1" x14ac:dyDescent="0.3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</row>
    <row r="1375" spans="2:32" s="3" customFormat="1" ht="14.4" hidden="1" x14ac:dyDescent="0.3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</row>
    <row r="1376" spans="2:32" s="3" customFormat="1" ht="14.4" hidden="1" x14ac:dyDescent="0.3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 spans="2:32" s="3" customFormat="1" ht="14.4" hidden="1" x14ac:dyDescent="0.3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</row>
    <row r="1378" spans="2:32" s="3" customFormat="1" ht="14.4" hidden="1" x14ac:dyDescent="0.3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</row>
    <row r="1379" spans="2:32" s="3" customFormat="1" ht="14.4" hidden="1" x14ac:dyDescent="0.3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 spans="2:32" s="3" customFormat="1" ht="14.4" hidden="1" x14ac:dyDescent="0.3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</row>
    <row r="1381" spans="2:32" s="3" customFormat="1" ht="14.4" hidden="1" x14ac:dyDescent="0.3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 spans="2:32" s="3" customFormat="1" ht="14.4" hidden="1" x14ac:dyDescent="0.3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 spans="2:32" s="3" customFormat="1" ht="14.4" hidden="1" x14ac:dyDescent="0.3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 spans="2:32" s="3" customFormat="1" ht="14.4" hidden="1" x14ac:dyDescent="0.3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 spans="2:32" s="3" customFormat="1" ht="14.4" hidden="1" x14ac:dyDescent="0.3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</row>
    <row r="1386" spans="2:32" s="3" customFormat="1" ht="14.4" hidden="1" x14ac:dyDescent="0.3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</row>
    <row r="1387" spans="2:32" s="3" customFormat="1" ht="14.4" hidden="1" x14ac:dyDescent="0.3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</row>
    <row r="1388" spans="2:32" s="3" customFormat="1" ht="14.4" hidden="1" x14ac:dyDescent="0.3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 spans="2:32" s="3" customFormat="1" ht="14.4" hidden="1" x14ac:dyDescent="0.3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</row>
    <row r="1390" spans="2:32" s="3" customFormat="1" ht="14.4" hidden="1" x14ac:dyDescent="0.3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</row>
    <row r="1391" spans="2:32" s="3" customFormat="1" ht="14.4" hidden="1" x14ac:dyDescent="0.3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 spans="2:32" s="3" customFormat="1" ht="14.4" hidden="1" x14ac:dyDescent="0.3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</row>
    <row r="1393" spans="2:32" s="3" customFormat="1" ht="14.4" hidden="1" x14ac:dyDescent="0.3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</row>
    <row r="1394" spans="2:32" s="3" customFormat="1" ht="14.4" hidden="1" x14ac:dyDescent="0.3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 spans="2:32" s="3" customFormat="1" ht="14.4" hidden="1" x14ac:dyDescent="0.3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 spans="2:32" s="3" customFormat="1" ht="14.4" hidden="1" x14ac:dyDescent="0.3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</row>
    <row r="1397" spans="2:32" s="3" customFormat="1" ht="14.4" hidden="1" x14ac:dyDescent="0.3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 spans="2:32" s="3" customFormat="1" ht="14.4" hidden="1" x14ac:dyDescent="0.3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</row>
    <row r="1399" spans="2:32" s="3" customFormat="1" ht="14.4" hidden="1" x14ac:dyDescent="0.3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</row>
    <row r="1400" spans="2:32" s="3" customFormat="1" ht="14.4" hidden="1" x14ac:dyDescent="0.3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</row>
    <row r="1401" spans="2:32" s="3" customFormat="1" ht="14.4" hidden="1" x14ac:dyDescent="0.3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</row>
    <row r="1402" spans="2:32" s="3" customFormat="1" ht="14.4" hidden="1" x14ac:dyDescent="0.3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 spans="2:32" s="3" customFormat="1" ht="14.4" hidden="1" x14ac:dyDescent="0.3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</row>
    <row r="1404" spans="2:32" s="3" customFormat="1" ht="14.4" hidden="1" x14ac:dyDescent="0.3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</row>
    <row r="1405" spans="2:32" s="3" customFormat="1" ht="14.4" hidden="1" x14ac:dyDescent="0.3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 spans="2:32" s="3" customFormat="1" ht="14.4" hidden="1" x14ac:dyDescent="0.3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 spans="2:32" s="3" customFormat="1" ht="14.4" hidden="1" x14ac:dyDescent="0.3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</row>
    <row r="1408" spans="2:32" s="3" customFormat="1" ht="14.4" hidden="1" x14ac:dyDescent="0.3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 spans="2:32" s="3" customFormat="1" ht="14.4" hidden="1" x14ac:dyDescent="0.3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</row>
    <row r="1410" spans="2:32" s="3" customFormat="1" ht="14.4" hidden="1" x14ac:dyDescent="0.3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</row>
    <row r="1411" spans="2:32" s="3" customFormat="1" ht="14.4" hidden="1" x14ac:dyDescent="0.3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</row>
    <row r="1412" spans="2:32" s="3" customFormat="1" ht="14.4" hidden="1" x14ac:dyDescent="0.3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 spans="2:32" s="3" customFormat="1" ht="14.4" hidden="1" x14ac:dyDescent="0.3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 spans="2:32" s="3" customFormat="1" ht="14.4" hidden="1" x14ac:dyDescent="0.3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</row>
    <row r="1415" spans="2:32" s="3" customFormat="1" ht="14.4" hidden="1" x14ac:dyDescent="0.3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 spans="2:32" s="3" customFormat="1" ht="14.4" hidden="1" x14ac:dyDescent="0.3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 spans="2:32" s="3" customFormat="1" ht="14.4" hidden="1" x14ac:dyDescent="0.3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 spans="2:32" s="3" customFormat="1" ht="14.4" hidden="1" x14ac:dyDescent="0.3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 spans="2:32" s="3" customFormat="1" ht="14.4" hidden="1" x14ac:dyDescent="0.3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 spans="2:32" s="3" customFormat="1" ht="14.4" hidden="1" x14ac:dyDescent="0.3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</row>
    <row r="1421" spans="2:32" s="3" customFormat="1" ht="14.4" hidden="1" x14ac:dyDescent="0.3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</row>
    <row r="1422" spans="2:32" s="3" customFormat="1" ht="14.4" hidden="1" x14ac:dyDescent="0.3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</row>
    <row r="1423" spans="2:32" s="3" customFormat="1" ht="14.4" hidden="1" x14ac:dyDescent="0.3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</row>
    <row r="1424" spans="2:32" s="3" customFormat="1" ht="14.4" hidden="1" x14ac:dyDescent="0.3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 spans="2:32" s="3" customFormat="1" ht="14.4" hidden="1" x14ac:dyDescent="0.3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</row>
    <row r="1426" spans="2:32" s="3" customFormat="1" ht="14.4" hidden="1" x14ac:dyDescent="0.3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</row>
    <row r="1427" spans="2:32" s="3" customFormat="1" ht="14.4" hidden="1" x14ac:dyDescent="0.3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</row>
    <row r="1428" spans="2:32" s="3" customFormat="1" ht="14.4" hidden="1" x14ac:dyDescent="0.3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</row>
    <row r="1429" spans="2:32" s="3" customFormat="1" ht="14.4" hidden="1" x14ac:dyDescent="0.3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</row>
    <row r="1430" spans="2:32" s="3" customFormat="1" ht="14.4" hidden="1" x14ac:dyDescent="0.3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 spans="2:32" s="3" customFormat="1" ht="14.4" hidden="1" x14ac:dyDescent="0.3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</row>
    <row r="1432" spans="2:32" s="3" customFormat="1" ht="14.4" hidden="1" x14ac:dyDescent="0.3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 spans="2:32" s="3" customFormat="1" ht="14.4" hidden="1" x14ac:dyDescent="0.3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</row>
    <row r="1434" spans="2:32" s="3" customFormat="1" ht="14.4" hidden="1" x14ac:dyDescent="0.3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 spans="2:32" s="3" customFormat="1" ht="14.4" hidden="1" x14ac:dyDescent="0.3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</row>
    <row r="1436" spans="2:32" s="3" customFormat="1" ht="14.4" hidden="1" x14ac:dyDescent="0.3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</row>
    <row r="1437" spans="2:32" s="3" customFormat="1" ht="14.4" hidden="1" x14ac:dyDescent="0.3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 spans="2:32" s="3" customFormat="1" ht="14.4" hidden="1" x14ac:dyDescent="0.3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</row>
    <row r="1439" spans="2:32" s="3" customFormat="1" ht="14.4" hidden="1" x14ac:dyDescent="0.3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 spans="2:32" s="3" customFormat="1" ht="14.4" hidden="1" x14ac:dyDescent="0.3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</row>
    <row r="1441" spans="2:32" s="3" customFormat="1" ht="14.4" hidden="1" x14ac:dyDescent="0.3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</row>
    <row r="1442" spans="2:32" s="3" customFormat="1" ht="14.4" hidden="1" x14ac:dyDescent="0.3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</row>
    <row r="1443" spans="2:32" s="3" customFormat="1" ht="14.4" hidden="1" x14ac:dyDescent="0.3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</row>
    <row r="1444" spans="2:32" s="3" customFormat="1" ht="14.4" hidden="1" x14ac:dyDescent="0.3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 spans="2:32" s="3" customFormat="1" ht="14.4" hidden="1" x14ac:dyDescent="0.3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 spans="2:32" s="3" customFormat="1" ht="14.4" hidden="1" x14ac:dyDescent="0.3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 spans="2:32" s="3" customFormat="1" ht="14.4" hidden="1" x14ac:dyDescent="0.3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 spans="2:32" s="3" customFormat="1" ht="14.4" hidden="1" x14ac:dyDescent="0.3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 spans="2:32" s="3" customFormat="1" ht="14.4" hidden="1" x14ac:dyDescent="0.3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</row>
    <row r="1450" spans="2:32" s="3" customFormat="1" ht="14.4" hidden="1" x14ac:dyDescent="0.3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 spans="2:32" s="3" customFormat="1" ht="14.4" hidden="1" x14ac:dyDescent="0.3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 spans="2:32" s="3" customFormat="1" ht="14.4" hidden="1" x14ac:dyDescent="0.3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</row>
    <row r="1453" spans="2:32" s="3" customFormat="1" ht="14.4" hidden="1" x14ac:dyDescent="0.3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</row>
    <row r="1454" spans="2:32" s="3" customFormat="1" ht="14.4" hidden="1" x14ac:dyDescent="0.3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</row>
    <row r="1455" spans="2:32" s="3" customFormat="1" ht="14.4" hidden="1" x14ac:dyDescent="0.3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 spans="2:32" s="3" customFormat="1" ht="14.4" hidden="1" x14ac:dyDescent="0.3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 spans="2:32" s="3" customFormat="1" ht="14.4" hidden="1" x14ac:dyDescent="0.3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</row>
    <row r="1458" spans="2:32" s="3" customFormat="1" ht="14.4" hidden="1" x14ac:dyDescent="0.3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 spans="2:32" s="3" customFormat="1" ht="14.4" hidden="1" x14ac:dyDescent="0.3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</row>
    <row r="1460" spans="2:32" s="3" customFormat="1" ht="14.4" hidden="1" x14ac:dyDescent="0.3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</row>
    <row r="1461" spans="2:32" s="3" customFormat="1" ht="14.4" hidden="1" x14ac:dyDescent="0.3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</row>
    <row r="1462" spans="2:32" s="3" customFormat="1" ht="14.4" hidden="1" x14ac:dyDescent="0.3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 spans="2:32" s="3" customFormat="1" ht="14.4" hidden="1" x14ac:dyDescent="0.3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</row>
    <row r="1464" spans="2:32" s="3" customFormat="1" ht="14.4" hidden="1" x14ac:dyDescent="0.3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 spans="2:32" s="3" customFormat="1" ht="14.4" hidden="1" x14ac:dyDescent="0.3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</row>
    <row r="1466" spans="2:32" s="3" customFormat="1" ht="14.4" hidden="1" x14ac:dyDescent="0.3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 spans="2:32" s="3" customFormat="1" ht="14.4" hidden="1" x14ac:dyDescent="0.3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</row>
    <row r="1468" spans="2:32" s="3" customFormat="1" ht="14.4" hidden="1" x14ac:dyDescent="0.3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</row>
    <row r="1469" spans="2:32" s="3" customFormat="1" ht="14.4" hidden="1" x14ac:dyDescent="0.3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 spans="2:32" s="3" customFormat="1" ht="14.4" hidden="1" x14ac:dyDescent="0.3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 spans="2:32" s="3" customFormat="1" ht="14.4" hidden="1" x14ac:dyDescent="0.3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 spans="2:32" s="3" customFormat="1" ht="14.4" hidden="1" x14ac:dyDescent="0.3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</row>
    <row r="1473" spans="2:32" s="3" customFormat="1" ht="14.4" hidden="1" x14ac:dyDescent="0.3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</row>
    <row r="1474" spans="2:32" s="3" customFormat="1" ht="14.4" hidden="1" x14ac:dyDescent="0.3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 spans="2:32" s="3" customFormat="1" ht="14.4" hidden="1" x14ac:dyDescent="0.3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</row>
    <row r="1476" spans="2:32" s="3" customFormat="1" ht="14.4" hidden="1" x14ac:dyDescent="0.3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 spans="2:32" s="3" customFormat="1" ht="14.4" hidden="1" x14ac:dyDescent="0.3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 spans="2:32" s="3" customFormat="1" ht="14.4" hidden="1" x14ac:dyDescent="0.3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</row>
    <row r="1479" spans="2:32" s="3" customFormat="1" ht="14.4" hidden="1" x14ac:dyDescent="0.3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</row>
    <row r="1480" spans="2:32" s="3" customFormat="1" ht="14.4" hidden="1" x14ac:dyDescent="0.3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 spans="2:32" s="3" customFormat="1" ht="14.4" hidden="1" x14ac:dyDescent="0.3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 spans="2:32" s="3" customFormat="1" ht="14.4" hidden="1" x14ac:dyDescent="0.3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</row>
    <row r="1483" spans="2:32" s="3" customFormat="1" ht="14.4" hidden="1" x14ac:dyDescent="0.3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 spans="2:32" s="3" customFormat="1" ht="14.4" hidden="1" x14ac:dyDescent="0.3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</row>
    <row r="1485" spans="2:32" s="3" customFormat="1" ht="14.4" hidden="1" x14ac:dyDescent="0.3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 spans="2:32" s="3" customFormat="1" ht="14.4" hidden="1" x14ac:dyDescent="0.3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</row>
    <row r="1487" spans="2:32" s="3" customFormat="1" ht="14.4" hidden="1" x14ac:dyDescent="0.3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</row>
    <row r="1488" spans="2:32" s="3" customFormat="1" ht="14.4" hidden="1" x14ac:dyDescent="0.3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</row>
    <row r="1489" spans="2:32" s="3" customFormat="1" ht="14.4" hidden="1" x14ac:dyDescent="0.3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</row>
    <row r="1490" spans="2:32" s="3" customFormat="1" ht="14.4" hidden="1" x14ac:dyDescent="0.3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</row>
    <row r="1491" spans="2:32" s="3" customFormat="1" ht="14.4" hidden="1" x14ac:dyDescent="0.3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</row>
    <row r="1492" spans="2:32" s="3" customFormat="1" ht="14.4" hidden="1" x14ac:dyDescent="0.3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</row>
    <row r="1493" spans="2:32" s="3" customFormat="1" ht="14.4" hidden="1" x14ac:dyDescent="0.3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 spans="2:32" s="3" customFormat="1" ht="14.4" hidden="1" x14ac:dyDescent="0.3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</row>
    <row r="1495" spans="2:32" s="3" customFormat="1" ht="14.4" hidden="1" x14ac:dyDescent="0.3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</row>
    <row r="1496" spans="2:32" s="3" customFormat="1" ht="14.4" hidden="1" x14ac:dyDescent="0.3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</row>
    <row r="1497" spans="2:32" s="3" customFormat="1" ht="14.4" hidden="1" x14ac:dyDescent="0.3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</row>
    <row r="1498" spans="2:32" s="3" customFormat="1" ht="14.4" hidden="1" x14ac:dyDescent="0.3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</row>
    <row r="1499" spans="2:32" s="3" customFormat="1" ht="15" hidden="1" customHeight="1" x14ac:dyDescent="0.3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</row>
    <row r="1500" spans="2:32" s="3" customFormat="1" ht="15" hidden="1" customHeight="1" x14ac:dyDescent="0.3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</row>
    <row r="1501" spans="2:32" s="3" customFormat="1" ht="15" hidden="1" customHeight="1" x14ac:dyDescent="0.3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 spans="2:32" s="3" customFormat="1" ht="15" hidden="1" customHeight="1" x14ac:dyDescent="0.3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 spans="2:32" s="3" customFormat="1" ht="15" hidden="1" customHeight="1" x14ac:dyDescent="0.3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</row>
    <row r="1504" spans="2:32" s="3" customFormat="1" ht="15" hidden="1" customHeight="1" x14ac:dyDescent="0.3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</row>
    <row r="1505" spans="2:32" s="3" customFormat="1" ht="15" hidden="1" customHeight="1" x14ac:dyDescent="0.3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 spans="2:32" s="3" customFormat="1" ht="15" hidden="1" customHeight="1" x14ac:dyDescent="0.3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</row>
    <row r="1507" spans="2:32" s="3" customFormat="1" ht="15" hidden="1" customHeight="1" x14ac:dyDescent="0.3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 spans="2:32" s="3" customFormat="1" ht="15" hidden="1" customHeight="1" x14ac:dyDescent="0.3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</row>
    <row r="1509" spans="2:32" s="3" customFormat="1" ht="15" hidden="1" customHeight="1" x14ac:dyDescent="0.3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</row>
    <row r="1510" spans="2:32" s="3" customFormat="1" ht="15" hidden="1" customHeight="1" x14ac:dyDescent="0.3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</row>
    <row r="1511" spans="2:32" s="3" customFormat="1" ht="15" hidden="1" customHeight="1" x14ac:dyDescent="0.3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 spans="2:32" s="3" customFormat="1" ht="15" hidden="1" customHeight="1" x14ac:dyDescent="0.3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 spans="2:32" s="3" customFormat="1" ht="15" hidden="1" customHeight="1" x14ac:dyDescent="0.3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 spans="2:32" s="3" customFormat="1" ht="15" hidden="1" customHeight="1" x14ac:dyDescent="0.3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 spans="2:32" s="3" customFormat="1" ht="15" hidden="1" customHeight="1" x14ac:dyDescent="0.3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</row>
    <row r="1516" spans="2:32" s="3" customFormat="1" ht="15" hidden="1" customHeight="1" x14ac:dyDescent="0.3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</row>
    <row r="1517" spans="2:32" s="3" customFormat="1" ht="15" hidden="1" customHeight="1" x14ac:dyDescent="0.3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</row>
    <row r="1518" spans="2:32" s="3" customFormat="1" ht="15" hidden="1" customHeight="1" x14ac:dyDescent="0.3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 spans="2:32" s="3" customFormat="1" ht="15" hidden="1" customHeight="1" x14ac:dyDescent="0.3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 spans="2:32" s="3" customFormat="1" ht="15" hidden="1" customHeight="1" x14ac:dyDescent="0.3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</row>
    <row r="1521" spans="2:32" s="3" customFormat="1" ht="15" hidden="1" customHeight="1" x14ac:dyDescent="0.3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 spans="2:32" s="3" customFormat="1" ht="15" hidden="1" customHeight="1" x14ac:dyDescent="0.3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 spans="2:32" s="3" customFormat="1" ht="15" hidden="1" customHeight="1" x14ac:dyDescent="0.3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</row>
    <row r="1524" spans="2:32" s="3" customFormat="1" ht="15" hidden="1" customHeight="1" x14ac:dyDescent="0.3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</row>
    <row r="1525" spans="2:32" s="3" customFormat="1" ht="15" hidden="1" customHeight="1" x14ac:dyDescent="0.3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</row>
    <row r="1526" spans="2:32" s="3" customFormat="1" ht="15" hidden="1" customHeight="1" x14ac:dyDescent="0.3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</row>
    <row r="1527" spans="2:32" s="3" customFormat="1" ht="15" hidden="1" customHeight="1" x14ac:dyDescent="0.3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</row>
    <row r="1528" spans="2:32" s="3" customFormat="1" ht="15" hidden="1" customHeight="1" x14ac:dyDescent="0.3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</row>
    <row r="1529" spans="2:32" s="3" customFormat="1" ht="15" hidden="1" customHeight="1" x14ac:dyDescent="0.3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</row>
    <row r="1530" spans="2:32" s="3" customFormat="1" ht="15" hidden="1" customHeight="1" x14ac:dyDescent="0.3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</row>
    <row r="1531" spans="2:32" s="3" customFormat="1" ht="15" hidden="1" customHeight="1" x14ac:dyDescent="0.3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 spans="2:32" s="3" customFormat="1" ht="15" hidden="1" customHeight="1" x14ac:dyDescent="0.3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</row>
    <row r="1533" spans="2:32" s="3" customFormat="1" ht="15" hidden="1" customHeight="1" x14ac:dyDescent="0.3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</row>
    <row r="1534" spans="2:32" s="3" customFormat="1" ht="15" hidden="1" customHeight="1" x14ac:dyDescent="0.3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</row>
    <row r="1535" spans="2:32" s="3" customFormat="1" ht="15" hidden="1" customHeight="1" x14ac:dyDescent="0.3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 spans="2:32" s="3" customFormat="1" ht="15" hidden="1" customHeight="1" x14ac:dyDescent="0.3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</row>
    <row r="1537" spans="2:32" s="3" customFormat="1" ht="15" hidden="1" customHeight="1" x14ac:dyDescent="0.3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 spans="2:32" s="3" customFormat="1" ht="15" hidden="1" customHeight="1" x14ac:dyDescent="0.3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</row>
    <row r="1539" spans="2:32" s="3" customFormat="1" ht="15" hidden="1" customHeight="1" x14ac:dyDescent="0.3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 spans="2:32" s="3" customFormat="1" ht="15" hidden="1" customHeight="1" x14ac:dyDescent="0.3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 spans="2:32" s="3" customFormat="1" ht="15" hidden="1" customHeight="1" x14ac:dyDescent="0.3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</row>
    <row r="1542" spans="2:32" s="3" customFormat="1" ht="15" hidden="1" customHeight="1" x14ac:dyDescent="0.3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 spans="2:32" s="3" customFormat="1" ht="15" hidden="1" customHeight="1" x14ac:dyDescent="0.3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</row>
    <row r="1544" spans="2:32" s="3" customFormat="1" ht="15" hidden="1" customHeight="1" x14ac:dyDescent="0.3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</row>
    <row r="1545" spans="2:32" s="3" customFormat="1" ht="15" hidden="1" customHeight="1" x14ac:dyDescent="0.3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</row>
    <row r="1546" spans="2:32" s="3" customFormat="1" ht="15" hidden="1" customHeight="1" x14ac:dyDescent="0.3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</row>
    <row r="1547" spans="2:32" s="3" customFormat="1" ht="15" hidden="1" customHeight="1" x14ac:dyDescent="0.3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</row>
    <row r="1548" spans="2:32" s="3" customFormat="1" ht="15" hidden="1" customHeight="1" x14ac:dyDescent="0.3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</row>
    <row r="1549" spans="2:32" s="3" customFormat="1" ht="15" hidden="1" customHeight="1" x14ac:dyDescent="0.3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</row>
    <row r="1550" spans="2:32" s="3" customFormat="1" ht="15" hidden="1" customHeight="1" x14ac:dyDescent="0.3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</row>
    <row r="1551" spans="2:32" s="3" customFormat="1" ht="15" hidden="1" customHeight="1" x14ac:dyDescent="0.3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</row>
    <row r="1552" spans="2:32" s="3" customFormat="1" ht="15" hidden="1" customHeight="1" x14ac:dyDescent="0.3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</row>
    <row r="1553" spans="2:32" s="3" customFormat="1" ht="15" hidden="1" customHeight="1" x14ac:dyDescent="0.3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</row>
    <row r="1554" spans="2:32" s="3" customFormat="1" ht="15" hidden="1" customHeight="1" x14ac:dyDescent="0.3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 spans="2:32" s="3" customFormat="1" ht="15" hidden="1" customHeight="1" x14ac:dyDescent="0.3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</row>
    <row r="1556" spans="2:32" s="3" customFormat="1" ht="15" hidden="1" customHeight="1" x14ac:dyDescent="0.3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 spans="2:32" s="3" customFormat="1" ht="15" hidden="1" customHeight="1" x14ac:dyDescent="0.3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</row>
    <row r="1558" spans="2:32" s="3" customFormat="1" ht="15" hidden="1" customHeight="1" x14ac:dyDescent="0.3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</row>
    <row r="1559" spans="2:32" s="3" customFormat="1" ht="15" hidden="1" customHeight="1" x14ac:dyDescent="0.3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 spans="2:32" s="3" customFormat="1" ht="15" hidden="1" customHeight="1" x14ac:dyDescent="0.3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</row>
    <row r="1561" spans="2:32" s="3" customFormat="1" ht="15" hidden="1" customHeight="1" x14ac:dyDescent="0.3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</row>
    <row r="1562" spans="2:32" s="3" customFormat="1" ht="15" hidden="1" customHeight="1" x14ac:dyDescent="0.3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 spans="2:32" s="3" customFormat="1" ht="15" hidden="1" customHeight="1" x14ac:dyDescent="0.3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</row>
    <row r="1564" spans="2:32" ht="15" hidden="1" customHeight="1" x14ac:dyDescent="0.3"/>
    <row r="1565" spans="2:32" ht="15" hidden="1" customHeight="1" x14ac:dyDescent="0.3"/>
    <row r="1566" spans="2:32" ht="15" hidden="1" customHeight="1" x14ac:dyDescent="0.3"/>
    <row r="1567" spans="2:32" ht="15" hidden="1" customHeight="1" x14ac:dyDescent="0.3"/>
    <row r="1568" spans="2:32" ht="15" hidden="1" customHeight="1" x14ac:dyDescent="0.3"/>
    <row r="1569" ht="15" hidden="1" customHeight="1" x14ac:dyDescent="0.3"/>
    <row r="1570" ht="15" hidden="1" customHeight="1" x14ac:dyDescent="0.3"/>
    <row r="1571" ht="15" hidden="1" customHeight="1" x14ac:dyDescent="0.3"/>
    <row r="1572" ht="15" hidden="1" customHeight="1" x14ac:dyDescent="0.3"/>
    <row r="1573" ht="15" hidden="1" customHeight="1" x14ac:dyDescent="0.3"/>
    <row r="1574" ht="15" hidden="1" customHeight="1" x14ac:dyDescent="0.3"/>
    <row r="1575" ht="15" hidden="1" customHeight="1" x14ac:dyDescent="0.3"/>
    <row r="1576" ht="15" hidden="1" customHeight="1" x14ac:dyDescent="0.3"/>
    <row r="1577" ht="15" hidden="1" customHeight="1" x14ac:dyDescent="0.3"/>
    <row r="1578" ht="15" hidden="1" customHeight="1" x14ac:dyDescent="0.3"/>
    <row r="1579" ht="15" hidden="1" customHeight="1" x14ac:dyDescent="0.3"/>
    <row r="1580" ht="15" hidden="1" customHeight="1" x14ac:dyDescent="0.3"/>
    <row r="1581" ht="15" hidden="1" customHeight="1" x14ac:dyDescent="0.3"/>
    <row r="1582" ht="15" hidden="1" customHeight="1" x14ac:dyDescent="0.3"/>
    <row r="1583" ht="15" hidden="1" customHeight="1" x14ac:dyDescent="0.3"/>
    <row r="1584" ht="15" hidden="1" customHeight="1" x14ac:dyDescent="0.3"/>
    <row r="1585" ht="15" hidden="1" customHeight="1" x14ac:dyDescent="0.3"/>
    <row r="1586" ht="15" hidden="1" customHeight="1" x14ac:dyDescent="0.3"/>
    <row r="1587" ht="15" hidden="1" customHeight="1" x14ac:dyDescent="0.3"/>
    <row r="1588" ht="15" hidden="1" customHeight="1" x14ac:dyDescent="0.3"/>
    <row r="1589" ht="15" hidden="1" customHeight="1" x14ac:dyDescent="0.3"/>
    <row r="1590" ht="15" hidden="1" customHeight="1" x14ac:dyDescent="0.3"/>
    <row r="1591" ht="15" hidden="1" customHeight="1" x14ac:dyDescent="0.3"/>
    <row r="1592" ht="15" hidden="1" customHeight="1" x14ac:dyDescent="0.3"/>
    <row r="1593" ht="15" hidden="1" customHeight="1" x14ac:dyDescent="0.3"/>
    <row r="1594" ht="15" hidden="1" customHeight="1" x14ac:dyDescent="0.3"/>
    <row r="1595" ht="15" hidden="1" customHeight="1" x14ac:dyDescent="0.3"/>
    <row r="1596" ht="15" hidden="1" customHeight="1" x14ac:dyDescent="0.3"/>
    <row r="1597" ht="15" hidden="1" customHeight="1" x14ac:dyDescent="0.3"/>
    <row r="1598" ht="15" hidden="1" customHeight="1" x14ac:dyDescent="0.3"/>
    <row r="1599" ht="15" hidden="1" customHeight="1" x14ac:dyDescent="0.3"/>
    <row r="1600" ht="15" hidden="1" customHeight="1" x14ac:dyDescent="0.3"/>
    <row r="1601" ht="15" hidden="1" customHeight="1" x14ac:dyDescent="0.3"/>
    <row r="1602" ht="15" hidden="1" customHeight="1" x14ac:dyDescent="0.3"/>
    <row r="1603" ht="15" hidden="1" customHeight="1" x14ac:dyDescent="0.3"/>
    <row r="1604" ht="15" hidden="1" customHeight="1" x14ac:dyDescent="0.3"/>
    <row r="1605" ht="15" hidden="1" customHeight="1" x14ac:dyDescent="0.3"/>
    <row r="1606" ht="15" hidden="1" customHeight="1" x14ac:dyDescent="0.3"/>
    <row r="1607" ht="15" hidden="1" customHeight="1" x14ac:dyDescent="0.3"/>
    <row r="1608" ht="15" hidden="1" customHeight="1" x14ac:dyDescent="0.3"/>
    <row r="1609" ht="15" hidden="1" customHeight="1" x14ac:dyDescent="0.3"/>
    <row r="1610" ht="15" hidden="1" customHeight="1" x14ac:dyDescent="0.3"/>
    <row r="1611" ht="15" hidden="1" customHeight="1" x14ac:dyDescent="0.3"/>
    <row r="1612" ht="15" hidden="1" customHeight="1" x14ac:dyDescent="0.3"/>
    <row r="1613" ht="15" hidden="1" customHeight="1" x14ac:dyDescent="0.3"/>
    <row r="1614" ht="15" hidden="1" customHeight="1" x14ac:dyDescent="0.3"/>
    <row r="1615" ht="15" hidden="1" customHeight="1" x14ac:dyDescent="0.3"/>
    <row r="1616" ht="15" hidden="1" customHeight="1" x14ac:dyDescent="0.3"/>
  </sheetData>
  <mergeCells count="8">
    <mergeCell ref="B9:B10"/>
    <mergeCell ref="B26:B27"/>
    <mergeCell ref="C54:C55"/>
    <mergeCell ref="D54:D55"/>
    <mergeCell ref="E54:E55"/>
    <mergeCell ref="C45:C46"/>
    <mergeCell ref="D45:D46"/>
    <mergeCell ref="E45:E4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N38"/>
  <sheetViews>
    <sheetView showGridLines="0" zoomScale="90" zoomScaleNormal="90" workbookViewId="0"/>
  </sheetViews>
  <sheetFormatPr defaultColWidth="0" defaultRowHeight="0" customHeight="1" zeroHeight="1" x14ac:dyDescent="0.3"/>
  <cols>
    <col min="1" max="1" width="3.5546875" style="3" customWidth="1"/>
    <col min="2" max="2" width="54.77734375" bestFit="1" customWidth="1"/>
    <col min="3" max="8" width="25.5546875" customWidth="1"/>
    <col min="9" max="9" width="3.77734375" customWidth="1"/>
    <col min="10" max="11" width="0" hidden="1" customWidth="1"/>
    <col min="12" max="16384" width="9" hidden="1"/>
  </cols>
  <sheetData>
    <row r="1" spans="1:14" ht="14.4" x14ac:dyDescent="0.3">
      <c r="A1" s="9"/>
      <c r="B1" s="10"/>
      <c r="C1" s="10"/>
      <c r="D1" s="10"/>
      <c r="E1" s="10"/>
      <c r="F1" s="10"/>
      <c r="G1" s="10"/>
      <c r="H1" s="10"/>
      <c r="I1" s="10"/>
    </row>
    <row r="2" spans="1:14" ht="14.4" x14ac:dyDescent="0.3">
      <c r="A2" s="9"/>
      <c r="B2" s="10"/>
      <c r="C2" s="10"/>
      <c r="D2" s="10"/>
      <c r="E2" s="10"/>
      <c r="F2" s="10"/>
      <c r="G2" s="10"/>
      <c r="H2" s="10"/>
      <c r="I2" s="10"/>
    </row>
    <row r="3" spans="1:14" ht="14.4" x14ac:dyDescent="0.3">
      <c r="A3" s="9"/>
      <c r="B3" s="10"/>
      <c r="C3" s="10"/>
      <c r="D3" s="10"/>
      <c r="E3" s="10"/>
      <c r="F3" s="10"/>
      <c r="G3" s="10"/>
      <c r="H3" s="10"/>
      <c r="I3" s="10"/>
    </row>
    <row r="4" spans="1:14" ht="14.4" x14ac:dyDescent="0.3">
      <c r="A4" s="9"/>
      <c r="B4" s="10"/>
      <c r="C4" s="10"/>
      <c r="D4" s="10"/>
      <c r="E4" s="10"/>
      <c r="F4" s="10"/>
      <c r="G4" s="10"/>
      <c r="H4" s="10"/>
      <c r="I4" s="10"/>
    </row>
    <row r="5" spans="1:14" ht="3" customHeight="1" x14ac:dyDescent="0.3">
      <c r="A5" s="1"/>
      <c r="B5" s="2"/>
      <c r="C5" s="2"/>
      <c r="D5" s="2"/>
      <c r="E5" s="2"/>
      <c r="F5" s="2"/>
      <c r="G5" s="2"/>
      <c r="H5" s="2"/>
      <c r="I5" s="2"/>
    </row>
    <row r="6" spans="1:14" ht="14.4" x14ac:dyDescent="0.3">
      <c r="E6" s="144"/>
      <c r="H6" s="144"/>
    </row>
    <row r="7" spans="1:14" ht="14.4" x14ac:dyDescent="0.3">
      <c r="A7" s="44"/>
      <c r="B7" s="66" t="s">
        <v>1061</v>
      </c>
      <c r="C7" s="50"/>
      <c r="D7" s="46"/>
      <c r="E7" s="50"/>
      <c r="F7" s="50"/>
      <c r="G7" s="50"/>
      <c r="H7" s="50"/>
      <c r="I7" s="50"/>
    </row>
    <row r="8" spans="1:14" ht="5.0999999999999996" customHeight="1" x14ac:dyDescent="0.3">
      <c r="B8" s="46"/>
      <c r="C8" s="46"/>
      <c r="D8" s="46"/>
      <c r="E8" s="46"/>
      <c r="F8" s="46"/>
      <c r="G8" s="46"/>
      <c r="H8" s="46"/>
      <c r="I8" s="46"/>
      <c r="J8" s="50"/>
      <c r="N8" s="7"/>
    </row>
    <row r="9" spans="1:14" ht="14.4" x14ac:dyDescent="0.3">
      <c r="A9" s="44"/>
      <c r="B9" s="155" t="s">
        <v>1</v>
      </c>
      <c r="C9" s="123" t="s">
        <v>1051</v>
      </c>
      <c r="D9" s="123"/>
      <c r="E9" s="135"/>
      <c r="F9" s="123" t="s">
        <v>1054</v>
      </c>
      <c r="G9" s="123"/>
      <c r="H9" s="135"/>
      <c r="I9" s="46"/>
    </row>
    <row r="10" spans="1:14" ht="26.4" x14ac:dyDescent="0.3">
      <c r="A10" s="44"/>
      <c r="B10" s="156"/>
      <c r="C10" s="121" t="s">
        <v>4</v>
      </c>
      <c r="D10" s="121" t="s">
        <v>71</v>
      </c>
      <c r="E10" s="121" t="s">
        <v>73</v>
      </c>
      <c r="F10" s="121" t="s">
        <v>4</v>
      </c>
      <c r="G10" s="121" t="s">
        <v>71</v>
      </c>
      <c r="H10" s="121" t="s">
        <v>73</v>
      </c>
      <c r="I10" s="46"/>
    </row>
    <row r="11" spans="1:14" ht="14.4" x14ac:dyDescent="0.3">
      <c r="A11" s="44"/>
      <c r="B11" s="60" t="s">
        <v>87</v>
      </c>
      <c r="C11" s="85">
        <f>+SUM(C12:C14)</f>
        <v>101493.70361210304</v>
      </c>
      <c r="D11" s="84">
        <f>+C11/$C$19</f>
        <v>0.19373358406592964</v>
      </c>
      <c r="E11" s="85">
        <f>+SUM(E12:E14)</f>
        <v>1942205.65383</v>
      </c>
      <c r="F11" s="85">
        <f>+SUM(F12:F14)</f>
        <v>63065.376693776481</v>
      </c>
      <c r="G11" s="84">
        <f>+F11/$F$19</f>
        <v>9.420311789635849E-2</v>
      </c>
      <c r="H11" s="85">
        <f>+SUM(H12:H14)</f>
        <v>1925106.4383339998</v>
      </c>
      <c r="I11" s="46"/>
    </row>
    <row r="12" spans="1:14" ht="14.4" x14ac:dyDescent="0.3">
      <c r="A12" s="44"/>
      <c r="B12" s="61" t="s">
        <v>96</v>
      </c>
      <c r="C12" s="87">
        <v>1373.47432507289</v>
      </c>
      <c r="D12" s="86">
        <f>+C12/$C$11</f>
        <v>1.3532606222767737E-2</v>
      </c>
      <c r="E12" s="87">
        <v>70446.820292999997</v>
      </c>
      <c r="F12" s="87">
        <v>921.39085796519998</v>
      </c>
      <c r="G12" s="86">
        <f>+F12/$F$11</f>
        <v>1.4610090453263338E-2</v>
      </c>
      <c r="H12" s="87">
        <v>52501.017570999997</v>
      </c>
      <c r="I12" s="46"/>
    </row>
    <row r="13" spans="1:14" ht="14.4" x14ac:dyDescent="0.3">
      <c r="A13" s="44"/>
      <c r="B13" s="61" t="s">
        <v>97</v>
      </c>
      <c r="C13" s="87">
        <v>93533.439008000903</v>
      </c>
      <c r="D13" s="86">
        <f>+C13/$C$11</f>
        <v>0.9215688823956476</v>
      </c>
      <c r="E13" s="87">
        <v>1871758.833537</v>
      </c>
      <c r="F13" s="87">
        <v>58360.523544484102</v>
      </c>
      <c r="G13" s="86">
        <f>+F13/$F$11</f>
        <v>0.92539720848513263</v>
      </c>
      <c r="H13" s="87">
        <v>1872605.4207629999</v>
      </c>
      <c r="I13" s="46"/>
    </row>
    <row r="14" spans="1:14" ht="14.4" x14ac:dyDescent="0.3">
      <c r="A14" s="44"/>
      <c r="B14" s="61" t="s">
        <v>98</v>
      </c>
      <c r="C14" s="87">
        <v>6586.7902790292501</v>
      </c>
      <c r="D14" s="86">
        <f>+C14/$C$11</f>
        <v>6.4898511381584673E-2</v>
      </c>
      <c r="E14" s="88">
        <v>0</v>
      </c>
      <c r="F14" s="87">
        <v>3783.4622913271801</v>
      </c>
      <c r="G14" s="86">
        <f>+F14/$F$11</f>
        <v>5.9992701061603995E-2</v>
      </c>
      <c r="H14" s="88">
        <v>0</v>
      </c>
      <c r="I14" s="46"/>
    </row>
    <row r="15" spans="1:14" ht="14.4" x14ac:dyDescent="0.3">
      <c r="A15" s="44"/>
      <c r="B15" s="63" t="s">
        <v>15</v>
      </c>
      <c r="C15" s="85">
        <f>+SUM(C16:C18)</f>
        <v>422389.15387719858</v>
      </c>
      <c r="D15" s="84">
        <f>+C15/$C$19</f>
        <v>0.80626641593407045</v>
      </c>
      <c r="E15" s="85">
        <f>+SUM(E16:E18)</f>
        <v>29537918.270373002</v>
      </c>
      <c r="F15" s="85">
        <f>+SUM(F16:F18)</f>
        <v>606396.29402460146</v>
      </c>
      <c r="G15" s="84">
        <f>+F15/$F$19</f>
        <v>0.90579688210364151</v>
      </c>
      <c r="H15" s="85">
        <f>+SUM(H16:H18)</f>
        <v>29537890.429427002</v>
      </c>
      <c r="I15" s="46"/>
    </row>
    <row r="16" spans="1:14" ht="14.4" x14ac:dyDescent="0.3">
      <c r="A16" s="44"/>
      <c r="B16" s="61" t="s">
        <v>96</v>
      </c>
      <c r="C16" s="87">
        <v>87350.829258739497</v>
      </c>
      <c r="D16" s="86">
        <f>+C16/$C$15</f>
        <v>0.20680178090968465</v>
      </c>
      <c r="E16" s="87">
        <v>9226649.7947729994</v>
      </c>
      <c r="F16" s="87">
        <v>136344.46334082101</v>
      </c>
      <c r="G16" s="86">
        <f>+F16/$F$15</f>
        <v>0.22484382685770424</v>
      </c>
      <c r="H16" s="87">
        <v>8249588.1614300003</v>
      </c>
      <c r="I16" s="46"/>
    </row>
    <row r="17" spans="1:9" ht="14.4" x14ac:dyDescent="0.3">
      <c r="A17" s="44"/>
      <c r="B17" s="61" t="s">
        <v>97</v>
      </c>
      <c r="C17" s="87">
        <v>317322.74944347702</v>
      </c>
      <c r="D17" s="86">
        <f>+C17/$C$15</f>
        <v>0.75125686000860814</v>
      </c>
      <c r="E17" s="87">
        <v>20311268.4756</v>
      </c>
      <c r="F17" s="87">
        <v>446630.58524442901</v>
      </c>
      <c r="G17" s="86">
        <f>+F17/$F$15</f>
        <v>0.73653251123976893</v>
      </c>
      <c r="H17" s="87">
        <v>21288302.267997</v>
      </c>
      <c r="I17" s="46"/>
    </row>
    <row r="18" spans="1:9" ht="14.4" x14ac:dyDescent="0.3">
      <c r="A18" s="44"/>
      <c r="B18" s="61" t="s">
        <v>98</v>
      </c>
      <c r="C18" s="87">
        <v>17715.575174982099</v>
      </c>
      <c r="D18" s="86">
        <f>+C18/$C$15</f>
        <v>4.1941359081707284E-2</v>
      </c>
      <c r="E18" s="88">
        <v>0</v>
      </c>
      <c r="F18" s="87">
        <v>23421.245439351402</v>
      </c>
      <c r="G18" s="86">
        <f>+F18/$F$15</f>
        <v>3.8623661902526737E-2</v>
      </c>
      <c r="H18" s="88">
        <v>0</v>
      </c>
      <c r="I18" s="46"/>
    </row>
    <row r="19" spans="1:9" s="3" customFormat="1" ht="14.4" x14ac:dyDescent="0.3">
      <c r="A19" s="44"/>
      <c r="B19" s="75" t="s">
        <v>20</v>
      </c>
      <c r="C19" s="90">
        <f>+C15+C11</f>
        <v>523882.85748930159</v>
      </c>
      <c r="D19" s="89">
        <f>+D11+D15</f>
        <v>1</v>
      </c>
      <c r="E19" s="90">
        <f>+E11+E15</f>
        <v>31480123.924203001</v>
      </c>
      <c r="F19" s="90">
        <f>+F15+F11</f>
        <v>669461.67071837792</v>
      </c>
      <c r="G19" s="89">
        <f>+G11+G15</f>
        <v>1</v>
      </c>
      <c r="H19" s="90">
        <f>+H11+H15</f>
        <v>31462996.867761001</v>
      </c>
      <c r="I19" s="46"/>
    </row>
    <row r="20" spans="1:9" s="3" customFormat="1" ht="14.4" x14ac:dyDescent="0.3">
      <c r="A20" s="44"/>
      <c r="B20" s="44"/>
      <c r="C20" s="44"/>
      <c r="D20" s="44"/>
      <c r="E20" s="44"/>
      <c r="F20" s="44"/>
      <c r="G20" s="44"/>
      <c r="H20" s="44"/>
      <c r="I20" s="44"/>
    </row>
    <row r="21" spans="1:9" s="3" customFormat="1" ht="14.4" hidden="1" x14ac:dyDescent="0.3">
      <c r="A21" s="44"/>
      <c r="B21" s="44"/>
      <c r="C21" s="44"/>
      <c r="D21" s="44"/>
      <c r="E21" s="44"/>
      <c r="F21" s="44"/>
      <c r="G21" s="44"/>
      <c r="H21" s="44"/>
      <c r="I21" s="44"/>
    </row>
    <row r="22" spans="1:9" s="3" customFormat="1" ht="14.4" hidden="1" x14ac:dyDescent="0.3">
      <c r="B22" s="7"/>
      <c r="C22" s="7"/>
      <c r="D22"/>
      <c r="E22"/>
      <c r="F22"/>
      <c r="G22"/>
      <c r="H22"/>
      <c r="I22"/>
    </row>
    <row r="23" spans="1:9" s="3" customFormat="1" ht="14.4" hidden="1" x14ac:dyDescent="0.3">
      <c r="B23" s="7"/>
      <c r="C23" s="7"/>
      <c r="D23"/>
      <c r="E23"/>
      <c r="F23"/>
      <c r="G23"/>
      <c r="H23"/>
      <c r="I23"/>
    </row>
    <row r="24" spans="1:9" s="3" customFormat="1" ht="14.4" hidden="1" x14ac:dyDescent="0.3">
      <c r="D24"/>
      <c r="E24"/>
      <c r="F24"/>
      <c r="G24"/>
      <c r="H24"/>
      <c r="I24"/>
    </row>
    <row r="25" spans="1:9" s="3" customFormat="1" ht="14.4" hidden="1" x14ac:dyDescent="0.3">
      <c r="D25"/>
      <c r="E25"/>
      <c r="F25"/>
      <c r="G25"/>
      <c r="H25"/>
      <c r="I25"/>
    </row>
    <row r="26" spans="1:9" s="3" customFormat="1" ht="14.4" hidden="1" x14ac:dyDescent="0.3">
      <c r="D26"/>
      <c r="E26"/>
      <c r="F26"/>
      <c r="G26"/>
      <c r="H26"/>
      <c r="I26"/>
    </row>
    <row r="27" spans="1:9" s="3" customFormat="1" ht="14.4" hidden="1" x14ac:dyDescent="0.3">
      <c r="D27"/>
      <c r="E27"/>
      <c r="F27"/>
      <c r="G27"/>
      <c r="H27"/>
      <c r="I27"/>
    </row>
    <row r="28" spans="1:9" s="3" customFormat="1" ht="14.4" hidden="1" x14ac:dyDescent="0.3">
      <c r="D28" s="5"/>
      <c r="E28" s="5"/>
      <c r="F28" s="5"/>
      <c r="G28" s="5"/>
      <c r="H28" s="5"/>
      <c r="I28"/>
    </row>
    <row r="29" spans="1:9" s="3" customFormat="1" ht="14.4" hidden="1" x14ac:dyDescent="0.3">
      <c r="D29"/>
      <c r="E29"/>
      <c r="F29"/>
      <c r="G29"/>
      <c r="H29"/>
      <c r="I29"/>
    </row>
    <row r="30" spans="1:9" s="3" customFormat="1" ht="14.4" hidden="1" x14ac:dyDescent="0.3">
      <c r="D30"/>
      <c r="E30"/>
      <c r="F30"/>
      <c r="G30"/>
      <c r="H30"/>
      <c r="I30"/>
    </row>
    <row r="31" spans="1:9" s="3" customFormat="1" ht="14.4" hidden="1" x14ac:dyDescent="0.3">
      <c r="D31"/>
      <c r="E31"/>
      <c r="F31"/>
      <c r="G31"/>
      <c r="H31"/>
      <c r="I31"/>
    </row>
    <row r="32" spans="1:9" s="3" customFormat="1" ht="14.4" hidden="1" x14ac:dyDescent="0.3">
      <c r="D32"/>
      <c r="E32"/>
      <c r="F32"/>
      <c r="G32"/>
      <c r="H32"/>
      <c r="I32"/>
    </row>
    <row r="33" spans="2:9" s="3" customFormat="1" ht="14.4" hidden="1" x14ac:dyDescent="0.3">
      <c r="D33"/>
      <c r="E33"/>
      <c r="F33"/>
      <c r="G33"/>
      <c r="H33"/>
      <c r="I33"/>
    </row>
    <row r="34" spans="2:9" s="3" customFormat="1" ht="14.4" hidden="1" x14ac:dyDescent="0.3"/>
    <row r="35" spans="2:9" s="3" customFormat="1" ht="14.4" hidden="1" x14ac:dyDescent="0.3">
      <c r="B35" s="16"/>
    </row>
    <row r="36" spans="2:9" s="3" customFormat="1" ht="14.4" hidden="1" x14ac:dyDescent="0.3">
      <c r="B36" s="16"/>
    </row>
    <row r="37" spans="2:9" s="3" customFormat="1" ht="14.4" hidden="1" x14ac:dyDescent="0.3">
      <c r="B37" s="16"/>
    </row>
    <row r="38" spans="2:9" s="3" customFormat="1" ht="14.4" hidden="1" x14ac:dyDescent="0.3"/>
  </sheetData>
  <mergeCells count="1">
    <mergeCell ref="B9:B1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X45"/>
  <sheetViews>
    <sheetView showGridLines="0" zoomScale="90" zoomScaleNormal="90" workbookViewId="0"/>
  </sheetViews>
  <sheetFormatPr defaultColWidth="0" defaultRowHeight="0" customHeight="1" zeroHeight="1" x14ac:dyDescent="0.3"/>
  <cols>
    <col min="1" max="1" width="3.5546875" customWidth="1"/>
    <col min="2" max="2" width="30.109375" bestFit="1" customWidth="1"/>
    <col min="3" max="3" width="47.33203125" bestFit="1" customWidth="1"/>
    <col min="4" max="7" width="23.109375" customWidth="1"/>
    <col min="8" max="8" width="3.77734375" customWidth="1"/>
    <col min="9" max="12" width="23.109375" hidden="1" customWidth="1"/>
    <col min="13" max="13" width="19.33203125" hidden="1" customWidth="1"/>
    <col min="14" max="50" width="0" hidden="1" customWidth="1"/>
    <col min="51" max="16384" width="9.109375" hidden="1"/>
  </cols>
  <sheetData>
    <row r="1" spans="1:13" ht="14.4" x14ac:dyDescent="0.3">
      <c r="A1" s="10"/>
      <c r="B1" s="10"/>
      <c r="C1" s="10"/>
      <c r="D1" s="10"/>
      <c r="E1" s="10"/>
      <c r="F1" s="10"/>
      <c r="G1" s="10"/>
      <c r="H1" s="10"/>
    </row>
    <row r="2" spans="1:13" ht="14.4" x14ac:dyDescent="0.3">
      <c r="A2" s="10"/>
      <c r="B2" s="10"/>
      <c r="C2" s="10"/>
      <c r="D2" s="10"/>
      <c r="E2" s="10"/>
      <c r="F2" s="10"/>
      <c r="G2" s="10"/>
      <c r="H2" s="10"/>
    </row>
    <row r="3" spans="1:13" ht="14.4" x14ac:dyDescent="0.3">
      <c r="A3" s="10"/>
      <c r="B3" s="10"/>
      <c r="C3" s="10"/>
      <c r="D3" s="10"/>
      <c r="E3" s="10"/>
      <c r="F3" s="10"/>
      <c r="G3" s="10"/>
      <c r="H3" s="10"/>
    </row>
    <row r="4" spans="1:13" ht="14.4" x14ac:dyDescent="0.3">
      <c r="A4" s="10"/>
      <c r="B4" s="10"/>
      <c r="C4" s="10"/>
      <c r="D4" s="10"/>
      <c r="E4" s="10"/>
      <c r="F4" s="10"/>
      <c r="G4" s="10"/>
      <c r="H4" s="10"/>
    </row>
    <row r="5" spans="1:13" ht="3" customHeight="1" x14ac:dyDescent="0.3">
      <c r="A5" s="2"/>
      <c r="B5" s="2"/>
      <c r="C5" s="2"/>
      <c r="D5" s="2"/>
      <c r="E5" s="2"/>
      <c r="F5" s="2"/>
      <c r="G5" s="2"/>
      <c r="H5" s="2"/>
    </row>
    <row r="6" spans="1:13" ht="14.4" x14ac:dyDescent="0.3">
      <c r="A6" s="46"/>
      <c r="B6" s="46"/>
      <c r="C6" s="46"/>
      <c r="D6" s="46"/>
      <c r="E6" s="46"/>
      <c r="F6" s="46"/>
      <c r="G6" s="46"/>
      <c r="H6" s="46"/>
    </row>
    <row r="7" spans="1:13" ht="14.4" x14ac:dyDescent="0.3">
      <c r="A7" s="46"/>
      <c r="B7" s="66" t="s">
        <v>99</v>
      </c>
      <c r="C7" s="46"/>
      <c r="D7" s="79"/>
      <c r="E7" s="79"/>
      <c r="F7" s="79"/>
      <c r="G7" s="79"/>
      <c r="H7" s="79"/>
      <c r="I7" s="8"/>
      <c r="J7" s="8"/>
      <c r="K7" s="8"/>
      <c r="L7" s="8"/>
    </row>
    <row r="8" spans="1:13" ht="5.0999999999999996" customHeight="1" x14ac:dyDescent="0.3">
      <c r="A8" s="46"/>
      <c r="B8" s="91"/>
      <c r="C8" s="46"/>
      <c r="D8" s="79"/>
      <c r="E8" s="79"/>
      <c r="F8" s="79"/>
      <c r="G8" s="79"/>
      <c r="H8" s="79"/>
      <c r="I8" s="8"/>
      <c r="J8" s="8"/>
      <c r="K8" s="8"/>
      <c r="L8" s="8"/>
    </row>
    <row r="9" spans="1:13" ht="15" customHeight="1" x14ac:dyDescent="0.3">
      <c r="A9" s="46"/>
      <c r="B9" s="164" t="s">
        <v>47</v>
      </c>
      <c r="C9" s="166" t="s">
        <v>48</v>
      </c>
      <c r="D9" s="123" t="s">
        <v>1055</v>
      </c>
      <c r="E9" s="123"/>
      <c r="F9" s="123" t="s">
        <v>1054</v>
      </c>
      <c r="G9" s="123"/>
      <c r="H9" s="45"/>
      <c r="I9" s="6" t="s">
        <v>21</v>
      </c>
      <c r="J9" s="6" t="s">
        <v>72</v>
      </c>
      <c r="K9" s="6" t="s">
        <v>22</v>
      </c>
      <c r="L9" s="6" t="s">
        <v>34</v>
      </c>
    </row>
    <row r="10" spans="1:13" ht="26.4" x14ac:dyDescent="0.3">
      <c r="A10" s="46"/>
      <c r="B10" s="165"/>
      <c r="C10" s="167"/>
      <c r="D10" s="121" t="s">
        <v>49</v>
      </c>
      <c r="E10" s="121" t="s">
        <v>4</v>
      </c>
      <c r="F10" s="121" t="s">
        <v>49</v>
      </c>
      <c r="G10" s="121" t="s">
        <v>4</v>
      </c>
      <c r="H10" s="45"/>
      <c r="I10" s="6"/>
      <c r="J10" s="6"/>
      <c r="K10" s="6"/>
      <c r="L10" s="6"/>
    </row>
    <row r="11" spans="1:13" ht="14.4" x14ac:dyDescent="0.3">
      <c r="A11" s="46"/>
      <c r="B11" s="60" t="s">
        <v>6</v>
      </c>
      <c r="C11" s="60"/>
      <c r="D11" s="111">
        <f>+SUM(D12:D23)</f>
        <v>1268433200.2038963</v>
      </c>
      <c r="E11" s="115">
        <f>+SUM(E12:E23)</f>
        <v>101493.70361210295</v>
      </c>
      <c r="F11" s="111">
        <f>+SUM(F12:F23)</f>
        <v>1244805208.2503812</v>
      </c>
      <c r="G11" s="115">
        <f>+SUM(G12:G23)</f>
        <v>63065.376693776321</v>
      </c>
      <c r="H11" s="92"/>
      <c r="I11" s="17"/>
      <c r="J11" s="19"/>
      <c r="K11" s="17"/>
      <c r="L11" s="20"/>
    </row>
    <row r="12" spans="1:13" ht="14.4" x14ac:dyDescent="0.3">
      <c r="A12" s="46"/>
      <c r="B12" s="113" t="s">
        <v>50</v>
      </c>
      <c r="C12" s="93" t="s">
        <v>14</v>
      </c>
      <c r="D12" s="94">
        <v>270519775.68547583</v>
      </c>
      <c r="E12" s="95">
        <v>1973.4670278839997</v>
      </c>
      <c r="F12" s="94">
        <v>270519775.68547511</v>
      </c>
      <c r="G12" s="95">
        <v>2880.1699349217001</v>
      </c>
      <c r="H12" s="96"/>
      <c r="I12" s="13"/>
      <c r="J12" s="15"/>
      <c r="K12" s="17"/>
      <c r="L12" s="14"/>
      <c r="M12" s="11"/>
    </row>
    <row r="13" spans="1:13" ht="14.4" x14ac:dyDescent="0.3">
      <c r="A13" s="46"/>
      <c r="B13" s="113" t="s">
        <v>53</v>
      </c>
      <c r="C13" s="93" t="s">
        <v>54</v>
      </c>
      <c r="D13" s="94">
        <v>768419655.9825716</v>
      </c>
      <c r="E13" s="95">
        <v>74086.172066157582</v>
      </c>
      <c r="F13" s="94">
        <v>745787116.14905727</v>
      </c>
      <c r="G13" s="95">
        <v>43714.922443045143</v>
      </c>
      <c r="H13" s="96"/>
      <c r="I13" s="13"/>
      <c r="J13" s="15"/>
      <c r="K13" s="17"/>
      <c r="L13" s="14"/>
      <c r="M13" s="11"/>
    </row>
    <row r="14" spans="1:13" ht="14.4" x14ac:dyDescent="0.3">
      <c r="A14" s="46"/>
      <c r="B14" s="113" t="s">
        <v>57</v>
      </c>
      <c r="C14" s="93" t="s">
        <v>58</v>
      </c>
      <c r="D14" s="94">
        <v>51259020.896774501</v>
      </c>
      <c r="E14" s="95">
        <v>1872.3189417357098</v>
      </c>
      <c r="F14" s="94">
        <v>51259020.896774516</v>
      </c>
      <c r="G14" s="95">
        <v>1099.722579591617</v>
      </c>
      <c r="H14" s="96"/>
      <c r="I14" s="13"/>
      <c r="J14" s="15"/>
      <c r="K14" s="17"/>
      <c r="L14" s="14"/>
      <c r="M14" s="11"/>
    </row>
    <row r="15" spans="1:13" ht="14.4" x14ac:dyDescent="0.3">
      <c r="A15" s="46"/>
      <c r="B15" s="113" t="s">
        <v>55</v>
      </c>
      <c r="C15" s="93" t="s">
        <v>56</v>
      </c>
      <c r="D15" s="94">
        <v>72170592.36901933</v>
      </c>
      <c r="E15" s="95">
        <v>5046.5420163981289</v>
      </c>
      <c r="F15" s="94">
        <v>71175140.24901934</v>
      </c>
      <c r="G15" s="95">
        <v>3054.5494679302201</v>
      </c>
      <c r="H15" s="96"/>
      <c r="I15" s="13"/>
      <c r="J15" s="15"/>
      <c r="K15" s="17"/>
      <c r="L15" s="14"/>
      <c r="M15" s="11"/>
    </row>
    <row r="16" spans="1:13" ht="14.4" x14ac:dyDescent="0.3">
      <c r="A16" s="46"/>
      <c r="B16" s="113" t="s">
        <v>59</v>
      </c>
      <c r="C16" s="93" t="s">
        <v>60</v>
      </c>
      <c r="D16" s="94">
        <v>11356426.32426165</v>
      </c>
      <c r="E16" s="95">
        <v>2000.4610982921599</v>
      </c>
      <c r="F16" s="94">
        <v>11356426.32426165</v>
      </c>
      <c r="G16" s="95">
        <v>1323.1734927073601</v>
      </c>
      <c r="H16" s="96"/>
      <c r="I16" s="13"/>
      <c r="J16" s="15"/>
      <c r="K16" s="17"/>
      <c r="L16" s="14"/>
      <c r="M16" s="11"/>
    </row>
    <row r="17" spans="1:13" ht="14.4" x14ac:dyDescent="0.3">
      <c r="A17" s="46"/>
      <c r="B17" s="113" t="s">
        <v>51</v>
      </c>
      <c r="C17" s="93" t="s">
        <v>52</v>
      </c>
      <c r="D17" s="94">
        <v>4653702.9365585204</v>
      </c>
      <c r="E17" s="95">
        <v>15713.767928926749</v>
      </c>
      <c r="F17" s="94">
        <v>4653702.9365585204</v>
      </c>
      <c r="G17" s="95">
        <v>10463.188099978981</v>
      </c>
      <c r="H17" s="96"/>
      <c r="I17" s="13"/>
      <c r="J17" s="15"/>
      <c r="K17" s="17"/>
      <c r="L17" s="14"/>
      <c r="M17" s="11"/>
    </row>
    <row r="18" spans="1:13" ht="14.4" x14ac:dyDescent="0.3">
      <c r="A18" s="46"/>
      <c r="B18" s="113" t="s">
        <v>62</v>
      </c>
      <c r="C18" s="93" t="s">
        <v>63</v>
      </c>
      <c r="D18" s="94">
        <v>33574396.072054505</v>
      </c>
      <c r="E18" s="95">
        <v>391.23661558174302</v>
      </c>
      <c r="F18" s="94">
        <v>33574396.072054505</v>
      </c>
      <c r="G18" s="95">
        <v>251.538986819706</v>
      </c>
      <c r="H18" s="96"/>
      <c r="I18" s="13"/>
      <c r="J18" s="15"/>
      <c r="K18" s="17"/>
      <c r="L18" s="14"/>
      <c r="M18" s="11"/>
    </row>
    <row r="19" spans="1:13" ht="14.4" x14ac:dyDescent="0.3">
      <c r="A19" s="46"/>
      <c r="B19" s="113" t="s">
        <v>64</v>
      </c>
      <c r="C19" s="93" t="s">
        <v>65</v>
      </c>
      <c r="D19" s="101">
        <v>194.52</v>
      </c>
      <c r="E19" s="95">
        <v>1.2009535199999999E-2</v>
      </c>
      <c r="F19" s="101">
        <v>194.52</v>
      </c>
      <c r="G19" s="95">
        <v>6.4869033599999999E-3</v>
      </c>
      <c r="H19" s="96"/>
      <c r="I19" s="13"/>
      <c r="J19" s="15"/>
      <c r="K19" s="17"/>
      <c r="L19" s="14"/>
      <c r="M19" s="11"/>
    </row>
    <row r="20" spans="1:13" ht="14.4" x14ac:dyDescent="0.3">
      <c r="A20" s="46"/>
      <c r="B20" s="113">
        <v>11</v>
      </c>
      <c r="C20" s="93" t="s">
        <v>61</v>
      </c>
      <c r="D20" s="94">
        <v>9810905.6400000006</v>
      </c>
      <c r="E20" s="95">
        <v>260.57460130752702</v>
      </c>
      <c r="F20" s="94">
        <v>9810905.6400000006</v>
      </c>
      <c r="G20" s="95">
        <v>197.540412896433</v>
      </c>
      <c r="H20" s="96"/>
      <c r="I20" s="13"/>
      <c r="J20" s="15"/>
      <c r="K20" s="17"/>
      <c r="L20" s="14"/>
      <c r="M20" s="11"/>
    </row>
    <row r="21" spans="1:13" ht="14.55" customHeight="1" x14ac:dyDescent="0.3">
      <c r="A21" s="46"/>
      <c r="B21" s="113" t="s">
        <v>66</v>
      </c>
      <c r="C21" s="93" t="s">
        <v>67</v>
      </c>
      <c r="D21" s="94">
        <v>408890.18718012102</v>
      </c>
      <c r="E21" s="95">
        <v>1.00872072916E-2</v>
      </c>
      <c r="F21" s="94">
        <v>408890.18718012102</v>
      </c>
      <c r="G21" s="95">
        <v>6.7441422125999999E-3</v>
      </c>
      <c r="H21" s="96"/>
      <c r="I21" s="13"/>
      <c r="J21" s="15"/>
      <c r="K21" s="17"/>
      <c r="L21" s="13"/>
      <c r="M21" s="11"/>
    </row>
    <row r="22" spans="1:13" ht="14.55" customHeight="1" x14ac:dyDescent="0.3">
      <c r="A22" s="46"/>
      <c r="B22" s="113" t="s">
        <v>1048</v>
      </c>
      <c r="C22" s="93"/>
      <c r="D22" s="94">
        <v>18148277.66</v>
      </c>
      <c r="E22" s="95">
        <v>149.14121907685001</v>
      </c>
      <c r="F22" s="94">
        <v>18148277.66</v>
      </c>
      <c r="G22" s="95">
        <v>80.558044839580006</v>
      </c>
      <c r="H22" s="96"/>
      <c r="I22" s="13"/>
      <c r="J22" s="15"/>
      <c r="K22" s="17"/>
      <c r="L22" s="13"/>
      <c r="M22" s="11"/>
    </row>
    <row r="23" spans="1:13" ht="14.55" customHeight="1" x14ac:dyDescent="0.3">
      <c r="A23" s="46"/>
      <c r="B23" s="113" t="s">
        <v>68</v>
      </c>
      <c r="C23" s="93"/>
      <c r="D23" s="94">
        <v>28111361.93</v>
      </c>
      <c r="E23" s="112">
        <v>0</v>
      </c>
      <c r="F23" s="94">
        <v>28111361.93</v>
      </c>
      <c r="G23" s="112">
        <v>0</v>
      </c>
      <c r="H23" s="96"/>
      <c r="I23" s="13"/>
      <c r="J23" s="15"/>
      <c r="K23" s="17"/>
      <c r="L23" s="13"/>
      <c r="M23" s="11"/>
    </row>
    <row r="24" spans="1:13" ht="14.55" customHeight="1" x14ac:dyDescent="0.3">
      <c r="A24" s="46"/>
      <c r="B24" s="60" t="s">
        <v>91</v>
      </c>
      <c r="C24" s="60"/>
      <c r="D24" s="111">
        <v>4630704.3861011006</v>
      </c>
      <c r="E24" s="117">
        <v>0</v>
      </c>
      <c r="F24" s="111">
        <v>28258696.33961549</v>
      </c>
      <c r="G24" s="117">
        <v>0</v>
      </c>
      <c r="H24" s="96"/>
      <c r="I24" s="13"/>
      <c r="J24" s="15"/>
      <c r="K24" s="17"/>
      <c r="L24" s="13"/>
      <c r="M24" s="11"/>
    </row>
    <row r="25" spans="1:13" ht="14.55" customHeight="1" x14ac:dyDescent="0.3">
      <c r="A25" s="46"/>
      <c r="B25" s="75" t="s">
        <v>20</v>
      </c>
      <c r="C25" s="75"/>
      <c r="D25" s="110">
        <f>+D24+D11</f>
        <v>1273063904.5899973</v>
      </c>
      <c r="E25" s="114">
        <f>+E24+E11</f>
        <v>101493.70361210295</v>
      </c>
      <c r="F25" s="110">
        <f>+F24+F11</f>
        <v>1273063904.5899968</v>
      </c>
      <c r="G25" s="114">
        <f>+G24+G11</f>
        <v>63065.376693776321</v>
      </c>
      <c r="H25" s="97"/>
      <c r="I25" s="18"/>
      <c r="J25" s="22"/>
      <c r="K25" s="17"/>
      <c r="L25" s="18"/>
      <c r="M25" s="11"/>
    </row>
    <row r="26" spans="1:13" ht="5.0999999999999996" customHeight="1" x14ac:dyDescent="0.3">
      <c r="A26" s="46"/>
      <c r="B26" s="46"/>
      <c r="C26" s="46"/>
      <c r="D26" s="46"/>
      <c r="E26" s="46"/>
      <c r="F26" s="46"/>
      <c r="G26" s="46"/>
      <c r="H26" s="98"/>
      <c r="I26" s="13"/>
      <c r="J26" s="15"/>
      <c r="K26" s="17"/>
      <c r="L26" s="13"/>
      <c r="M26" s="11"/>
    </row>
    <row r="27" spans="1:13" ht="14.4" x14ac:dyDescent="0.3">
      <c r="A27" s="46"/>
      <c r="B27" s="99"/>
      <c r="C27" s="99"/>
      <c r="D27" s="96"/>
      <c r="E27" s="96"/>
      <c r="F27" s="96"/>
      <c r="G27" s="96"/>
      <c r="H27" s="96"/>
      <c r="I27" s="13"/>
      <c r="J27" s="15"/>
      <c r="K27" s="17"/>
      <c r="L27" s="13"/>
    </row>
    <row r="28" spans="1:13" ht="14.4" x14ac:dyDescent="0.3">
      <c r="A28" s="46"/>
      <c r="B28" s="66" t="s">
        <v>100</v>
      </c>
      <c r="C28" s="46"/>
      <c r="D28" s="79"/>
      <c r="E28" s="79"/>
      <c r="F28" s="79"/>
      <c r="G28" s="79"/>
      <c r="H28" s="79"/>
      <c r="I28" s="23"/>
      <c r="J28" s="22"/>
      <c r="K28" s="17"/>
      <c r="L28" s="23"/>
    </row>
    <row r="29" spans="1:13" ht="5.0999999999999996" customHeight="1" x14ac:dyDescent="0.3">
      <c r="A29" s="46"/>
      <c r="B29" s="91"/>
      <c r="C29" s="46"/>
      <c r="D29" s="79"/>
      <c r="E29" s="79"/>
      <c r="F29" s="79"/>
      <c r="G29" s="79"/>
      <c r="H29" s="79"/>
      <c r="I29" s="23"/>
      <c r="J29" s="22"/>
      <c r="K29" s="17"/>
      <c r="L29" s="23"/>
    </row>
    <row r="30" spans="1:13" ht="15" customHeight="1" x14ac:dyDescent="0.3">
      <c r="A30" s="46"/>
      <c r="B30" s="164" t="s">
        <v>47</v>
      </c>
      <c r="C30" s="166" t="s">
        <v>48</v>
      </c>
      <c r="D30" s="123" t="s">
        <v>1055</v>
      </c>
      <c r="E30" s="123"/>
      <c r="F30" s="123" t="s">
        <v>1054</v>
      </c>
      <c r="G30" s="123"/>
      <c r="H30" s="100"/>
      <c r="I30" s="24"/>
      <c r="J30" s="25"/>
      <c r="K30" s="17"/>
      <c r="L30" s="24"/>
    </row>
    <row r="31" spans="1:13" ht="26.4" x14ac:dyDescent="0.3">
      <c r="A31" s="46"/>
      <c r="B31" s="165"/>
      <c r="C31" s="167"/>
      <c r="D31" s="121" t="s">
        <v>49</v>
      </c>
      <c r="E31" s="121" t="s">
        <v>4</v>
      </c>
      <c r="F31" s="121" t="s">
        <v>49</v>
      </c>
      <c r="G31" s="121" t="s">
        <v>4</v>
      </c>
      <c r="H31" s="100"/>
      <c r="I31" s="24"/>
      <c r="J31" s="25"/>
      <c r="K31" s="17"/>
      <c r="L31" s="24"/>
    </row>
    <row r="32" spans="1:13" ht="14.55" customHeight="1" x14ac:dyDescent="0.3">
      <c r="A32" s="46"/>
      <c r="B32" s="60" t="s">
        <v>69</v>
      </c>
      <c r="C32" s="60"/>
      <c r="D32" s="111">
        <f>+SUM(D33:D42)</f>
        <v>23304179575.039009</v>
      </c>
      <c r="E32" s="115">
        <f>+SUM(E33:E42)</f>
        <v>422389.15387719951</v>
      </c>
      <c r="F32" s="111">
        <f>+SUM(F33:F42)</f>
        <v>23304157790.489109</v>
      </c>
      <c r="G32" s="115">
        <f>+SUM(G33:G42)</f>
        <v>606396.29402460146</v>
      </c>
      <c r="H32" s="92"/>
      <c r="I32" s="17"/>
      <c r="J32" s="19"/>
      <c r="K32" s="17"/>
      <c r="L32" s="20"/>
    </row>
    <row r="33" spans="1:13" ht="14.55" customHeight="1" x14ac:dyDescent="0.3">
      <c r="A33" s="46"/>
      <c r="B33" s="113" t="s">
        <v>50</v>
      </c>
      <c r="C33" s="93" t="s">
        <v>14</v>
      </c>
      <c r="D33" s="94">
        <v>23225311624.988224</v>
      </c>
      <c r="E33" s="95">
        <v>396765.99809017859</v>
      </c>
      <c r="F33" s="94">
        <v>23225311624.988323</v>
      </c>
      <c r="G33" s="95">
        <v>591303.22211958037</v>
      </c>
      <c r="H33" s="96"/>
      <c r="I33" s="13"/>
      <c r="J33" s="15"/>
      <c r="K33" s="17"/>
      <c r="L33" s="14"/>
    </row>
    <row r="34" spans="1:13" ht="14.4" x14ac:dyDescent="0.3">
      <c r="A34" s="46"/>
      <c r="B34" s="113" t="s">
        <v>53</v>
      </c>
      <c r="C34" s="93" t="s">
        <v>54</v>
      </c>
      <c r="D34" s="94">
        <v>30591558.00241933</v>
      </c>
      <c r="E34" s="95">
        <v>19066.796236959239</v>
      </c>
      <c r="F34" s="94">
        <v>30569773.452419333</v>
      </c>
      <c r="G34" s="95">
        <v>11017.153518518267</v>
      </c>
      <c r="H34" s="96"/>
      <c r="I34" s="13"/>
      <c r="J34" s="15"/>
      <c r="K34" s="17"/>
      <c r="L34" s="14"/>
    </row>
    <row r="35" spans="1:13" ht="14.4" x14ac:dyDescent="0.3">
      <c r="A35" s="46"/>
      <c r="B35" s="113" t="s">
        <v>57</v>
      </c>
      <c r="C35" s="93" t="s">
        <v>58</v>
      </c>
      <c r="D35" s="94">
        <v>4097961.0242947862</v>
      </c>
      <c r="E35" s="95">
        <v>986.00506824940089</v>
      </c>
      <c r="F35" s="94">
        <v>4097961.0242947796</v>
      </c>
      <c r="G35" s="95">
        <v>553.65604318831902</v>
      </c>
      <c r="H35" s="96"/>
      <c r="I35" s="13"/>
      <c r="J35" s="15"/>
      <c r="K35" s="17"/>
      <c r="L35" s="14"/>
    </row>
    <row r="36" spans="1:13" ht="14.4" x14ac:dyDescent="0.3">
      <c r="A36" s="46"/>
      <c r="B36" s="113" t="s">
        <v>55</v>
      </c>
      <c r="C36" s="93" t="s">
        <v>56</v>
      </c>
      <c r="D36" s="94">
        <v>6162600.2846490573</v>
      </c>
      <c r="E36" s="95">
        <v>1284.1378455685563</v>
      </c>
      <c r="F36" s="94">
        <v>6162600.2846490573</v>
      </c>
      <c r="G36" s="95">
        <v>717.97908161262103</v>
      </c>
      <c r="H36" s="96"/>
      <c r="I36" s="13"/>
      <c r="J36" s="15"/>
      <c r="K36" s="17"/>
      <c r="L36" s="14"/>
    </row>
    <row r="37" spans="1:13" ht="14.4" x14ac:dyDescent="0.3">
      <c r="A37" s="46"/>
      <c r="B37" s="113" t="s">
        <v>59</v>
      </c>
      <c r="C37" s="93" t="s">
        <v>60</v>
      </c>
      <c r="D37" s="94">
        <v>168410.06315332442</v>
      </c>
      <c r="E37" s="95">
        <v>43.465183342372001</v>
      </c>
      <c r="F37" s="94">
        <v>168410.06315332442</v>
      </c>
      <c r="G37" s="95">
        <v>26.653839247556999</v>
      </c>
      <c r="H37" s="96"/>
      <c r="I37" s="13"/>
      <c r="J37" s="15"/>
      <c r="K37" s="17"/>
      <c r="L37" s="14"/>
    </row>
    <row r="38" spans="1:13" ht="14.4" x14ac:dyDescent="0.3">
      <c r="A38" s="46"/>
      <c r="B38" s="113" t="s">
        <v>51</v>
      </c>
      <c r="C38" s="93" t="s">
        <v>52</v>
      </c>
      <c r="D38" s="94">
        <v>1038375.2515091239</v>
      </c>
      <c r="E38" s="95">
        <v>4001.1589692649104</v>
      </c>
      <c r="F38" s="94">
        <v>1038375.2515091239</v>
      </c>
      <c r="G38" s="95">
        <v>2647.1341894786797</v>
      </c>
      <c r="H38" s="96"/>
      <c r="I38" s="13"/>
      <c r="J38" s="15"/>
      <c r="K38" s="17"/>
      <c r="L38" s="14"/>
      <c r="M38" s="8"/>
    </row>
    <row r="39" spans="1:13" ht="14.4" x14ac:dyDescent="0.3">
      <c r="A39" s="46"/>
      <c r="B39" s="113" t="s">
        <v>64</v>
      </c>
      <c r="C39" s="93" t="s">
        <v>65</v>
      </c>
      <c r="D39" s="94">
        <v>93777.47</v>
      </c>
      <c r="E39" s="95">
        <v>9.9314130129499993</v>
      </c>
      <c r="F39" s="94">
        <v>93777.47</v>
      </c>
      <c r="G39" s="95">
        <v>5.36441380706</v>
      </c>
      <c r="H39" s="96"/>
      <c r="I39" s="13"/>
      <c r="J39" s="15"/>
      <c r="K39" s="17"/>
      <c r="L39" s="14"/>
    </row>
    <row r="40" spans="1:13" ht="14.4" x14ac:dyDescent="0.3">
      <c r="A40" s="46"/>
      <c r="B40" s="113">
        <v>11</v>
      </c>
      <c r="C40" s="93" t="s">
        <v>61</v>
      </c>
      <c r="D40" s="94">
        <v>3640.1</v>
      </c>
      <c r="E40" s="95">
        <v>2.8573797823999998</v>
      </c>
      <c r="F40" s="94">
        <v>3640.1</v>
      </c>
      <c r="G40" s="95">
        <v>1.5434024883199999</v>
      </c>
      <c r="H40" s="96"/>
      <c r="I40" s="13"/>
      <c r="J40" s="13"/>
      <c r="K40" s="17"/>
      <c r="L40" s="14"/>
    </row>
    <row r="41" spans="1:13" ht="14.4" x14ac:dyDescent="0.3">
      <c r="A41" s="46"/>
      <c r="B41" s="113" t="s">
        <v>1049</v>
      </c>
      <c r="C41" s="93"/>
      <c r="D41" s="94">
        <v>35637.4647603466</v>
      </c>
      <c r="E41" s="95">
        <v>228.80369084105001</v>
      </c>
      <c r="F41" s="94">
        <v>35637.4647603466</v>
      </c>
      <c r="G41" s="95">
        <v>123.58741668014</v>
      </c>
      <c r="H41" s="96"/>
      <c r="I41" s="13"/>
      <c r="J41" s="13"/>
      <c r="K41" s="17"/>
      <c r="L41" s="14"/>
    </row>
    <row r="42" spans="1:13" ht="14.4" x14ac:dyDescent="0.3">
      <c r="A42" s="46"/>
      <c r="B42" s="113" t="s">
        <v>68</v>
      </c>
      <c r="C42" s="93"/>
      <c r="D42" s="94">
        <v>36675990.390000001</v>
      </c>
      <c r="E42" s="112">
        <v>0</v>
      </c>
      <c r="F42" s="94">
        <v>36675990.390000001</v>
      </c>
      <c r="G42" s="112">
        <v>0</v>
      </c>
      <c r="H42" s="96"/>
      <c r="I42" s="21"/>
      <c r="J42" s="12"/>
      <c r="K42" s="17"/>
      <c r="L42" s="12"/>
    </row>
    <row r="43" spans="1:13" ht="16.2" customHeight="1" x14ac:dyDescent="0.3">
      <c r="A43" s="46"/>
      <c r="B43" s="60" t="s">
        <v>91</v>
      </c>
      <c r="C43" s="60"/>
      <c r="D43" s="111">
        <v>2937977.8605747502</v>
      </c>
      <c r="E43" s="116">
        <v>0</v>
      </c>
      <c r="F43" s="111">
        <v>2959762.41057475</v>
      </c>
      <c r="G43" s="116">
        <v>0</v>
      </c>
      <c r="H43" s="96"/>
      <c r="I43" s="13"/>
      <c r="J43" s="15"/>
      <c r="K43" s="17"/>
      <c r="L43" s="13"/>
      <c r="M43" s="11"/>
    </row>
    <row r="44" spans="1:13" ht="16.2" customHeight="1" x14ac:dyDescent="0.3">
      <c r="B44" s="75" t="s">
        <v>20</v>
      </c>
      <c r="C44" s="75"/>
      <c r="D44" s="110">
        <f>+D32+D43</f>
        <v>23307117552.899586</v>
      </c>
      <c r="E44" s="114">
        <f>+E32+E43</f>
        <v>422389.15387719951</v>
      </c>
      <c r="F44" s="110">
        <f>+F32+F43</f>
        <v>23307117552.899685</v>
      </c>
      <c r="G44" s="114">
        <f>+G32+G43</f>
        <v>606396.29402460146</v>
      </c>
    </row>
    <row r="45" spans="1:13" ht="16.2" customHeight="1" x14ac:dyDescent="0.3">
      <c r="A45" s="46"/>
      <c r="B45" s="46"/>
      <c r="C45" s="46"/>
      <c r="D45" s="79"/>
      <c r="E45" s="79"/>
      <c r="F45" s="79"/>
      <c r="G45" s="79"/>
      <c r="H45" s="79"/>
      <c r="I45" s="21"/>
      <c r="J45" s="8"/>
      <c r="K45" s="17"/>
      <c r="L45" s="8"/>
      <c r="M45" s="5"/>
    </row>
  </sheetData>
  <mergeCells count="4">
    <mergeCell ref="B9:B10"/>
    <mergeCell ref="C9:C10"/>
    <mergeCell ref="B30:B31"/>
    <mergeCell ref="C30:C3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33E5-04A4-4FD0-BF91-9AA3667A23AC}">
  <sheetPr filterMode="1"/>
  <dimension ref="A1:AU478"/>
  <sheetViews>
    <sheetView showGridLines="0" zoomScale="90" zoomScaleNormal="90" workbookViewId="0"/>
  </sheetViews>
  <sheetFormatPr defaultColWidth="0" defaultRowHeight="14.4" zeroHeight="1" x14ac:dyDescent="0.3"/>
  <cols>
    <col min="1" max="1" width="2.5546875" customWidth="1"/>
    <col min="2" max="2" width="6" bestFit="1" customWidth="1"/>
    <col min="3" max="3" width="84.21875" bestFit="1" customWidth="1"/>
    <col min="4" max="4" width="14.44140625" bestFit="1" customWidth="1"/>
    <col min="5" max="5" width="3.5546875" customWidth="1"/>
    <col min="6" max="47" width="0" hidden="1" customWidth="1"/>
    <col min="48" max="16384" width="8.6640625" hidden="1"/>
  </cols>
  <sheetData>
    <row r="1" spans="1:6" x14ac:dyDescent="0.3">
      <c r="A1" s="10"/>
      <c r="B1" s="10"/>
      <c r="C1" s="10"/>
      <c r="D1" s="10"/>
      <c r="E1" s="10"/>
      <c r="F1" s="103"/>
    </row>
    <row r="2" spans="1:6" x14ac:dyDescent="0.3">
      <c r="A2" s="10"/>
      <c r="B2" s="10"/>
      <c r="C2" s="10"/>
      <c r="D2" s="10"/>
      <c r="E2" s="10"/>
      <c r="F2" s="103"/>
    </row>
    <row r="3" spans="1:6" x14ac:dyDescent="0.3">
      <c r="A3" s="10"/>
      <c r="B3" s="10"/>
      <c r="C3" s="10"/>
      <c r="D3" s="10"/>
      <c r="E3" s="10"/>
      <c r="F3" s="103"/>
    </row>
    <row r="4" spans="1:6" x14ac:dyDescent="0.3">
      <c r="A4" s="10"/>
      <c r="B4" s="10"/>
      <c r="C4" s="10"/>
      <c r="D4" s="10"/>
      <c r="E4" s="10"/>
      <c r="F4" s="103"/>
    </row>
    <row r="5" spans="1:6" ht="3" customHeight="1" x14ac:dyDescent="0.3">
      <c r="A5" s="2"/>
      <c r="B5" s="2"/>
      <c r="C5" s="2"/>
      <c r="D5" s="2"/>
      <c r="E5" s="2"/>
      <c r="F5" s="103"/>
    </row>
    <row r="6" spans="1:6" x14ac:dyDescent="0.3">
      <c r="A6" s="103"/>
      <c r="B6" s="103"/>
      <c r="C6" s="103"/>
      <c r="D6" s="103"/>
      <c r="E6" s="103"/>
      <c r="F6" s="103"/>
    </row>
    <row r="7" spans="1:6" x14ac:dyDescent="0.3">
      <c r="B7" s="106" t="s">
        <v>105</v>
      </c>
      <c r="C7" s="107" t="s">
        <v>1046</v>
      </c>
      <c r="D7" s="108" t="s">
        <v>1047</v>
      </c>
    </row>
    <row r="8" spans="1:6" hidden="1" x14ac:dyDescent="0.3">
      <c r="B8" s="104" t="s">
        <v>106</v>
      </c>
      <c r="C8" s="104" t="s">
        <v>107</v>
      </c>
      <c r="D8" s="105">
        <v>-1649773.44</v>
      </c>
    </row>
    <row r="9" spans="1:6" hidden="1" x14ac:dyDescent="0.3">
      <c r="B9" s="104" t="s">
        <v>108</v>
      </c>
      <c r="C9" s="104" t="s">
        <v>109</v>
      </c>
      <c r="D9" s="105">
        <v>-1440295.71999999</v>
      </c>
    </row>
    <row r="10" spans="1:6" hidden="1" x14ac:dyDescent="0.3">
      <c r="B10" s="104" t="s">
        <v>110</v>
      </c>
      <c r="C10" s="104" t="s">
        <v>111</v>
      </c>
      <c r="D10" s="105">
        <v>-202954.72</v>
      </c>
    </row>
    <row r="11" spans="1:6" hidden="1" x14ac:dyDescent="0.3">
      <c r="B11" s="104" t="s">
        <v>112</v>
      </c>
      <c r="C11" s="104" t="s">
        <v>113</v>
      </c>
      <c r="D11" s="105">
        <v>-13777001.1499999</v>
      </c>
    </row>
    <row r="12" spans="1:6" hidden="1" x14ac:dyDescent="0.3">
      <c r="B12" s="104" t="s">
        <v>114</v>
      </c>
      <c r="C12" s="104" t="s">
        <v>115</v>
      </c>
      <c r="D12" s="105">
        <v>-2514163.9499999899</v>
      </c>
    </row>
    <row r="13" spans="1:6" hidden="1" x14ac:dyDescent="0.3">
      <c r="B13" s="104" t="s">
        <v>116</v>
      </c>
      <c r="C13" s="104" t="s">
        <v>117</v>
      </c>
      <c r="D13" s="105">
        <v>-450305.47</v>
      </c>
    </row>
    <row r="14" spans="1:6" hidden="1" x14ac:dyDescent="0.3">
      <c r="B14" s="104" t="s">
        <v>118</v>
      </c>
      <c r="C14" s="104" t="s">
        <v>119</v>
      </c>
      <c r="D14" s="105">
        <v>-3663019.6599999899</v>
      </c>
    </row>
    <row r="15" spans="1:6" hidden="1" x14ac:dyDescent="0.3">
      <c r="B15" s="104" t="s">
        <v>120</v>
      </c>
      <c r="C15" s="104" t="s">
        <v>121</v>
      </c>
      <c r="D15" s="105">
        <v>-994787.22</v>
      </c>
    </row>
    <row r="16" spans="1:6" hidden="1" x14ac:dyDescent="0.3">
      <c r="B16" s="104" t="s">
        <v>122</v>
      </c>
      <c r="C16" s="104" t="s">
        <v>123</v>
      </c>
      <c r="D16" s="105">
        <v>-7685103.0499999896</v>
      </c>
    </row>
    <row r="17" spans="2:4" hidden="1" x14ac:dyDescent="0.3">
      <c r="B17" s="104" t="s">
        <v>124</v>
      </c>
      <c r="C17" s="104" t="s">
        <v>125</v>
      </c>
      <c r="D17" s="105">
        <v>-2363423.86</v>
      </c>
    </row>
    <row r="18" spans="2:4" hidden="1" x14ac:dyDescent="0.3">
      <c r="B18" s="104" t="s">
        <v>126</v>
      </c>
      <c r="C18" s="104" t="s">
        <v>127</v>
      </c>
      <c r="D18" s="105">
        <v>-52254.81</v>
      </c>
    </row>
    <row r="19" spans="2:4" hidden="1" x14ac:dyDescent="0.3">
      <c r="B19" s="104" t="s">
        <v>128</v>
      </c>
      <c r="C19" s="104" t="s">
        <v>129</v>
      </c>
      <c r="D19" s="105">
        <v>-113942.92</v>
      </c>
    </row>
    <row r="20" spans="2:4" hidden="1" x14ac:dyDescent="0.3">
      <c r="B20" s="104" t="s">
        <v>130</v>
      </c>
      <c r="C20" s="104" t="s">
        <v>131</v>
      </c>
      <c r="D20" s="105">
        <v>-64106.7</v>
      </c>
    </row>
    <row r="21" spans="2:4" hidden="1" x14ac:dyDescent="0.3">
      <c r="B21" s="104" t="s">
        <v>132</v>
      </c>
      <c r="C21" s="104" t="s">
        <v>133</v>
      </c>
      <c r="D21" s="105">
        <v>-357898.98</v>
      </c>
    </row>
    <row r="22" spans="2:4" hidden="1" x14ac:dyDescent="0.3">
      <c r="B22" s="104" t="s">
        <v>134</v>
      </c>
      <c r="C22" s="104" t="s">
        <v>135</v>
      </c>
      <c r="D22" s="105">
        <v>-131578.19999999899</v>
      </c>
    </row>
    <row r="23" spans="2:4" x14ac:dyDescent="0.3">
      <c r="B23" s="104" t="s">
        <v>136</v>
      </c>
      <c r="C23" s="104" t="s">
        <v>137</v>
      </c>
      <c r="D23" s="109">
        <v>-1031697.1</v>
      </c>
    </row>
    <row r="24" spans="2:4" hidden="1" x14ac:dyDescent="0.3">
      <c r="B24" s="104" t="s">
        <v>138</v>
      </c>
      <c r="C24" s="104" t="s">
        <v>139</v>
      </c>
      <c r="D24" s="105">
        <v>-3758305.50999999</v>
      </c>
    </row>
    <row r="25" spans="2:4" hidden="1" x14ac:dyDescent="0.3">
      <c r="B25" s="104" t="s">
        <v>140</v>
      </c>
      <c r="C25" s="104" t="s">
        <v>141</v>
      </c>
      <c r="D25" s="105">
        <v>-33714211.639999896</v>
      </c>
    </row>
    <row r="26" spans="2:4" hidden="1" x14ac:dyDescent="0.3">
      <c r="B26" s="104" t="s">
        <v>142</v>
      </c>
      <c r="C26" s="104" t="s">
        <v>143</v>
      </c>
      <c r="D26" s="105">
        <v>-3080463.6999999899</v>
      </c>
    </row>
    <row r="27" spans="2:4" hidden="1" x14ac:dyDescent="0.3">
      <c r="B27" s="104" t="s">
        <v>144</v>
      </c>
      <c r="C27" s="104" t="s">
        <v>145</v>
      </c>
      <c r="D27" s="105">
        <v>-1960120.47999999</v>
      </c>
    </row>
    <row r="28" spans="2:4" hidden="1" x14ac:dyDescent="0.3">
      <c r="B28" s="104" t="s">
        <v>146</v>
      </c>
      <c r="C28" s="104" t="s">
        <v>147</v>
      </c>
      <c r="D28" s="105">
        <v>-1215360.3599999901</v>
      </c>
    </row>
    <row r="29" spans="2:4" hidden="1" x14ac:dyDescent="0.3">
      <c r="B29" s="104" t="s">
        <v>148</v>
      </c>
      <c r="C29" s="104" t="s">
        <v>149</v>
      </c>
      <c r="D29" s="105">
        <v>-7237264.6799999904</v>
      </c>
    </row>
    <row r="30" spans="2:4" hidden="1" x14ac:dyDescent="0.3">
      <c r="B30" s="104" t="s">
        <v>150</v>
      </c>
      <c r="C30" s="104" t="s">
        <v>151</v>
      </c>
      <c r="D30" s="105">
        <v>-218982.44</v>
      </c>
    </row>
    <row r="31" spans="2:4" hidden="1" x14ac:dyDescent="0.3">
      <c r="B31" s="104" t="s">
        <v>152</v>
      </c>
      <c r="C31" s="104" t="s">
        <v>153</v>
      </c>
      <c r="D31" s="105">
        <v>-123375.03</v>
      </c>
    </row>
    <row r="32" spans="2:4" hidden="1" x14ac:dyDescent="0.3">
      <c r="B32" s="104" t="s">
        <v>154</v>
      </c>
      <c r="C32" s="104" t="s">
        <v>155</v>
      </c>
      <c r="D32" s="105">
        <v>-10250625.6499999</v>
      </c>
    </row>
    <row r="33" spans="2:4" hidden="1" x14ac:dyDescent="0.3">
      <c r="B33" s="104" t="s">
        <v>156</v>
      </c>
      <c r="C33" s="104" t="s">
        <v>157</v>
      </c>
      <c r="D33" s="105">
        <v>-1639137.02</v>
      </c>
    </row>
    <row r="34" spans="2:4" hidden="1" x14ac:dyDescent="0.3">
      <c r="B34" s="104" t="s">
        <v>158</v>
      </c>
      <c r="C34" s="104" t="s">
        <v>159</v>
      </c>
      <c r="D34" s="105">
        <v>-57594.85</v>
      </c>
    </row>
    <row r="35" spans="2:4" hidden="1" x14ac:dyDescent="0.3">
      <c r="B35" s="104" t="s">
        <v>160</v>
      </c>
      <c r="C35" s="104" t="s">
        <v>161</v>
      </c>
      <c r="D35" s="105">
        <v>-6324527.3399999896</v>
      </c>
    </row>
    <row r="36" spans="2:4" hidden="1" x14ac:dyDescent="0.3">
      <c r="B36" s="104" t="s">
        <v>162</v>
      </c>
      <c r="C36" s="104" t="s">
        <v>163</v>
      </c>
      <c r="D36" s="105">
        <v>-4181023.3399999901</v>
      </c>
    </row>
    <row r="37" spans="2:4" hidden="1" x14ac:dyDescent="0.3">
      <c r="B37" s="104" t="s">
        <v>164</v>
      </c>
      <c r="C37" s="104" t="s">
        <v>165</v>
      </c>
      <c r="D37" s="105">
        <v>-118053.28</v>
      </c>
    </row>
    <row r="38" spans="2:4" hidden="1" x14ac:dyDescent="0.3">
      <c r="B38" s="104" t="s">
        <v>166</v>
      </c>
      <c r="C38" s="104" t="s">
        <v>167</v>
      </c>
      <c r="D38" s="105">
        <v>-49796.59</v>
      </c>
    </row>
    <row r="39" spans="2:4" hidden="1" x14ac:dyDescent="0.3">
      <c r="B39" s="104" t="s">
        <v>168</v>
      </c>
      <c r="C39" s="104" t="s">
        <v>169</v>
      </c>
      <c r="D39" s="105">
        <v>-1214499.3899999999</v>
      </c>
    </row>
    <row r="40" spans="2:4" hidden="1" x14ac:dyDescent="0.3">
      <c r="B40" s="104" t="s">
        <v>170</v>
      </c>
      <c r="C40" s="104" t="s">
        <v>171</v>
      </c>
      <c r="D40" s="105">
        <v>-527478.11</v>
      </c>
    </row>
    <row r="41" spans="2:4" hidden="1" x14ac:dyDescent="0.3">
      <c r="B41" s="104" t="s">
        <v>172</v>
      </c>
      <c r="C41" s="104" t="s">
        <v>173</v>
      </c>
      <c r="D41" s="105">
        <v>-801919.33</v>
      </c>
    </row>
    <row r="42" spans="2:4" hidden="1" x14ac:dyDescent="0.3">
      <c r="B42" s="104" t="s">
        <v>174</v>
      </c>
      <c r="C42" s="104" t="s">
        <v>175</v>
      </c>
      <c r="D42" s="105">
        <v>-298337.59000000003</v>
      </c>
    </row>
    <row r="43" spans="2:4" hidden="1" x14ac:dyDescent="0.3">
      <c r="B43" s="104" t="s">
        <v>176</v>
      </c>
      <c r="C43" s="104" t="s">
        <v>177</v>
      </c>
      <c r="D43" s="105">
        <v>-2870608.1899999902</v>
      </c>
    </row>
    <row r="44" spans="2:4" hidden="1" x14ac:dyDescent="0.3">
      <c r="B44" s="104" t="s">
        <v>178</v>
      </c>
      <c r="C44" s="104" t="s">
        <v>179</v>
      </c>
      <c r="D44" s="105">
        <v>-863084.95</v>
      </c>
    </row>
    <row r="45" spans="2:4" hidden="1" x14ac:dyDescent="0.3">
      <c r="B45" s="104" t="s">
        <v>180</v>
      </c>
      <c r="C45" s="104" t="s">
        <v>181</v>
      </c>
      <c r="D45" s="105">
        <v>-561792.18000000005</v>
      </c>
    </row>
    <row r="46" spans="2:4" hidden="1" x14ac:dyDescent="0.3">
      <c r="B46" s="104" t="s">
        <v>182</v>
      </c>
      <c r="C46" s="104" t="s">
        <v>183</v>
      </c>
      <c r="D46" s="105">
        <v>-232468.39</v>
      </c>
    </row>
    <row r="47" spans="2:4" hidden="1" x14ac:dyDescent="0.3">
      <c r="B47" s="104" t="s">
        <v>184</v>
      </c>
      <c r="C47" s="104" t="s">
        <v>185</v>
      </c>
      <c r="D47" s="105">
        <v>-479061.13999999902</v>
      </c>
    </row>
    <row r="48" spans="2:4" hidden="1" x14ac:dyDescent="0.3">
      <c r="B48" s="104" t="s">
        <v>186</v>
      </c>
      <c r="C48" s="104" t="s">
        <v>187</v>
      </c>
      <c r="D48" s="105">
        <v>-31069.599999999999</v>
      </c>
    </row>
    <row r="49" spans="2:4" hidden="1" x14ac:dyDescent="0.3">
      <c r="B49" s="104" t="s">
        <v>188</v>
      </c>
      <c r="C49" s="104" t="s">
        <v>189</v>
      </c>
      <c r="D49" s="105">
        <v>-534154.42000000004</v>
      </c>
    </row>
    <row r="50" spans="2:4" hidden="1" x14ac:dyDescent="0.3">
      <c r="B50" s="104" t="s">
        <v>190</v>
      </c>
      <c r="C50" s="104" t="s">
        <v>191</v>
      </c>
      <c r="D50" s="105">
        <v>-1372783.3899999899</v>
      </c>
    </row>
    <row r="51" spans="2:4" hidden="1" x14ac:dyDescent="0.3">
      <c r="B51" s="104" t="s">
        <v>192</v>
      </c>
      <c r="C51" s="104" t="s">
        <v>193</v>
      </c>
      <c r="D51" s="105">
        <v>-1202701.5699999901</v>
      </c>
    </row>
    <row r="52" spans="2:4" hidden="1" x14ac:dyDescent="0.3">
      <c r="B52" s="104" t="s">
        <v>194</v>
      </c>
      <c r="C52" s="104" t="s">
        <v>195</v>
      </c>
      <c r="D52" s="105">
        <v>-800132.74999999895</v>
      </c>
    </row>
    <row r="53" spans="2:4" hidden="1" x14ac:dyDescent="0.3">
      <c r="B53" s="104" t="s">
        <v>196</v>
      </c>
      <c r="C53" s="104" t="s">
        <v>197</v>
      </c>
      <c r="D53" s="105">
        <v>-397796.88</v>
      </c>
    </row>
    <row r="54" spans="2:4" hidden="1" x14ac:dyDescent="0.3">
      <c r="B54" s="104" t="s">
        <v>198</v>
      </c>
      <c r="C54" s="104" t="s">
        <v>199</v>
      </c>
      <c r="D54" s="105">
        <v>-35477.339999999902</v>
      </c>
    </row>
    <row r="55" spans="2:4" hidden="1" x14ac:dyDescent="0.3">
      <c r="B55" s="104" t="s">
        <v>200</v>
      </c>
      <c r="C55" s="104" t="s">
        <v>201</v>
      </c>
      <c r="D55" s="105">
        <v>-2808491.6899999902</v>
      </c>
    </row>
    <row r="56" spans="2:4" hidden="1" x14ac:dyDescent="0.3">
      <c r="B56" s="104" t="s">
        <v>202</v>
      </c>
      <c r="C56" s="104" t="s">
        <v>203</v>
      </c>
      <c r="D56" s="105">
        <v>-1217417.9399999899</v>
      </c>
    </row>
    <row r="57" spans="2:4" hidden="1" x14ac:dyDescent="0.3">
      <c r="B57" s="104" t="s">
        <v>204</v>
      </c>
      <c r="C57" s="104" t="s">
        <v>205</v>
      </c>
      <c r="D57" s="105">
        <v>-1967045.19</v>
      </c>
    </row>
    <row r="58" spans="2:4" hidden="1" x14ac:dyDescent="0.3">
      <c r="B58" s="104" t="s">
        <v>206</v>
      </c>
      <c r="C58" s="104" t="s">
        <v>207</v>
      </c>
      <c r="D58" s="105">
        <v>-302331.15999999997</v>
      </c>
    </row>
    <row r="59" spans="2:4" hidden="1" x14ac:dyDescent="0.3">
      <c r="B59" s="104" t="s">
        <v>208</v>
      </c>
      <c r="C59" s="104" t="s">
        <v>209</v>
      </c>
      <c r="D59" s="105">
        <v>-559765.68999999994</v>
      </c>
    </row>
    <row r="60" spans="2:4" hidden="1" x14ac:dyDescent="0.3">
      <c r="B60" s="104" t="s">
        <v>210</v>
      </c>
      <c r="C60" s="104" t="s">
        <v>211</v>
      </c>
      <c r="D60" s="105">
        <v>-30850.880000000001</v>
      </c>
    </row>
    <row r="61" spans="2:4" hidden="1" x14ac:dyDescent="0.3">
      <c r="B61" s="104" t="s">
        <v>212</v>
      </c>
      <c r="C61" s="104" t="s">
        <v>213</v>
      </c>
      <c r="D61" s="105">
        <v>-117965.12</v>
      </c>
    </row>
    <row r="62" spans="2:4" hidden="1" x14ac:dyDescent="0.3">
      <c r="B62" s="104" t="s">
        <v>214</v>
      </c>
      <c r="C62" s="104" t="s">
        <v>215</v>
      </c>
      <c r="D62" s="105">
        <v>-549624.01999999897</v>
      </c>
    </row>
    <row r="63" spans="2:4" hidden="1" x14ac:dyDescent="0.3">
      <c r="B63" s="104" t="s">
        <v>216</v>
      </c>
      <c r="C63" s="104" t="s">
        <v>217</v>
      </c>
      <c r="D63" s="105">
        <v>-208574.62</v>
      </c>
    </row>
    <row r="64" spans="2:4" hidden="1" x14ac:dyDescent="0.3">
      <c r="B64" s="104" t="s">
        <v>218</v>
      </c>
      <c r="C64" s="104" t="s">
        <v>219</v>
      </c>
      <c r="D64" s="105">
        <v>-3111844.5999999898</v>
      </c>
    </row>
    <row r="65" spans="2:4" hidden="1" x14ac:dyDescent="0.3">
      <c r="B65" s="104" t="s">
        <v>220</v>
      </c>
      <c r="C65" s="104" t="s">
        <v>221</v>
      </c>
      <c r="D65" s="105">
        <v>-1700665.42</v>
      </c>
    </row>
    <row r="66" spans="2:4" hidden="1" x14ac:dyDescent="0.3">
      <c r="B66" s="104" t="s">
        <v>222</v>
      </c>
      <c r="C66" s="104" t="s">
        <v>223</v>
      </c>
      <c r="D66" s="105">
        <v>-17346.89</v>
      </c>
    </row>
    <row r="67" spans="2:4" hidden="1" x14ac:dyDescent="0.3">
      <c r="B67" s="104" t="s">
        <v>224</v>
      </c>
      <c r="C67" s="104" t="s">
        <v>225</v>
      </c>
      <c r="D67" s="105">
        <v>-77780.629999999903</v>
      </c>
    </row>
    <row r="68" spans="2:4" hidden="1" x14ac:dyDescent="0.3">
      <c r="B68" s="104" t="s">
        <v>226</v>
      </c>
      <c r="C68" s="104" t="s">
        <v>227</v>
      </c>
      <c r="D68" s="105">
        <v>-780733.17</v>
      </c>
    </row>
    <row r="69" spans="2:4" hidden="1" x14ac:dyDescent="0.3">
      <c r="B69" s="104" t="s">
        <v>228</v>
      </c>
      <c r="C69" s="104" t="s">
        <v>229</v>
      </c>
      <c r="D69" s="105">
        <v>-2339640.9799999902</v>
      </c>
    </row>
    <row r="70" spans="2:4" hidden="1" x14ac:dyDescent="0.3">
      <c r="B70" s="104" t="s">
        <v>230</v>
      </c>
      <c r="C70" s="104" t="s">
        <v>231</v>
      </c>
      <c r="D70" s="105">
        <v>-727773.33</v>
      </c>
    </row>
    <row r="71" spans="2:4" hidden="1" x14ac:dyDescent="0.3">
      <c r="B71" s="104" t="s">
        <v>232</v>
      </c>
      <c r="C71" s="104" t="s">
        <v>233</v>
      </c>
      <c r="D71" s="105">
        <v>-1477713.4399999899</v>
      </c>
    </row>
    <row r="72" spans="2:4" hidden="1" x14ac:dyDescent="0.3">
      <c r="B72" s="104" t="s">
        <v>234</v>
      </c>
      <c r="C72" s="104" t="s">
        <v>235</v>
      </c>
      <c r="D72" s="105">
        <v>-1616830.45999999</v>
      </c>
    </row>
    <row r="73" spans="2:4" hidden="1" x14ac:dyDescent="0.3">
      <c r="B73" s="104" t="s">
        <v>236</v>
      </c>
      <c r="C73" s="104" t="s">
        <v>237</v>
      </c>
      <c r="D73" s="105">
        <v>-64394.66</v>
      </c>
    </row>
    <row r="74" spans="2:4" hidden="1" x14ac:dyDescent="0.3">
      <c r="B74" s="104" t="s">
        <v>238</v>
      </c>
      <c r="C74" s="104" t="s">
        <v>239</v>
      </c>
      <c r="D74" s="105">
        <v>-785575.42</v>
      </c>
    </row>
    <row r="75" spans="2:4" hidden="1" x14ac:dyDescent="0.3">
      <c r="B75" s="104" t="s">
        <v>240</v>
      </c>
      <c r="C75" s="104" t="s">
        <v>241</v>
      </c>
      <c r="D75" s="105">
        <v>-92181.54</v>
      </c>
    </row>
    <row r="76" spans="2:4" hidden="1" x14ac:dyDescent="0.3">
      <c r="B76" s="104" t="s">
        <v>242</v>
      </c>
      <c r="C76" s="104" t="s">
        <v>243</v>
      </c>
      <c r="D76" s="105">
        <v>-2318638.0499999998</v>
      </c>
    </row>
    <row r="77" spans="2:4" hidden="1" x14ac:dyDescent="0.3">
      <c r="B77" s="104" t="s">
        <v>244</v>
      </c>
      <c r="C77" s="104" t="s">
        <v>245</v>
      </c>
      <c r="D77" s="105">
        <v>-378246</v>
      </c>
    </row>
    <row r="78" spans="2:4" hidden="1" x14ac:dyDescent="0.3">
      <c r="B78" s="104" t="s">
        <v>246</v>
      </c>
      <c r="C78" s="104" t="s">
        <v>247</v>
      </c>
      <c r="D78" s="105">
        <v>-310268.44</v>
      </c>
    </row>
    <row r="79" spans="2:4" hidden="1" x14ac:dyDescent="0.3">
      <c r="B79" s="104" t="s">
        <v>248</v>
      </c>
      <c r="C79" s="104" t="s">
        <v>249</v>
      </c>
      <c r="D79" s="105">
        <v>-3286345.6399999899</v>
      </c>
    </row>
    <row r="80" spans="2:4" hidden="1" x14ac:dyDescent="0.3">
      <c r="B80" s="104" t="s">
        <v>250</v>
      </c>
      <c r="C80" s="104" t="s">
        <v>251</v>
      </c>
      <c r="D80" s="105">
        <v>-273282.11</v>
      </c>
    </row>
    <row r="81" spans="2:4" hidden="1" x14ac:dyDescent="0.3">
      <c r="B81" s="104" t="s">
        <v>252</v>
      </c>
      <c r="C81" s="104" t="s">
        <v>253</v>
      </c>
      <c r="D81" s="105">
        <v>-103943.3</v>
      </c>
    </row>
    <row r="82" spans="2:4" hidden="1" x14ac:dyDescent="0.3">
      <c r="B82" s="104" t="s">
        <v>254</v>
      </c>
      <c r="C82" s="104" t="s">
        <v>255</v>
      </c>
      <c r="D82" s="105">
        <v>-355253.84</v>
      </c>
    </row>
    <row r="83" spans="2:4" hidden="1" x14ac:dyDescent="0.3">
      <c r="B83" s="104" t="s">
        <v>256</v>
      </c>
      <c r="C83" s="104" t="s">
        <v>257</v>
      </c>
      <c r="D83" s="105">
        <v>-3287028.14</v>
      </c>
    </row>
    <row r="84" spans="2:4" hidden="1" x14ac:dyDescent="0.3">
      <c r="B84" s="104" t="s">
        <v>258</v>
      </c>
      <c r="C84" s="104" t="s">
        <v>259</v>
      </c>
      <c r="D84" s="105">
        <v>-77848.960000000006</v>
      </c>
    </row>
    <row r="85" spans="2:4" hidden="1" x14ac:dyDescent="0.3">
      <c r="B85" s="104" t="s">
        <v>260</v>
      </c>
      <c r="C85" s="104" t="s">
        <v>261</v>
      </c>
      <c r="D85" s="105">
        <v>-159987.92000000001</v>
      </c>
    </row>
    <row r="86" spans="2:4" hidden="1" x14ac:dyDescent="0.3">
      <c r="B86" s="104" t="s">
        <v>262</v>
      </c>
      <c r="C86" s="104" t="s">
        <v>263</v>
      </c>
      <c r="D86" s="105">
        <v>-607472.16999999899</v>
      </c>
    </row>
    <row r="87" spans="2:4" hidden="1" x14ac:dyDescent="0.3">
      <c r="B87" s="104" t="s">
        <v>264</v>
      </c>
      <c r="C87" s="104" t="s">
        <v>265</v>
      </c>
      <c r="D87" s="105">
        <v>-379211.24999999901</v>
      </c>
    </row>
    <row r="88" spans="2:4" hidden="1" x14ac:dyDescent="0.3">
      <c r="B88" s="104" t="s">
        <v>266</v>
      </c>
      <c r="C88" s="104" t="s">
        <v>267</v>
      </c>
      <c r="D88" s="105">
        <v>-5741443.1199999899</v>
      </c>
    </row>
    <row r="89" spans="2:4" hidden="1" x14ac:dyDescent="0.3">
      <c r="B89" s="104" t="s">
        <v>268</v>
      </c>
      <c r="C89" s="104" t="s">
        <v>269</v>
      </c>
      <c r="D89" s="105">
        <v>-3304444.67</v>
      </c>
    </row>
    <row r="90" spans="2:4" hidden="1" x14ac:dyDescent="0.3">
      <c r="B90" s="104" t="s">
        <v>270</v>
      </c>
      <c r="C90" s="104" t="s">
        <v>271</v>
      </c>
      <c r="D90" s="105">
        <v>-254518.329999999</v>
      </c>
    </row>
    <row r="91" spans="2:4" hidden="1" x14ac:dyDescent="0.3">
      <c r="B91" s="104" t="s">
        <v>272</v>
      </c>
      <c r="C91" s="104" t="s">
        <v>273</v>
      </c>
      <c r="D91" s="105">
        <v>-638853.82999999996</v>
      </c>
    </row>
    <row r="92" spans="2:4" hidden="1" x14ac:dyDescent="0.3">
      <c r="B92" s="104" t="s">
        <v>274</v>
      </c>
      <c r="C92" s="104" t="s">
        <v>275</v>
      </c>
      <c r="D92" s="105">
        <v>-401256.5</v>
      </c>
    </row>
    <row r="93" spans="2:4" hidden="1" x14ac:dyDescent="0.3">
      <c r="B93" s="104" t="s">
        <v>276</v>
      </c>
      <c r="C93" s="104" t="s">
        <v>277</v>
      </c>
      <c r="D93" s="105">
        <v>-141844.62</v>
      </c>
    </row>
    <row r="94" spans="2:4" hidden="1" x14ac:dyDescent="0.3">
      <c r="B94" s="104" t="s">
        <v>278</v>
      </c>
      <c r="C94" s="104" t="s">
        <v>279</v>
      </c>
      <c r="D94" s="105">
        <v>-7056093.1499999901</v>
      </c>
    </row>
    <row r="95" spans="2:4" hidden="1" x14ac:dyDescent="0.3">
      <c r="B95" s="104" t="s">
        <v>280</v>
      </c>
      <c r="C95" s="104" t="s">
        <v>281</v>
      </c>
      <c r="D95" s="105">
        <v>-489415.95</v>
      </c>
    </row>
    <row r="96" spans="2:4" x14ac:dyDescent="0.3">
      <c r="B96" s="104" t="s">
        <v>282</v>
      </c>
      <c r="C96" s="104" t="s">
        <v>283</v>
      </c>
      <c r="D96" s="109">
        <v>-26763788.839999899</v>
      </c>
    </row>
    <row r="97" spans="2:4" hidden="1" x14ac:dyDescent="0.3">
      <c r="B97" s="104" t="s">
        <v>284</v>
      </c>
      <c r="C97" s="104" t="s">
        <v>285</v>
      </c>
      <c r="D97" s="105">
        <v>-3070585.64</v>
      </c>
    </row>
    <row r="98" spans="2:4" hidden="1" x14ac:dyDescent="0.3">
      <c r="B98" s="104" t="s">
        <v>286</v>
      </c>
      <c r="C98" s="104" t="s">
        <v>287</v>
      </c>
      <c r="D98" s="105">
        <v>-261835.46</v>
      </c>
    </row>
    <row r="99" spans="2:4" hidden="1" x14ac:dyDescent="0.3">
      <c r="B99" s="104" t="s">
        <v>288</v>
      </c>
      <c r="C99" s="104" t="s">
        <v>289</v>
      </c>
      <c r="D99" s="105">
        <v>-871620.59</v>
      </c>
    </row>
    <row r="100" spans="2:4" hidden="1" x14ac:dyDescent="0.3">
      <c r="B100" s="104" t="s">
        <v>290</v>
      </c>
      <c r="C100" s="104" t="s">
        <v>291</v>
      </c>
      <c r="D100" s="105">
        <v>-506536.52</v>
      </c>
    </row>
    <row r="101" spans="2:4" hidden="1" x14ac:dyDescent="0.3">
      <c r="B101" s="104" t="s">
        <v>292</v>
      </c>
      <c r="C101" s="104" t="s">
        <v>293</v>
      </c>
      <c r="D101" s="105">
        <v>-178311.21999999901</v>
      </c>
    </row>
    <row r="102" spans="2:4" hidden="1" x14ac:dyDescent="0.3">
      <c r="B102" s="104" t="s">
        <v>294</v>
      </c>
      <c r="C102" s="104" t="s">
        <v>295</v>
      </c>
      <c r="D102" s="105">
        <v>-1368706.72</v>
      </c>
    </row>
    <row r="103" spans="2:4" hidden="1" x14ac:dyDescent="0.3">
      <c r="B103" s="104" t="s">
        <v>296</v>
      </c>
      <c r="C103" s="104" t="s">
        <v>297</v>
      </c>
      <c r="D103" s="105">
        <v>-130.65</v>
      </c>
    </row>
    <row r="104" spans="2:4" hidden="1" x14ac:dyDescent="0.3">
      <c r="B104" s="104" t="s">
        <v>298</v>
      </c>
      <c r="C104" s="104" t="s">
        <v>299</v>
      </c>
      <c r="D104" s="105">
        <v>-152860.65</v>
      </c>
    </row>
    <row r="105" spans="2:4" hidden="1" x14ac:dyDescent="0.3">
      <c r="B105" s="104" t="s">
        <v>300</v>
      </c>
      <c r="C105" s="104" t="s">
        <v>301</v>
      </c>
      <c r="D105" s="105">
        <v>-68270.64</v>
      </c>
    </row>
    <row r="106" spans="2:4" hidden="1" x14ac:dyDescent="0.3">
      <c r="B106" s="104" t="s">
        <v>302</v>
      </c>
      <c r="C106" s="104" t="s">
        <v>303</v>
      </c>
      <c r="D106" s="105">
        <v>-2441714.50999999</v>
      </c>
    </row>
    <row r="107" spans="2:4" hidden="1" x14ac:dyDescent="0.3">
      <c r="B107" s="104" t="s">
        <v>304</v>
      </c>
      <c r="C107" s="104" t="s">
        <v>305</v>
      </c>
      <c r="D107" s="105">
        <v>-19442214.079999901</v>
      </c>
    </row>
    <row r="108" spans="2:4" hidden="1" x14ac:dyDescent="0.3">
      <c r="B108" s="104" t="s">
        <v>306</v>
      </c>
      <c r="C108" s="104" t="s">
        <v>307</v>
      </c>
      <c r="D108" s="105">
        <v>-919497.81</v>
      </c>
    </row>
    <row r="109" spans="2:4" hidden="1" x14ac:dyDescent="0.3">
      <c r="B109" s="104" t="s">
        <v>308</v>
      </c>
      <c r="C109" s="104" t="s">
        <v>309</v>
      </c>
      <c r="D109" s="105">
        <v>-150485.82999999999</v>
      </c>
    </row>
    <row r="110" spans="2:4" hidden="1" x14ac:dyDescent="0.3">
      <c r="B110" s="104" t="s">
        <v>310</v>
      </c>
      <c r="C110" s="104" t="s">
        <v>311</v>
      </c>
      <c r="D110" s="105">
        <v>-77104.659999999902</v>
      </c>
    </row>
    <row r="111" spans="2:4" hidden="1" x14ac:dyDescent="0.3">
      <c r="B111" s="104" t="s">
        <v>312</v>
      </c>
      <c r="C111" s="104" t="s">
        <v>313</v>
      </c>
      <c r="D111" s="105">
        <v>-111542.21</v>
      </c>
    </row>
    <row r="112" spans="2:4" hidden="1" x14ac:dyDescent="0.3">
      <c r="B112" s="104" t="s">
        <v>314</v>
      </c>
      <c r="C112" s="104" t="s">
        <v>315</v>
      </c>
      <c r="D112" s="105">
        <v>-659166.76999999897</v>
      </c>
    </row>
    <row r="113" spans="2:4" hidden="1" x14ac:dyDescent="0.3">
      <c r="B113" s="104" t="s">
        <v>316</v>
      </c>
      <c r="C113" s="104" t="s">
        <v>317</v>
      </c>
      <c r="D113" s="105">
        <v>-2013031.07</v>
      </c>
    </row>
    <row r="114" spans="2:4" hidden="1" x14ac:dyDescent="0.3">
      <c r="B114" s="104" t="s">
        <v>318</v>
      </c>
      <c r="C114" s="104" t="s">
        <v>319</v>
      </c>
      <c r="D114" s="105">
        <v>-216089.15</v>
      </c>
    </row>
    <row r="115" spans="2:4" hidden="1" x14ac:dyDescent="0.3">
      <c r="B115" s="104" t="s">
        <v>320</v>
      </c>
      <c r="C115" s="104" t="s">
        <v>321</v>
      </c>
      <c r="D115" s="105">
        <v>-201745.75</v>
      </c>
    </row>
    <row r="116" spans="2:4" hidden="1" x14ac:dyDescent="0.3">
      <c r="B116" s="104" t="s">
        <v>322</v>
      </c>
      <c r="C116" s="104" t="s">
        <v>323</v>
      </c>
      <c r="D116" s="105">
        <v>-1244828.3599999901</v>
      </c>
    </row>
    <row r="117" spans="2:4" hidden="1" x14ac:dyDescent="0.3">
      <c r="B117" s="104" t="s">
        <v>324</v>
      </c>
      <c r="C117" s="104" t="s">
        <v>325</v>
      </c>
      <c r="D117" s="105">
        <v>-2029173.07</v>
      </c>
    </row>
    <row r="118" spans="2:4" hidden="1" x14ac:dyDescent="0.3">
      <c r="B118" s="104" t="s">
        <v>326</v>
      </c>
      <c r="C118" s="104" t="s">
        <v>327</v>
      </c>
      <c r="D118" s="105">
        <v>-4048246.23999999</v>
      </c>
    </row>
    <row r="119" spans="2:4" hidden="1" x14ac:dyDescent="0.3">
      <c r="B119" s="104" t="s">
        <v>328</v>
      </c>
      <c r="C119" s="104" t="s">
        <v>329</v>
      </c>
      <c r="D119" s="105">
        <v>-2506687.7200000002</v>
      </c>
    </row>
    <row r="120" spans="2:4" hidden="1" x14ac:dyDescent="0.3">
      <c r="B120" s="104" t="s">
        <v>330</v>
      </c>
      <c r="C120" s="104" t="s">
        <v>331</v>
      </c>
      <c r="D120" s="105">
        <v>-4531.8100000000004</v>
      </c>
    </row>
    <row r="121" spans="2:4" hidden="1" x14ac:dyDescent="0.3">
      <c r="B121" s="104" t="s">
        <v>332</v>
      </c>
      <c r="C121" s="104" t="s">
        <v>333</v>
      </c>
      <c r="D121" s="105">
        <v>-207739.03</v>
      </c>
    </row>
    <row r="122" spans="2:4" hidden="1" x14ac:dyDescent="0.3">
      <c r="B122" s="104" t="s">
        <v>334</v>
      </c>
      <c r="C122" s="104" t="s">
        <v>335</v>
      </c>
      <c r="D122" s="105">
        <v>-2514068.52999999</v>
      </c>
    </row>
    <row r="123" spans="2:4" hidden="1" x14ac:dyDescent="0.3">
      <c r="B123" s="104" t="s">
        <v>336</v>
      </c>
      <c r="C123" s="104" t="s">
        <v>337</v>
      </c>
      <c r="D123" s="105">
        <v>-154463.93</v>
      </c>
    </row>
    <row r="124" spans="2:4" hidden="1" x14ac:dyDescent="0.3">
      <c r="B124" s="104" t="s">
        <v>338</v>
      </c>
      <c r="C124" s="104" t="s">
        <v>339</v>
      </c>
      <c r="D124" s="105">
        <v>-32899.949999999997</v>
      </c>
    </row>
    <row r="125" spans="2:4" hidden="1" x14ac:dyDescent="0.3">
      <c r="B125" s="104" t="s">
        <v>340</v>
      </c>
      <c r="C125" s="104" t="s">
        <v>341</v>
      </c>
      <c r="D125" s="105">
        <v>-137831.71</v>
      </c>
    </row>
    <row r="126" spans="2:4" hidden="1" x14ac:dyDescent="0.3">
      <c r="B126" s="104" t="s">
        <v>342</v>
      </c>
      <c r="C126" s="104" t="s">
        <v>343</v>
      </c>
      <c r="D126" s="105">
        <v>-214742.37</v>
      </c>
    </row>
    <row r="127" spans="2:4" hidden="1" x14ac:dyDescent="0.3">
      <c r="B127" s="104" t="s">
        <v>344</v>
      </c>
      <c r="C127" s="104" t="s">
        <v>345</v>
      </c>
      <c r="D127" s="105">
        <v>-1055112.02</v>
      </c>
    </row>
    <row r="128" spans="2:4" hidden="1" x14ac:dyDescent="0.3">
      <c r="B128" s="104" t="s">
        <v>346</v>
      </c>
      <c r="C128" s="104" t="s">
        <v>347</v>
      </c>
      <c r="D128" s="105">
        <v>-430527.51999999897</v>
      </c>
    </row>
    <row r="129" spans="2:4" hidden="1" x14ac:dyDescent="0.3">
      <c r="B129" s="104" t="s">
        <v>348</v>
      </c>
      <c r="C129" s="104" t="s">
        <v>349</v>
      </c>
      <c r="D129" s="105">
        <v>-522427.06999999902</v>
      </c>
    </row>
    <row r="130" spans="2:4" hidden="1" x14ac:dyDescent="0.3">
      <c r="B130" s="104" t="s">
        <v>350</v>
      </c>
      <c r="C130" s="104" t="s">
        <v>351</v>
      </c>
      <c r="D130" s="105">
        <v>-19504999.259999901</v>
      </c>
    </row>
    <row r="131" spans="2:4" hidden="1" x14ac:dyDescent="0.3">
      <c r="B131" s="104" t="s">
        <v>352</v>
      </c>
      <c r="C131" s="104" t="s">
        <v>353</v>
      </c>
      <c r="D131" s="105">
        <v>-18609.580000000002</v>
      </c>
    </row>
    <row r="132" spans="2:4" hidden="1" x14ac:dyDescent="0.3">
      <c r="B132" s="104" t="s">
        <v>354</v>
      </c>
      <c r="C132" s="104" t="s">
        <v>355</v>
      </c>
      <c r="D132" s="105">
        <v>-970685.84</v>
      </c>
    </row>
    <row r="133" spans="2:4" hidden="1" x14ac:dyDescent="0.3">
      <c r="B133" s="104" t="s">
        <v>356</v>
      </c>
      <c r="C133" s="104" t="s">
        <v>357</v>
      </c>
      <c r="D133" s="105">
        <v>-744338.78999999899</v>
      </c>
    </row>
    <row r="134" spans="2:4" hidden="1" x14ac:dyDescent="0.3">
      <c r="B134" s="104" t="s">
        <v>358</v>
      </c>
      <c r="C134" s="104" t="s">
        <v>359</v>
      </c>
      <c r="D134" s="105">
        <v>-1903190.41</v>
      </c>
    </row>
    <row r="135" spans="2:4" hidden="1" x14ac:dyDescent="0.3">
      <c r="B135" s="104" t="s">
        <v>360</v>
      </c>
      <c r="C135" s="104" t="s">
        <v>361</v>
      </c>
      <c r="D135" s="105">
        <v>-55859.05</v>
      </c>
    </row>
    <row r="136" spans="2:4" hidden="1" x14ac:dyDescent="0.3">
      <c r="B136" s="104" t="s">
        <v>362</v>
      </c>
      <c r="C136" s="104" t="s">
        <v>363</v>
      </c>
      <c r="D136" s="105">
        <v>-1781512.04</v>
      </c>
    </row>
    <row r="137" spans="2:4" hidden="1" x14ac:dyDescent="0.3">
      <c r="B137" s="104" t="s">
        <v>364</v>
      </c>
      <c r="C137" s="104" t="s">
        <v>365</v>
      </c>
      <c r="D137" s="105">
        <v>-297828.12</v>
      </c>
    </row>
    <row r="138" spans="2:4" hidden="1" x14ac:dyDescent="0.3">
      <c r="B138" s="104" t="s">
        <v>366</v>
      </c>
      <c r="C138" s="104" t="s">
        <v>367</v>
      </c>
      <c r="D138" s="105">
        <v>-66902.429999999993</v>
      </c>
    </row>
    <row r="139" spans="2:4" hidden="1" x14ac:dyDescent="0.3">
      <c r="B139" s="104" t="s">
        <v>368</v>
      </c>
      <c r="C139" s="104" t="s">
        <v>369</v>
      </c>
      <c r="D139" s="105">
        <v>-178223.58</v>
      </c>
    </row>
    <row r="140" spans="2:4" hidden="1" x14ac:dyDescent="0.3">
      <c r="B140" s="104" t="s">
        <v>370</v>
      </c>
      <c r="C140" s="104" t="s">
        <v>371</v>
      </c>
      <c r="D140" s="105">
        <v>-3155280.71999999</v>
      </c>
    </row>
    <row r="141" spans="2:4" hidden="1" x14ac:dyDescent="0.3">
      <c r="B141" s="104" t="s">
        <v>372</v>
      </c>
      <c r="C141" s="104" t="s">
        <v>373</v>
      </c>
      <c r="D141" s="105">
        <v>-55650.51</v>
      </c>
    </row>
    <row r="142" spans="2:4" hidden="1" x14ac:dyDescent="0.3">
      <c r="B142" s="104" t="s">
        <v>374</v>
      </c>
      <c r="C142" s="104" t="s">
        <v>375</v>
      </c>
      <c r="D142" s="105">
        <v>-1354666.27999999</v>
      </c>
    </row>
    <row r="143" spans="2:4" hidden="1" x14ac:dyDescent="0.3">
      <c r="B143" s="104" t="s">
        <v>376</v>
      </c>
      <c r="C143" s="104" t="s">
        <v>377</v>
      </c>
      <c r="D143" s="105">
        <v>-572840.18000000005</v>
      </c>
    </row>
    <row r="144" spans="2:4" hidden="1" x14ac:dyDescent="0.3">
      <c r="B144" s="104" t="s">
        <v>378</v>
      </c>
      <c r="C144" s="104" t="s">
        <v>379</v>
      </c>
      <c r="D144" s="105">
        <v>-5922067.9699999904</v>
      </c>
    </row>
    <row r="145" spans="2:4" hidden="1" x14ac:dyDescent="0.3">
      <c r="B145" s="104" t="s">
        <v>380</v>
      </c>
      <c r="C145" s="104" t="s">
        <v>381</v>
      </c>
      <c r="D145" s="105">
        <v>-769664.92</v>
      </c>
    </row>
    <row r="146" spans="2:4" hidden="1" x14ac:dyDescent="0.3">
      <c r="B146" s="104" t="s">
        <v>382</v>
      </c>
      <c r="C146" s="104" t="s">
        <v>383</v>
      </c>
      <c r="D146" s="105">
        <v>-1774675.1899999899</v>
      </c>
    </row>
    <row r="147" spans="2:4" hidden="1" x14ac:dyDescent="0.3">
      <c r="B147" s="104" t="s">
        <v>384</v>
      </c>
      <c r="C147" s="104" t="s">
        <v>385</v>
      </c>
      <c r="D147" s="105">
        <v>-3913550.9199999901</v>
      </c>
    </row>
    <row r="148" spans="2:4" hidden="1" x14ac:dyDescent="0.3">
      <c r="B148" s="104" t="s">
        <v>386</v>
      </c>
      <c r="C148" s="104" t="s">
        <v>387</v>
      </c>
      <c r="D148" s="105">
        <v>-23513.449999999899</v>
      </c>
    </row>
    <row r="149" spans="2:4" hidden="1" x14ac:dyDescent="0.3">
      <c r="B149" s="104" t="s">
        <v>388</v>
      </c>
      <c r="C149" s="104" t="s">
        <v>389</v>
      </c>
      <c r="D149" s="105">
        <v>-47672.33</v>
      </c>
    </row>
    <row r="150" spans="2:4" hidden="1" x14ac:dyDescent="0.3">
      <c r="B150" s="104" t="s">
        <v>390</v>
      </c>
      <c r="C150" s="104" t="s">
        <v>391</v>
      </c>
      <c r="D150" s="105">
        <v>-91430.91</v>
      </c>
    </row>
    <row r="151" spans="2:4" hidden="1" x14ac:dyDescent="0.3">
      <c r="B151" s="104" t="s">
        <v>392</v>
      </c>
      <c r="C151" s="104" t="s">
        <v>393</v>
      </c>
      <c r="D151" s="105">
        <v>-1549388.19</v>
      </c>
    </row>
    <row r="152" spans="2:4" hidden="1" x14ac:dyDescent="0.3">
      <c r="B152" s="104" t="s">
        <v>394</v>
      </c>
      <c r="C152" s="104" t="s">
        <v>395</v>
      </c>
      <c r="D152" s="105">
        <v>-3385605.6299999901</v>
      </c>
    </row>
    <row r="153" spans="2:4" hidden="1" x14ac:dyDescent="0.3">
      <c r="B153" s="104" t="s">
        <v>396</v>
      </c>
      <c r="C153" s="104" t="s">
        <v>397</v>
      </c>
      <c r="D153" s="105">
        <v>-990410.56999999902</v>
      </c>
    </row>
    <row r="154" spans="2:4" hidden="1" x14ac:dyDescent="0.3">
      <c r="B154" s="104" t="s">
        <v>398</v>
      </c>
      <c r="C154" s="104" t="s">
        <v>399</v>
      </c>
      <c r="D154" s="105">
        <v>-16145.06</v>
      </c>
    </row>
    <row r="155" spans="2:4" hidden="1" x14ac:dyDescent="0.3">
      <c r="B155" s="104" t="s">
        <v>400</v>
      </c>
      <c r="C155" s="104" t="s">
        <v>401</v>
      </c>
      <c r="D155" s="105">
        <v>-2050644.21999999</v>
      </c>
    </row>
    <row r="156" spans="2:4" hidden="1" x14ac:dyDescent="0.3">
      <c r="B156" s="104" t="s">
        <v>402</v>
      </c>
      <c r="C156" s="104" t="s">
        <v>403</v>
      </c>
      <c r="D156" s="105">
        <v>-210984.22</v>
      </c>
    </row>
    <row r="157" spans="2:4" hidden="1" x14ac:dyDescent="0.3">
      <c r="B157" s="104" t="s">
        <v>404</v>
      </c>
      <c r="C157" s="104" t="s">
        <v>405</v>
      </c>
      <c r="D157" s="105">
        <v>-604127.35999999905</v>
      </c>
    </row>
    <row r="158" spans="2:4" hidden="1" x14ac:dyDescent="0.3">
      <c r="B158" s="104" t="s">
        <v>406</v>
      </c>
      <c r="C158" s="104" t="s">
        <v>407</v>
      </c>
      <c r="D158" s="105">
        <v>-1236014.55999999</v>
      </c>
    </row>
    <row r="159" spans="2:4" hidden="1" x14ac:dyDescent="0.3">
      <c r="B159" s="104" t="s">
        <v>408</v>
      </c>
      <c r="C159" s="104" t="s">
        <v>409</v>
      </c>
      <c r="D159" s="105">
        <v>-461605.63999999902</v>
      </c>
    </row>
    <row r="160" spans="2:4" hidden="1" x14ac:dyDescent="0.3">
      <c r="B160" s="104" t="s">
        <v>410</v>
      </c>
      <c r="C160" s="104" t="s">
        <v>411</v>
      </c>
      <c r="D160" s="105">
        <v>-154918.07</v>
      </c>
    </row>
    <row r="161" spans="2:4" hidden="1" x14ac:dyDescent="0.3">
      <c r="B161" s="104" t="s">
        <v>412</v>
      </c>
      <c r="C161" s="104" t="s">
        <v>413</v>
      </c>
      <c r="D161" s="105">
        <v>-11440346.3799999</v>
      </c>
    </row>
    <row r="162" spans="2:4" hidden="1" x14ac:dyDescent="0.3">
      <c r="B162" s="104" t="s">
        <v>414</v>
      </c>
      <c r="C162" s="104" t="s">
        <v>415</v>
      </c>
      <c r="D162" s="105">
        <v>-8984137.1600000001</v>
      </c>
    </row>
    <row r="163" spans="2:4" x14ac:dyDescent="0.3">
      <c r="B163" s="104" t="s">
        <v>416</v>
      </c>
      <c r="C163" s="104" t="s">
        <v>417</v>
      </c>
      <c r="D163" s="109">
        <v>-3174221.4499999899</v>
      </c>
    </row>
    <row r="164" spans="2:4" hidden="1" x14ac:dyDescent="0.3">
      <c r="B164" s="104" t="s">
        <v>418</v>
      </c>
      <c r="C164" s="104" t="s">
        <v>419</v>
      </c>
      <c r="D164" s="105">
        <v>-1396896.8399999901</v>
      </c>
    </row>
    <row r="165" spans="2:4" hidden="1" x14ac:dyDescent="0.3">
      <c r="B165" s="104" t="s">
        <v>420</v>
      </c>
      <c r="C165" s="104" t="s">
        <v>421</v>
      </c>
      <c r="D165" s="105">
        <v>-52160.62</v>
      </c>
    </row>
    <row r="166" spans="2:4" hidden="1" x14ac:dyDescent="0.3">
      <c r="B166" s="104" t="s">
        <v>422</v>
      </c>
      <c r="C166" s="104" t="s">
        <v>423</v>
      </c>
      <c r="D166" s="105">
        <v>-1121557.04999999</v>
      </c>
    </row>
    <row r="167" spans="2:4" hidden="1" x14ac:dyDescent="0.3">
      <c r="B167" s="104" t="s">
        <v>424</v>
      </c>
      <c r="C167" s="104" t="s">
        <v>425</v>
      </c>
      <c r="D167" s="105">
        <v>-1547079.3</v>
      </c>
    </row>
    <row r="168" spans="2:4" hidden="1" x14ac:dyDescent="0.3">
      <c r="B168" s="104" t="s">
        <v>426</v>
      </c>
      <c r="C168" s="104" t="s">
        <v>427</v>
      </c>
      <c r="D168" s="105">
        <v>-6073702.4100000001</v>
      </c>
    </row>
    <row r="169" spans="2:4" hidden="1" x14ac:dyDescent="0.3">
      <c r="B169" s="104" t="s">
        <v>428</v>
      </c>
      <c r="C169" s="104" t="s">
        <v>429</v>
      </c>
      <c r="D169" s="105">
        <v>-215294.75</v>
      </c>
    </row>
    <row r="170" spans="2:4" hidden="1" x14ac:dyDescent="0.3">
      <c r="B170" s="104" t="s">
        <v>430</v>
      </c>
      <c r="C170" s="104" t="s">
        <v>431</v>
      </c>
      <c r="D170" s="105">
        <v>-2326230.8799999901</v>
      </c>
    </row>
    <row r="171" spans="2:4" hidden="1" x14ac:dyDescent="0.3">
      <c r="B171" s="104" t="s">
        <v>432</v>
      </c>
      <c r="C171" s="104" t="s">
        <v>433</v>
      </c>
      <c r="D171" s="105">
        <v>-2158507.7899999898</v>
      </c>
    </row>
    <row r="172" spans="2:4" hidden="1" x14ac:dyDescent="0.3">
      <c r="B172" s="104" t="s">
        <v>434</v>
      </c>
      <c r="C172" s="104" t="s">
        <v>435</v>
      </c>
      <c r="D172" s="105">
        <v>-50130659.539999902</v>
      </c>
    </row>
    <row r="173" spans="2:4" hidden="1" x14ac:dyDescent="0.3">
      <c r="B173" s="104" t="s">
        <v>436</v>
      </c>
      <c r="C173" s="104" t="s">
        <v>437</v>
      </c>
      <c r="D173" s="105">
        <v>-15658.47</v>
      </c>
    </row>
    <row r="174" spans="2:4" hidden="1" x14ac:dyDescent="0.3">
      <c r="B174" s="104" t="s">
        <v>438</v>
      </c>
      <c r="C174" s="104" t="s">
        <v>439</v>
      </c>
      <c r="D174" s="105">
        <v>-842497.38</v>
      </c>
    </row>
    <row r="175" spans="2:4" hidden="1" x14ac:dyDescent="0.3">
      <c r="B175" s="104" t="s">
        <v>440</v>
      </c>
      <c r="C175" s="104" t="s">
        <v>441</v>
      </c>
      <c r="D175" s="105">
        <v>-19964.919999999998</v>
      </c>
    </row>
    <row r="176" spans="2:4" hidden="1" x14ac:dyDescent="0.3">
      <c r="B176" s="104" t="s">
        <v>442</v>
      </c>
      <c r="C176" s="104" t="s">
        <v>443</v>
      </c>
      <c r="D176" s="105">
        <v>-330968.45</v>
      </c>
    </row>
    <row r="177" spans="2:4" hidden="1" x14ac:dyDescent="0.3">
      <c r="B177" s="104" t="s">
        <v>444</v>
      </c>
      <c r="C177" s="104" t="s">
        <v>445</v>
      </c>
      <c r="D177" s="105">
        <v>-1133119.8799999901</v>
      </c>
    </row>
    <row r="178" spans="2:4" hidden="1" x14ac:dyDescent="0.3">
      <c r="B178" s="104" t="s">
        <v>446</v>
      </c>
      <c r="C178" s="104" t="s">
        <v>447</v>
      </c>
      <c r="D178" s="105">
        <v>-6988872.5699999901</v>
      </c>
    </row>
    <row r="179" spans="2:4" x14ac:dyDescent="0.3">
      <c r="B179" s="104" t="s">
        <v>448</v>
      </c>
      <c r="C179" s="104" t="s">
        <v>449</v>
      </c>
      <c r="D179" s="109">
        <v>-48771227.509999901</v>
      </c>
    </row>
    <row r="180" spans="2:4" hidden="1" x14ac:dyDescent="0.3">
      <c r="B180" s="104" t="s">
        <v>450</v>
      </c>
      <c r="C180" s="104" t="s">
        <v>451</v>
      </c>
      <c r="D180" s="105">
        <v>-2311587.2299999902</v>
      </c>
    </row>
    <row r="181" spans="2:4" hidden="1" x14ac:dyDescent="0.3">
      <c r="B181" s="104" t="s">
        <v>452</v>
      </c>
      <c r="C181" s="104" t="s">
        <v>453</v>
      </c>
      <c r="D181" s="105">
        <v>-874921.96</v>
      </c>
    </row>
    <row r="182" spans="2:4" hidden="1" x14ac:dyDescent="0.3">
      <c r="B182" s="104" t="s">
        <v>454</v>
      </c>
      <c r="C182" s="104" t="s">
        <v>455</v>
      </c>
      <c r="D182" s="105">
        <v>-38517.4</v>
      </c>
    </row>
    <row r="183" spans="2:4" hidden="1" x14ac:dyDescent="0.3">
      <c r="B183" s="104" t="s">
        <v>456</v>
      </c>
      <c r="C183" s="104" t="s">
        <v>457</v>
      </c>
      <c r="D183" s="105">
        <v>-144936.09</v>
      </c>
    </row>
    <row r="184" spans="2:4" hidden="1" x14ac:dyDescent="0.3">
      <c r="B184" s="104" t="s">
        <v>458</v>
      </c>
      <c r="C184" s="104" t="s">
        <v>459</v>
      </c>
      <c r="D184" s="105">
        <v>-106720.1</v>
      </c>
    </row>
    <row r="185" spans="2:4" hidden="1" x14ac:dyDescent="0.3">
      <c r="B185" s="104" t="s">
        <v>460</v>
      </c>
      <c r="C185" s="104" t="s">
        <v>461</v>
      </c>
      <c r="D185" s="105">
        <v>-10797903.8199999</v>
      </c>
    </row>
    <row r="186" spans="2:4" hidden="1" x14ac:dyDescent="0.3">
      <c r="B186" s="104" t="s">
        <v>462</v>
      </c>
      <c r="C186" s="104" t="s">
        <v>463</v>
      </c>
      <c r="D186" s="105">
        <v>-9984706.4199999906</v>
      </c>
    </row>
    <row r="187" spans="2:4" hidden="1" x14ac:dyDescent="0.3">
      <c r="B187" s="104" t="s">
        <v>464</v>
      </c>
      <c r="C187" s="104" t="s">
        <v>465</v>
      </c>
      <c r="D187" s="105">
        <v>-277667.71999999997</v>
      </c>
    </row>
    <row r="188" spans="2:4" hidden="1" x14ac:dyDescent="0.3">
      <c r="B188" s="104" t="s">
        <v>466</v>
      </c>
      <c r="C188" s="104" t="s">
        <v>467</v>
      </c>
      <c r="D188" s="105">
        <v>-166494.57999999999</v>
      </c>
    </row>
    <row r="189" spans="2:4" hidden="1" x14ac:dyDescent="0.3">
      <c r="B189" s="104" t="s">
        <v>468</v>
      </c>
      <c r="C189" s="104" t="s">
        <v>469</v>
      </c>
      <c r="D189" s="105">
        <v>-434901.55</v>
      </c>
    </row>
    <row r="190" spans="2:4" hidden="1" x14ac:dyDescent="0.3">
      <c r="B190" s="104" t="s">
        <v>470</v>
      </c>
      <c r="C190" s="104" t="s">
        <v>471</v>
      </c>
      <c r="D190" s="105">
        <v>-159263.859999999</v>
      </c>
    </row>
    <row r="191" spans="2:4" hidden="1" x14ac:dyDescent="0.3">
      <c r="B191" s="104" t="s">
        <v>472</v>
      </c>
      <c r="C191" s="104" t="s">
        <v>473</v>
      </c>
      <c r="D191" s="105">
        <v>-582324.32999999996</v>
      </c>
    </row>
    <row r="192" spans="2:4" hidden="1" x14ac:dyDescent="0.3">
      <c r="B192" s="104" t="s">
        <v>474</v>
      </c>
      <c r="C192" s="104" t="s">
        <v>475</v>
      </c>
      <c r="D192" s="105">
        <v>-697317.78</v>
      </c>
    </row>
    <row r="193" spans="2:4" hidden="1" x14ac:dyDescent="0.3">
      <c r="B193" s="104" t="s">
        <v>476</v>
      </c>
      <c r="C193" s="104" t="s">
        <v>477</v>
      </c>
      <c r="D193" s="105">
        <v>-172994.82</v>
      </c>
    </row>
    <row r="194" spans="2:4" hidden="1" x14ac:dyDescent="0.3">
      <c r="B194" s="104" t="s">
        <v>478</v>
      </c>
      <c r="C194" s="104" t="s">
        <v>479</v>
      </c>
      <c r="D194" s="105">
        <v>-1419582.73999999</v>
      </c>
    </row>
    <row r="195" spans="2:4" hidden="1" x14ac:dyDescent="0.3">
      <c r="B195" s="104" t="s">
        <v>480</v>
      </c>
      <c r="C195" s="104" t="s">
        <v>481</v>
      </c>
      <c r="D195" s="105">
        <v>-587658.429999999</v>
      </c>
    </row>
    <row r="196" spans="2:4" hidden="1" x14ac:dyDescent="0.3">
      <c r="B196" s="104" t="s">
        <v>482</v>
      </c>
      <c r="C196" s="104" t="s">
        <v>483</v>
      </c>
      <c r="D196" s="105">
        <v>-772216.66999999899</v>
      </c>
    </row>
    <row r="197" spans="2:4" hidden="1" x14ac:dyDescent="0.3">
      <c r="B197" s="104" t="s">
        <v>484</v>
      </c>
      <c r="C197" s="104" t="s">
        <v>485</v>
      </c>
      <c r="D197" s="105">
        <v>-2666220.50999999</v>
      </c>
    </row>
    <row r="198" spans="2:4" hidden="1" x14ac:dyDescent="0.3">
      <c r="B198" s="104" t="s">
        <v>486</v>
      </c>
      <c r="C198" s="104" t="s">
        <v>487</v>
      </c>
      <c r="D198" s="105">
        <v>-3713954.4999999902</v>
      </c>
    </row>
    <row r="199" spans="2:4" hidden="1" x14ac:dyDescent="0.3">
      <c r="B199" s="104" t="s">
        <v>488</v>
      </c>
      <c r="C199" s="104" t="s">
        <v>489</v>
      </c>
      <c r="D199" s="105">
        <v>-76392.820000000007</v>
      </c>
    </row>
    <row r="200" spans="2:4" hidden="1" x14ac:dyDescent="0.3">
      <c r="B200" s="104" t="s">
        <v>490</v>
      </c>
      <c r="C200" s="104" t="s">
        <v>491</v>
      </c>
      <c r="D200" s="105">
        <v>-8809787.0699999891</v>
      </c>
    </row>
    <row r="201" spans="2:4" hidden="1" x14ac:dyDescent="0.3">
      <c r="B201" s="104" t="s">
        <v>492</v>
      </c>
      <c r="C201" s="104" t="s">
        <v>493</v>
      </c>
      <c r="D201" s="105">
        <v>-260117.65</v>
      </c>
    </row>
    <row r="202" spans="2:4" hidden="1" x14ac:dyDescent="0.3">
      <c r="B202" s="104" t="s">
        <v>494</v>
      </c>
      <c r="C202" s="104" t="s">
        <v>495</v>
      </c>
      <c r="D202" s="105">
        <v>-279530.90000000002</v>
      </c>
    </row>
    <row r="203" spans="2:4" hidden="1" x14ac:dyDescent="0.3">
      <c r="B203" s="104" t="s">
        <v>496</v>
      </c>
      <c r="C203" s="104" t="s">
        <v>497</v>
      </c>
      <c r="D203" s="105">
        <v>-199002.33</v>
      </c>
    </row>
    <row r="204" spans="2:4" hidden="1" x14ac:dyDescent="0.3">
      <c r="B204" s="104" t="s">
        <v>498</v>
      </c>
      <c r="C204" s="104" t="s">
        <v>499</v>
      </c>
      <c r="D204" s="105">
        <v>-789912.78</v>
      </c>
    </row>
    <row r="205" spans="2:4" hidden="1" x14ac:dyDescent="0.3">
      <c r="B205" s="104" t="s">
        <v>500</v>
      </c>
      <c r="C205" s="104" t="s">
        <v>501</v>
      </c>
      <c r="D205" s="105">
        <v>-2146.39</v>
      </c>
    </row>
    <row r="206" spans="2:4" hidden="1" x14ac:dyDescent="0.3">
      <c r="B206" s="104" t="s">
        <v>502</v>
      </c>
      <c r="C206" s="104" t="s">
        <v>503</v>
      </c>
      <c r="D206" s="105">
        <v>-465600.85</v>
      </c>
    </row>
    <row r="207" spans="2:4" hidden="1" x14ac:dyDescent="0.3">
      <c r="B207" s="104" t="s">
        <v>504</v>
      </c>
      <c r="C207" s="104" t="s">
        <v>505</v>
      </c>
      <c r="D207" s="105">
        <v>-244277.66</v>
      </c>
    </row>
    <row r="208" spans="2:4" hidden="1" x14ac:dyDescent="0.3">
      <c r="B208" s="104" t="s">
        <v>506</v>
      </c>
      <c r="C208" s="104" t="s">
        <v>507</v>
      </c>
      <c r="D208" s="105">
        <v>-622536.68999999994</v>
      </c>
    </row>
    <row r="209" spans="2:4" hidden="1" x14ac:dyDescent="0.3">
      <c r="B209" s="104" t="s">
        <v>508</v>
      </c>
      <c r="C209" s="104" t="s">
        <v>509</v>
      </c>
      <c r="D209" s="105">
        <v>-182970.91</v>
      </c>
    </row>
    <row r="210" spans="2:4" hidden="1" x14ac:dyDescent="0.3">
      <c r="B210" s="104" t="s">
        <v>510</v>
      </c>
      <c r="C210" s="104" t="s">
        <v>511</v>
      </c>
      <c r="D210" s="105">
        <v>-2937636.52999999</v>
      </c>
    </row>
    <row r="211" spans="2:4" hidden="1" x14ac:dyDescent="0.3">
      <c r="B211" s="104" t="s">
        <v>512</v>
      </c>
      <c r="C211" s="104" t="s">
        <v>513</v>
      </c>
      <c r="D211" s="105">
        <v>-388264.67</v>
      </c>
    </row>
    <row r="212" spans="2:4" hidden="1" x14ac:dyDescent="0.3">
      <c r="B212" s="104" t="s">
        <v>514</v>
      </c>
      <c r="C212" s="104" t="s">
        <v>515</v>
      </c>
      <c r="D212" s="105">
        <v>-370617.57</v>
      </c>
    </row>
    <row r="213" spans="2:4" hidden="1" x14ac:dyDescent="0.3">
      <c r="B213" s="104" t="s">
        <v>516</v>
      </c>
      <c r="C213" s="104" t="s">
        <v>517</v>
      </c>
      <c r="D213" s="105">
        <v>-1121821.6299999901</v>
      </c>
    </row>
    <row r="214" spans="2:4" hidden="1" x14ac:dyDescent="0.3">
      <c r="B214" s="104" t="s">
        <v>518</v>
      </c>
      <c r="C214" s="104" t="s">
        <v>519</v>
      </c>
      <c r="D214" s="105">
        <v>-1464620.99999999</v>
      </c>
    </row>
    <row r="215" spans="2:4" hidden="1" x14ac:dyDescent="0.3">
      <c r="B215" s="104" t="s">
        <v>520</v>
      </c>
      <c r="C215" s="104" t="s">
        <v>521</v>
      </c>
      <c r="D215" s="105">
        <v>-833293.42</v>
      </c>
    </row>
    <row r="216" spans="2:4" hidden="1" x14ac:dyDescent="0.3">
      <c r="B216" s="104" t="s">
        <v>522</v>
      </c>
      <c r="C216" s="104" t="s">
        <v>523</v>
      </c>
      <c r="D216" s="105">
        <v>-304581.179999999</v>
      </c>
    </row>
    <row r="217" spans="2:4" hidden="1" x14ac:dyDescent="0.3">
      <c r="B217" s="104" t="s">
        <v>524</v>
      </c>
      <c r="C217" s="104" t="s">
        <v>525</v>
      </c>
      <c r="D217" s="105">
        <v>-569726.53999999899</v>
      </c>
    </row>
    <row r="218" spans="2:4" hidden="1" x14ac:dyDescent="0.3">
      <c r="B218" s="104" t="s">
        <v>526</v>
      </c>
      <c r="C218" s="104" t="s">
        <v>527</v>
      </c>
      <c r="D218" s="105">
        <v>-1235356.6399999999</v>
      </c>
    </row>
    <row r="219" spans="2:4" hidden="1" x14ac:dyDescent="0.3">
      <c r="B219" s="104" t="s">
        <v>528</v>
      </c>
      <c r="C219" s="104" t="s">
        <v>529</v>
      </c>
      <c r="D219" s="105">
        <v>-2205921.1399999899</v>
      </c>
    </row>
    <row r="220" spans="2:4" hidden="1" x14ac:dyDescent="0.3">
      <c r="B220" s="104" t="s">
        <v>530</v>
      </c>
      <c r="C220" s="104" t="s">
        <v>531</v>
      </c>
      <c r="D220" s="105">
        <v>-549071.41</v>
      </c>
    </row>
    <row r="221" spans="2:4" hidden="1" x14ac:dyDescent="0.3">
      <c r="B221" s="104" t="s">
        <v>532</v>
      </c>
      <c r="C221" s="104" t="s">
        <v>533</v>
      </c>
      <c r="D221" s="105">
        <v>-247369.24</v>
      </c>
    </row>
    <row r="222" spans="2:4" hidden="1" x14ac:dyDescent="0.3">
      <c r="B222" s="104" t="s">
        <v>534</v>
      </c>
      <c r="C222" s="104" t="s">
        <v>535</v>
      </c>
      <c r="D222" s="105">
        <v>-359659.05</v>
      </c>
    </row>
    <row r="223" spans="2:4" hidden="1" x14ac:dyDescent="0.3">
      <c r="B223" s="104" t="s">
        <v>536</v>
      </c>
      <c r="C223" s="104" t="s">
        <v>537</v>
      </c>
      <c r="D223" s="105">
        <v>-296364.83</v>
      </c>
    </row>
    <row r="224" spans="2:4" x14ac:dyDescent="0.3">
      <c r="B224" s="104" t="s">
        <v>538</v>
      </c>
      <c r="C224" s="104" t="s">
        <v>539</v>
      </c>
      <c r="D224" s="109">
        <v>-13156573.4099999</v>
      </c>
    </row>
    <row r="225" spans="2:4" hidden="1" x14ac:dyDescent="0.3">
      <c r="B225" s="104" t="s">
        <v>540</v>
      </c>
      <c r="C225" s="104" t="s">
        <v>541</v>
      </c>
      <c r="D225" s="105">
        <v>-22812797.7999999</v>
      </c>
    </row>
    <row r="226" spans="2:4" hidden="1" x14ac:dyDescent="0.3">
      <c r="B226" s="104" t="s">
        <v>542</v>
      </c>
      <c r="C226" s="104" t="s">
        <v>543</v>
      </c>
      <c r="D226" s="105">
        <v>-898849.77999999898</v>
      </c>
    </row>
    <row r="227" spans="2:4" hidden="1" x14ac:dyDescent="0.3">
      <c r="B227" s="104" t="s">
        <v>544</v>
      </c>
      <c r="C227" s="104" t="s">
        <v>545</v>
      </c>
      <c r="D227" s="105">
        <v>-189794.61</v>
      </c>
    </row>
    <row r="228" spans="2:4" hidden="1" x14ac:dyDescent="0.3">
      <c r="B228" s="104" t="s">
        <v>546</v>
      </c>
      <c r="C228" s="104" t="s">
        <v>547</v>
      </c>
      <c r="D228" s="105">
        <v>-16812206.550000001</v>
      </c>
    </row>
    <row r="229" spans="2:4" hidden="1" x14ac:dyDescent="0.3">
      <c r="B229" s="104" t="s">
        <v>548</v>
      </c>
      <c r="C229" s="104" t="s">
        <v>549</v>
      </c>
      <c r="D229" s="105">
        <v>-1255770.3899999899</v>
      </c>
    </row>
    <row r="230" spans="2:4" hidden="1" x14ac:dyDescent="0.3">
      <c r="B230" s="104" t="s">
        <v>550</v>
      </c>
      <c r="C230" s="104" t="s">
        <v>551</v>
      </c>
      <c r="D230" s="105">
        <v>-1197471.3799999901</v>
      </c>
    </row>
    <row r="231" spans="2:4" hidden="1" x14ac:dyDescent="0.3">
      <c r="B231" s="104" t="s">
        <v>552</v>
      </c>
      <c r="C231" s="104" t="s">
        <v>553</v>
      </c>
      <c r="D231" s="105">
        <v>-1231174.1999999899</v>
      </c>
    </row>
    <row r="232" spans="2:4" hidden="1" x14ac:dyDescent="0.3">
      <c r="B232" s="104" t="s">
        <v>554</v>
      </c>
      <c r="C232" s="104" t="s">
        <v>555</v>
      </c>
      <c r="D232" s="105">
        <v>-262320.429999999</v>
      </c>
    </row>
    <row r="233" spans="2:4" hidden="1" x14ac:dyDescent="0.3">
      <c r="B233" s="104" t="s">
        <v>556</v>
      </c>
      <c r="C233" s="104" t="s">
        <v>557</v>
      </c>
      <c r="D233" s="105">
        <v>-1958565.79999999</v>
      </c>
    </row>
    <row r="234" spans="2:4" hidden="1" x14ac:dyDescent="0.3">
      <c r="B234" s="104" t="s">
        <v>558</v>
      </c>
      <c r="C234" s="104" t="s">
        <v>559</v>
      </c>
      <c r="D234" s="105">
        <v>-320111.93</v>
      </c>
    </row>
    <row r="235" spans="2:4" hidden="1" x14ac:dyDescent="0.3">
      <c r="B235" s="104" t="s">
        <v>560</v>
      </c>
      <c r="C235" s="104" t="s">
        <v>561</v>
      </c>
      <c r="D235" s="105">
        <v>-298104.46999999997</v>
      </c>
    </row>
    <row r="236" spans="2:4" hidden="1" x14ac:dyDescent="0.3">
      <c r="B236" s="104" t="s">
        <v>562</v>
      </c>
      <c r="C236" s="104" t="s">
        <v>563</v>
      </c>
      <c r="D236" s="105">
        <v>-1254663.6799999899</v>
      </c>
    </row>
    <row r="237" spans="2:4" hidden="1" x14ac:dyDescent="0.3">
      <c r="B237" s="104" t="s">
        <v>564</v>
      </c>
      <c r="C237" s="104" t="s">
        <v>565</v>
      </c>
      <c r="D237" s="105">
        <v>-21330666.439999901</v>
      </c>
    </row>
    <row r="238" spans="2:4" x14ac:dyDescent="0.3">
      <c r="B238" s="104" t="s">
        <v>566</v>
      </c>
      <c r="C238" s="104" t="s">
        <v>567</v>
      </c>
      <c r="D238" s="109">
        <v>-1428035.54999999</v>
      </c>
    </row>
    <row r="239" spans="2:4" hidden="1" x14ac:dyDescent="0.3">
      <c r="B239" s="104" t="s">
        <v>568</v>
      </c>
      <c r="C239" s="104" t="s">
        <v>569</v>
      </c>
      <c r="D239" s="105">
        <v>-9376.5499999999902</v>
      </c>
    </row>
    <row r="240" spans="2:4" hidden="1" x14ac:dyDescent="0.3">
      <c r="B240" s="104" t="s">
        <v>570</v>
      </c>
      <c r="C240" s="104" t="s">
        <v>571</v>
      </c>
      <c r="D240" s="105">
        <v>-2453871.29</v>
      </c>
    </row>
    <row r="241" spans="2:4" hidden="1" x14ac:dyDescent="0.3">
      <c r="B241" s="104" t="s">
        <v>572</v>
      </c>
      <c r="C241" s="104" t="s">
        <v>573</v>
      </c>
      <c r="D241" s="105">
        <v>-50753.24</v>
      </c>
    </row>
    <row r="242" spans="2:4" hidden="1" x14ac:dyDescent="0.3">
      <c r="B242" s="104" t="s">
        <v>574</v>
      </c>
      <c r="C242" s="104" t="s">
        <v>575</v>
      </c>
      <c r="D242" s="105">
        <v>-319167.87</v>
      </c>
    </row>
    <row r="243" spans="2:4" hidden="1" x14ac:dyDescent="0.3">
      <c r="B243" s="104" t="s">
        <v>576</v>
      </c>
      <c r="C243" s="104" t="s">
        <v>577</v>
      </c>
      <c r="D243" s="105">
        <v>-361897.82</v>
      </c>
    </row>
    <row r="244" spans="2:4" hidden="1" x14ac:dyDescent="0.3">
      <c r="B244" s="104" t="s">
        <v>578</v>
      </c>
      <c r="C244" s="104" t="s">
        <v>579</v>
      </c>
      <c r="D244" s="105">
        <v>-800165.39999999898</v>
      </c>
    </row>
    <row r="245" spans="2:4" hidden="1" x14ac:dyDescent="0.3">
      <c r="B245" s="104" t="s">
        <v>580</v>
      </c>
      <c r="C245" s="104" t="s">
        <v>581</v>
      </c>
      <c r="D245" s="105">
        <v>-662633.56999999995</v>
      </c>
    </row>
    <row r="246" spans="2:4" hidden="1" x14ac:dyDescent="0.3">
      <c r="B246" s="104" t="s">
        <v>582</v>
      </c>
      <c r="C246" s="104" t="s">
        <v>583</v>
      </c>
      <c r="D246" s="105">
        <v>-467197.53</v>
      </c>
    </row>
    <row r="247" spans="2:4" hidden="1" x14ac:dyDescent="0.3">
      <c r="B247" s="104" t="s">
        <v>584</v>
      </c>
      <c r="C247" s="104" t="s">
        <v>585</v>
      </c>
      <c r="D247" s="105">
        <v>-1779460.28</v>
      </c>
    </row>
    <row r="248" spans="2:4" hidden="1" x14ac:dyDescent="0.3">
      <c r="B248" s="104" t="s">
        <v>586</v>
      </c>
      <c r="C248" s="104" t="s">
        <v>587</v>
      </c>
      <c r="D248" s="105">
        <v>-71189.11</v>
      </c>
    </row>
    <row r="249" spans="2:4" hidden="1" x14ac:dyDescent="0.3">
      <c r="B249" s="104" t="s">
        <v>588</v>
      </c>
      <c r="C249" s="104" t="s">
        <v>589</v>
      </c>
      <c r="D249" s="105">
        <v>-1008857.95999999</v>
      </c>
    </row>
    <row r="250" spans="2:4" hidden="1" x14ac:dyDescent="0.3">
      <c r="B250" s="104" t="s">
        <v>590</v>
      </c>
      <c r="C250" s="104" t="s">
        <v>591</v>
      </c>
      <c r="D250" s="105">
        <v>-491533.39</v>
      </c>
    </row>
    <row r="251" spans="2:4" hidden="1" x14ac:dyDescent="0.3">
      <c r="B251" s="104" t="s">
        <v>592</v>
      </c>
      <c r="C251" s="104" t="s">
        <v>593</v>
      </c>
      <c r="D251" s="105">
        <v>-1427156.96999999</v>
      </c>
    </row>
    <row r="252" spans="2:4" hidden="1" x14ac:dyDescent="0.3">
      <c r="B252" s="104" t="s">
        <v>594</v>
      </c>
      <c r="C252" s="104" t="s">
        <v>595</v>
      </c>
      <c r="D252" s="105">
        <v>-247887.16</v>
      </c>
    </row>
    <row r="253" spans="2:4" hidden="1" x14ac:dyDescent="0.3">
      <c r="B253" s="104" t="s">
        <v>596</v>
      </c>
      <c r="C253" s="104" t="s">
        <v>597</v>
      </c>
      <c r="D253" s="105">
        <v>-463376.94</v>
      </c>
    </row>
    <row r="254" spans="2:4" hidden="1" x14ac:dyDescent="0.3">
      <c r="B254" s="104" t="s">
        <v>598</v>
      </c>
      <c r="C254" s="104" t="s">
        <v>599</v>
      </c>
      <c r="D254" s="105">
        <v>-86966.26</v>
      </c>
    </row>
    <row r="255" spans="2:4" hidden="1" x14ac:dyDescent="0.3">
      <c r="B255" s="104" t="s">
        <v>600</v>
      </c>
      <c r="C255" s="104" t="s">
        <v>601</v>
      </c>
      <c r="D255" s="105">
        <v>-178539.38</v>
      </c>
    </row>
    <row r="256" spans="2:4" hidden="1" x14ac:dyDescent="0.3">
      <c r="B256" s="104" t="s">
        <v>602</v>
      </c>
      <c r="C256" s="104" t="s">
        <v>603</v>
      </c>
      <c r="D256" s="105">
        <v>-190669.85</v>
      </c>
    </row>
    <row r="257" spans="2:4" hidden="1" x14ac:dyDescent="0.3">
      <c r="B257" s="104" t="s">
        <v>604</v>
      </c>
      <c r="C257" s="104" t="s">
        <v>605</v>
      </c>
      <c r="D257" s="105">
        <v>-121705.22999999901</v>
      </c>
    </row>
    <row r="258" spans="2:4" hidden="1" x14ac:dyDescent="0.3">
      <c r="B258" s="104" t="s">
        <v>606</v>
      </c>
      <c r="C258" s="104" t="s">
        <v>607</v>
      </c>
      <c r="D258" s="105">
        <v>-2361815.9700000002</v>
      </c>
    </row>
    <row r="259" spans="2:4" hidden="1" x14ac:dyDescent="0.3">
      <c r="B259" s="104" t="s">
        <v>608</v>
      </c>
      <c r="C259" s="104" t="s">
        <v>609</v>
      </c>
      <c r="D259" s="105">
        <v>-24844.63</v>
      </c>
    </row>
    <row r="260" spans="2:4" hidden="1" x14ac:dyDescent="0.3">
      <c r="B260" s="104" t="s">
        <v>610</v>
      </c>
      <c r="C260" s="104" t="s">
        <v>611</v>
      </c>
      <c r="D260" s="105">
        <v>-4511000.83</v>
      </c>
    </row>
    <row r="261" spans="2:4" hidden="1" x14ac:dyDescent="0.3">
      <c r="B261" s="104" t="s">
        <v>612</v>
      </c>
      <c r="C261" s="104" t="s">
        <v>613</v>
      </c>
      <c r="D261" s="105">
        <v>-82767.039999999906</v>
      </c>
    </row>
    <row r="262" spans="2:4" hidden="1" x14ac:dyDescent="0.3">
      <c r="B262" s="104" t="s">
        <v>614</v>
      </c>
      <c r="C262" s="104" t="s">
        <v>615</v>
      </c>
      <c r="D262" s="105">
        <v>-14368.97</v>
      </c>
    </row>
    <row r="263" spans="2:4" hidden="1" x14ac:dyDescent="0.3">
      <c r="B263" s="104" t="s">
        <v>616</v>
      </c>
      <c r="C263" s="104" t="s">
        <v>617</v>
      </c>
      <c r="D263" s="105">
        <v>-63185.589999999902</v>
      </c>
    </row>
    <row r="264" spans="2:4" hidden="1" x14ac:dyDescent="0.3">
      <c r="B264" s="104" t="s">
        <v>618</v>
      </c>
      <c r="C264" s="104" t="s">
        <v>619</v>
      </c>
      <c r="D264" s="105">
        <v>-1304345.26</v>
      </c>
    </row>
    <row r="265" spans="2:4" hidden="1" x14ac:dyDescent="0.3">
      <c r="B265" s="104" t="s">
        <v>620</v>
      </c>
      <c r="C265" s="104" t="s">
        <v>621</v>
      </c>
      <c r="D265" s="105">
        <v>-210600.54</v>
      </c>
    </row>
    <row r="266" spans="2:4" x14ac:dyDescent="0.3">
      <c r="B266" s="104" t="s">
        <v>622</v>
      </c>
      <c r="C266" s="104" t="s">
        <v>623</v>
      </c>
      <c r="D266" s="109">
        <v>-40859289.529999897</v>
      </c>
    </row>
    <row r="267" spans="2:4" hidden="1" x14ac:dyDescent="0.3">
      <c r="B267" s="104" t="s">
        <v>624</v>
      </c>
      <c r="C267" s="104" t="s">
        <v>625</v>
      </c>
      <c r="D267" s="105">
        <v>-1256758.30999999</v>
      </c>
    </row>
    <row r="268" spans="2:4" hidden="1" x14ac:dyDescent="0.3">
      <c r="B268" s="104" t="s">
        <v>626</v>
      </c>
      <c r="C268" s="104" t="s">
        <v>627</v>
      </c>
      <c r="D268" s="105">
        <v>-10287052.529999901</v>
      </c>
    </row>
    <row r="269" spans="2:4" hidden="1" x14ac:dyDescent="0.3">
      <c r="B269" s="104" t="s">
        <v>628</v>
      </c>
      <c r="C269" s="104" t="s">
        <v>629</v>
      </c>
      <c r="D269" s="105">
        <v>-386627.22</v>
      </c>
    </row>
    <row r="270" spans="2:4" hidden="1" x14ac:dyDescent="0.3">
      <c r="B270" s="104" t="s">
        <v>630</v>
      </c>
      <c r="C270" s="104" t="s">
        <v>631</v>
      </c>
      <c r="D270" s="105">
        <v>-81923.11</v>
      </c>
    </row>
    <row r="271" spans="2:4" hidden="1" x14ac:dyDescent="0.3">
      <c r="B271" s="104" t="s">
        <v>632</v>
      </c>
      <c r="C271" s="104" t="s">
        <v>633</v>
      </c>
      <c r="D271" s="105">
        <v>-2050750.55999999</v>
      </c>
    </row>
    <row r="272" spans="2:4" hidden="1" x14ac:dyDescent="0.3">
      <c r="B272" s="104" t="s">
        <v>634</v>
      </c>
      <c r="C272" s="104" t="s">
        <v>635</v>
      </c>
      <c r="D272" s="105">
        <v>-4340.55</v>
      </c>
    </row>
    <row r="273" spans="2:4" hidden="1" x14ac:dyDescent="0.3">
      <c r="B273" s="104" t="s">
        <v>636</v>
      </c>
      <c r="C273" s="104" t="s">
        <v>637</v>
      </c>
      <c r="D273" s="105">
        <v>-413587.75</v>
      </c>
    </row>
    <row r="274" spans="2:4" hidden="1" x14ac:dyDescent="0.3">
      <c r="B274" s="104" t="s">
        <v>638</v>
      </c>
      <c r="C274" s="104" t="s">
        <v>639</v>
      </c>
      <c r="D274" s="105">
        <v>-14435.98</v>
      </c>
    </row>
    <row r="275" spans="2:4" hidden="1" x14ac:dyDescent="0.3">
      <c r="B275" s="104" t="s">
        <v>640</v>
      </c>
      <c r="C275" s="104" t="s">
        <v>641</v>
      </c>
      <c r="D275" s="105">
        <v>-3531515.6799999899</v>
      </c>
    </row>
    <row r="276" spans="2:4" hidden="1" x14ac:dyDescent="0.3">
      <c r="B276" s="104" t="s">
        <v>642</v>
      </c>
      <c r="C276" s="104" t="s">
        <v>643</v>
      </c>
      <c r="D276" s="105">
        <v>-557056.41</v>
      </c>
    </row>
    <row r="277" spans="2:4" hidden="1" x14ac:dyDescent="0.3">
      <c r="B277" s="104" t="s">
        <v>644</v>
      </c>
      <c r="C277" s="104" t="s">
        <v>645</v>
      </c>
      <c r="D277" s="105">
        <v>-519265.13</v>
      </c>
    </row>
    <row r="278" spans="2:4" hidden="1" x14ac:dyDescent="0.3">
      <c r="B278" s="104" t="s">
        <v>646</v>
      </c>
      <c r="C278" s="104" t="s">
        <v>647</v>
      </c>
      <c r="D278" s="105">
        <v>-9782574.4299999904</v>
      </c>
    </row>
    <row r="279" spans="2:4" hidden="1" x14ac:dyDescent="0.3">
      <c r="B279" s="104" t="s">
        <v>648</v>
      </c>
      <c r="C279" s="104" t="s">
        <v>649</v>
      </c>
      <c r="D279" s="105">
        <v>-585597.87</v>
      </c>
    </row>
    <row r="280" spans="2:4" hidden="1" x14ac:dyDescent="0.3">
      <c r="B280" s="104" t="s">
        <v>650</v>
      </c>
      <c r="C280" s="104" t="s">
        <v>651</v>
      </c>
      <c r="D280" s="105">
        <v>-5067.24</v>
      </c>
    </row>
    <row r="281" spans="2:4" hidden="1" x14ac:dyDescent="0.3">
      <c r="B281" s="104" t="s">
        <v>652</v>
      </c>
      <c r="C281" s="104" t="s">
        <v>653</v>
      </c>
      <c r="D281" s="105">
        <v>-884368.84</v>
      </c>
    </row>
    <row r="282" spans="2:4" hidden="1" x14ac:dyDescent="0.3">
      <c r="B282" s="104" t="s">
        <v>654</v>
      </c>
      <c r="C282" s="104" t="s">
        <v>655</v>
      </c>
      <c r="D282" s="105">
        <v>-334767.19</v>
      </c>
    </row>
    <row r="283" spans="2:4" hidden="1" x14ac:dyDescent="0.3">
      <c r="B283" s="104" t="s">
        <v>656</v>
      </c>
      <c r="C283" s="104" t="s">
        <v>657</v>
      </c>
      <c r="D283" s="105">
        <v>-769886.33999999904</v>
      </c>
    </row>
    <row r="284" spans="2:4" hidden="1" x14ac:dyDescent="0.3">
      <c r="B284" s="104" t="s">
        <v>658</v>
      </c>
      <c r="C284" s="104" t="s">
        <v>659</v>
      </c>
      <c r="D284" s="105">
        <v>-78253820.7299999</v>
      </c>
    </row>
    <row r="285" spans="2:4" hidden="1" x14ac:dyDescent="0.3">
      <c r="B285" s="104" t="s">
        <v>660</v>
      </c>
      <c r="C285" s="104" t="s">
        <v>661</v>
      </c>
      <c r="D285" s="105">
        <v>-1543309.30999999</v>
      </c>
    </row>
    <row r="286" spans="2:4" hidden="1" x14ac:dyDescent="0.3">
      <c r="B286" s="104" t="s">
        <v>662</v>
      </c>
      <c r="C286" s="104" t="s">
        <v>663</v>
      </c>
      <c r="D286" s="105">
        <v>-4253312.2199999904</v>
      </c>
    </row>
    <row r="287" spans="2:4" hidden="1" x14ac:dyDescent="0.3">
      <c r="B287" s="104" t="s">
        <v>664</v>
      </c>
      <c r="C287" s="104" t="s">
        <v>665</v>
      </c>
      <c r="D287" s="105">
        <v>-213524.99999999901</v>
      </c>
    </row>
    <row r="288" spans="2:4" hidden="1" x14ac:dyDescent="0.3">
      <c r="B288" s="104" t="s">
        <v>666</v>
      </c>
      <c r="C288" s="104" t="s">
        <v>667</v>
      </c>
      <c r="D288" s="105">
        <v>-8021802.1899999902</v>
      </c>
    </row>
    <row r="289" spans="2:4" hidden="1" x14ac:dyDescent="0.3">
      <c r="B289" s="104" t="s">
        <v>668</v>
      </c>
      <c r="C289" s="104" t="s">
        <v>669</v>
      </c>
      <c r="D289" s="105">
        <v>-5712288.9799999902</v>
      </c>
    </row>
    <row r="290" spans="2:4" hidden="1" x14ac:dyDescent="0.3">
      <c r="B290" s="104" t="s">
        <v>670</v>
      </c>
      <c r="C290" s="104" t="s">
        <v>671</v>
      </c>
      <c r="D290" s="105">
        <v>-547280.89</v>
      </c>
    </row>
    <row r="291" spans="2:4" hidden="1" x14ac:dyDescent="0.3">
      <c r="B291" s="104" t="s">
        <v>672</v>
      </c>
      <c r="C291" s="104" t="s">
        <v>673</v>
      </c>
      <c r="D291" s="105">
        <v>-314977.46000000002</v>
      </c>
    </row>
    <row r="292" spans="2:4" hidden="1" x14ac:dyDescent="0.3">
      <c r="B292" s="104" t="s">
        <v>674</v>
      </c>
      <c r="C292" s="104" t="s">
        <v>675</v>
      </c>
      <c r="D292" s="105">
        <v>-301986.09000000003</v>
      </c>
    </row>
    <row r="293" spans="2:4" hidden="1" x14ac:dyDescent="0.3">
      <c r="B293" s="104" t="s">
        <v>676</v>
      </c>
      <c r="C293" s="104" t="s">
        <v>677</v>
      </c>
      <c r="D293" s="105">
        <v>-9099.19</v>
      </c>
    </row>
    <row r="294" spans="2:4" hidden="1" x14ac:dyDescent="0.3">
      <c r="B294" s="104" t="s">
        <v>678</v>
      </c>
      <c r="C294" s="104" t="s">
        <v>679</v>
      </c>
      <c r="D294" s="105">
        <v>-245965.47</v>
      </c>
    </row>
    <row r="295" spans="2:4" hidden="1" x14ac:dyDescent="0.3">
      <c r="B295" s="104" t="s">
        <v>680</v>
      </c>
      <c r="C295" s="104" t="s">
        <v>681</v>
      </c>
      <c r="D295" s="105">
        <v>-739887.48</v>
      </c>
    </row>
    <row r="296" spans="2:4" hidden="1" x14ac:dyDescent="0.3">
      <c r="B296" s="104" t="s">
        <v>682</v>
      </c>
      <c r="C296" s="104" t="s">
        <v>683</v>
      </c>
      <c r="D296" s="105">
        <v>-220484.53999999899</v>
      </c>
    </row>
    <row r="297" spans="2:4" hidden="1" x14ac:dyDescent="0.3">
      <c r="B297" s="104" t="s">
        <v>684</v>
      </c>
      <c r="C297" s="104" t="s">
        <v>685</v>
      </c>
      <c r="D297" s="105">
        <v>-833107.51999999897</v>
      </c>
    </row>
    <row r="298" spans="2:4" hidden="1" x14ac:dyDescent="0.3">
      <c r="B298" s="104" t="s">
        <v>686</v>
      </c>
      <c r="C298" s="104" t="s">
        <v>687</v>
      </c>
      <c r="D298" s="105">
        <v>-12657012.779999901</v>
      </c>
    </row>
    <row r="299" spans="2:4" hidden="1" x14ac:dyDescent="0.3">
      <c r="B299" s="104" t="s">
        <v>688</v>
      </c>
      <c r="C299" s="104" t="s">
        <v>689</v>
      </c>
      <c r="D299" s="105">
        <v>-1959680.1499999899</v>
      </c>
    </row>
    <row r="300" spans="2:4" hidden="1" x14ac:dyDescent="0.3">
      <c r="B300" s="104" t="s">
        <v>690</v>
      </c>
      <c r="C300" s="104" t="s">
        <v>691</v>
      </c>
      <c r="D300" s="105">
        <v>-1370896.99999999</v>
      </c>
    </row>
    <row r="301" spans="2:4" hidden="1" x14ac:dyDescent="0.3">
      <c r="B301" s="104" t="s">
        <v>692</v>
      </c>
      <c r="C301" s="104" t="s">
        <v>693</v>
      </c>
      <c r="D301" s="105">
        <v>-26621.679999999898</v>
      </c>
    </row>
    <row r="302" spans="2:4" x14ac:dyDescent="0.3">
      <c r="B302" s="104" t="s">
        <v>694</v>
      </c>
      <c r="C302" s="104" t="s">
        <v>695</v>
      </c>
      <c r="D302" s="109">
        <v>-1894350.1099999901</v>
      </c>
    </row>
    <row r="303" spans="2:4" hidden="1" x14ac:dyDescent="0.3">
      <c r="B303" s="104" t="s">
        <v>696</v>
      </c>
      <c r="C303" s="104" t="s">
        <v>697</v>
      </c>
      <c r="D303" s="105">
        <v>-47483.049999999901</v>
      </c>
    </row>
    <row r="304" spans="2:4" hidden="1" x14ac:dyDescent="0.3">
      <c r="B304" s="104" t="s">
        <v>698</v>
      </c>
      <c r="C304" s="104" t="s">
        <v>699</v>
      </c>
      <c r="D304" s="105">
        <v>-222057.94</v>
      </c>
    </row>
    <row r="305" spans="2:4" hidden="1" x14ac:dyDescent="0.3">
      <c r="B305" s="104" t="s">
        <v>700</v>
      </c>
      <c r="C305" s="104" t="s">
        <v>701</v>
      </c>
      <c r="D305" s="105">
        <v>-2595771.1299999901</v>
      </c>
    </row>
    <row r="306" spans="2:4" hidden="1" x14ac:dyDescent="0.3">
      <c r="B306" s="104" t="s">
        <v>702</v>
      </c>
      <c r="C306" s="104" t="s">
        <v>703</v>
      </c>
      <c r="D306" s="105">
        <v>-1583049.1899999899</v>
      </c>
    </row>
    <row r="307" spans="2:4" hidden="1" x14ac:dyDescent="0.3">
      <c r="B307" s="104" t="s">
        <v>704</v>
      </c>
      <c r="C307" s="104" t="s">
        <v>705</v>
      </c>
      <c r="D307" s="105">
        <v>-141278.79</v>
      </c>
    </row>
    <row r="308" spans="2:4" hidden="1" x14ac:dyDescent="0.3">
      <c r="B308" s="104" t="s">
        <v>706</v>
      </c>
      <c r="C308" s="104" t="s">
        <v>707</v>
      </c>
      <c r="D308" s="105">
        <v>-327206.96999999997</v>
      </c>
    </row>
    <row r="309" spans="2:4" x14ac:dyDescent="0.3">
      <c r="B309" s="104" t="s">
        <v>708</v>
      </c>
      <c r="C309" s="104" t="s">
        <v>709</v>
      </c>
      <c r="D309" s="109">
        <v>-767914.46999999904</v>
      </c>
    </row>
    <row r="310" spans="2:4" hidden="1" x14ac:dyDescent="0.3">
      <c r="B310" s="104" t="s">
        <v>710</v>
      </c>
      <c r="C310" s="104" t="s">
        <v>711</v>
      </c>
      <c r="D310" s="105">
        <v>-550997.65999999898</v>
      </c>
    </row>
    <row r="311" spans="2:4" hidden="1" x14ac:dyDescent="0.3">
      <c r="B311" s="104" t="s">
        <v>712</v>
      </c>
      <c r="C311" s="104" t="s">
        <v>713</v>
      </c>
      <c r="D311" s="105">
        <v>-3841404.4099999899</v>
      </c>
    </row>
    <row r="312" spans="2:4" hidden="1" x14ac:dyDescent="0.3">
      <c r="B312" s="104" t="s">
        <v>714</v>
      </c>
      <c r="C312" s="104" t="s">
        <v>715</v>
      </c>
      <c r="D312" s="105">
        <v>-213.54</v>
      </c>
    </row>
    <row r="313" spans="2:4" hidden="1" x14ac:dyDescent="0.3">
      <c r="B313" s="104" t="s">
        <v>716</v>
      </c>
      <c r="C313" s="104" t="s">
        <v>717</v>
      </c>
      <c r="D313" s="105">
        <v>-1235862.1200000001</v>
      </c>
    </row>
    <row r="314" spans="2:4" hidden="1" x14ac:dyDescent="0.3">
      <c r="B314" s="104" t="s">
        <v>718</v>
      </c>
      <c r="C314" s="104" t="s">
        <v>719</v>
      </c>
      <c r="D314" s="105">
        <v>-917416.13999999897</v>
      </c>
    </row>
    <row r="315" spans="2:4" hidden="1" x14ac:dyDescent="0.3">
      <c r="B315" s="104" t="s">
        <v>720</v>
      </c>
      <c r="C315" s="104" t="s">
        <v>721</v>
      </c>
      <c r="D315" s="105">
        <v>-1453977.46999999</v>
      </c>
    </row>
    <row r="316" spans="2:4" hidden="1" x14ac:dyDescent="0.3">
      <c r="B316" s="104" t="s">
        <v>722</v>
      </c>
      <c r="C316" s="104" t="s">
        <v>723</v>
      </c>
      <c r="D316" s="105">
        <v>-44276962.9099999</v>
      </c>
    </row>
    <row r="317" spans="2:4" hidden="1" x14ac:dyDescent="0.3">
      <c r="B317" s="104" t="s">
        <v>724</v>
      </c>
      <c r="C317" s="104" t="s">
        <v>725</v>
      </c>
      <c r="D317" s="105">
        <v>-373133.56</v>
      </c>
    </row>
    <row r="318" spans="2:4" hidden="1" x14ac:dyDescent="0.3">
      <c r="B318" s="104" t="s">
        <v>726</v>
      </c>
      <c r="C318" s="104" t="s">
        <v>727</v>
      </c>
      <c r="D318" s="105">
        <v>-2866059.5699999901</v>
      </c>
    </row>
    <row r="319" spans="2:4" hidden="1" x14ac:dyDescent="0.3">
      <c r="B319" s="104" t="s">
        <v>728</v>
      </c>
      <c r="C319" s="104" t="s">
        <v>729</v>
      </c>
      <c r="D319" s="105">
        <v>-582946.31000000006</v>
      </c>
    </row>
    <row r="320" spans="2:4" hidden="1" x14ac:dyDescent="0.3">
      <c r="B320" s="104" t="s">
        <v>730</v>
      </c>
      <c r="C320" s="104" t="s">
        <v>731</v>
      </c>
      <c r="D320" s="105">
        <v>-216434.91</v>
      </c>
    </row>
    <row r="321" spans="2:4" hidden="1" x14ac:dyDescent="0.3">
      <c r="B321" s="104" t="s">
        <v>732</v>
      </c>
      <c r="C321" s="104" t="s">
        <v>733</v>
      </c>
      <c r="D321" s="105">
        <v>-13914370.519999901</v>
      </c>
    </row>
    <row r="322" spans="2:4" hidden="1" x14ac:dyDescent="0.3">
      <c r="B322" s="104" t="s">
        <v>734</v>
      </c>
      <c r="C322" s="104" t="s">
        <v>735</v>
      </c>
      <c r="D322" s="105">
        <v>-1066912.95999999</v>
      </c>
    </row>
    <row r="323" spans="2:4" hidden="1" x14ac:dyDescent="0.3">
      <c r="B323" s="104" t="s">
        <v>736</v>
      </c>
      <c r="C323" s="104" t="s">
        <v>737</v>
      </c>
      <c r="D323" s="105">
        <v>-1952815.47</v>
      </c>
    </row>
    <row r="324" spans="2:4" hidden="1" x14ac:dyDescent="0.3">
      <c r="B324" s="104" t="s">
        <v>738</v>
      </c>
      <c r="C324" s="104" t="s">
        <v>739</v>
      </c>
      <c r="D324" s="105">
        <v>-1229127.3400000001</v>
      </c>
    </row>
    <row r="325" spans="2:4" hidden="1" x14ac:dyDescent="0.3">
      <c r="B325" s="104" t="s">
        <v>740</v>
      </c>
      <c r="C325" s="104" t="s">
        <v>741</v>
      </c>
      <c r="D325" s="105">
        <v>-189933.55</v>
      </c>
    </row>
    <row r="326" spans="2:4" hidden="1" x14ac:dyDescent="0.3">
      <c r="B326" s="104" t="s">
        <v>742</v>
      </c>
      <c r="C326" s="104" t="s">
        <v>743</v>
      </c>
      <c r="D326" s="105">
        <v>-1310612.8899999899</v>
      </c>
    </row>
    <row r="327" spans="2:4" hidden="1" x14ac:dyDescent="0.3">
      <c r="B327" s="104" t="s">
        <v>744</v>
      </c>
      <c r="C327" s="104" t="s">
        <v>745</v>
      </c>
      <c r="D327" s="105">
        <v>-547715.43999999994</v>
      </c>
    </row>
    <row r="328" spans="2:4" hidden="1" x14ac:dyDescent="0.3">
      <c r="B328" s="104" t="s">
        <v>746</v>
      </c>
      <c r="C328" s="104" t="s">
        <v>747</v>
      </c>
      <c r="D328" s="105">
        <v>-141152.56</v>
      </c>
    </row>
    <row r="329" spans="2:4" x14ac:dyDescent="0.3">
      <c r="B329" s="104" t="s">
        <v>748</v>
      </c>
      <c r="C329" s="104" t="s">
        <v>749</v>
      </c>
      <c r="D329" s="109">
        <v>-1444599.67</v>
      </c>
    </row>
    <row r="330" spans="2:4" hidden="1" x14ac:dyDescent="0.3">
      <c r="B330" s="104" t="s">
        <v>750</v>
      </c>
      <c r="C330" s="104" t="s">
        <v>751</v>
      </c>
      <c r="D330" s="105">
        <v>-822666.42</v>
      </c>
    </row>
    <row r="331" spans="2:4" hidden="1" x14ac:dyDescent="0.3">
      <c r="B331" s="104" t="s">
        <v>752</v>
      </c>
      <c r="C331" s="104" t="s">
        <v>753</v>
      </c>
      <c r="D331" s="105">
        <v>-21644288.906060901</v>
      </c>
    </row>
    <row r="332" spans="2:4" hidden="1" x14ac:dyDescent="0.3">
      <c r="B332" s="104" t="s">
        <v>754</v>
      </c>
      <c r="C332" s="104" t="s">
        <v>755</v>
      </c>
      <c r="D332" s="105">
        <v>-2148196.15</v>
      </c>
    </row>
    <row r="333" spans="2:4" hidden="1" x14ac:dyDescent="0.3">
      <c r="B333" s="104" t="s">
        <v>756</v>
      </c>
      <c r="C333" s="104" t="s">
        <v>757</v>
      </c>
      <c r="D333" s="105">
        <v>-2736186.0199999898</v>
      </c>
    </row>
    <row r="334" spans="2:4" hidden="1" x14ac:dyDescent="0.3">
      <c r="B334" s="104" t="s">
        <v>758</v>
      </c>
      <c r="C334" s="104" t="s">
        <v>759</v>
      </c>
      <c r="D334" s="105">
        <v>-4128218.9399999902</v>
      </c>
    </row>
    <row r="335" spans="2:4" hidden="1" x14ac:dyDescent="0.3">
      <c r="B335" s="104" t="s">
        <v>760</v>
      </c>
      <c r="C335" s="104" t="s">
        <v>761</v>
      </c>
      <c r="D335" s="105">
        <v>-551441.91999999899</v>
      </c>
    </row>
    <row r="336" spans="2:4" hidden="1" x14ac:dyDescent="0.3">
      <c r="B336" s="104" t="s">
        <v>762</v>
      </c>
      <c r="C336" s="104" t="s">
        <v>763</v>
      </c>
      <c r="D336" s="105">
        <v>-647422.57999999996</v>
      </c>
    </row>
    <row r="337" spans="2:4" hidden="1" x14ac:dyDescent="0.3">
      <c r="B337" s="104" t="s">
        <v>764</v>
      </c>
      <c r="C337" s="104" t="s">
        <v>765</v>
      </c>
      <c r="D337" s="105">
        <v>-25079.65</v>
      </c>
    </row>
    <row r="338" spans="2:4" hidden="1" x14ac:dyDescent="0.3">
      <c r="B338" s="104" t="s">
        <v>766</v>
      </c>
      <c r="C338" s="104" t="s">
        <v>767</v>
      </c>
      <c r="D338" s="105">
        <v>-784967.10999999905</v>
      </c>
    </row>
    <row r="339" spans="2:4" hidden="1" x14ac:dyDescent="0.3">
      <c r="B339" s="104" t="s">
        <v>768</v>
      </c>
      <c r="C339" s="104" t="s">
        <v>769</v>
      </c>
      <c r="D339" s="105">
        <v>-371443.05</v>
      </c>
    </row>
    <row r="340" spans="2:4" hidden="1" x14ac:dyDescent="0.3">
      <c r="B340" s="104" t="s">
        <v>770</v>
      </c>
      <c r="C340" s="104" t="s">
        <v>771</v>
      </c>
      <c r="D340" s="105">
        <v>-32905892.129999898</v>
      </c>
    </row>
    <row r="341" spans="2:4" hidden="1" x14ac:dyDescent="0.3">
      <c r="B341" s="104" t="s">
        <v>772</v>
      </c>
      <c r="C341" s="104" t="s">
        <v>773</v>
      </c>
      <c r="D341" s="105">
        <v>-223657.72</v>
      </c>
    </row>
    <row r="342" spans="2:4" hidden="1" x14ac:dyDescent="0.3">
      <c r="B342" s="104" t="s">
        <v>774</v>
      </c>
      <c r="C342" s="104" t="s">
        <v>775</v>
      </c>
      <c r="D342" s="105">
        <v>-59462.89</v>
      </c>
    </row>
    <row r="343" spans="2:4" x14ac:dyDescent="0.3">
      <c r="B343" s="104" t="s">
        <v>776</v>
      </c>
      <c r="C343" s="104" t="s">
        <v>777</v>
      </c>
      <c r="D343" s="109">
        <v>-21201908.170000002</v>
      </c>
    </row>
    <row r="344" spans="2:4" hidden="1" x14ac:dyDescent="0.3">
      <c r="B344" s="104" t="s">
        <v>778</v>
      </c>
      <c r="C344" s="104" t="s">
        <v>779</v>
      </c>
      <c r="D344" s="105">
        <v>-2903246.54999999</v>
      </c>
    </row>
    <row r="345" spans="2:4" hidden="1" x14ac:dyDescent="0.3">
      <c r="B345" s="104" t="s">
        <v>780</v>
      </c>
      <c r="C345" s="104" t="s">
        <v>781</v>
      </c>
      <c r="D345" s="105">
        <v>-291379.84999999998</v>
      </c>
    </row>
    <row r="346" spans="2:4" hidden="1" x14ac:dyDescent="0.3">
      <c r="B346" s="104" t="s">
        <v>782</v>
      </c>
      <c r="C346" s="104" t="s">
        <v>783</v>
      </c>
      <c r="D346" s="105">
        <v>-1990885.51</v>
      </c>
    </row>
    <row r="347" spans="2:4" hidden="1" x14ac:dyDescent="0.3">
      <c r="B347" s="104" t="s">
        <v>784</v>
      </c>
      <c r="C347" s="104" t="s">
        <v>785</v>
      </c>
      <c r="D347" s="105">
        <v>-341868.11</v>
      </c>
    </row>
    <row r="348" spans="2:4" hidden="1" x14ac:dyDescent="0.3">
      <c r="B348" s="104" t="s">
        <v>786</v>
      </c>
      <c r="C348" s="104" t="s">
        <v>787</v>
      </c>
      <c r="D348" s="105">
        <v>-289892.44</v>
      </c>
    </row>
    <row r="349" spans="2:4" hidden="1" x14ac:dyDescent="0.3">
      <c r="B349" s="104" t="s">
        <v>788</v>
      </c>
      <c r="C349" s="104" t="s">
        <v>789</v>
      </c>
      <c r="D349" s="105">
        <v>-800077.95999999903</v>
      </c>
    </row>
    <row r="350" spans="2:4" hidden="1" x14ac:dyDescent="0.3">
      <c r="B350" s="104" t="s">
        <v>790</v>
      </c>
      <c r="C350" s="104" t="s">
        <v>791</v>
      </c>
      <c r="D350" s="105">
        <v>-644116.56999999995</v>
      </c>
    </row>
    <row r="351" spans="2:4" hidden="1" x14ac:dyDescent="0.3">
      <c r="B351" s="104" t="s">
        <v>792</v>
      </c>
      <c r="C351" s="104" t="s">
        <v>793</v>
      </c>
      <c r="D351" s="105">
        <v>-326858.55</v>
      </c>
    </row>
    <row r="352" spans="2:4" hidden="1" x14ac:dyDescent="0.3">
      <c r="B352" s="104" t="s">
        <v>794</v>
      </c>
      <c r="C352" s="104" t="s">
        <v>795</v>
      </c>
      <c r="D352" s="105">
        <v>-6987548.7300000004</v>
      </c>
    </row>
    <row r="353" spans="2:4" hidden="1" x14ac:dyDescent="0.3">
      <c r="B353" s="104" t="s">
        <v>796</v>
      </c>
      <c r="C353" s="104" t="s">
        <v>797</v>
      </c>
      <c r="D353" s="105">
        <v>-106217.18</v>
      </c>
    </row>
    <row r="354" spans="2:4" hidden="1" x14ac:dyDescent="0.3">
      <c r="B354" s="104" t="s">
        <v>798</v>
      </c>
      <c r="C354" s="104" t="s">
        <v>799</v>
      </c>
      <c r="D354" s="105">
        <v>-3836762.5899999901</v>
      </c>
    </row>
    <row r="355" spans="2:4" hidden="1" x14ac:dyDescent="0.3">
      <c r="B355" s="104" t="s">
        <v>800</v>
      </c>
      <c r="C355" s="104" t="s">
        <v>801</v>
      </c>
      <c r="D355" s="105">
        <v>-255536.74</v>
      </c>
    </row>
    <row r="356" spans="2:4" hidden="1" x14ac:dyDescent="0.3">
      <c r="B356" s="104" t="s">
        <v>802</v>
      </c>
      <c r="C356" s="104" t="s">
        <v>803</v>
      </c>
      <c r="D356" s="105">
        <v>-54649.529999999897</v>
      </c>
    </row>
    <row r="357" spans="2:4" hidden="1" x14ac:dyDescent="0.3">
      <c r="B357" s="104" t="s">
        <v>804</v>
      </c>
      <c r="C357" s="104" t="s">
        <v>805</v>
      </c>
      <c r="D357" s="105">
        <v>-61088.34</v>
      </c>
    </row>
    <row r="358" spans="2:4" hidden="1" x14ac:dyDescent="0.3">
      <c r="B358" s="104" t="s">
        <v>806</v>
      </c>
      <c r="C358" s="104" t="s">
        <v>807</v>
      </c>
      <c r="D358" s="105">
        <v>-6690248.4599999897</v>
      </c>
    </row>
    <row r="359" spans="2:4" hidden="1" x14ac:dyDescent="0.3">
      <c r="B359" s="104" t="s">
        <v>808</v>
      </c>
      <c r="C359" s="104" t="s">
        <v>809</v>
      </c>
      <c r="D359" s="105">
        <v>-1.19999999999999</v>
      </c>
    </row>
    <row r="360" spans="2:4" hidden="1" x14ac:dyDescent="0.3">
      <c r="B360" s="104" t="s">
        <v>810</v>
      </c>
      <c r="C360" s="104" t="s">
        <v>811</v>
      </c>
      <c r="D360" s="105">
        <v>-308316.28000000003</v>
      </c>
    </row>
    <row r="361" spans="2:4" hidden="1" x14ac:dyDescent="0.3">
      <c r="B361" s="104" t="s">
        <v>812</v>
      </c>
      <c r="C361" s="104" t="s">
        <v>813</v>
      </c>
      <c r="D361" s="105">
        <v>-509725.79</v>
      </c>
    </row>
    <row r="362" spans="2:4" hidden="1" x14ac:dyDescent="0.3">
      <c r="B362" s="104" t="s">
        <v>814</v>
      </c>
      <c r="C362" s="104" t="s">
        <v>815</v>
      </c>
      <c r="D362" s="105">
        <v>-1106438.8</v>
      </c>
    </row>
    <row r="363" spans="2:4" hidden="1" x14ac:dyDescent="0.3">
      <c r="B363" s="104" t="s">
        <v>816</v>
      </c>
      <c r="C363" s="104" t="s">
        <v>817</v>
      </c>
      <c r="D363" s="105">
        <v>-435984.99999999901</v>
      </c>
    </row>
    <row r="364" spans="2:4" hidden="1" x14ac:dyDescent="0.3">
      <c r="B364" s="104" t="s">
        <v>818</v>
      </c>
      <c r="C364" s="104" t="s">
        <v>819</v>
      </c>
      <c r="D364" s="105">
        <v>-25700.21</v>
      </c>
    </row>
    <row r="365" spans="2:4" x14ac:dyDescent="0.3">
      <c r="B365" s="104" t="s">
        <v>820</v>
      </c>
      <c r="C365" s="104" t="s">
        <v>821</v>
      </c>
      <c r="D365" s="109">
        <v>-254335053.609999</v>
      </c>
    </row>
    <row r="366" spans="2:4" hidden="1" x14ac:dyDescent="0.3">
      <c r="B366" s="104" t="s">
        <v>822</v>
      </c>
      <c r="C366" s="104" t="s">
        <v>823</v>
      </c>
      <c r="D366" s="105">
        <v>-1098017.74999999</v>
      </c>
    </row>
    <row r="367" spans="2:4" hidden="1" x14ac:dyDescent="0.3">
      <c r="B367" s="104" t="s">
        <v>824</v>
      </c>
      <c r="C367" s="104" t="s">
        <v>825</v>
      </c>
      <c r="D367" s="105">
        <v>-535288.39</v>
      </c>
    </row>
    <row r="368" spans="2:4" hidden="1" x14ac:dyDescent="0.3">
      <c r="B368" s="104" t="s">
        <v>826</v>
      </c>
      <c r="C368" s="104" t="s">
        <v>827</v>
      </c>
      <c r="D368" s="105">
        <v>-1562179.1999999899</v>
      </c>
    </row>
    <row r="369" spans="2:4" hidden="1" x14ac:dyDescent="0.3">
      <c r="B369" s="104" t="s">
        <v>828</v>
      </c>
      <c r="C369" s="104" t="s">
        <v>829</v>
      </c>
      <c r="D369" s="105">
        <v>-166807.859999999</v>
      </c>
    </row>
    <row r="370" spans="2:4" hidden="1" x14ac:dyDescent="0.3">
      <c r="B370" s="104" t="s">
        <v>830</v>
      </c>
      <c r="C370" s="104" t="s">
        <v>831</v>
      </c>
      <c r="D370" s="105">
        <v>-488210.19</v>
      </c>
    </row>
    <row r="371" spans="2:4" hidden="1" x14ac:dyDescent="0.3">
      <c r="B371" s="104" t="s">
        <v>832</v>
      </c>
      <c r="C371" s="104" t="s">
        <v>833</v>
      </c>
      <c r="D371" s="105">
        <v>-409770.07</v>
      </c>
    </row>
    <row r="372" spans="2:4" hidden="1" x14ac:dyDescent="0.3">
      <c r="B372" s="104" t="s">
        <v>834</v>
      </c>
      <c r="C372" s="104" t="s">
        <v>835</v>
      </c>
      <c r="D372" s="105">
        <v>-180121.84</v>
      </c>
    </row>
    <row r="373" spans="2:4" hidden="1" x14ac:dyDescent="0.3">
      <c r="B373" s="104" t="s">
        <v>836</v>
      </c>
      <c r="C373" s="104" t="s">
        <v>837</v>
      </c>
      <c r="D373" s="105">
        <v>-1069566.27</v>
      </c>
    </row>
    <row r="374" spans="2:4" hidden="1" x14ac:dyDescent="0.3">
      <c r="B374" s="104" t="s">
        <v>838</v>
      </c>
      <c r="C374" s="104" t="s">
        <v>839</v>
      </c>
      <c r="D374" s="105">
        <v>-6632997.4699999997</v>
      </c>
    </row>
    <row r="375" spans="2:4" x14ac:dyDescent="0.3">
      <c r="B375" s="104" t="s">
        <v>840</v>
      </c>
      <c r="C375" s="104" t="s">
        <v>841</v>
      </c>
      <c r="D375" s="109">
        <v>-2996498.33</v>
      </c>
    </row>
    <row r="376" spans="2:4" hidden="1" x14ac:dyDescent="0.3">
      <c r="B376" s="104" t="s">
        <v>842</v>
      </c>
      <c r="C376" s="104" t="s">
        <v>843</v>
      </c>
      <c r="D376" s="105">
        <v>-50122125.679999903</v>
      </c>
    </row>
    <row r="377" spans="2:4" hidden="1" x14ac:dyDescent="0.3">
      <c r="B377" s="104" t="s">
        <v>844</v>
      </c>
      <c r="C377" s="104" t="s">
        <v>845</v>
      </c>
      <c r="D377" s="105">
        <v>-30441.69</v>
      </c>
    </row>
    <row r="378" spans="2:4" hidden="1" x14ac:dyDescent="0.3">
      <c r="B378" s="104" t="s">
        <v>846</v>
      </c>
      <c r="C378" s="104" t="s">
        <v>847</v>
      </c>
      <c r="D378" s="105">
        <v>-276603.15000000002</v>
      </c>
    </row>
    <row r="379" spans="2:4" hidden="1" x14ac:dyDescent="0.3">
      <c r="B379" s="104" t="s">
        <v>848</v>
      </c>
      <c r="C379" s="104" t="s">
        <v>849</v>
      </c>
      <c r="D379" s="105">
        <v>-102586.94</v>
      </c>
    </row>
    <row r="380" spans="2:4" hidden="1" x14ac:dyDescent="0.3">
      <c r="B380" s="104" t="s">
        <v>850</v>
      </c>
      <c r="C380" s="104" t="s">
        <v>851</v>
      </c>
      <c r="D380" s="105">
        <v>-7174770.02999999</v>
      </c>
    </row>
    <row r="381" spans="2:4" x14ac:dyDescent="0.3">
      <c r="B381" s="104" t="s">
        <v>852</v>
      </c>
      <c r="C381" s="104" t="s">
        <v>853</v>
      </c>
      <c r="D381" s="109">
        <v>-420633972.50999898</v>
      </c>
    </row>
    <row r="382" spans="2:4" hidden="1" x14ac:dyDescent="0.3">
      <c r="B382" s="104" t="s">
        <v>854</v>
      </c>
      <c r="C382" s="104" t="s">
        <v>855</v>
      </c>
      <c r="D382" s="105">
        <v>-451320.58</v>
      </c>
    </row>
    <row r="383" spans="2:4" hidden="1" x14ac:dyDescent="0.3">
      <c r="B383" s="104" t="s">
        <v>856</v>
      </c>
      <c r="C383" s="104" t="s">
        <v>857</v>
      </c>
      <c r="D383" s="105">
        <v>-1194001.96</v>
      </c>
    </row>
    <row r="384" spans="2:4" hidden="1" x14ac:dyDescent="0.3">
      <c r="B384" s="104" t="s">
        <v>858</v>
      </c>
      <c r="C384" s="104" t="s">
        <v>859</v>
      </c>
      <c r="D384" s="105">
        <v>-1958756.0999999901</v>
      </c>
    </row>
    <row r="385" spans="2:4" hidden="1" x14ac:dyDescent="0.3">
      <c r="B385" s="104" t="s">
        <v>860</v>
      </c>
      <c r="C385" s="104" t="s">
        <v>861</v>
      </c>
      <c r="D385" s="105">
        <v>-440662.44</v>
      </c>
    </row>
    <row r="386" spans="2:4" hidden="1" x14ac:dyDescent="0.3">
      <c r="B386" s="104" t="s">
        <v>862</v>
      </c>
      <c r="C386" s="104" t="s">
        <v>863</v>
      </c>
      <c r="D386" s="105">
        <v>-250439.27</v>
      </c>
    </row>
    <row r="387" spans="2:4" hidden="1" x14ac:dyDescent="0.3">
      <c r="B387" s="104" t="s">
        <v>864</v>
      </c>
      <c r="C387" s="104" t="s">
        <v>865</v>
      </c>
      <c r="D387" s="105">
        <v>-73416.009999999995</v>
      </c>
    </row>
    <row r="388" spans="2:4" hidden="1" x14ac:dyDescent="0.3">
      <c r="B388" s="104" t="s">
        <v>866</v>
      </c>
      <c r="C388" s="104" t="s">
        <v>867</v>
      </c>
      <c r="D388" s="105">
        <v>-575205.85</v>
      </c>
    </row>
    <row r="389" spans="2:4" hidden="1" x14ac:dyDescent="0.3">
      <c r="B389" s="104" t="s">
        <v>868</v>
      </c>
      <c r="C389" s="104" t="s">
        <v>869</v>
      </c>
      <c r="D389" s="105">
        <v>-1236319.3299999901</v>
      </c>
    </row>
    <row r="390" spans="2:4" hidden="1" x14ac:dyDescent="0.3">
      <c r="B390" s="104" t="s">
        <v>870</v>
      </c>
      <c r="C390" s="104" t="s">
        <v>871</v>
      </c>
      <c r="D390" s="105">
        <v>-980748.35</v>
      </c>
    </row>
    <row r="391" spans="2:4" hidden="1" x14ac:dyDescent="0.3">
      <c r="B391" s="104" t="s">
        <v>872</v>
      </c>
      <c r="C391" s="104" t="s">
        <v>873</v>
      </c>
      <c r="D391" s="105">
        <v>-3401578.77999999</v>
      </c>
    </row>
    <row r="392" spans="2:4" hidden="1" x14ac:dyDescent="0.3">
      <c r="B392" s="104" t="s">
        <v>874</v>
      </c>
      <c r="C392" s="104" t="s">
        <v>875</v>
      </c>
      <c r="D392" s="105">
        <v>-29406.29</v>
      </c>
    </row>
    <row r="393" spans="2:4" hidden="1" x14ac:dyDescent="0.3">
      <c r="B393" s="104" t="s">
        <v>876</v>
      </c>
      <c r="C393" s="104" t="s">
        <v>877</v>
      </c>
      <c r="D393" s="105">
        <v>-3670298.1299999901</v>
      </c>
    </row>
    <row r="394" spans="2:4" hidden="1" x14ac:dyDescent="0.3">
      <c r="B394" s="104" t="s">
        <v>878</v>
      </c>
      <c r="C394" s="104" t="s">
        <v>879</v>
      </c>
      <c r="D394" s="105">
        <v>-256378.2</v>
      </c>
    </row>
    <row r="395" spans="2:4" hidden="1" x14ac:dyDescent="0.3">
      <c r="B395" s="104" t="s">
        <v>880</v>
      </c>
      <c r="C395" s="104" t="s">
        <v>881</v>
      </c>
      <c r="D395" s="105">
        <v>-417155.59</v>
      </c>
    </row>
    <row r="396" spans="2:4" hidden="1" x14ac:dyDescent="0.3">
      <c r="B396" s="104" t="s">
        <v>882</v>
      </c>
      <c r="C396" s="104" t="s">
        <v>883</v>
      </c>
      <c r="D396" s="105">
        <v>-733206.61999999895</v>
      </c>
    </row>
    <row r="397" spans="2:4" hidden="1" x14ac:dyDescent="0.3">
      <c r="B397" s="104" t="s">
        <v>884</v>
      </c>
      <c r="C397" s="104" t="s">
        <v>885</v>
      </c>
      <c r="D397" s="105">
        <v>-996121.59999999998</v>
      </c>
    </row>
    <row r="398" spans="2:4" hidden="1" x14ac:dyDescent="0.3">
      <c r="B398" s="104" t="s">
        <v>886</v>
      </c>
      <c r="C398" s="104" t="s">
        <v>887</v>
      </c>
      <c r="D398" s="105">
        <v>-89946.71</v>
      </c>
    </row>
    <row r="399" spans="2:4" hidden="1" x14ac:dyDescent="0.3">
      <c r="B399" s="104" t="s">
        <v>888</v>
      </c>
      <c r="C399" s="104" t="s">
        <v>889</v>
      </c>
      <c r="D399" s="105">
        <v>-678932.97</v>
      </c>
    </row>
    <row r="400" spans="2:4" hidden="1" x14ac:dyDescent="0.3">
      <c r="B400" s="104" t="s">
        <v>890</v>
      </c>
      <c r="C400" s="104" t="s">
        <v>891</v>
      </c>
      <c r="D400" s="105">
        <v>-966058.84</v>
      </c>
    </row>
    <row r="401" spans="2:4" hidden="1" x14ac:dyDescent="0.3">
      <c r="B401" s="104" t="s">
        <v>892</v>
      </c>
      <c r="C401" s="104" t="s">
        <v>893</v>
      </c>
      <c r="D401" s="105">
        <v>-3892153.5999999898</v>
      </c>
    </row>
    <row r="402" spans="2:4" hidden="1" x14ac:dyDescent="0.3">
      <c r="B402" s="104" t="s">
        <v>894</v>
      </c>
      <c r="C402" s="104" t="s">
        <v>895</v>
      </c>
      <c r="D402" s="105">
        <v>-306646.24</v>
      </c>
    </row>
    <row r="403" spans="2:4" hidden="1" x14ac:dyDescent="0.3">
      <c r="B403" s="104" t="s">
        <v>896</v>
      </c>
      <c r="C403" s="104" t="s">
        <v>897</v>
      </c>
      <c r="D403" s="105">
        <v>-141744.54999999999</v>
      </c>
    </row>
    <row r="404" spans="2:4" hidden="1" x14ac:dyDescent="0.3">
      <c r="B404" s="104" t="s">
        <v>898</v>
      </c>
      <c r="C404" s="104" t="s">
        <v>899</v>
      </c>
      <c r="D404" s="105">
        <v>-320070.58</v>
      </c>
    </row>
    <row r="405" spans="2:4" hidden="1" x14ac:dyDescent="0.3">
      <c r="B405" s="104" t="s">
        <v>900</v>
      </c>
      <c r="C405" s="104" t="s">
        <v>901</v>
      </c>
      <c r="D405" s="105">
        <v>-44584.78</v>
      </c>
    </row>
    <row r="406" spans="2:4" hidden="1" x14ac:dyDescent="0.3">
      <c r="B406" s="104" t="s">
        <v>902</v>
      </c>
      <c r="C406" s="104" t="s">
        <v>903</v>
      </c>
      <c r="D406" s="105">
        <v>-141776.54</v>
      </c>
    </row>
    <row r="407" spans="2:4" hidden="1" x14ac:dyDescent="0.3">
      <c r="B407" s="104" t="s">
        <v>904</v>
      </c>
      <c r="C407" s="104" t="s">
        <v>905</v>
      </c>
      <c r="D407" s="105">
        <v>-326005.17</v>
      </c>
    </row>
    <row r="408" spans="2:4" hidden="1" x14ac:dyDescent="0.3">
      <c r="B408" s="104" t="s">
        <v>906</v>
      </c>
      <c r="C408" s="104" t="s">
        <v>907</v>
      </c>
      <c r="D408" s="105">
        <v>-155419.93</v>
      </c>
    </row>
    <row r="409" spans="2:4" hidden="1" x14ac:dyDescent="0.3">
      <c r="B409" s="104" t="s">
        <v>908</v>
      </c>
      <c r="C409" s="104" t="s">
        <v>909</v>
      </c>
      <c r="D409" s="105">
        <v>-437351.21999999898</v>
      </c>
    </row>
    <row r="410" spans="2:4" hidden="1" x14ac:dyDescent="0.3">
      <c r="B410" s="104" t="s">
        <v>910</v>
      </c>
      <c r="C410" s="104" t="s">
        <v>911</v>
      </c>
      <c r="D410" s="105">
        <v>-44032.09</v>
      </c>
    </row>
    <row r="411" spans="2:4" hidden="1" x14ac:dyDescent="0.3">
      <c r="B411" s="104" t="s">
        <v>912</v>
      </c>
      <c r="C411" s="104" t="s">
        <v>913</v>
      </c>
      <c r="D411" s="105">
        <v>-623047.81999999995</v>
      </c>
    </row>
    <row r="412" spans="2:4" hidden="1" x14ac:dyDescent="0.3">
      <c r="B412" s="104" t="s">
        <v>914</v>
      </c>
      <c r="C412" s="104" t="s">
        <v>915</v>
      </c>
      <c r="D412" s="105">
        <v>-1161557.6299999999</v>
      </c>
    </row>
    <row r="413" spans="2:4" hidden="1" x14ac:dyDescent="0.3">
      <c r="B413" s="104" t="s">
        <v>916</v>
      </c>
      <c r="C413" s="104" t="s">
        <v>917</v>
      </c>
      <c r="D413" s="105">
        <v>-41365410.889999896</v>
      </c>
    </row>
    <row r="414" spans="2:4" hidden="1" x14ac:dyDescent="0.3">
      <c r="B414" s="104" t="s">
        <v>918</v>
      </c>
      <c r="C414" s="104" t="s">
        <v>919</v>
      </c>
      <c r="D414" s="105">
        <v>-731115.26</v>
      </c>
    </row>
    <row r="415" spans="2:4" hidden="1" x14ac:dyDescent="0.3">
      <c r="B415" s="104" t="s">
        <v>920</v>
      </c>
      <c r="C415" s="104" t="s">
        <v>921</v>
      </c>
      <c r="D415" s="105">
        <v>-473180.47</v>
      </c>
    </row>
    <row r="416" spans="2:4" x14ac:dyDescent="0.3">
      <c r="B416" s="104" t="s">
        <v>922</v>
      </c>
      <c r="C416" s="104" t="s">
        <v>923</v>
      </c>
      <c r="D416" s="109">
        <v>-49313.58</v>
      </c>
    </row>
    <row r="417" spans="2:4" hidden="1" x14ac:dyDescent="0.3">
      <c r="B417" s="104" t="s">
        <v>924</v>
      </c>
      <c r="C417" s="104" t="s">
        <v>925</v>
      </c>
      <c r="D417" s="105">
        <v>-1030515.8</v>
      </c>
    </row>
    <row r="418" spans="2:4" hidden="1" x14ac:dyDescent="0.3">
      <c r="B418" s="104" t="s">
        <v>926</v>
      </c>
      <c r="C418" s="104" t="s">
        <v>927</v>
      </c>
      <c r="D418" s="105">
        <v>-327371.25</v>
      </c>
    </row>
    <row r="419" spans="2:4" hidden="1" x14ac:dyDescent="0.3">
      <c r="B419" s="104" t="s">
        <v>928</v>
      </c>
      <c r="C419" s="104" t="s">
        <v>929</v>
      </c>
      <c r="D419" s="105">
        <v>-24580.32</v>
      </c>
    </row>
    <row r="420" spans="2:4" hidden="1" x14ac:dyDescent="0.3">
      <c r="B420" s="104" t="s">
        <v>930</v>
      </c>
      <c r="C420" s="104" t="s">
        <v>931</v>
      </c>
      <c r="D420" s="105">
        <v>-9596.19</v>
      </c>
    </row>
    <row r="421" spans="2:4" hidden="1" x14ac:dyDescent="0.3">
      <c r="B421" s="104" t="s">
        <v>932</v>
      </c>
      <c r="C421" s="104" t="s">
        <v>933</v>
      </c>
      <c r="D421" s="105">
        <v>-155488.37</v>
      </c>
    </row>
    <row r="422" spans="2:4" hidden="1" x14ac:dyDescent="0.3">
      <c r="B422" s="104" t="s">
        <v>934</v>
      </c>
      <c r="C422" s="104" t="s">
        <v>935</v>
      </c>
      <c r="D422" s="105">
        <v>-92209.11</v>
      </c>
    </row>
    <row r="423" spans="2:4" x14ac:dyDescent="0.3">
      <c r="B423" s="104" t="s">
        <v>936</v>
      </c>
      <c r="C423" s="104" t="s">
        <v>937</v>
      </c>
      <c r="D423" s="109">
        <v>-434555460.74999899</v>
      </c>
    </row>
    <row r="424" spans="2:4" hidden="1" x14ac:dyDescent="0.3">
      <c r="B424" s="104" t="s">
        <v>938</v>
      </c>
      <c r="C424" s="104" t="s">
        <v>939</v>
      </c>
      <c r="D424" s="105">
        <v>-319518.11</v>
      </c>
    </row>
    <row r="425" spans="2:4" hidden="1" x14ac:dyDescent="0.3">
      <c r="B425" s="104" t="s">
        <v>940</v>
      </c>
      <c r="C425" s="104" t="s">
        <v>941</v>
      </c>
      <c r="D425" s="105">
        <v>-343561.46999999898</v>
      </c>
    </row>
    <row r="426" spans="2:4" hidden="1" x14ac:dyDescent="0.3">
      <c r="B426" s="104" t="s">
        <v>942</v>
      </c>
      <c r="C426" s="104" t="s">
        <v>943</v>
      </c>
      <c r="D426" s="105">
        <v>-359895.32</v>
      </c>
    </row>
    <row r="427" spans="2:4" hidden="1" x14ac:dyDescent="0.3">
      <c r="B427" s="104" t="s">
        <v>944</v>
      </c>
      <c r="C427" s="104" t="s">
        <v>945</v>
      </c>
      <c r="D427" s="105">
        <v>-1171590.71</v>
      </c>
    </row>
    <row r="428" spans="2:4" hidden="1" x14ac:dyDescent="0.3">
      <c r="B428" s="104" t="s">
        <v>946</v>
      </c>
      <c r="C428" s="104" t="s">
        <v>947</v>
      </c>
      <c r="D428" s="105">
        <v>-16485027.029999901</v>
      </c>
    </row>
    <row r="429" spans="2:4" hidden="1" x14ac:dyDescent="0.3">
      <c r="B429" s="104" t="s">
        <v>948</v>
      </c>
      <c r="C429" s="104" t="s">
        <v>949</v>
      </c>
      <c r="D429" s="105">
        <v>-690638.06999999902</v>
      </c>
    </row>
    <row r="430" spans="2:4" hidden="1" x14ac:dyDescent="0.3">
      <c r="B430" s="104" t="s">
        <v>950</v>
      </c>
      <c r="C430" s="104" t="s">
        <v>951</v>
      </c>
      <c r="D430" s="105">
        <v>-32938559.099999901</v>
      </c>
    </row>
    <row r="431" spans="2:4" hidden="1" x14ac:dyDescent="0.3">
      <c r="B431" s="104" t="s">
        <v>952</v>
      </c>
      <c r="C431" s="104" t="s">
        <v>953</v>
      </c>
      <c r="D431" s="105">
        <v>-106114.27</v>
      </c>
    </row>
    <row r="432" spans="2:4" hidden="1" x14ac:dyDescent="0.3">
      <c r="B432" s="104" t="s">
        <v>954</v>
      </c>
      <c r="C432" s="104" t="s">
        <v>955</v>
      </c>
      <c r="D432" s="105">
        <v>-1915387.9499999899</v>
      </c>
    </row>
    <row r="433" spans="2:4" hidden="1" x14ac:dyDescent="0.3">
      <c r="B433" s="104" t="s">
        <v>956</v>
      </c>
      <c r="C433" s="104" t="s">
        <v>957</v>
      </c>
      <c r="D433" s="105">
        <v>-18012.349999999999</v>
      </c>
    </row>
    <row r="434" spans="2:4" hidden="1" x14ac:dyDescent="0.3">
      <c r="B434" s="104" t="s">
        <v>958</v>
      </c>
      <c r="C434" s="104" t="s">
        <v>959</v>
      </c>
      <c r="D434" s="105">
        <v>-213063.7</v>
      </c>
    </row>
    <row r="435" spans="2:4" hidden="1" x14ac:dyDescent="0.3">
      <c r="B435" s="104" t="s">
        <v>960</v>
      </c>
      <c r="C435" s="104" t="s">
        <v>961</v>
      </c>
      <c r="D435" s="105">
        <v>-684267.56999999902</v>
      </c>
    </row>
    <row r="436" spans="2:4" hidden="1" x14ac:dyDescent="0.3">
      <c r="B436" s="104" t="s">
        <v>962</v>
      </c>
      <c r="C436" s="104" t="s">
        <v>963</v>
      </c>
      <c r="D436" s="105">
        <v>-5040.25</v>
      </c>
    </row>
    <row r="437" spans="2:4" hidden="1" x14ac:dyDescent="0.3">
      <c r="B437" s="104" t="s">
        <v>964</v>
      </c>
      <c r="C437" s="104" t="s">
        <v>965</v>
      </c>
      <c r="D437" s="105">
        <v>-28495284.749999899</v>
      </c>
    </row>
    <row r="438" spans="2:4" hidden="1" x14ac:dyDescent="0.3">
      <c r="B438" s="104" t="s">
        <v>966</v>
      </c>
      <c r="C438" s="104" t="s">
        <v>967</v>
      </c>
      <c r="D438" s="105">
        <v>-3633520.88</v>
      </c>
    </row>
    <row r="439" spans="2:4" hidden="1" x14ac:dyDescent="0.3">
      <c r="B439" s="104" t="s">
        <v>968</v>
      </c>
      <c r="C439" s="104" t="s">
        <v>969</v>
      </c>
      <c r="D439" s="105">
        <v>-3089695.41</v>
      </c>
    </row>
    <row r="440" spans="2:4" hidden="1" x14ac:dyDescent="0.3">
      <c r="B440" s="104" t="s">
        <v>970</v>
      </c>
      <c r="C440" s="104" t="s">
        <v>971</v>
      </c>
      <c r="D440" s="105">
        <v>-118123.879999999</v>
      </c>
    </row>
    <row r="441" spans="2:4" hidden="1" x14ac:dyDescent="0.3">
      <c r="B441" s="104" t="s">
        <v>972</v>
      </c>
      <c r="C441" s="104" t="s">
        <v>973</v>
      </c>
      <c r="D441" s="105">
        <v>-27238.05</v>
      </c>
    </row>
    <row r="442" spans="2:4" hidden="1" x14ac:dyDescent="0.3">
      <c r="B442" s="104" t="s">
        <v>974</v>
      </c>
      <c r="C442" s="104" t="s">
        <v>975</v>
      </c>
      <c r="D442" s="105">
        <v>-788322.66</v>
      </c>
    </row>
    <row r="443" spans="2:4" hidden="1" x14ac:dyDescent="0.3">
      <c r="B443" s="104" t="s">
        <v>976</v>
      </c>
      <c r="C443" s="104" t="s">
        <v>977</v>
      </c>
      <c r="D443" s="105">
        <v>-1272202.01999999</v>
      </c>
    </row>
    <row r="444" spans="2:4" hidden="1" x14ac:dyDescent="0.3">
      <c r="B444" s="104" t="s">
        <v>978</v>
      </c>
      <c r="C444" s="104" t="s">
        <v>979</v>
      </c>
      <c r="D444" s="105">
        <v>-717713.85</v>
      </c>
    </row>
    <row r="445" spans="2:4" hidden="1" x14ac:dyDescent="0.3">
      <c r="B445" s="104" t="s">
        <v>980</v>
      </c>
      <c r="C445" s="104" t="s">
        <v>981</v>
      </c>
      <c r="D445" s="105">
        <v>-747107.25</v>
      </c>
    </row>
    <row r="446" spans="2:4" hidden="1" x14ac:dyDescent="0.3">
      <c r="B446" s="104" t="s">
        <v>982</v>
      </c>
      <c r="C446" s="104" t="s">
        <v>983</v>
      </c>
      <c r="D446" s="105">
        <v>-40639.980000000003</v>
      </c>
    </row>
    <row r="447" spans="2:4" hidden="1" x14ac:dyDescent="0.3">
      <c r="B447" s="104" t="s">
        <v>984</v>
      </c>
      <c r="C447" s="104" t="s">
        <v>985</v>
      </c>
      <c r="D447" s="105">
        <v>-1319317.81</v>
      </c>
    </row>
    <row r="448" spans="2:4" hidden="1" x14ac:dyDescent="0.3">
      <c r="B448" s="104" t="s">
        <v>986</v>
      </c>
      <c r="C448" s="104" t="s">
        <v>987</v>
      </c>
      <c r="D448" s="105">
        <v>-2055076.5999999901</v>
      </c>
    </row>
    <row r="449" spans="2:4" hidden="1" x14ac:dyDescent="0.3">
      <c r="B449" s="104" t="s">
        <v>988</v>
      </c>
      <c r="C449" s="104" t="s">
        <v>989</v>
      </c>
      <c r="D449" s="105">
        <v>-1092478.8500000001</v>
      </c>
    </row>
    <row r="450" spans="2:4" hidden="1" x14ac:dyDescent="0.3">
      <c r="B450" s="104" t="s">
        <v>990</v>
      </c>
      <c r="C450" s="104" t="s">
        <v>991</v>
      </c>
      <c r="D450" s="105">
        <v>-2679720.3399999901</v>
      </c>
    </row>
    <row r="451" spans="2:4" hidden="1" x14ac:dyDescent="0.3">
      <c r="B451" s="104" t="s">
        <v>992</v>
      </c>
      <c r="C451" s="104" t="s">
        <v>993</v>
      </c>
      <c r="D451" s="105">
        <v>-292613.51</v>
      </c>
    </row>
    <row r="452" spans="2:4" hidden="1" x14ac:dyDescent="0.3">
      <c r="B452" s="104" t="s">
        <v>994</v>
      </c>
      <c r="C452" s="104" t="s">
        <v>995</v>
      </c>
      <c r="D452" s="105">
        <v>-2641434.2599999998</v>
      </c>
    </row>
    <row r="453" spans="2:4" hidden="1" x14ac:dyDescent="0.3">
      <c r="B453" s="104" t="s">
        <v>996</v>
      </c>
      <c r="C453" s="104" t="s">
        <v>997</v>
      </c>
      <c r="D453" s="105">
        <v>-837335.07</v>
      </c>
    </row>
    <row r="454" spans="2:4" hidden="1" x14ac:dyDescent="0.3">
      <c r="B454" s="104" t="s">
        <v>998</v>
      </c>
      <c r="C454" s="104" t="s">
        <v>999</v>
      </c>
      <c r="D454" s="105">
        <v>-466.08</v>
      </c>
    </row>
    <row r="455" spans="2:4" hidden="1" x14ac:dyDescent="0.3">
      <c r="B455" s="104" t="s">
        <v>1000</v>
      </c>
      <c r="C455" s="104" t="s">
        <v>1001</v>
      </c>
      <c r="D455" s="105">
        <v>-352618.239999999</v>
      </c>
    </row>
    <row r="456" spans="2:4" hidden="1" x14ac:dyDescent="0.3">
      <c r="B456" s="104" t="s">
        <v>1002</v>
      </c>
      <c r="C456" s="104" t="s">
        <v>1003</v>
      </c>
      <c r="D456" s="105">
        <v>-3896023.86</v>
      </c>
    </row>
    <row r="457" spans="2:4" hidden="1" x14ac:dyDescent="0.3">
      <c r="B457" s="104" t="s">
        <v>1004</v>
      </c>
      <c r="C457" s="104" t="s">
        <v>1005</v>
      </c>
      <c r="D457" s="105">
        <v>-180566</v>
      </c>
    </row>
    <row r="458" spans="2:4" hidden="1" x14ac:dyDescent="0.3">
      <c r="B458" s="104" t="s">
        <v>1006</v>
      </c>
      <c r="C458" s="104" t="s">
        <v>1007</v>
      </c>
      <c r="D458" s="105">
        <v>-89042.38</v>
      </c>
    </row>
    <row r="459" spans="2:4" hidden="1" x14ac:dyDescent="0.3">
      <c r="B459" s="104" t="s">
        <v>1008</v>
      </c>
      <c r="C459" s="104" t="s">
        <v>1009</v>
      </c>
      <c r="D459" s="105">
        <v>-391935.57</v>
      </c>
    </row>
    <row r="460" spans="2:4" hidden="1" x14ac:dyDescent="0.3">
      <c r="B460" s="104" t="s">
        <v>1010</v>
      </c>
      <c r="C460" s="104" t="s">
        <v>1011</v>
      </c>
      <c r="D460" s="105">
        <v>-2693553.4799999902</v>
      </c>
    </row>
    <row r="461" spans="2:4" hidden="1" x14ac:dyDescent="0.3">
      <c r="B461" s="104" t="s">
        <v>1012</v>
      </c>
      <c r="C461" s="104" t="s">
        <v>1013</v>
      </c>
      <c r="D461" s="105">
        <v>-180285.25</v>
      </c>
    </row>
    <row r="462" spans="2:4" hidden="1" x14ac:dyDescent="0.3">
      <c r="B462" s="104" t="s">
        <v>1014</v>
      </c>
      <c r="C462" s="104" t="s">
        <v>1015</v>
      </c>
      <c r="D462" s="105">
        <v>-31982.22</v>
      </c>
    </row>
    <row r="463" spans="2:4" hidden="1" x14ac:dyDescent="0.3">
      <c r="B463" s="104" t="s">
        <v>1016</v>
      </c>
      <c r="C463" s="104" t="s">
        <v>1017</v>
      </c>
      <c r="D463" s="105">
        <v>-1233192.92</v>
      </c>
    </row>
    <row r="464" spans="2:4" hidden="1" x14ac:dyDescent="0.3">
      <c r="B464" s="104" t="s">
        <v>1018</v>
      </c>
      <c r="C464" s="104" t="s">
        <v>1019</v>
      </c>
      <c r="D464" s="105">
        <v>-920510.74999999895</v>
      </c>
    </row>
    <row r="465" spans="2:4" hidden="1" x14ac:dyDescent="0.3">
      <c r="B465" s="104" t="s">
        <v>1020</v>
      </c>
      <c r="C465" s="104" t="s">
        <v>1021</v>
      </c>
      <c r="D465" s="105">
        <v>-3714034.84</v>
      </c>
    </row>
    <row r="466" spans="2:4" hidden="1" x14ac:dyDescent="0.3">
      <c r="B466" s="104" t="s">
        <v>1022</v>
      </c>
      <c r="C466" s="104" t="s">
        <v>1023</v>
      </c>
      <c r="D466" s="105">
        <v>-89018.12</v>
      </c>
    </row>
    <row r="467" spans="2:4" hidden="1" x14ac:dyDescent="0.3">
      <c r="B467" s="104" t="s">
        <v>1024</v>
      </c>
      <c r="C467" s="104" t="s">
        <v>1025</v>
      </c>
      <c r="D467" s="105">
        <v>-770196.14999999898</v>
      </c>
    </row>
    <row r="468" spans="2:4" hidden="1" x14ac:dyDescent="0.3">
      <c r="B468" s="104" t="s">
        <v>1026</v>
      </c>
      <c r="C468" s="104" t="s">
        <v>1027</v>
      </c>
      <c r="D468" s="105">
        <v>-673209.57999999903</v>
      </c>
    </row>
    <row r="469" spans="2:4" hidden="1" x14ac:dyDescent="0.3">
      <c r="B469" s="104" t="s">
        <v>1028</v>
      </c>
      <c r="C469" s="104" t="s">
        <v>1029</v>
      </c>
      <c r="D469" s="105">
        <v>-51081.16</v>
      </c>
    </row>
    <row r="470" spans="2:4" hidden="1" x14ac:dyDescent="0.3">
      <c r="B470" s="104" t="s">
        <v>1030</v>
      </c>
      <c r="C470" s="104" t="s">
        <v>1031</v>
      </c>
      <c r="D470" s="105">
        <v>-213236.19999999899</v>
      </c>
    </row>
    <row r="471" spans="2:4" hidden="1" x14ac:dyDescent="0.3">
      <c r="B471" s="104" t="s">
        <v>1032</v>
      </c>
      <c r="C471" s="104" t="s">
        <v>1033</v>
      </c>
      <c r="D471" s="105">
        <v>-957791.94</v>
      </c>
    </row>
    <row r="472" spans="2:4" hidden="1" x14ac:dyDescent="0.3">
      <c r="B472" s="104" t="s">
        <v>1034</v>
      </c>
      <c r="C472" s="104" t="s">
        <v>1035</v>
      </c>
      <c r="D472" s="105">
        <v>-280475.53999999998</v>
      </c>
    </row>
    <row r="473" spans="2:4" hidden="1" x14ac:dyDescent="0.3">
      <c r="B473" s="104" t="s">
        <v>1036</v>
      </c>
      <c r="C473" s="104" t="s">
        <v>1037</v>
      </c>
      <c r="D473" s="105">
        <v>-814512.41999999899</v>
      </c>
    </row>
    <row r="474" spans="2:4" hidden="1" x14ac:dyDescent="0.3">
      <c r="B474" s="104" t="s">
        <v>1038</v>
      </c>
      <c r="C474" s="104" t="s">
        <v>1039</v>
      </c>
      <c r="D474" s="105">
        <v>-1579795.22</v>
      </c>
    </row>
    <row r="475" spans="2:4" hidden="1" x14ac:dyDescent="0.3">
      <c r="B475" s="104" t="s">
        <v>1040</v>
      </c>
      <c r="C475" s="104" t="s">
        <v>1041</v>
      </c>
      <c r="D475" s="105">
        <v>-61783.39</v>
      </c>
    </row>
    <row r="476" spans="2:4" hidden="1" x14ac:dyDescent="0.3">
      <c r="B476" s="104" t="s">
        <v>1042</v>
      </c>
      <c r="C476" s="104" t="s">
        <v>1043</v>
      </c>
      <c r="D476" s="105">
        <v>-2065180.4299999899</v>
      </c>
    </row>
    <row r="477" spans="2:4" hidden="1" x14ac:dyDescent="0.3">
      <c r="B477" s="104" t="s">
        <v>1044</v>
      </c>
      <c r="C477" s="104" t="s">
        <v>1045</v>
      </c>
      <c r="D477" s="105">
        <v>-2817497.8299999898</v>
      </c>
    </row>
    <row r="478" spans="2:4" x14ac:dyDescent="0.3"/>
  </sheetData>
  <autoFilter ref="B7:D477" xr:uid="{683733E5-04A4-4FD0-BF91-9AA3667A23AC}">
    <filterColumn colId="2">
      <colorFilter dxfId="0"/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4096BA-7B0A-4F7D-96C0-29578CCB3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Capa</vt:lpstr>
      <vt:lpstr>Pressupostos</vt:lpstr>
      <vt:lpstr>Overview - Emissões Dez24 </vt:lpstr>
      <vt:lpstr>Analises &gt;&gt;</vt:lpstr>
      <vt:lpstr>1. EPC - Commercial Real Estate</vt:lpstr>
      <vt:lpstr>2. EPC - Mortgages Loans</vt:lpstr>
      <vt:lpstr>3. Área</vt:lpstr>
      <vt:lpstr>4. Finalidade</vt:lpstr>
      <vt:lpstr>5. CCAE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cp:lastPrinted>2025-12-22T21:17:30Z</cp:lastPrinted>
  <dcterms:created xsi:type="dcterms:W3CDTF">2025-12-22T16:36:01Z</dcterms:created>
  <dcterms:modified xsi:type="dcterms:W3CDTF">2026-01-06T15:26:52Z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