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5. Auditoria/"/>
    </mc:Choice>
  </mc:AlternateContent>
  <xr:revisionPtr revIDLastSave="459" documentId="13_ncr:1_{5DB95C7B-129D-44F8-9D5A-638823FE4A0D}" xr6:coauthVersionLast="47" xr6:coauthVersionMax="47" xr10:uidLastSave="{49D6F222-785E-4551-8DB8-D94C1B7C4949}"/>
  <bookViews>
    <workbookView xWindow="-108" yWindow="-108" windowWidth="23256" windowHeight="12456" firstSheet="4" activeTab="6" xr2:uid="{00000000-000D-0000-FFFF-FFFF00000000}"/>
  </bookViews>
  <sheets>
    <sheet name="pa_out_emss_fncd_re" sheetId="1" r:id="rId1"/>
    <sheet name="pa_out_emss_fncd" sheetId="2" r:id="rId2"/>
    <sheet name="property_energy_certificate" sheetId="3" r:id="rId3"/>
    <sheet name="property" sheetId="4" r:id="rId4"/>
    <sheet name="gt018_rateio_aval" sheetId="5" r:id="rId5"/>
    <sheet name="ct001_univ_saldo" sheetId="10" r:id="rId6"/>
    <sheet name="ct001_univ_saldo-Saldo Cateira" sheetId="12" r:id="rId7"/>
    <sheet name="energy_certificate_est_input" sheetId="11" r:id="rId8"/>
    <sheet name="pa_out_bens_imoveis" sheetId="6" r:id="rId9"/>
  </sheets>
  <definedNames>
    <definedName name="_xlnm._FilterDatabase" localSheetId="5" hidden="1">ct001_univ_saldo!$A$1:$H$115</definedName>
    <definedName name="_xlnm._FilterDatabase" localSheetId="7" hidden="1">energy_certificate_est_input!$A$1:$AT$17</definedName>
    <definedName name="_xlnm._FilterDatabase" localSheetId="4" hidden="1">gt018_rateio_aval!$A$1:$AW$39</definedName>
    <definedName name="_xlnm._FilterDatabase" localSheetId="8" hidden="1">pa_out_bens_imoveis!$A$1:$L$25</definedName>
    <definedName name="_xlnm._FilterDatabase" localSheetId="1" hidden="1">pa_out_emss_fncd!$A$3:$Q$41</definedName>
    <definedName name="_xlnm._FilterDatabase" localSheetId="0" hidden="1">pa_out_emss_fncd_re!$A$1:$N$25</definedName>
    <definedName name="_xlnm._FilterDatabase" localSheetId="3" hidden="1">property!$A$1:$AH$25</definedName>
    <definedName name="_xlnm._FilterDatabase" localSheetId="2" hidden="1">property_energy_certificate!$A$1:$CA$25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2" l="1"/>
  <c r="U6" i="2" s="1"/>
  <c r="U5" i="2"/>
  <c r="T5" i="2"/>
  <c r="T6" i="2" s="1"/>
  <c r="T4" i="2"/>
  <c r="S5" i="2"/>
  <c r="S4" i="2"/>
</calcChain>
</file>

<file path=xl/sharedStrings.xml><?xml version="1.0" encoding="utf-8"?>
<sst xmlns="http://schemas.openxmlformats.org/spreadsheetml/2006/main" count="7600" uniqueCount="1086">
  <si>
    <t>cempbem</t>
  </si>
  <si>
    <t>ckbalbem</t>
  </si>
  <si>
    <t>ckctabem</t>
  </si>
  <si>
    <t>ckrefbem</t>
  </si>
  <si>
    <t>finalidade_bem</t>
  </si>
  <si>
    <t>area_ponderada</t>
  </si>
  <si>
    <t>cre_rre</t>
  </si>
  <si>
    <t>amount</t>
  </si>
  <si>
    <t>scp1_emss_fncd</t>
  </si>
  <si>
    <t>scp2_emss_fncd</t>
  </si>
  <si>
    <t>origem_scp1_emss</t>
  </si>
  <si>
    <t>origem_scp2_emss</t>
  </si>
  <si>
    <t>ref_date</t>
  </si>
  <si>
    <t>31</t>
  </si>
  <si>
    <t>0032</t>
  </si>
  <si>
    <t>16188100000</t>
  </si>
  <si>
    <t>000000000000000</t>
  </si>
  <si>
    <t>02</t>
  </si>
  <si>
    <t>CRE_OUTRO</t>
  </si>
  <si>
    <t>RE_DQS3_2A</t>
  </si>
  <si>
    <t>2024-12-31</t>
  </si>
  <si>
    <t>18482850000</t>
  </si>
  <si>
    <t>01</t>
  </si>
  <si>
    <t>19002710001</t>
  </si>
  <si>
    <t>16235080000</t>
  </si>
  <si>
    <t>17955740000</t>
  </si>
  <si>
    <t>03</t>
  </si>
  <si>
    <t>16436490001</t>
  </si>
  <si>
    <t>15684160000</t>
  </si>
  <si>
    <t>17345420001</t>
  </si>
  <si>
    <t>16585910000</t>
  </si>
  <si>
    <t>18276800000</t>
  </si>
  <si>
    <t>16568570000</t>
  </si>
  <si>
    <t>19150100001</t>
  </si>
  <si>
    <t>cempresa</t>
  </si>
  <si>
    <t>cbalcao</t>
  </si>
  <si>
    <t>cnumecta</t>
  </si>
  <si>
    <t>zdeposit</t>
  </si>
  <si>
    <t>zcliente</t>
  </si>
  <si>
    <t>nome_perimetro</t>
  </si>
  <si>
    <t>ST SGPS Cons</t>
  </si>
  <si>
    <t>0003</t>
  </si>
  <si>
    <t>13118673096</t>
  </si>
  <si>
    <t>7401805639</t>
  </si>
  <si>
    <t>12171392096</t>
  </si>
  <si>
    <t>7401758918</t>
  </si>
  <si>
    <t>13189948096</t>
  </si>
  <si>
    <t>8023070044</t>
  </si>
  <si>
    <t>11845327096</t>
  </si>
  <si>
    <t>7401023547</t>
  </si>
  <si>
    <t>13016638096</t>
  </si>
  <si>
    <t>5100399339</t>
  </si>
  <si>
    <t>14622145096</t>
  </si>
  <si>
    <t>7401863050</t>
  </si>
  <si>
    <t>18772722096</t>
  </si>
  <si>
    <t>7401042661</t>
  </si>
  <si>
    <t>19869832096</t>
  </si>
  <si>
    <t>7402298047</t>
  </si>
  <si>
    <t>20375696096</t>
  </si>
  <si>
    <t>7401161752</t>
  </si>
  <si>
    <t>12258066096</t>
  </si>
  <si>
    <t>7401766611</t>
  </si>
  <si>
    <t>12470810096</t>
  </si>
  <si>
    <t>16822966096</t>
  </si>
  <si>
    <t>7402374611</t>
  </si>
  <si>
    <t>18677335096</t>
  </si>
  <si>
    <t>7400843735</t>
  </si>
  <si>
    <t>property_bank_id</t>
  </si>
  <si>
    <t>property_branch_code</t>
  </si>
  <si>
    <t>property_contract_id</t>
  </si>
  <si>
    <t>property_reference_code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</si>
  <si>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</si>
  <si>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</si>
  <si>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</si>
  <si>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</si>
  <si>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</si>
  <si>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epc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</si>
  <si>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</si>
  <si>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</si>
  <si>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</si>
  <si>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</si>
  <si>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</si>
  <si>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</si>
  <si>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</si>
  <si>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</si>
  <si>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</si>
  <si>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</si>
  <si>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</si>
  <si>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</si>
  <si>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</si>
  <si>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</si>
  <si>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</si>
  <si>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</si>
  <si>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</si>
  <si>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useful_energy_heating_req_value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</si>
  <si>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</si>
  <si>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</si>
  <si>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</si>
  <si>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</si>
  <si>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</si>
  <si>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</si>
  <si>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</si>
  <si>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</si>
  <si>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carbon_emission_value_year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</si>
  <si>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</si>
  <si>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</si>
  <si>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</si>
  <si>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</si>
  <si>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</si>
  <si>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</si>
  <si>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</si>
  <si>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</si>
  <si>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</si>
  <si>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energy_consumption_value_year</t>
  </si>
  <si>
    <t>current_energy_rating_percentage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</si>
  <si>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</si>
  <si>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</si>
  <si>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</si>
  <si>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</si>
  <si>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</si>
  <si>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</si>
  <si>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</si>
  <si>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</si>
  <si>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</si>
  <si>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</si>
  <si>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</si>
  <si>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energy_class_after_measurement</t>
  </si>
  <si>
    <t>temperature_outdoor_avg_value</t>
  </si>
  <si>
    <t>climate_zone_winter</t>
  </si>
  <si>
    <t>climate_zone_summer</t>
  </si>
  <si>
    <t>gps_latitude</t>
  </si>
  <si>
    <t>gps_longitude</t>
  </si>
  <si>
    <t>net_floor_area</t>
  </si>
  <si>
    <t>cadastral_register_code</t>
  </si>
  <si>
    <t>district_municip_parish_code</t>
  </si>
  <si>
    <t>property_purpose_code</t>
  </si>
  <si>
    <t>address_code</t>
  </si>
  <si>
    <t>floor_number</t>
  </si>
  <si>
    <t>locality</t>
  </si>
  <si>
    <t>prmry_enrgy_dmnd_rfrnc_vl</t>
  </si>
  <si>
    <t>quality_score</t>
  </si>
  <si>
    <t>input_user_code</t>
  </si>
  <si>
    <t>data_timestamp_part</t>
  </si>
  <si>
    <t>data_date_part</t>
  </si>
  <si>
    <t>source_code</t>
  </si>
  <si>
    <t>LISBOA</t>
  </si>
  <si>
    <t>856</t>
  </si>
  <si>
    <t>SCE0000323133116</t>
  </si>
  <si>
    <t>2023-11-13</t>
  </si>
  <si>
    <t>2033-11-13 00:00:00.0</t>
  </si>
  <si>
    <t>D</t>
  </si>
  <si>
    <t>0.00</t>
  </si>
  <si>
    <t>false</t>
  </si>
  <si>
    <t>Certificado</t>
  </si>
  <si>
    <t>2.51</t>
  </si>
  <si>
    <t>NULL</t>
  </si>
  <si>
    <t>167.00</t>
  </si>
  <si>
    <t>38.719165</t>
  </si>
  <si>
    <t>-9.131927</t>
  </si>
  <si>
    <t>52.19</t>
  </si>
  <si>
    <t>679</t>
  </si>
  <si>
    <t>Habitação</t>
  </si>
  <si>
    <t>R DE SÃO GENS, 41, RC DTO</t>
  </si>
  <si>
    <t>Fração Autónoma RCD</t>
  </si>
  <si>
    <t>1-REAL</t>
  </si>
  <si>
    <t>E808873</t>
  </si>
  <si>
    <t>2025-03-25 15:42:10.782</t>
  </si>
  <si>
    <t>ADENE</t>
  </si>
  <si>
    <t>C</t>
  </si>
  <si>
    <t>44.43</t>
  </si>
  <si>
    <t>154.27</t>
  </si>
  <si>
    <t>GLOVAL</t>
  </si>
  <si>
    <t>27.03</t>
  </si>
  <si>
    <t>91.02</t>
  </si>
  <si>
    <t>GUIMARÃES</t>
  </si>
  <si>
    <t>1099</t>
  </si>
  <si>
    <t>SCE0000335427731</t>
  </si>
  <si>
    <t>2024-04-05</t>
  </si>
  <si>
    <t>2034-04-05 00:00:00.0</t>
  </si>
  <si>
    <t>B-</t>
  </si>
  <si>
    <t>1.27</t>
  </si>
  <si>
    <t>95.00</t>
  </si>
  <si>
    <t>41.429549</t>
  </si>
  <si>
    <t>-8.304271</t>
  </si>
  <si>
    <t>113.63</t>
  </si>
  <si>
    <t>1282</t>
  </si>
  <si>
    <t>R DA ÍNDIA, 462, 2 ESQ</t>
  </si>
  <si>
    <t>Fração Autónoma CB</t>
  </si>
  <si>
    <t>LOURES</t>
  </si>
  <si>
    <t>558</t>
  </si>
  <si>
    <t>SCE0000314523018</t>
  </si>
  <si>
    <t>2023-08-04</t>
  </si>
  <si>
    <t>2033-08-04 00:00:00.0</t>
  </si>
  <si>
    <t>E</t>
  </si>
  <si>
    <t>4.69</t>
  </si>
  <si>
    <t>457.81</t>
  </si>
  <si>
    <t>199.00</t>
  </si>
  <si>
    <t>38.777725</t>
  </si>
  <si>
    <t>-9.101883</t>
  </si>
  <si>
    <t>136.42</t>
  </si>
  <si>
    <t>675</t>
  </si>
  <si>
    <t>AV. MOSCAVIDE, 44, 4 ESQ</t>
  </si>
  <si>
    <t>Fração Autónoma I</t>
  </si>
  <si>
    <t>MOSCAVIDE</t>
  </si>
  <si>
    <t>31.36</t>
  </si>
  <si>
    <t>63.11</t>
  </si>
  <si>
    <t>40.53</t>
  </si>
  <si>
    <t>136.47</t>
  </si>
  <si>
    <t>34.04</t>
  </si>
  <si>
    <t>132.43</t>
  </si>
  <si>
    <t>FIGUEIRA DA FOZ</t>
  </si>
  <si>
    <t>125</t>
  </si>
  <si>
    <t>A+</t>
  </si>
  <si>
    <t>6013</t>
  </si>
  <si>
    <t>Comércio e Serviços</t>
  </si>
  <si>
    <t>AVENIDA D. JOÃO |! (RIO DE BAIXO)</t>
  </si>
  <si>
    <t>Fração Autónoma</t>
  </si>
  <si>
    <t>OCR</t>
  </si>
  <si>
    <t>73.59</t>
  </si>
  <si>
    <t>252.01</t>
  </si>
  <si>
    <t>SCE0000149235529</t>
  </si>
  <si>
    <t>2018-05-11</t>
  </si>
  <si>
    <t>2026-05-11 00:00:00.0</t>
  </si>
  <si>
    <t>118.00</t>
  </si>
  <si>
    <t>98.00</t>
  </si>
  <si>
    <t>1683.00</t>
  </si>
  <si>
    <t>Grande Edifício de Serviços</t>
  </si>
  <si>
    <t>38.28</t>
  </si>
  <si>
    <t>148.96</t>
  </si>
  <si>
    <t>property_type_code</t>
  </si>
  <si>
    <t>property_code</t>
  </si>
  <si>
    <t>urbanization</t>
  </si>
  <si>
    <t>address</t>
  </si>
  <si>
    <t>property_number</t>
  </si>
  <si>
    <t>property_lot</t>
  </si>
  <si>
    <t>country_code</t>
  </si>
  <si>
    <t>property_lifetime_code</t>
  </si>
  <si>
    <t>current_construction_pct</t>
  </si>
  <si>
    <t>postal_code</t>
  </si>
  <si>
    <t>last_appraisal_amount</t>
  </si>
  <si>
    <t>last_appraisal_date</t>
  </si>
  <si>
    <t>net_appraisal_amount</t>
  </si>
  <si>
    <t>appraisal_code</t>
  </si>
  <si>
    <t>conservatory_reg_file_id</t>
  </si>
  <si>
    <t>collateral_fast_sale_amount</t>
  </si>
  <si>
    <t>construction_completed_pct</t>
  </si>
  <si>
    <t>usage_permit_start_date</t>
  </si>
  <si>
    <t>construction_year</t>
  </si>
  <si>
    <t>SA DA BANDEIRA</t>
  </si>
  <si>
    <t>GONCALO CRISTOVAO</t>
  </si>
  <si>
    <t>2º</t>
  </si>
  <si>
    <t>317000.00</t>
  </si>
  <si>
    <t>0001-01-01</t>
  </si>
  <si>
    <t>SERVDLKBBIMVP</t>
  </si>
  <si>
    <t>2025-01-02 18:35:33.288000000</t>
  </si>
  <si>
    <t>GUIMARAES</t>
  </si>
  <si>
    <t>DA INDIA</t>
  </si>
  <si>
    <t>2 ESQ</t>
  </si>
  <si>
    <t>1282, CRP 1099-"CB"</t>
  </si>
  <si>
    <t>217000.00</t>
  </si>
  <si>
    <t xml:space="preserve">    </t>
  </si>
  <si>
    <t>FIAES</t>
  </si>
  <si>
    <t>PENOUCOS</t>
  </si>
  <si>
    <t>344000.00</t>
  </si>
  <si>
    <t>FUNCHAL</t>
  </si>
  <si>
    <t>RUA DOS ARANHAS</t>
  </si>
  <si>
    <t>PREDIO</t>
  </si>
  <si>
    <t>1350000.00</t>
  </si>
  <si>
    <t>GRACA</t>
  </si>
  <si>
    <t>SAO GENS</t>
  </si>
  <si>
    <t>1650000.00</t>
  </si>
  <si>
    <t>JAU</t>
  </si>
  <si>
    <t>74800000.00</t>
  </si>
  <si>
    <t>VILA DO CONDE</t>
  </si>
  <si>
    <t>5 DE OUTUBRO</t>
  </si>
  <si>
    <t>RC BL NA</t>
  </si>
  <si>
    <t>7457; CRP  2603</t>
  </si>
  <si>
    <t>151000.00</t>
  </si>
  <si>
    <t>SANTIAGO CACEM</t>
  </si>
  <si>
    <t>DO PARQUE 12,12A,12B,12C</t>
  </si>
  <si>
    <t>781000.00</t>
  </si>
  <si>
    <t>RIO TINTO</t>
  </si>
  <si>
    <t>RESTAURACAO</t>
  </si>
  <si>
    <t>2 DTO</t>
  </si>
  <si>
    <t>105200.00</t>
  </si>
  <si>
    <t>BUARCOS</t>
  </si>
  <si>
    <t>DOM JOAO, II</t>
  </si>
  <si>
    <t>2438744.00</t>
  </si>
  <si>
    <t>CONDE DE MARGARIDE</t>
  </si>
  <si>
    <t>3125; CRP 1004</t>
  </si>
  <si>
    <t>4365000.00</t>
  </si>
  <si>
    <t>MOSCAVIDE  FRACAO H</t>
  </si>
  <si>
    <t>3 DTO</t>
  </si>
  <si>
    <t>209000.00</t>
  </si>
  <si>
    <t>1111</t>
  </si>
  <si>
    <t>131217</t>
  </si>
  <si>
    <t>23</t>
  </si>
  <si>
    <t>620</t>
  </si>
  <si>
    <t>11</t>
  </si>
  <si>
    <t>4049038</t>
  </si>
  <si>
    <t>0961</t>
  </si>
  <si>
    <t>100</t>
  </si>
  <si>
    <t>1977</t>
  </si>
  <si>
    <t>1130</t>
  </si>
  <si>
    <t>030881</t>
  </si>
  <si>
    <t>462</t>
  </si>
  <si>
    <t>09</t>
  </si>
  <si>
    <t>4835061</t>
  </si>
  <si>
    <t>2024-07-22</t>
  </si>
  <si>
    <t>010907</t>
  </si>
  <si>
    <t>424</t>
  </si>
  <si>
    <t>2585</t>
  </si>
  <si>
    <t>4505308</t>
  </si>
  <si>
    <t>2024-05-31</t>
  </si>
  <si>
    <t>1148</t>
  </si>
  <si>
    <t>1998-03-01</t>
  </si>
  <si>
    <t>310310</t>
  </si>
  <si>
    <t>16,22</t>
  </si>
  <si>
    <t>1456</t>
  </si>
  <si>
    <t>9000044</t>
  </si>
  <si>
    <t>2024-01-31</t>
  </si>
  <si>
    <t>666</t>
  </si>
  <si>
    <t>1997</t>
  </si>
  <si>
    <t>110667</t>
  </si>
  <si>
    <t>41</t>
  </si>
  <si>
    <t>1170337</t>
  </si>
  <si>
    <t>2024-10-31</t>
  </si>
  <si>
    <t>0945</t>
  </si>
  <si>
    <t>110602</t>
  </si>
  <si>
    <t>54</t>
  </si>
  <si>
    <t>12</t>
  </si>
  <si>
    <t>646</t>
  </si>
  <si>
    <t>08</t>
  </si>
  <si>
    <t>1300001</t>
  </si>
  <si>
    <t>2024-10-10</t>
  </si>
  <si>
    <t>747</t>
  </si>
  <si>
    <t>131628</t>
  </si>
  <si>
    <t>971</t>
  </si>
  <si>
    <t>4480738</t>
  </si>
  <si>
    <t>2603</t>
  </si>
  <si>
    <t>150906</t>
  </si>
  <si>
    <t>3673</t>
  </si>
  <si>
    <t>7540172</t>
  </si>
  <si>
    <t>2024-08-30</t>
  </si>
  <si>
    <t>2750</t>
  </si>
  <si>
    <t>130408</t>
  </si>
  <si>
    <t>767</t>
  </si>
  <si>
    <t>4435056</t>
  </si>
  <si>
    <t>2024-04-30</t>
  </si>
  <si>
    <t>731</t>
  </si>
  <si>
    <t>060504</t>
  </si>
  <si>
    <t>2</t>
  </si>
  <si>
    <t>3080006</t>
  </si>
  <si>
    <t>2000</t>
  </si>
  <si>
    <t>030884</t>
  </si>
  <si>
    <t>4810537</t>
  </si>
  <si>
    <t>2024-10-15</t>
  </si>
  <si>
    <t>1004</t>
  </si>
  <si>
    <t>110726</t>
  </si>
  <si>
    <t>44</t>
  </si>
  <si>
    <t>1885001</t>
  </si>
  <si>
    <t>2024-10-08</t>
  </si>
  <si>
    <t>id_contrato</t>
  </si>
  <si>
    <t>cempresp</t>
  </si>
  <si>
    <t>ckbalres</t>
  </si>
  <si>
    <t>ckctares</t>
  </si>
  <si>
    <t>ckrefresp</t>
  </si>
  <si>
    <t>ckbalcao</t>
  </si>
  <si>
    <t>cknumcta</t>
  </si>
  <si>
    <t>comp_id_gar</t>
  </si>
  <si>
    <t>zcliente_garante</t>
  </si>
  <si>
    <t>zcliente_ced</t>
  </si>
  <si>
    <t>cgarant_rpt</t>
  </si>
  <si>
    <t>cgarant_bem</t>
  </si>
  <si>
    <t>ctratcta</t>
  </si>
  <si>
    <t>ctipbem</t>
  </si>
  <si>
    <t>cfinbem</t>
  </si>
  <si>
    <t>montante</t>
  </si>
  <si>
    <t>msldreal</t>
  </si>
  <si>
    <t>mavalia</t>
  </si>
  <si>
    <t>total_divida</t>
  </si>
  <si>
    <t>montante_altrn_1</t>
  </si>
  <si>
    <t>msldreal_altrn_1</t>
  </si>
  <si>
    <t>mavalia_altrn_1</t>
  </si>
  <si>
    <t>total_divida_altrn_1</t>
  </si>
  <si>
    <t>centidade</t>
  </si>
  <si>
    <t>centidade_sit</t>
  </si>
  <si>
    <t>perc_rateio</t>
  </si>
  <si>
    <t>perc_rateio_altrn_1</t>
  </si>
  <si>
    <t>mavaliai_proc</t>
  </si>
  <si>
    <t>mavaliai_bem</t>
  </si>
  <si>
    <t>mavaliai_resp_bem</t>
  </si>
  <si>
    <t>dtvaliai_proc</t>
  </si>
  <si>
    <t>dtvaliai_bem</t>
  </si>
  <si>
    <t>dtvaliai_resp_bem</t>
  </si>
  <si>
    <t>per_cobert_ini_proc</t>
  </si>
  <si>
    <t>per_cobert_ini_bem</t>
  </si>
  <si>
    <t>per_cobert_ini_resp_bem</t>
  </si>
  <si>
    <t>mavaliaa</t>
  </si>
  <si>
    <t>mavaliaa_altrn_1</t>
  </si>
  <si>
    <t>per_cobert</t>
  </si>
  <si>
    <t>per_cobert_altrn_1</t>
  </si>
  <si>
    <t>dtrcaval</t>
  </si>
  <si>
    <t>dtrcaval_altrn_1</t>
  </si>
  <si>
    <t>preco_aquisicao</t>
  </si>
  <si>
    <t>data_aquisicao</t>
  </si>
  <si>
    <t>origem_precoaquis</t>
  </si>
  <si>
    <t>origem</t>
  </si>
  <si>
    <t>tipologia</t>
  </si>
  <si>
    <t>htimest</t>
  </si>
  <si>
    <t>31000311845327096</t>
  </si>
  <si>
    <t>00490551810</t>
  </si>
  <si>
    <t>000000000000002</t>
  </si>
  <si>
    <t>0000000000</t>
  </si>
  <si>
    <t>082</t>
  </si>
  <si>
    <t>5203</t>
  </si>
  <si>
    <t>BST</t>
  </si>
  <si>
    <t>2018-04-17</t>
  </si>
  <si>
    <t>GP</t>
  </si>
  <si>
    <t>IMO</t>
  </si>
  <si>
    <t>2025-01-02 19:10:47.091</t>
  </si>
  <si>
    <t>31000318772722096</t>
  </si>
  <si>
    <t>00496928650</t>
  </si>
  <si>
    <t>5101</t>
  </si>
  <si>
    <t>2023-10-25</t>
  </si>
  <si>
    <t>31000318677335096</t>
  </si>
  <si>
    <t>00491300420</t>
  </si>
  <si>
    <t>000000000000001</t>
  </si>
  <si>
    <t>2023-12-07</t>
  </si>
  <si>
    <t>31000319869832096</t>
  </si>
  <si>
    <t>00491390550</t>
  </si>
  <si>
    <t>31000312258066096</t>
  </si>
  <si>
    <t>00490617860</t>
  </si>
  <si>
    <t>000000000000003</t>
  </si>
  <si>
    <t>5201</t>
  </si>
  <si>
    <t>2019-01-31</t>
  </si>
  <si>
    <t>31000314622145096</t>
  </si>
  <si>
    <t>00491106690</t>
  </si>
  <si>
    <t>2021-07-12</t>
  </si>
  <si>
    <t>31000320375696096</t>
  </si>
  <si>
    <t>00491396150</t>
  </si>
  <si>
    <t>31000313016638096</t>
  </si>
  <si>
    <t>00490714420</t>
  </si>
  <si>
    <t>2019-12-20</t>
  </si>
  <si>
    <t>31000312470810096</t>
  </si>
  <si>
    <t>00490653150</t>
  </si>
  <si>
    <t>31000316822966096</t>
  </si>
  <si>
    <t>00496852280</t>
  </si>
  <si>
    <t>2022-08-23</t>
  </si>
  <si>
    <t>31000313118673096</t>
  </si>
  <si>
    <t>00496394460</t>
  </si>
  <si>
    <t>2020-01-22</t>
  </si>
  <si>
    <t>31000313189948096</t>
  </si>
  <si>
    <t>00496389510</t>
  </si>
  <si>
    <t>091</t>
  </si>
  <si>
    <t>2019-12-26</t>
  </si>
  <si>
    <t>31000312171392096</t>
  </si>
  <si>
    <t>00490614820</t>
  </si>
  <si>
    <t>2018-12-17</t>
  </si>
  <si>
    <t>scp1_emss</t>
  </si>
  <si>
    <t>scp2_emss</t>
  </si>
  <si>
    <t>unidade_funcional_scp1_emss</t>
  </si>
  <si>
    <t>unidade_funcional_scp2_emss</t>
  </si>
  <si>
    <t>tCO2e</t>
  </si>
  <si>
    <t>0030</t>
  </si>
  <si>
    <t>18227260000</t>
  </si>
  <si>
    <t>Habitacao</t>
  </si>
  <si>
    <t>17758680001</t>
  </si>
  <si>
    <t>16890230000</t>
  </si>
  <si>
    <t>16697650000</t>
  </si>
  <si>
    <t>16215980000</t>
  </si>
  <si>
    <t>0630</t>
  </si>
  <si>
    <t>16064050000</t>
  </si>
  <si>
    <t>16028830000</t>
  </si>
  <si>
    <t>15369240000</t>
  </si>
  <si>
    <t>14668750001</t>
  </si>
  <si>
    <t>14347420000</t>
  </si>
  <si>
    <t>12707730000</t>
  </si>
  <si>
    <t>0000</t>
  </si>
  <si>
    <t>10020360001</t>
  </si>
  <si>
    <t>CRE</t>
  </si>
  <si>
    <t>Mortgage</t>
  </si>
  <si>
    <t xml:space="preserve">Carteira </t>
  </si>
  <si>
    <t>1. Extração pelos imóveis</t>
  </si>
  <si>
    <t>17715839096</t>
  </si>
  <si>
    <t>7400827407</t>
  </si>
  <si>
    <t>19146280096</t>
  </si>
  <si>
    <t>9002538759</t>
  </si>
  <si>
    <t>15967432096</t>
  </si>
  <si>
    <t>7402285808</t>
  </si>
  <si>
    <t>13976195096</t>
  </si>
  <si>
    <t>7400661340</t>
  </si>
  <si>
    <t>13976203096</t>
  </si>
  <si>
    <t>13497044096</t>
  </si>
  <si>
    <t>7401963787</t>
  </si>
  <si>
    <t>13497051096</t>
  </si>
  <si>
    <t>14887813096</t>
  </si>
  <si>
    <t>12278650096</t>
  </si>
  <si>
    <t>7401787838</t>
  </si>
  <si>
    <t>0006</t>
  </si>
  <si>
    <t>01227406096</t>
  </si>
  <si>
    <t>5100639482</t>
  </si>
  <si>
    <t>00245508096</t>
  </si>
  <si>
    <t>5100143828</t>
  </si>
  <si>
    <t>00397002096</t>
  </si>
  <si>
    <t>01363441096</t>
  </si>
  <si>
    <t>12718317096</t>
  </si>
  <si>
    <t>11046454096</t>
  </si>
  <si>
    <t>7401554790</t>
  </si>
  <si>
    <t>10477056096</t>
  </si>
  <si>
    <t>7401458118</t>
  </si>
  <si>
    <t>10477064096</t>
  </si>
  <si>
    <t>09485334096</t>
  </si>
  <si>
    <t>2471005672</t>
  </si>
  <si>
    <t>12403993096</t>
  </si>
  <si>
    <t>02947793096</t>
  </si>
  <si>
    <t>8041393303</t>
  </si>
  <si>
    <t>02947819096</t>
  </si>
  <si>
    <t>04522156096</t>
  </si>
  <si>
    <t>01962041096</t>
  </si>
  <si>
    <t>9000535633</t>
  </si>
  <si>
    <t>10666598541</t>
  </si>
  <si>
    <t>10913126096</t>
  </si>
  <si>
    <t xml:space="preserve">2. Extração por financiamentos </t>
  </si>
  <si>
    <t>PENAFIEL</t>
  </si>
  <si>
    <t>929</t>
  </si>
  <si>
    <t>SCE0000305135926</t>
  </si>
  <si>
    <t>2023-04-19</t>
  </si>
  <si>
    <t>2033-04-19 00:00:00.0</t>
  </si>
  <si>
    <t>F</t>
  </si>
  <si>
    <t>TORRES VEDRAS</t>
  </si>
  <si>
    <t>708</t>
  </si>
  <si>
    <t>SCE0000090246021</t>
  </si>
  <si>
    <t>2014-09-14</t>
  </si>
  <si>
    <t>2024-09-14 00:00:00.0</t>
  </si>
  <si>
    <t>-</t>
  </si>
  <si>
    <t>2025-03-10 00:00:00.0</t>
  </si>
  <si>
    <t>CADAVAL</t>
  </si>
  <si>
    <t>715</t>
  </si>
  <si>
    <t>SCE0000126364325</t>
  </si>
  <si>
    <t>2016-06-02</t>
  </si>
  <si>
    <t>2026-06-02 00:00:00.0</t>
  </si>
  <si>
    <t>ELVAS</t>
  </si>
  <si>
    <t>757</t>
  </si>
  <si>
    <t>SCE0000129934230</t>
  </si>
  <si>
    <t>2016-07-28</t>
  </si>
  <si>
    <t>2026-07-28 00:00:00.0</t>
  </si>
  <si>
    <t>VILA NOVA DE GAIA</t>
  </si>
  <si>
    <t>1812</t>
  </si>
  <si>
    <t>9.13</t>
  </si>
  <si>
    <t>293.00</t>
  </si>
  <si>
    <t>41.123161</t>
  </si>
  <si>
    <t>-8.297269</t>
  </si>
  <si>
    <t>100.30</t>
  </si>
  <si>
    <t>4933</t>
  </si>
  <si>
    <t>R DO PINHEIRAL, 136</t>
  </si>
  <si>
    <t>PINHEIRO PNF</t>
  </si>
  <si>
    <t>15.80</t>
  </si>
  <si>
    <t>208.00</t>
  </si>
  <si>
    <t>419.18</t>
  </si>
  <si>
    <t>5752</t>
  </si>
  <si>
    <t>CASAL VALE DE ROSAS, E.N. 8</t>
  </si>
  <si>
    <t>52.83</t>
  </si>
  <si>
    <t>180.92</t>
  </si>
  <si>
    <t>1239</t>
  </si>
  <si>
    <t>COIMBRA</t>
  </si>
  <si>
    <t>AVENIDA DR. DIAS DA S!</t>
  </si>
  <si>
    <t>10.76</t>
  </si>
  <si>
    <t>326.00</t>
  </si>
  <si>
    <t>39.242966</t>
  </si>
  <si>
    <t>-9.108530</t>
  </si>
  <si>
    <t>219.91</t>
  </si>
  <si>
    <t>1614</t>
  </si>
  <si>
    <t>RUA ALTO BACALHAU, N.º 58</t>
  </si>
  <si>
    <t>30.97</t>
  </si>
  <si>
    <t>105.32</t>
  </si>
  <si>
    <t>21.50</t>
  </si>
  <si>
    <t>73.61</t>
  </si>
  <si>
    <t>51.35</t>
  </si>
  <si>
    <t>183.40</t>
  </si>
  <si>
    <t>8.33</t>
  </si>
  <si>
    <t>263.00</t>
  </si>
  <si>
    <t>38.872031</t>
  </si>
  <si>
    <t>-7.168973</t>
  </si>
  <si>
    <t>152.49</t>
  </si>
  <si>
    <t>1258</t>
  </si>
  <si>
    <t>PRACETA JOSÉ PIÇÃO TELLO, 3,</t>
  </si>
  <si>
    <t>2.58</t>
  </si>
  <si>
    <t>22.00</t>
  </si>
  <si>
    <t>41.082514</t>
  </si>
  <si>
    <t>-8.647324</t>
  </si>
  <si>
    <t>212.20</t>
  </si>
  <si>
    <t>8024</t>
  </si>
  <si>
    <t>VILA NOVA D!</t>
  </si>
  <si>
    <t>AV DOS SANATÓRIOS, 984,</t>
  </si>
  <si>
    <t>Fração Autónoma À</t>
  </si>
  <si>
    <t>32.46</t>
  </si>
  <si>
    <t>126.30</t>
  </si>
  <si>
    <t>39.30</t>
  </si>
  <si>
    <t>132.31</t>
  </si>
  <si>
    <t>1121</t>
  </si>
  <si>
    <t>131143</t>
  </si>
  <si>
    <t>Pinheiro</t>
  </si>
  <si>
    <t>Rua do Pinheiral</t>
  </si>
  <si>
    <t>136</t>
  </si>
  <si>
    <t>80.00</t>
  </si>
  <si>
    <t>U 4933</t>
  </si>
  <si>
    <t>4575369</t>
  </si>
  <si>
    <t>322000.00</t>
  </si>
  <si>
    <t>2024-02-26</t>
  </si>
  <si>
    <t>0089</t>
  </si>
  <si>
    <t>929/19961113</t>
  </si>
  <si>
    <t>1937</t>
  </si>
  <si>
    <t>111315</t>
  </si>
  <si>
    <t>Casal Vale das Rosas</t>
  </si>
  <si>
    <t>Nacional 8</t>
  </si>
  <si>
    <t>S/N</t>
  </si>
  <si>
    <t>10</t>
  </si>
  <si>
    <t>U-5752</t>
  </si>
  <si>
    <t>2560235</t>
  </si>
  <si>
    <t>316000.00</t>
  </si>
  <si>
    <t>0094</t>
  </si>
  <si>
    <t>708/19730321</t>
  </si>
  <si>
    <t>1987</t>
  </si>
  <si>
    <t>170815</t>
  </si>
  <si>
    <t>Gondim</t>
  </si>
  <si>
    <t>AUGUSTO VIEIRA</t>
  </si>
  <si>
    <t>.9</t>
  </si>
  <si>
    <t>67</t>
  </si>
  <si>
    <t>5050073</t>
  </si>
  <si>
    <t>359000.00</t>
  </si>
  <si>
    <t>0005</t>
  </si>
  <si>
    <t>2099</t>
  </si>
  <si>
    <t>2018</t>
  </si>
  <si>
    <t>060318</t>
  </si>
  <si>
    <t>DIAS DA SILVA</t>
  </si>
  <si>
    <t>194</t>
  </si>
  <si>
    <t>3000001</t>
  </si>
  <si>
    <t>696000.00</t>
  </si>
  <si>
    <t>8475</t>
  </si>
  <si>
    <t>1989</t>
  </si>
  <si>
    <t>110402</t>
  </si>
  <si>
    <t>NACIONAL 115</t>
  </si>
  <si>
    <t>58</t>
  </si>
  <si>
    <t>2550108</t>
  </si>
  <si>
    <t>155600.00</t>
  </si>
  <si>
    <t>0092</t>
  </si>
  <si>
    <t>1999</t>
  </si>
  <si>
    <t>130612</t>
  </si>
  <si>
    <t>MAIA</t>
  </si>
  <si>
    <t>ARMINDO MOREIRA</t>
  </si>
  <si>
    <t>37</t>
  </si>
  <si>
    <t>0001196-U -</t>
  </si>
  <si>
    <t>4475178</t>
  </si>
  <si>
    <t>110000.00</t>
  </si>
  <si>
    <t>0050</t>
  </si>
  <si>
    <t>0</t>
  </si>
  <si>
    <t>2005</t>
  </si>
  <si>
    <t>141502</t>
  </si>
  <si>
    <t>GRANHO NOVO</t>
  </si>
  <si>
    <t>Rua Eng. Manuel da Costa Lopes n.º 22 e</t>
  </si>
  <si>
    <t>SN</t>
  </si>
  <si>
    <t>U5969, R51 seção AF7</t>
  </si>
  <si>
    <t>2125101</t>
  </si>
  <si>
    <t>278000.00</t>
  </si>
  <si>
    <t>2024-07-31</t>
  </si>
  <si>
    <t>2008</t>
  </si>
  <si>
    <t>011808</t>
  </si>
  <si>
    <t>VAGOS</t>
  </si>
  <si>
    <t>JOAO GRAVE</t>
  </si>
  <si>
    <t>738</t>
  </si>
  <si>
    <t>06</t>
  </si>
  <si>
    <t>2579</t>
  </si>
  <si>
    <t>3840402</t>
  </si>
  <si>
    <t>260000.00</t>
  </si>
  <si>
    <t>0082</t>
  </si>
  <si>
    <t>1434</t>
  </si>
  <si>
    <t>2003</t>
  </si>
  <si>
    <t>120703</t>
  </si>
  <si>
    <t>A - Qta de Santo Onofre</t>
  </si>
  <si>
    <t>3</t>
  </si>
  <si>
    <t>R/C E 1º</t>
  </si>
  <si>
    <t>1256 ASSUNCAO, AJUDA, SALVADOR E S. IDEL</t>
  </si>
  <si>
    <t>7350103</t>
  </si>
  <si>
    <t>180250.00</t>
  </si>
  <si>
    <t>0080</t>
  </si>
  <si>
    <t>1981</t>
  </si>
  <si>
    <t>131707</t>
  </si>
  <si>
    <t>GULPILHARES</t>
  </si>
  <si>
    <t>DOS SANATORIOS</t>
  </si>
  <si>
    <t>984</t>
  </si>
  <si>
    <t>07</t>
  </si>
  <si>
    <t>9024</t>
  </si>
  <si>
    <t>4405604</t>
  </si>
  <si>
    <t>437400.00</t>
  </si>
  <si>
    <t>0040</t>
  </si>
  <si>
    <t>2014</t>
  </si>
  <si>
    <t>140708</t>
  </si>
  <si>
    <t>Chamusca</t>
  </si>
  <si>
    <t>DA COUTADA</t>
  </si>
  <si>
    <t>14</t>
  </si>
  <si>
    <t>3102</t>
  </si>
  <si>
    <t>2140010</t>
  </si>
  <si>
    <t>243900.00</t>
  </si>
  <si>
    <t>0007</t>
  </si>
  <si>
    <t>1357</t>
  </si>
  <si>
    <t>1996</t>
  </si>
  <si>
    <t>011507</t>
  </si>
  <si>
    <t>VALDAGUA</t>
  </si>
  <si>
    <t>227</t>
  </si>
  <si>
    <t>.</t>
  </si>
  <si>
    <t>2586</t>
  </si>
  <si>
    <t>3880579</t>
  </si>
  <si>
    <t>144000.00</t>
  </si>
  <si>
    <t>0086</t>
  </si>
  <si>
    <t>1580</t>
  </si>
  <si>
    <t>1990</t>
  </si>
  <si>
    <t>31000319146280096</t>
  </si>
  <si>
    <t>00492899980</t>
  </si>
  <si>
    <t>5102</t>
  </si>
  <si>
    <t>-120251.33</t>
  </si>
  <si>
    <t>120251.33</t>
  </si>
  <si>
    <t>31000317715839096</t>
  </si>
  <si>
    <t>00492739320</t>
  </si>
  <si>
    <t>-52727.39</t>
  </si>
  <si>
    <t>52727.39</t>
  </si>
  <si>
    <t>2023-04-12</t>
  </si>
  <si>
    <t>2023-05-12</t>
  </si>
  <si>
    <t>31000315967432096</t>
  </si>
  <si>
    <t>00498813480</t>
  </si>
  <si>
    <t>-195458.64</t>
  </si>
  <si>
    <t>195458.64</t>
  </si>
  <si>
    <t>2022-05-03</t>
  </si>
  <si>
    <t>2022-05-25</t>
  </si>
  <si>
    <t>31000313976195096</t>
  </si>
  <si>
    <t>00491504810</t>
  </si>
  <si>
    <t>-125830.06</t>
  </si>
  <si>
    <t>125830.06</t>
  </si>
  <si>
    <t>2020-12-04</t>
  </si>
  <si>
    <t>2020-12-23</t>
  </si>
  <si>
    <t>31000313976203096</t>
  </si>
  <si>
    <t>00492057100</t>
  </si>
  <si>
    <t>-73967.86</t>
  </si>
  <si>
    <t>73967.86</t>
  </si>
  <si>
    <t>31000313497051096</t>
  </si>
  <si>
    <t>00491962270</t>
  </si>
  <si>
    <t>-317159.55</t>
  </si>
  <si>
    <t>317159.55</t>
  </si>
  <si>
    <t>2020-03-23</t>
  </si>
  <si>
    <t>2020-06-24</t>
  </si>
  <si>
    <t>31000314887813096</t>
  </si>
  <si>
    <t>00492324610</t>
  </si>
  <si>
    <t>-57520.22</t>
  </si>
  <si>
    <t>57520.22</t>
  </si>
  <si>
    <t>2021-10-13</t>
  </si>
  <si>
    <t>31000313497044096</t>
  </si>
  <si>
    <t>00491962180</t>
  </si>
  <si>
    <t>-148086.96</t>
  </si>
  <si>
    <t>148086.96</t>
  </si>
  <si>
    <t>31000312278650096</t>
  </si>
  <si>
    <t>00498010020</t>
  </si>
  <si>
    <t>-97016.65</t>
  </si>
  <si>
    <t>97016.65</t>
  </si>
  <si>
    <t>2019-01-23</t>
  </si>
  <si>
    <t>2019-02-13</t>
  </si>
  <si>
    <t>31000601227406096</t>
  </si>
  <si>
    <t>00497907000</t>
  </si>
  <si>
    <t>-91439.58</t>
  </si>
  <si>
    <t>91439.58</t>
  </si>
  <si>
    <t>2017-07-21</t>
  </si>
  <si>
    <t>2014-10-09</t>
  </si>
  <si>
    <t>31000312718317096</t>
  </si>
  <si>
    <t>00497273810</t>
  </si>
  <si>
    <t>-32372.20</t>
  </si>
  <si>
    <t>32372.20</t>
  </si>
  <si>
    <t>2019-07-10</t>
  </si>
  <si>
    <t>31000601363441096</t>
  </si>
  <si>
    <t>0640</t>
  </si>
  <si>
    <t>00497220570</t>
  </si>
  <si>
    <t>000000000000004</t>
  </si>
  <si>
    <t>-32306.69</t>
  </si>
  <si>
    <t>32306.69</t>
  </si>
  <si>
    <t>2017-08-01</t>
  </si>
  <si>
    <t>31000600245508096</t>
  </si>
  <si>
    <t>00497729380</t>
  </si>
  <si>
    <t>-53715.65</t>
  </si>
  <si>
    <t>53715.65</t>
  </si>
  <si>
    <t>2002-06-06</t>
  </si>
  <si>
    <t>31000600397002096</t>
  </si>
  <si>
    <t>00497152060</t>
  </si>
  <si>
    <t>-83564.06</t>
  </si>
  <si>
    <t>83564.06</t>
  </si>
  <si>
    <t>31000311046454096</t>
  </si>
  <si>
    <t>00491487440</t>
  </si>
  <si>
    <t>-186858.92</t>
  </si>
  <si>
    <t>186858.92</t>
  </si>
  <si>
    <t>2017-05-18</t>
  </si>
  <si>
    <t>2017-06-30</t>
  </si>
  <si>
    <t>31000310477064096</t>
  </si>
  <si>
    <t>00496992230</t>
  </si>
  <si>
    <t>-120628.35</t>
  </si>
  <si>
    <t>120628.35</t>
  </si>
  <si>
    <t>2016-08-17</t>
  </si>
  <si>
    <t>2016-09-09</t>
  </si>
  <si>
    <t>31000310477056096</t>
  </si>
  <si>
    <t>00496614090</t>
  </si>
  <si>
    <t>-18558.59</t>
  </si>
  <si>
    <t>18558.59</t>
  </si>
  <si>
    <t>2016-08-01</t>
  </si>
  <si>
    <t>31000312403993096</t>
  </si>
  <si>
    <t>00491432520</t>
  </si>
  <si>
    <t>-91107.31</t>
  </si>
  <si>
    <t>91107.31</t>
  </si>
  <si>
    <t>2019-02-20</t>
  </si>
  <si>
    <t>31000309485334096</t>
  </si>
  <si>
    <t>00491259590</t>
  </si>
  <si>
    <t>000000000000006</t>
  </si>
  <si>
    <t>-230985.88</t>
  </si>
  <si>
    <t>230985.88</t>
  </si>
  <si>
    <t>2014-11-21</t>
  </si>
  <si>
    <t>2015-01-19</t>
  </si>
  <si>
    <t>31000304522156096</t>
  </si>
  <si>
    <t>00496008930</t>
  </si>
  <si>
    <t>-17735.81</t>
  </si>
  <si>
    <t>17735.81</t>
  </si>
  <si>
    <t>2008-12-12</t>
  </si>
  <si>
    <t>31000302947819096</t>
  </si>
  <si>
    <t>00495761400</t>
  </si>
  <si>
    <t>000000000000005</t>
  </si>
  <si>
    <t>-117554.78</t>
  </si>
  <si>
    <t>117554.78</t>
  </si>
  <si>
    <t>2007-06-29</t>
  </si>
  <si>
    <t>2007-07-18</t>
  </si>
  <si>
    <t>31000302947793096</t>
  </si>
  <si>
    <t>00496130130</t>
  </si>
  <si>
    <t>-58351.36</t>
  </si>
  <si>
    <t>58351.36</t>
  </si>
  <si>
    <t>31000010666598541</t>
  </si>
  <si>
    <t>-22962.79</t>
  </si>
  <si>
    <t>22962.79</t>
  </si>
  <si>
    <t>1998-10-27</t>
  </si>
  <si>
    <t>1999-03-19</t>
  </si>
  <si>
    <t>31000310913126096</t>
  </si>
  <si>
    <t>00491245140</t>
  </si>
  <si>
    <t>-27947.36</t>
  </si>
  <si>
    <t>27947.36</t>
  </si>
  <si>
    <t>2017-03-21</t>
  </si>
  <si>
    <t>31000301962041096</t>
  </si>
  <si>
    <t>00490382930</t>
  </si>
  <si>
    <t>-31163.80</t>
  </si>
  <si>
    <t>31163.80</t>
  </si>
  <si>
    <t>2006-07-03</t>
  </si>
  <si>
    <t>Nao Aplicavel</t>
  </si>
  <si>
    <t>19150140001</t>
  </si>
  <si>
    <t>RE_DQS4_2B</t>
  </si>
  <si>
    <t>18276840000</t>
  </si>
  <si>
    <t>18276880000</t>
  </si>
  <si>
    <t>18277080000</t>
  </si>
  <si>
    <t>18276920000</t>
  </si>
  <si>
    <t>18275420000</t>
  </si>
  <si>
    <t>14263510000</t>
  </si>
  <si>
    <t>18276980000</t>
  </si>
  <si>
    <t>18277110000</t>
  </si>
  <si>
    <t>ccontab_final_st_sgps</t>
  </si>
  <si>
    <t>ccontab_final_idcomb</t>
  </si>
  <si>
    <t>CONT1;HFS2;B01;MC02;PR0303;ACPF6;SC0303;STAG2;POCI2;SUBO2;TYVA01</t>
  </si>
  <si>
    <t>CONT1;HFS2;B01;MC02;PR0303;ACPF6;SC0303;STAG1;SUBO2;TYVA02</t>
  </si>
  <si>
    <t>CONT1;HFS2;B01;MC02;PR0303;ACPF6;SC0303;STAG1;SUBO2;TYVA01</t>
  </si>
  <si>
    <t>CONT1;HFS2;B01;MC02;PR0303;ACPF6;SC0303;STAG2;POCI2;SUBO2;TYVA02</t>
  </si>
  <si>
    <t>CONT1;HFS2;B01;MC02;PR0303;ACPF6;SC0304;STAG1;SUBO2;TYVA01</t>
  </si>
  <si>
    <t>CONT1;HFS2;B01;MC02;PR0303;ACPF6;SC0304;STAG1;SUBO2;TYVA02</t>
  </si>
  <si>
    <t>CONT1;HFS2;B01;MC02;PR0303;ACPF6;SC0304;STAG2;POCI2;SUBO2;TYVA01</t>
  </si>
  <si>
    <t>CONT1;HFS2;B01;MC02;PR0303;ACPF6;SC0304;STAG3;POCI2;SUBO2;TYVA01</t>
  </si>
  <si>
    <t>M01;MC42;SC0304;STAG1</t>
  </si>
  <si>
    <t>CONT1;HFS2;B01;MC02;PR0303;ACPF6;SC0304;STAG3;POCI2;SUBO2;TYVA02</t>
  </si>
  <si>
    <t>CONT1;HFS2;B01;MC02;PR0303;ACPF6;SC0304;STAG2;POCI2;SUBO2;TYVA02</t>
  </si>
  <si>
    <t>CONT1;HFS2;B02;MC200102;SC0304;STAG1</t>
  </si>
  <si>
    <t>1532087</t>
  </si>
  <si>
    <t>1531087</t>
  </si>
  <si>
    <t>1532187</t>
  </si>
  <si>
    <t>097182</t>
  </si>
  <si>
    <t>1531187</t>
  </si>
  <si>
    <t>1533087</t>
  </si>
  <si>
    <t>1533187</t>
  </si>
  <si>
    <t>09201810</t>
  </si>
  <si>
    <t>289201810</t>
  </si>
  <si>
    <t>data_envio</t>
  </si>
  <si>
    <t>chave_gloval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</si>
  <si>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</si>
  <si>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</si>
  <si>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</si>
  <si>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</si>
  <si>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</si>
  <si>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</si>
  <si>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</si>
  <si>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</si>
  <si>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</si>
  <si>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</si>
  <si>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</si>
  <si>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</si>
  <si>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</si>
  <si>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</si>
  <si>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</si>
  <si>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</si>
  <si>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</si>
  <si>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</si>
  <si>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</si>
  <si>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</si>
  <si>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</si>
  <si>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</si>
  <si>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</si>
  <si>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</si>
  <si>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</si>
  <si>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</si>
  <si>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</si>
  <si>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</si>
  <si>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</si>
  <si>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</si>
  <si>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class_gpt31</t>
  </si>
  <si>
    <t>class_stclim</t>
  </si>
  <si>
    <t>conf_stclim</t>
  </si>
  <si>
    <t>fiabilidad</t>
  </si>
  <si>
    <t>classe_energetica</t>
  </si>
  <si>
    <t>emissiones</t>
  </si>
  <si>
    <t>consumos</t>
  </si>
  <si>
    <t>htimestupload</t>
  </si>
  <si>
    <t>2022-12-31</t>
  </si>
  <si>
    <t>DEE71E9AA2E711F47DD2FB4772A72050C26EF01B9F5980ECFFD1C782707CBB4F</t>
  </si>
  <si>
    <t>150000</t>
  </si>
  <si>
    <t>SETUBAL</t>
  </si>
  <si>
    <t>150900</t>
  </si>
  <si>
    <t>SANTIAGO DO CACEM</t>
  </si>
  <si>
    <t>RUA</t>
  </si>
  <si>
    <t>7540</t>
  </si>
  <si>
    <t>172</t>
  </si>
  <si>
    <t>1718</t>
  </si>
  <si>
    <t>1</t>
  </si>
  <si>
    <t>ESCRITORIO</t>
  </si>
  <si>
    <t>2025-03-06 11:51:29.665000000</t>
  </si>
  <si>
    <t>FD219198387E28BB66F2C8A12951319FB4842A8DA7E4D65EC5D3FFD7C3A40126</t>
  </si>
  <si>
    <t>2025-03-05 17:18:13.373000000</t>
  </si>
  <si>
    <t>2024-06-30</t>
  </si>
  <si>
    <t>05FA5C045EFEB04996409915AA11412E0B2F7AFB605C497DB35322B7BF42D971</t>
  </si>
  <si>
    <t>2025-03-05 21:10:39.074000000</t>
  </si>
  <si>
    <t>2023-12-31</t>
  </si>
  <si>
    <t>2022-06-30</t>
  </si>
  <si>
    <t>E06FFB32E28A0E82146A6CD176657DC55A7F638D531E2E3490EBCA0D5B2C54E5</t>
  </si>
  <si>
    <t>130000</t>
  </si>
  <si>
    <t>PORTO</t>
  </si>
  <si>
    <t>131600</t>
  </si>
  <si>
    <t>4480</t>
  </si>
  <si>
    <t>103</t>
  </si>
  <si>
    <t>7457 CRP  2603</t>
  </si>
  <si>
    <t>COMERCIO</t>
  </si>
  <si>
    <t>A</t>
  </si>
  <si>
    <t>4-MEDIA</t>
  </si>
  <si>
    <t>2025-03-05 20:46:29.829000000</t>
  </si>
  <si>
    <t>131200</t>
  </si>
  <si>
    <t>UNIÃO FREG. DE CEDOFEITA, SANTO ILDEFONSO, SÉ, MIRAGAIA, SÃO NICOLAU E VITÓRIA</t>
  </si>
  <si>
    <t>4049</t>
  </si>
  <si>
    <t>038</t>
  </si>
  <si>
    <t>180</t>
  </si>
  <si>
    <t>6-BAJA</t>
  </si>
  <si>
    <t>49.46</t>
  </si>
  <si>
    <t>177.46</t>
  </si>
  <si>
    <t>2025-03-20 14:34:59.539000000</t>
  </si>
  <si>
    <t>0A05E305A3A43C54C950B1E22D0A20A5EF2B8E7BF780E64E37E7B031DD0BC706</t>
  </si>
  <si>
    <t>010000</t>
  </si>
  <si>
    <t>AVEIRO</t>
  </si>
  <si>
    <t>011500</t>
  </si>
  <si>
    <t>OVAR</t>
  </si>
  <si>
    <t>VALEGA</t>
  </si>
  <si>
    <t>3880</t>
  </si>
  <si>
    <t>579</t>
  </si>
  <si>
    <t>171</t>
  </si>
  <si>
    <t>HABITACAO</t>
  </si>
  <si>
    <t>2025-03-05 19:44:54.131000000</t>
  </si>
  <si>
    <t>5D1DE30B50C60CBFEC2F16FE35E9541F59F9F2B0ECFE280B57DCBC778C947F41</t>
  </si>
  <si>
    <t>011800</t>
  </si>
  <si>
    <t>AVENIDA</t>
  </si>
  <si>
    <t>3840</t>
  </si>
  <si>
    <t>402</t>
  </si>
  <si>
    <t>275</t>
  </si>
  <si>
    <t>2025-03-05 19:50:50.902000000</t>
  </si>
  <si>
    <t>2025-03-05 16:32:27.167000000</t>
  </si>
  <si>
    <t>2023-06-30</t>
  </si>
  <si>
    <t>55C6383DBEF3185C18ADB061880298C841559F9E715A762867A6F9A71E6A8D1B</t>
  </si>
  <si>
    <t>130400</t>
  </si>
  <si>
    <t>GONDOMAR</t>
  </si>
  <si>
    <t>4435</t>
  </si>
  <si>
    <t>056</t>
  </si>
  <si>
    <t>111</t>
  </si>
  <si>
    <t>2-MUY ALTA</t>
  </si>
  <si>
    <t>2025-03-05 17:59:11.283000000</t>
  </si>
  <si>
    <t>E04ACAC9C237BF50AD045207CC14CC4DD53E50F4199BD6CBCC5D269249F324BC</t>
  </si>
  <si>
    <t>130600</t>
  </si>
  <si>
    <t>AVIOSO (S. PEDRO)</t>
  </si>
  <si>
    <t>4475</t>
  </si>
  <si>
    <t>178</t>
  </si>
  <si>
    <t>550</t>
  </si>
  <si>
    <t>ABEA8C4DFAF643ADBA6BAD3B3B731550AF0EDD925761CB09D1958B9B73F62429</t>
  </si>
  <si>
    <t>140000</t>
  </si>
  <si>
    <t>SANTARÉM</t>
  </si>
  <si>
    <t>140700</t>
  </si>
  <si>
    <t>CHAMUSCA</t>
  </si>
  <si>
    <t>140701</t>
  </si>
  <si>
    <t>QUINTA</t>
  </si>
  <si>
    <t>2140</t>
  </si>
  <si>
    <t>271</t>
  </si>
  <si>
    <t>2025-03-05 19:40:24.738000000</t>
  </si>
  <si>
    <t>310000</t>
  </si>
  <si>
    <t>ILHA DA MADEIRA</t>
  </si>
  <si>
    <t>310300</t>
  </si>
  <si>
    <t>FUNCHAL (SE)</t>
  </si>
  <si>
    <t>22A26</t>
  </si>
  <si>
    <t>1 E 2</t>
  </si>
  <si>
    <t>9000</t>
  </si>
  <si>
    <t>004</t>
  </si>
  <si>
    <t>1177</t>
  </si>
  <si>
    <t>5-MEDIA BAJA</t>
  </si>
  <si>
    <t>41.14</t>
  </si>
  <si>
    <t>80.20</t>
  </si>
  <si>
    <t>2025-03-05 17:21:43.536000000</t>
  </si>
  <si>
    <t>A4FBB8041D2BF2652DC74152075ABA488E640380D59B1A3081A992FA10D08DB1</t>
  </si>
  <si>
    <t>010900</t>
  </si>
  <si>
    <t>FEIRA</t>
  </si>
  <si>
    <t>FIÃES</t>
  </si>
  <si>
    <t>4505</t>
  </si>
  <si>
    <t>308</t>
  </si>
  <si>
    <t>640</t>
  </si>
  <si>
    <t>87F52EDCF34879EBA9D2E6E23454328995BA004D3700888D5FC8C3EDB4B63EC1</t>
  </si>
  <si>
    <t>141500</t>
  </si>
  <si>
    <t>SALVATERRA DE MAGOS</t>
  </si>
  <si>
    <t>MARINHAIS</t>
  </si>
  <si>
    <t>ENG MANUEL COSTA LOPES</t>
  </si>
  <si>
    <t>22</t>
  </si>
  <si>
    <t>2125</t>
  </si>
  <si>
    <t>101</t>
  </si>
  <si>
    <t>207</t>
  </si>
  <si>
    <t>2025-03-05 18:01:35.389000000</t>
  </si>
  <si>
    <t>A2F814DA4ADEDC018D9A838CA17852A51AF6A31E1980A715DE9045E54A736931</t>
  </si>
  <si>
    <t>110000</t>
  </si>
  <si>
    <t>110600</t>
  </si>
  <si>
    <t>ALCANTARA</t>
  </si>
  <si>
    <t>1300</t>
  </si>
  <si>
    <t>001</t>
  </si>
  <si>
    <t>17740</t>
  </si>
  <si>
    <t>OUTRAS</t>
  </si>
  <si>
    <t>D1BA9A6C7B5D8A16ED7459A375CBE305E386D10DB75D165B7614C767D12BFF22</t>
  </si>
  <si>
    <t>170000</t>
  </si>
  <si>
    <t>VILA REAL</t>
  </si>
  <si>
    <t>170800</t>
  </si>
  <si>
    <t>PESO DA REGUA</t>
  </si>
  <si>
    <t>170899</t>
  </si>
  <si>
    <t>5050</t>
  </si>
  <si>
    <t>359</t>
  </si>
  <si>
    <t>2025-03-05 18:04:28.742000000</t>
  </si>
  <si>
    <t>FA</t>
  </si>
  <si>
    <t>SCP1</t>
  </si>
  <si>
    <t>SCP2</t>
  </si>
  <si>
    <t xml:space="preserve">Exemplo </t>
  </si>
  <si>
    <t>msaldo_final</t>
  </si>
  <si>
    <t>1532080</t>
  </si>
  <si>
    <t>CONT1;HFS2;B01;MC02;PR01;ACPF6;SC0303;STAG2;POCI2;SUBO2;TYVA01</t>
  </si>
  <si>
    <t>1531080</t>
  </si>
  <si>
    <t>CONT1;HFS2;B01;MC02;PR01;ACPF6;SC0303;STAG1;SUBO2;TYVA01</t>
  </si>
  <si>
    <t>1531084</t>
  </si>
  <si>
    <t>CONT1;HFS2;B01;MC02;PR0302;ACPF6;SC0303;STAG1;SUBO2;TYVA01</t>
  </si>
  <si>
    <t>CONT1;HFS2;B01;MC02;PR0303;ACPF6;SC0303;STAG3;POCI1;SUBO2;TYVA01</t>
  </si>
  <si>
    <t>1532084</t>
  </si>
  <si>
    <t>CONT1;HFS2;B01;MC02;PR0302;ACPF6;SC0302;STAG2;POCI2;SUBO2;TYVA01</t>
  </si>
  <si>
    <t>CONT1;HFS2;B01;MC02;PR0303;ACPF6;SC0303;STAG3;POCI2;SUBO2;TYVA01</t>
  </si>
  <si>
    <t>CONT1;HFS2;B01;MC02;PR0302;ACPF6;SC0303;STAG2;POCI2;SUBO2;TYVA01</t>
  </si>
  <si>
    <t>1533080</t>
  </si>
  <si>
    <t>CONT1;HFS2;B01;MC02;PR01;ACPF6;SC0303;STAG3;POCI1;SUBO2;TYVA01</t>
  </si>
  <si>
    <t>1533084</t>
  </si>
  <si>
    <t>CONT1;HFS2;B01;MC02;PR0302;ACPF6;SC0303;STAG3;POCI2;SUBO2;TYVA01</t>
  </si>
  <si>
    <t>CONT1;HFS2;B01;MC02;PR0302;ACPF6;SC0303;STAG3;POCI1;SUBO2;TYVA01</t>
  </si>
  <si>
    <t>CONT1;HFS2;B01;MC02;PR0303;ACPF6;SC0302;STAG1;SUBO2;TYVA01</t>
  </si>
  <si>
    <t>CONT1;HFS2;B01;MC02;PR0302;ACPF6;SC0302;STAG1;SUBO2;TYVA01</t>
  </si>
  <si>
    <t>carteira</t>
  </si>
  <si>
    <t>CONT1;HFS2;B01;MC02;PR0303;ACPF6;SC0304;STAG3;POCI1;SUBO2;TYVA01</t>
  </si>
  <si>
    <t>CONT1;HFS2;B01;MC02;PR0302;ACPF6;SC0304;STAG2;POCI2;SUBO2;TYVA01</t>
  </si>
  <si>
    <t>CONT1;HFS2;B01;MC02;PR0302;ACPF6;SC0304;STAG3;POCI2;SUBO2;TYVA01</t>
  </si>
  <si>
    <t>CONT1;HFS2;B01;MC02;PR0302;ACPF6;SC0304;STAG1;SUBO2;TYVA01</t>
  </si>
  <si>
    <t>CONT1;HFS2;B01;MC02;PR0303;ACPF6;SC0304;STAG2;POCI1;SUBO2;TYVA01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</si>
</sst>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49" fontId="0" fillId="0" borderId="0" xfId="0" applyNumberFormat="1"/>
    <xf numFmtId="49" fontId="1" fillId="0" borderId="1" xfId="0" applyNumberFormat="1" applyFont="1" applyBorder="1"/>
    <xf numFmtId="49" fontId="1" fillId="2" borderId="1" xfId="0" applyNumberFormat="1" applyFont="1" applyFill="1" applyBorder="1"/>
    <xf numFmtId="49" fontId="1" fillId="3" borderId="0" xfId="0" applyNumberFormat="1" applyFont="1" applyFill="1"/>
    <xf numFmtId="0" fontId="1" fillId="4" borderId="1" xfId="0" applyFont="1" applyFill="1" applyBorder="1"/>
    <xf numFmtId="49" fontId="1" fillId="4" borderId="1" xfId="0" applyNumberFormat="1" applyFont="1" applyFill="1" applyBorder="1"/>
    <xf numFmtId="4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1" fillId="0" borderId="5" xfId="0" applyFont="1" applyBorder="1"/>
    <xf numFmtId="49" fontId="1" fillId="4" borderId="5" xfId="0" applyNumberFormat="1" applyFont="1" applyFill="1" applyBorder="1"/>
    <xf numFmtId="49" fontId="1" fillId="0" borderId="5" xfId="0" applyNumberFormat="1" applyFont="1" applyBorder="1"/>
    <xf numFmtId="4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/>
    <xf numFmtId="49" fontId="1" fillId="0" borderId="0" xfId="0" applyNumberFormat="1" applyFont="1"/>
    <xf numFmtId="0" fontId="1" fillId="3" borderId="0" xfId="0" applyFont="1" applyFill="1"/>
    <xf numFmtId="49" fontId="0" fillId="3" borderId="0" xfId="0" applyNumberFormat="1" applyFill="1"/>
    <xf numFmtId="2" fontId="0" fillId="0" borderId="0" xfId="0" applyNumberFormat="1"/>
    <xf numFmtId="49" fontId="1" fillId="5" borderId="0" xfId="0" applyNumberFormat="1" applyFont="1" applyFill="1" applyAlignment="1">
      <alignment horizontal="center"/>
    </xf>
    <xf numFmtId="9" fontId="0" fillId="0" borderId="0" xfId="1" applyFont="1"/>
    <xf numFmtId="2" fontId="3" fillId="0" borderId="0" xfId="0" applyNumberFormat="1" applyFont="1"/>
    <xf numFmtId="0" fontId="0" fillId="2" borderId="0" xfId="0" applyFill="1"/>
    <xf numFmtId="49" fontId="0" fillId="2" borderId="0" xfId="0" applyNumberFormat="1" applyFill="1"/>
    <xf numFmtId="49" fontId="0" fillId="2" borderId="0" xfId="0" applyNumberFormat="1" applyFill="1" applyAlignment="1">
      <alignment horizontal="right"/>
    </xf>
    <xf numFmtId="4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20</xdr:row>
      <xdr:rowOff>104636</xdr:rowOff>
    </xdr:from>
    <xdr:to>
      <xdr:col>18</xdr:col>
      <xdr:colOff>503895</xdr:colOff>
      <xdr:row>34</xdr:row>
      <xdr:rowOff>53607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4AD7E-E41A-04BE-AD5C-C571872C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3762236"/>
          <a:ext cx="9144975" cy="2509291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0</xdr:row>
      <xdr:rowOff>119876</xdr:rowOff>
    </xdr:from>
    <xdr:to>
      <xdr:col>18</xdr:col>
      <xdr:colOff>122883</xdr:colOff>
      <xdr:row>20</xdr:row>
      <xdr:rowOff>94725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C335AF-3D9F-68C1-49FA-4B775181C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0" y="119876"/>
          <a:ext cx="8611563" cy="3632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showGridLines="0" workbookViewId="0">
      <selection activeCell="B2" sqref="B2"/>
    </sheetView>
  </sheetViews>
  <sheetFormatPr defaultColWidth="11.5546875" defaultRowHeight="14.4" x14ac:dyDescent="0.3"/>
  <cols>
    <col min="2" max="2" width="9.44140625" bestFit="1" customWidth="1"/>
    <col min="3" max="3" width="9.21875" bestFit="1" customWidth="1"/>
    <col min="4" max="4" width="12" bestFit="1" customWidth="1"/>
    <col min="5" max="5" width="16.109375" bestFit="1" customWidth="1"/>
    <col min="6" max="6" width="14.21875" bestFit="1" customWidth="1"/>
    <col min="7" max="7" width="15" bestFit="1" customWidth="1"/>
    <col min="8" max="8" width="11.33203125" bestFit="1" customWidth="1"/>
    <col min="9" max="9" width="12.6640625" bestFit="1" customWidth="1"/>
    <col min="10" max="11" width="14.88671875" bestFit="1" customWidth="1"/>
    <col min="12" max="13" width="17" bestFit="1" customWidth="1"/>
    <col min="14" max="14" width="10.33203125" bestFit="1" customWidth="1"/>
  </cols>
  <sheetData>
    <row r="1" spans="1:14" x14ac:dyDescent="0.3">
      <c r="A1" s="1" t="s">
        <v>482</v>
      </c>
      <c r="B1" s="6" t="s">
        <v>0</v>
      </c>
      <c r="C1" s="6" t="s">
        <v>1</v>
      </c>
      <c r="D1" s="6" t="s">
        <v>2</v>
      </c>
      <c r="E1" s="6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480</v>
      </c>
      <c r="B2" t="s">
        <v>13</v>
      </c>
      <c r="C2" t="s">
        <v>14</v>
      </c>
      <c r="D2" t="s">
        <v>28</v>
      </c>
      <c r="E2" t="s">
        <v>16</v>
      </c>
      <c r="F2" t="s">
        <v>26</v>
      </c>
      <c r="G2">
        <v>248.85240930232499</v>
      </c>
      <c r="H2" t="s">
        <v>18</v>
      </c>
      <c r="I2">
        <v>-133758.17000000001</v>
      </c>
      <c r="J2">
        <v>3.07960244023249</v>
      </c>
      <c r="K2">
        <v>8.6662044077675002</v>
      </c>
      <c r="L2" t="s">
        <v>19</v>
      </c>
      <c r="M2" t="s">
        <v>19</v>
      </c>
      <c r="N2" t="s">
        <v>20</v>
      </c>
    </row>
    <row r="3" spans="1:14" x14ac:dyDescent="0.3">
      <c r="A3" t="s">
        <v>480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842.01936168384805</v>
      </c>
      <c r="H3" t="s">
        <v>18</v>
      </c>
      <c r="I3">
        <v>-1779861.75</v>
      </c>
      <c r="J3">
        <v>3.9296446870466601</v>
      </c>
      <c r="K3">
        <v>11.0582793619533</v>
      </c>
      <c r="L3" t="s">
        <v>19</v>
      </c>
      <c r="M3" t="s">
        <v>19</v>
      </c>
      <c r="N3" t="s">
        <v>20</v>
      </c>
    </row>
    <row r="4" spans="1:14" x14ac:dyDescent="0.3">
      <c r="A4" t="s">
        <v>480</v>
      </c>
      <c r="B4" t="s">
        <v>13</v>
      </c>
      <c r="C4" t="s">
        <v>14</v>
      </c>
      <c r="D4" t="s">
        <v>24</v>
      </c>
      <c r="E4" t="s">
        <v>16</v>
      </c>
      <c r="F4" t="s">
        <v>17</v>
      </c>
      <c r="G4">
        <v>2013.8432818532799</v>
      </c>
      <c r="H4" t="s">
        <v>18</v>
      </c>
      <c r="I4">
        <v>-1043170.82</v>
      </c>
      <c r="J4">
        <v>1.3200070497869401</v>
      </c>
      <c r="K4">
        <v>3.7145869102130602</v>
      </c>
      <c r="L4" t="s">
        <v>19</v>
      </c>
      <c r="M4" t="s">
        <v>19</v>
      </c>
      <c r="N4" t="s">
        <v>20</v>
      </c>
    </row>
    <row r="5" spans="1:14" x14ac:dyDescent="0.3">
      <c r="A5" t="s">
        <v>480</v>
      </c>
      <c r="B5" t="s">
        <v>13</v>
      </c>
      <c r="C5" t="s">
        <v>14</v>
      </c>
      <c r="D5" t="s">
        <v>27</v>
      </c>
      <c r="E5" t="s">
        <v>16</v>
      </c>
      <c r="F5" t="s">
        <v>17</v>
      </c>
      <c r="G5">
        <v>337.529013637037</v>
      </c>
      <c r="H5" t="s">
        <v>18</v>
      </c>
      <c r="I5">
        <v>-387140.33</v>
      </c>
      <c r="J5">
        <v>2.2477897992163598</v>
      </c>
      <c r="K5">
        <v>6.32542876678363</v>
      </c>
      <c r="L5" t="s">
        <v>19</v>
      </c>
      <c r="M5" t="s">
        <v>19</v>
      </c>
      <c r="N5" t="s">
        <v>20</v>
      </c>
    </row>
    <row r="6" spans="1:14" x14ac:dyDescent="0.3">
      <c r="A6" t="s">
        <v>480</v>
      </c>
      <c r="B6" t="s">
        <v>13</v>
      </c>
      <c r="C6" t="s">
        <v>14</v>
      </c>
      <c r="D6" t="s">
        <v>32</v>
      </c>
      <c r="E6" t="s">
        <v>16</v>
      </c>
      <c r="F6" t="s">
        <v>17</v>
      </c>
      <c r="G6">
        <v>47.250219999999999</v>
      </c>
      <c r="H6" t="s">
        <v>18</v>
      </c>
      <c r="I6">
        <v>-69269.740000000005</v>
      </c>
      <c r="J6">
        <v>0.31466566114125899</v>
      </c>
      <c r="K6">
        <v>0.88548992685873895</v>
      </c>
      <c r="L6" t="s">
        <v>19</v>
      </c>
      <c r="M6" t="s">
        <v>19</v>
      </c>
      <c r="N6" t="s">
        <v>20</v>
      </c>
    </row>
    <row r="7" spans="1:14" x14ac:dyDescent="0.3">
      <c r="A7" t="s">
        <v>480</v>
      </c>
      <c r="B7" t="s">
        <v>13</v>
      </c>
      <c r="C7" t="s">
        <v>14</v>
      </c>
      <c r="D7" t="s">
        <v>30</v>
      </c>
      <c r="E7" t="s">
        <v>16</v>
      </c>
      <c r="F7" t="s">
        <v>22</v>
      </c>
      <c r="G7">
        <v>7815.94693800802</v>
      </c>
      <c r="H7" t="s">
        <v>18</v>
      </c>
      <c r="I7">
        <v>-32955627.449999999</v>
      </c>
      <c r="J7">
        <v>31.4213951953144</v>
      </c>
      <c r="K7">
        <v>56.117159908685501</v>
      </c>
      <c r="L7" t="s">
        <v>19</v>
      </c>
      <c r="M7" t="s">
        <v>19</v>
      </c>
      <c r="N7" t="s">
        <v>20</v>
      </c>
    </row>
    <row r="8" spans="1:14" x14ac:dyDescent="0.3">
      <c r="A8" t="s">
        <v>480</v>
      </c>
      <c r="B8" t="s">
        <v>13</v>
      </c>
      <c r="C8" t="s">
        <v>14</v>
      </c>
      <c r="D8" t="s">
        <v>29</v>
      </c>
      <c r="E8" t="s">
        <v>16</v>
      </c>
      <c r="F8" t="s">
        <v>22</v>
      </c>
      <c r="G8">
        <v>44.9232404942965</v>
      </c>
      <c r="H8" t="s">
        <v>18</v>
      </c>
      <c r="I8">
        <v>-42575.9</v>
      </c>
      <c r="J8">
        <v>0.128998960784</v>
      </c>
      <c r="K8">
        <v>0.23038618321599899</v>
      </c>
      <c r="L8" t="s">
        <v>19</v>
      </c>
      <c r="M8" t="s">
        <v>19</v>
      </c>
      <c r="N8" t="s">
        <v>20</v>
      </c>
    </row>
    <row r="9" spans="1:14" x14ac:dyDescent="0.3">
      <c r="A9" t="s">
        <v>480</v>
      </c>
      <c r="B9" t="s">
        <v>13</v>
      </c>
      <c r="C9" t="s">
        <v>14</v>
      </c>
      <c r="D9" t="s">
        <v>25</v>
      </c>
      <c r="E9" t="s">
        <v>16</v>
      </c>
      <c r="F9" t="s">
        <v>26</v>
      </c>
      <c r="G9">
        <v>1068.1654661203499</v>
      </c>
      <c r="H9" t="s">
        <v>18</v>
      </c>
      <c r="I9">
        <v>-485586.28</v>
      </c>
      <c r="J9">
        <v>7.33755460896041</v>
      </c>
      <c r="K9">
        <v>20.648362679439501</v>
      </c>
      <c r="L9" t="s">
        <v>19</v>
      </c>
      <c r="M9" t="s">
        <v>19</v>
      </c>
      <c r="N9" t="s">
        <v>20</v>
      </c>
    </row>
    <row r="10" spans="1:14" x14ac:dyDescent="0.3">
      <c r="A10" t="s">
        <v>480</v>
      </c>
      <c r="B10" t="s">
        <v>13</v>
      </c>
      <c r="C10" t="s">
        <v>14</v>
      </c>
      <c r="D10" t="s">
        <v>31</v>
      </c>
      <c r="E10" t="s">
        <v>16</v>
      </c>
      <c r="F10" t="s">
        <v>26</v>
      </c>
      <c r="G10">
        <v>135.465917837837</v>
      </c>
      <c r="H10" t="s">
        <v>18</v>
      </c>
      <c r="I10">
        <v>-238570.533081081</v>
      </c>
      <c r="J10">
        <v>0.93055679741432795</v>
      </c>
      <c r="K10">
        <v>2.6186482105856599</v>
      </c>
      <c r="L10" t="s">
        <v>19</v>
      </c>
      <c r="M10" t="s">
        <v>19</v>
      </c>
      <c r="N10" t="s">
        <v>20</v>
      </c>
    </row>
    <row r="11" spans="1:14" x14ac:dyDescent="0.3">
      <c r="A11" t="s">
        <v>480</v>
      </c>
      <c r="B11" t="s">
        <v>13</v>
      </c>
      <c r="C11" t="s">
        <v>14</v>
      </c>
      <c r="D11" t="s">
        <v>21</v>
      </c>
      <c r="E11" t="s">
        <v>16</v>
      </c>
      <c r="F11" t="s">
        <v>22</v>
      </c>
      <c r="G11">
        <v>347.96172129696902</v>
      </c>
      <c r="H11" t="s">
        <v>18</v>
      </c>
      <c r="I11">
        <v>-1191155.27</v>
      </c>
      <c r="J11">
        <v>1.39886373979346</v>
      </c>
      <c r="K11">
        <v>2.4983060010065299</v>
      </c>
      <c r="L11" t="s">
        <v>19</v>
      </c>
      <c r="M11" t="s">
        <v>19</v>
      </c>
      <c r="N11" t="s">
        <v>20</v>
      </c>
    </row>
    <row r="12" spans="1:14" x14ac:dyDescent="0.3">
      <c r="A12" t="s">
        <v>480</v>
      </c>
      <c r="B12" t="s">
        <v>13</v>
      </c>
      <c r="C12" t="s">
        <v>14</v>
      </c>
      <c r="D12" t="s">
        <v>23</v>
      </c>
      <c r="E12" t="s">
        <v>16</v>
      </c>
      <c r="F12" t="s">
        <v>22</v>
      </c>
      <c r="G12">
        <v>92.048345069124395</v>
      </c>
      <c r="H12" t="s">
        <v>18</v>
      </c>
      <c r="I12">
        <v>-156050.71</v>
      </c>
      <c r="J12">
        <v>0.185024688859944</v>
      </c>
      <c r="K12">
        <v>0.330445544740055</v>
      </c>
      <c r="L12" t="s">
        <v>19</v>
      </c>
      <c r="M12" t="s">
        <v>19</v>
      </c>
      <c r="N12" t="s">
        <v>20</v>
      </c>
    </row>
    <row r="13" spans="1:14" x14ac:dyDescent="0.3">
      <c r="A13" t="s">
        <v>480</v>
      </c>
      <c r="B13" t="s">
        <v>13</v>
      </c>
      <c r="C13" t="s">
        <v>14</v>
      </c>
      <c r="D13" t="s">
        <v>33</v>
      </c>
      <c r="E13" t="s">
        <v>16</v>
      </c>
      <c r="F13" t="s">
        <v>22</v>
      </c>
      <c r="G13">
        <v>49.871598379530901</v>
      </c>
      <c r="H13" t="s">
        <v>18</v>
      </c>
      <c r="I13">
        <v>-131938.78558635301</v>
      </c>
      <c r="J13">
        <v>0.25777561551191802</v>
      </c>
      <c r="K13">
        <v>0.46037533808808101</v>
      </c>
      <c r="L13" t="s">
        <v>19</v>
      </c>
      <c r="M13" t="s">
        <v>19</v>
      </c>
      <c r="N13" t="s">
        <v>20</v>
      </c>
    </row>
    <row r="14" spans="1:14" x14ac:dyDescent="0.3">
      <c r="A14" t="s">
        <v>481</v>
      </c>
      <c r="B14" t="s">
        <v>13</v>
      </c>
      <c r="C14" t="s">
        <v>464</v>
      </c>
      <c r="D14" t="s">
        <v>465</v>
      </c>
      <c r="E14" t="s">
        <v>16</v>
      </c>
      <c r="F14" t="s">
        <v>22</v>
      </c>
      <c r="G14" s="8">
        <v>428.36408199999897</v>
      </c>
      <c r="H14" s="8" t="s">
        <v>466</v>
      </c>
      <c r="I14" s="8">
        <v>-148978.72</v>
      </c>
      <c r="J14" s="8">
        <v>2.47551078565668</v>
      </c>
      <c r="K14" s="8">
        <v>4.4211478755432996</v>
      </c>
      <c r="L14" t="s">
        <v>19</v>
      </c>
      <c r="M14" t="s">
        <v>19</v>
      </c>
      <c r="N14" t="s">
        <v>20</v>
      </c>
    </row>
    <row r="15" spans="1:14" x14ac:dyDescent="0.3">
      <c r="A15" t="s">
        <v>481</v>
      </c>
      <c r="B15" t="s">
        <v>13</v>
      </c>
      <c r="C15" t="s">
        <v>464</v>
      </c>
      <c r="D15" t="s">
        <v>467</v>
      </c>
      <c r="E15" t="s">
        <v>16</v>
      </c>
      <c r="F15" t="s">
        <v>22</v>
      </c>
      <c r="G15" s="8">
        <v>282.79122382978699</v>
      </c>
      <c r="H15" s="8" t="s">
        <v>466</v>
      </c>
      <c r="I15" s="8">
        <v>-195458.64</v>
      </c>
      <c r="J15" s="8">
        <v>1.4616858539588999</v>
      </c>
      <c r="K15" s="8">
        <v>2.61050339404109</v>
      </c>
      <c r="L15" t="s">
        <v>19</v>
      </c>
      <c r="M15" t="s">
        <v>19</v>
      </c>
      <c r="N15" t="s">
        <v>20</v>
      </c>
    </row>
    <row r="16" spans="1:14" x14ac:dyDescent="0.3">
      <c r="A16" t="s">
        <v>481</v>
      </c>
      <c r="B16" t="s">
        <v>13</v>
      </c>
      <c r="C16" t="s">
        <v>464</v>
      </c>
      <c r="D16" t="s">
        <v>468</v>
      </c>
      <c r="E16" t="s">
        <v>16</v>
      </c>
      <c r="F16" t="s">
        <v>22</v>
      </c>
      <c r="G16" s="8">
        <v>305.22320544680798</v>
      </c>
      <c r="H16" s="8" t="s">
        <v>466</v>
      </c>
      <c r="I16" s="8">
        <v>-199797.92</v>
      </c>
      <c r="J16" s="8">
        <v>1.5776318476404301</v>
      </c>
      <c r="K16" s="8">
        <v>2.81757758115956</v>
      </c>
      <c r="L16" t="s">
        <v>19</v>
      </c>
      <c r="M16" t="s">
        <v>19</v>
      </c>
      <c r="N16" t="s">
        <v>20</v>
      </c>
    </row>
    <row r="17" spans="1:14" x14ac:dyDescent="0.3">
      <c r="A17" t="s">
        <v>481</v>
      </c>
      <c r="B17" t="s">
        <v>13</v>
      </c>
      <c r="C17" t="s">
        <v>464</v>
      </c>
      <c r="D17" t="s">
        <v>469</v>
      </c>
      <c r="E17" t="s">
        <v>16</v>
      </c>
      <c r="F17" t="s">
        <v>22</v>
      </c>
      <c r="G17" s="8">
        <v>274.45253324999999</v>
      </c>
      <c r="H17" s="8" t="s">
        <v>466</v>
      </c>
      <c r="I17" s="8">
        <v>-522766.73</v>
      </c>
      <c r="J17" s="8">
        <v>1.4185845332078</v>
      </c>
      <c r="K17" s="8">
        <v>2.5335264267921902</v>
      </c>
      <c r="L17" t="s">
        <v>19</v>
      </c>
      <c r="M17" t="s">
        <v>19</v>
      </c>
      <c r="N17" t="s">
        <v>20</v>
      </c>
    </row>
    <row r="18" spans="1:14" x14ac:dyDescent="0.3">
      <c r="A18" t="s">
        <v>481</v>
      </c>
      <c r="B18" t="s">
        <v>13</v>
      </c>
      <c r="C18" t="s">
        <v>464</v>
      </c>
      <c r="D18" t="s">
        <v>470</v>
      </c>
      <c r="E18" t="s">
        <v>16</v>
      </c>
      <c r="F18" t="s">
        <v>22</v>
      </c>
      <c r="G18" s="8">
        <v>230.41454374999901</v>
      </c>
      <c r="H18" s="8" t="s">
        <v>466</v>
      </c>
      <c r="I18" s="8">
        <v>-97016.65</v>
      </c>
      <c r="J18" s="8">
        <v>1.33156328085633</v>
      </c>
      <c r="K18" s="8">
        <v>2.3781104911436501</v>
      </c>
      <c r="L18" t="s">
        <v>19</v>
      </c>
      <c r="M18" t="s">
        <v>19</v>
      </c>
      <c r="N18" t="s">
        <v>20</v>
      </c>
    </row>
    <row r="19" spans="1:14" x14ac:dyDescent="0.3">
      <c r="A19" t="s">
        <v>481</v>
      </c>
      <c r="B19" t="s">
        <v>13</v>
      </c>
      <c r="C19" t="s">
        <v>471</v>
      </c>
      <c r="D19" t="s">
        <v>472</v>
      </c>
      <c r="E19" t="s">
        <v>16</v>
      </c>
      <c r="F19" t="s">
        <v>22</v>
      </c>
      <c r="G19" s="8">
        <v>457.19789999999898</v>
      </c>
      <c r="H19" s="8" t="s">
        <v>466</v>
      </c>
      <c r="I19" s="8">
        <v>-91439.58</v>
      </c>
      <c r="J19" s="8">
        <v>1.83800998212449</v>
      </c>
      <c r="K19" s="8">
        <v>3.2826008978755001</v>
      </c>
      <c r="L19" t="s">
        <v>19</v>
      </c>
      <c r="M19" t="s">
        <v>19</v>
      </c>
      <c r="N19" t="s">
        <v>20</v>
      </c>
    </row>
    <row r="20" spans="1:14" x14ac:dyDescent="0.3">
      <c r="A20" t="s">
        <v>481</v>
      </c>
      <c r="B20" t="s">
        <v>13</v>
      </c>
      <c r="C20" t="s">
        <v>471</v>
      </c>
      <c r="D20" t="s">
        <v>473</v>
      </c>
      <c r="E20" t="s">
        <v>16</v>
      </c>
      <c r="F20" t="s">
        <v>22</v>
      </c>
      <c r="G20" s="8">
        <v>440.05715999999899</v>
      </c>
      <c r="H20" s="8" t="s">
        <v>466</v>
      </c>
      <c r="I20" s="8">
        <v>-201958.6</v>
      </c>
      <c r="J20" s="8">
        <v>1.2636440624822001</v>
      </c>
      <c r="K20" s="8">
        <v>2.2568099055177901</v>
      </c>
      <c r="L20" t="s">
        <v>19</v>
      </c>
      <c r="M20" t="s">
        <v>19</v>
      </c>
      <c r="N20" t="s">
        <v>20</v>
      </c>
    </row>
    <row r="21" spans="1:14" x14ac:dyDescent="0.3">
      <c r="A21" t="s">
        <v>481</v>
      </c>
      <c r="B21" t="s">
        <v>13</v>
      </c>
      <c r="C21" t="s">
        <v>464</v>
      </c>
      <c r="D21" t="s">
        <v>474</v>
      </c>
      <c r="E21" t="s">
        <v>16</v>
      </c>
      <c r="F21" t="s">
        <v>22</v>
      </c>
      <c r="G21" s="8">
        <v>256.931015</v>
      </c>
      <c r="H21" s="8" t="s">
        <v>466</v>
      </c>
      <c r="I21" s="8">
        <v>-186858.92</v>
      </c>
      <c r="J21" s="8">
        <v>1.32802067651477</v>
      </c>
      <c r="K21" s="8">
        <v>2.37178356348522</v>
      </c>
      <c r="L21" t="s">
        <v>19</v>
      </c>
      <c r="M21" t="s">
        <v>19</v>
      </c>
      <c r="N21" t="s">
        <v>20</v>
      </c>
    </row>
    <row r="22" spans="1:14" x14ac:dyDescent="0.3">
      <c r="A22" t="s">
        <v>481</v>
      </c>
      <c r="B22" t="s">
        <v>13</v>
      </c>
      <c r="C22" t="s">
        <v>464</v>
      </c>
      <c r="D22" t="s">
        <v>475</v>
      </c>
      <c r="E22" t="s">
        <v>16</v>
      </c>
      <c r="F22" t="s">
        <v>22</v>
      </c>
      <c r="G22" s="8">
        <v>246.25381692307599</v>
      </c>
      <c r="H22" s="8" t="s">
        <v>466</v>
      </c>
      <c r="I22" s="8">
        <v>-139186.94</v>
      </c>
      <c r="J22" s="8">
        <v>1.42309740202663</v>
      </c>
      <c r="K22" s="8">
        <v>2.5415862019733502</v>
      </c>
      <c r="L22" t="s">
        <v>19</v>
      </c>
      <c r="M22" t="s">
        <v>19</v>
      </c>
      <c r="N22" t="s">
        <v>20</v>
      </c>
    </row>
    <row r="23" spans="1:14" x14ac:dyDescent="0.3">
      <c r="A23" t="s">
        <v>481</v>
      </c>
      <c r="B23" t="s">
        <v>13</v>
      </c>
      <c r="C23" t="s">
        <v>464</v>
      </c>
      <c r="D23" t="s">
        <v>476</v>
      </c>
      <c r="E23" t="s">
        <v>16</v>
      </c>
      <c r="F23" t="s">
        <v>22</v>
      </c>
      <c r="G23" s="8">
        <v>200.41354044444401</v>
      </c>
      <c r="H23" s="8" t="s">
        <v>466</v>
      </c>
      <c r="I23" s="8">
        <v>-322093.19</v>
      </c>
      <c r="J23" s="8">
        <v>1.1581867057912301</v>
      </c>
      <c r="K23" s="8">
        <v>2.06846793940875</v>
      </c>
      <c r="L23" t="s">
        <v>19</v>
      </c>
      <c r="M23" t="s">
        <v>19</v>
      </c>
      <c r="N23" t="s">
        <v>20</v>
      </c>
    </row>
    <row r="24" spans="1:14" x14ac:dyDescent="0.3">
      <c r="A24" t="s">
        <v>481</v>
      </c>
      <c r="B24" t="s">
        <v>13</v>
      </c>
      <c r="C24" t="s">
        <v>464</v>
      </c>
      <c r="D24" t="s">
        <v>477</v>
      </c>
      <c r="E24" t="s">
        <v>16</v>
      </c>
      <c r="F24" t="s">
        <v>22</v>
      </c>
      <c r="G24" s="8">
        <v>358.46882650691202</v>
      </c>
      <c r="H24" s="8" t="s">
        <v>466</v>
      </c>
      <c r="I24" s="8">
        <v>-193641.95</v>
      </c>
      <c r="J24" s="8">
        <v>1.44110221723156</v>
      </c>
      <c r="K24" s="8">
        <v>2.5737419699684301</v>
      </c>
      <c r="L24" t="s">
        <v>19</v>
      </c>
      <c r="M24" t="s">
        <v>19</v>
      </c>
      <c r="N24" t="s">
        <v>20</v>
      </c>
    </row>
    <row r="25" spans="1:14" x14ac:dyDescent="0.3">
      <c r="A25" t="s">
        <v>481</v>
      </c>
      <c r="B25" t="s">
        <v>13</v>
      </c>
      <c r="C25" t="s">
        <v>478</v>
      </c>
      <c r="D25" t="s">
        <v>479</v>
      </c>
      <c r="E25" t="s">
        <v>16</v>
      </c>
      <c r="F25" t="s">
        <v>22</v>
      </c>
      <c r="G25" s="8">
        <v>281.36937725680002</v>
      </c>
      <c r="H25" s="8" t="s">
        <v>466</v>
      </c>
      <c r="I25" s="8">
        <v>-82073.95</v>
      </c>
      <c r="J25" s="8">
        <v>1.1311512795009799</v>
      </c>
      <c r="K25" s="8">
        <v>2.0201839172990099</v>
      </c>
      <c r="L25" t="s">
        <v>19</v>
      </c>
      <c r="M25" t="s">
        <v>19</v>
      </c>
      <c r="N25" t="s">
        <v>20</v>
      </c>
    </row>
  </sheetData>
  <autoFilter ref="A1:N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323E-544B-48A5-8148-08AD4BA7E821}">
  <dimension ref="A1:V130"/>
  <sheetViews>
    <sheetView showGridLines="0" workbookViewId="0">
      <selection activeCell="K14" sqref="K14"/>
    </sheetView>
  </sheetViews>
  <sheetFormatPr defaultRowHeight="14.4" x14ac:dyDescent="0.3"/>
  <cols>
    <col min="1" max="1" width="9.109375" style="2" bestFit="1" customWidth="1"/>
    <col min="2" max="2" width="7.44140625" style="2" bestFit="1" customWidth="1"/>
    <col min="3" max="3" width="12" style="2" bestFit="1" customWidth="1"/>
    <col min="4" max="4" width="16.109375" style="2" bestFit="1" customWidth="1"/>
    <col min="5" max="5" width="11" style="2" bestFit="1" customWidth="1"/>
    <col min="6" max="6" width="9.44140625" style="2" bestFit="1" customWidth="1"/>
    <col min="7" max="7" width="9.21875" style="2" bestFit="1" customWidth="1"/>
    <col min="8" max="8" width="12" style="2" bestFit="1" customWidth="1"/>
    <col min="9" max="9" width="16.109375" style="2" bestFit="1" customWidth="1"/>
    <col min="10" max="10" width="12.109375" style="2" bestFit="1" customWidth="1"/>
    <col min="11" max="12" width="14.88671875" style="2" bestFit="1" customWidth="1"/>
    <col min="13" max="14" width="17" style="2" bestFit="1" customWidth="1"/>
    <col min="15" max="15" width="15.33203125" style="2" bestFit="1" customWidth="1"/>
    <col min="16" max="16" width="10.33203125" style="2" bestFit="1" customWidth="1"/>
    <col min="17" max="16384" width="8.88671875" style="2"/>
  </cols>
  <sheetData>
    <row r="1" spans="1:22" x14ac:dyDescent="0.3">
      <c r="A1" s="22" t="s">
        <v>483</v>
      </c>
      <c r="B1" s="23"/>
      <c r="C1" s="23"/>
      <c r="D1" s="23"/>
    </row>
    <row r="2" spans="1:22" x14ac:dyDescent="0.3">
      <c r="A2" s="20"/>
      <c r="S2" s="21" t="s">
        <v>1060</v>
      </c>
    </row>
    <row r="3" spans="1:22" x14ac:dyDescent="0.3">
      <c r="A3" s="1" t="s">
        <v>482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7" t="s">
        <v>0</v>
      </c>
      <c r="H3" s="7" t="s">
        <v>1</v>
      </c>
      <c r="I3" s="7" t="s">
        <v>2</v>
      </c>
      <c r="J3" s="7" t="s">
        <v>3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39</v>
      </c>
      <c r="Q3" s="3" t="s">
        <v>12</v>
      </c>
      <c r="S3" s="25" t="s">
        <v>1057</v>
      </c>
      <c r="T3" s="25" t="s">
        <v>1058</v>
      </c>
      <c r="U3" s="25" t="s">
        <v>1059</v>
      </c>
    </row>
    <row r="4" spans="1:22" x14ac:dyDescent="0.3">
      <c r="A4" s="9" t="s">
        <v>480</v>
      </c>
      <c r="B4" s="9" t="s">
        <v>13</v>
      </c>
      <c r="C4" s="9" t="s">
        <v>41</v>
      </c>
      <c r="D4" s="9" t="s">
        <v>48</v>
      </c>
      <c r="E4" s="9" t="s">
        <v>16</v>
      </c>
      <c r="F4" s="9" t="s">
        <v>49</v>
      </c>
      <c r="G4" s="9" t="s">
        <v>13</v>
      </c>
      <c r="H4" s="9" t="s">
        <v>14</v>
      </c>
      <c r="I4" s="9" t="s">
        <v>28</v>
      </c>
      <c r="J4" s="9" t="s">
        <v>16</v>
      </c>
      <c r="K4" s="9">
        <v>-133758.17000000001</v>
      </c>
      <c r="L4" s="9">
        <v>3.07960244023249</v>
      </c>
      <c r="M4" s="9">
        <v>8.6662044077675002</v>
      </c>
      <c r="N4" s="9" t="s">
        <v>19</v>
      </c>
      <c r="O4" s="9" t="s">
        <v>19</v>
      </c>
      <c r="P4" s="9" t="s">
        <v>40</v>
      </c>
      <c r="Q4" s="9" t="s">
        <v>20</v>
      </c>
      <c r="S4" s="26">
        <f>+-K17/gt018_rateio_aval!$AW$16</f>
        <v>0.87878983333333327</v>
      </c>
      <c r="T4" s="24">
        <f>+pa_out_bens_imoveis!$F$14*pa_out_emss_fncd!S4</f>
        <v>1.157902090517932</v>
      </c>
      <c r="U4" s="24">
        <f>+pa_out_bens_imoveis!$G$14*S4</f>
        <v>2.0679596296820502</v>
      </c>
      <c r="V4" s="24"/>
    </row>
    <row r="5" spans="1:22" x14ac:dyDescent="0.3">
      <c r="A5" s="10" t="s">
        <v>480</v>
      </c>
      <c r="B5" s="10" t="s">
        <v>13</v>
      </c>
      <c r="C5" s="10" t="s">
        <v>41</v>
      </c>
      <c r="D5" s="10" t="s">
        <v>44</v>
      </c>
      <c r="E5" s="10" t="s">
        <v>16</v>
      </c>
      <c r="F5" s="10" t="s">
        <v>45</v>
      </c>
      <c r="G5" s="10" t="s">
        <v>13</v>
      </c>
      <c r="H5" s="10" t="s">
        <v>14</v>
      </c>
      <c r="I5" s="10" t="s">
        <v>15</v>
      </c>
      <c r="J5" s="10" t="s">
        <v>16</v>
      </c>
      <c r="K5" s="10">
        <v>-1779861.75</v>
      </c>
      <c r="L5" s="10">
        <v>3.9296446870466601</v>
      </c>
      <c r="M5" s="10">
        <v>11.0582793619533</v>
      </c>
      <c r="N5" s="10" t="s">
        <v>19</v>
      </c>
      <c r="O5" s="10" t="s">
        <v>19</v>
      </c>
      <c r="P5" s="10" t="s">
        <v>40</v>
      </c>
      <c r="Q5" s="10" t="s">
        <v>20</v>
      </c>
      <c r="S5" s="26">
        <f>+-K18/gt018_rateio_aval!$AW$16</f>
        <v>1.6041888333333334</v>
      </c>
      <c r="T5" s="24">
        <f>+pa_out_bens_imoveis!$F$14</f>
        <v>1.3176097931469</v>
      </c>
      <c r="U5" s="24">
        <f>+pa_out_bens_imoveis!$G$14</f>
        <v>2.3531902068530801</v>
      </c>
      <c r="V5" s="24"/>
    </row>
    <row r="6" spans="1:22" x14ac:dyDescent="0.3">
      <c r="A6" s="2" t="s">
        <v>480</v>
      </c>
      <c r="B6" s="2" t="s">
        <v>13</v>
      </c>
      <c r="C6" s="2" t="s">
        <v>41</v>
      </c>
      <c r="D6" s="2" t="s">
        <v>60</v>
      </c>
      <c r="E6" s="2" t="s">
        <v>16</v>
      </c>
      <c r="F6" s="2" t="s">
        <v>61</v>
      </c>
      <c r="G6" s="2" t="s">
        <v>13</v>
      </c>
      <c r="H6" s="2" t="s">
        <v>14</v>
      </c>
      <c r="I6" s="2" t="s">
        <v>24</v>
      </c>
      <c r="J6" s="2" t="s">
        <v>16</v>
      </c>
      <c r="K6" s="2">
        <v>-944580.18</v>
      </c>
      <c r="L6" s="2">
        <v>1.1952546137856299</v>
      </c>
      <c r="M6" s="2">
        <v>3.3635253262143698</v>
      </c>
      <c r="N6" s="2" t="s">
        <v>19</v>
      </c>
      <c r="O6" s="2" t="s">
        <v>19</v>
      </c>
      <c r="P6" s="2" t="s">
        <v>40</v>
      </c>
      <c r="Q6" s="2" t="s">
        <v>20</v>
      </c>
      <c r="S6" s="24"/>
      <c r="T6" s="27">
        <f>+SUM(T4:T5)</f>
        <v>2.475511883664832</v>
      </c>
      <c r="U6" s="27">
        <f>+SUM(U4:U5)</f>
        <v>4.4211498365351307</v>
      </c>
    </row>
    <row r="7" spans="1:22" x14ac:dyDescent="0.3">
      <c r="A7" s="11" t="s">
        <v>480</v>
      </c>
      <c r="B7" s="11" t="s">
        <v>13</v>
      </c>
      <c r="C7" s="11" t="s">
        <v>41</v>
      </c>
      <c r="D7" s="11" t="s">
        <v>62</v>
      </c>
      <c r="E7" s="11" t="s">
        <v>16</v>
      </c>
      <c r="F7" s="11" t="s">
        <v>61</v>
      </c>
      <c r="G7" s="11" t="s">
        <v>13</v>
      </c>
      <c r="H7" s="11" t="s">
        <v>14</v>
      </c>
      <c r="I7" s="11" t="s">
        <v>24</v>
      </c>
      <c r="J7" s="11" t="s">
        <v>16</v>
      </c>
      <c r="K7" s="11">
        <v>-98590.64</v>
      </c>
      <c r="L7" s="11">
        <v>0.12475243600130601</v>
      </c>
      <c r="M7" s="11">
        <v>0.35106158399869303</v>
      </c>
      <c r="N7" s="11" t="s">
        <v>19</v>
      </c>
      <c r="O7" s="11" t="s">
        <v>19</v>
      </c>
      <c r="P7" s="11" t="s">
        <v>40</v>
      </c>
      <c r="Q7" s="11" t="s">
        <v>20</v>
      </c>
      <c r="S7" s="24"/>
      <c r="T7" s="24"/>
      <c r="U7" s="24"/>
    </row>
    <row r="8" spans="1:22" x14ac:dyDescent="0.3">
      <c r="A8" s="10" t="s">
        <v>480</v>
      </c>
      <c r="B8" s="10" t="s">
        <v>13</v>
      </c>
      <c r="C8" s="10" t="s">
        <v>41</v>
      </c>
      <c r="D8" s="10" t="s">
        <v>42</v>
      </c>
      <c r="E8" s="10" t="s">
        <v>16</v>
      </c>
      <c r="F8" s="10" t="s">
        <v>43</v>
      </c>
      <c r="G8" s="10" t="s">
        <v>13</v>
      </c>
      <c r="H8" s="10" t="s">
        <v>14</v>
      </c>
      <c r="I8" s="10" t="s">
        <v>27</v>
      </c>
      <c r="J8" s="10" t="s">
        <v>16</v>
      </c>
      <c r="K8" s="10">
        <v>-387140.33</v>
      </c>
      <c r="L8" s="10">
        <v>2.2477897992163598</v>
      </c>
      <c r="M8" s="10">
        <v>6.32542876678363</v>
      </c>
      <c r="N8" s="10" t="s">
        <v>19</v>
      </c>
      <c r="O8" s="10" t="s">
        <v>19</v>
      </c>
      <c r="P8" s="10" t="s">
        <v>40</v>
      </c>
      <c r="Q8" s="10" t="s">
        <v>20</v>
      </c>
      <c r="S8" s="24"/>
      <c r="T8" s="24"/>
      <c r="U8" s="24"/>
    </row>
    <row r="9" spans="1:22" x14ac:dyDescent="0.3">
      <c r="A9" s="10" t="s">
        <v>480</v>
      </c>
      <c r="B9" s="10" t="s">
        <v>13</v>
      </c>
      <c r="C9" s="10" t="s">
        <v>41</v>
      </c>
      <c r="D9" s="10" t="s">
        <v>50</v>
      </c>
      <c r="E9" s="10" t="s">
        <v>16</v>
      </c>
      <c r="F9" s="10" t="s">
        <v>51</v>
      </c>
      <c r="G9" s="10" t="s">
        <v>13</v>
      </c>
      <c r="H9" s="10" t="s">
        <v>14</v>
      </c>
      <c r="I9" s="10" t="s">
        <v>32</v>
      </c>
      <c r="J9" s="10" t="s">
        <v>16</v>
      </c>
      <c r="K9" s="10">
        <v>-69269.740000000005</v>
      </c>
      <c r="L9" s="10">
        <v>0.31466566114125899</v>
      </c>
      <c r="M9" s="10">
        <v>0.88548992685873895</v>
      </c>
      <c r="N9" s="10" t="s">
        <v>19</v>
      </c>
      <c r="O9" s="10" t="s">
        <v>19</v>
      </c>
      <c r="P9" s="10" t="s">
        <v>40</v>
      </c>
      <c r="Q9" s="10" t="s">
        <v>20</v>
      </c>
      <c r="S9" s="24"/>
      <c r="T9" s="24"/>
      <c r="U9" s="24"/>
    </row>
    <row r="10" spans="1:22" x14ac:dyDescent="0.3">
      <c r="A10" s="10" t="s">
        <v>480</v>
      </c>
      <c r="B10" s="10" t="s">
        <v>13</v>
      </c>
      <c r="C10" s="10" t="s">
        <v>41</v>
      </c>
      <c r="D10" s="10" t="s">
        <v>46</v>
      </c>
      <c r="E10" s="10" t="s">
        <v>16</v>
      </c>
      <c r="F10" s="10" t="s">
        <v>47</v>
      </c>
      <c r="G10" s="10" t="s">
        <v>13</v>
      </c>
      <c r="H10" s="10" t="s">
        <v>14</v>
      </c>
      <c r="I10" s="10" t="s">
        <v>30</v>
      </c>
      <c r="J10" s="10" t="s">
        <v>16</v>
      </c>
      <c r="K10" s="10">
        <v>-32955627.449999999</v>
      </c>
      <c r="L10" s="10">
        <v>31.4213951953144</v>
      </c>
      <c r="M10" s="10">
        <v>56.117159908685501</v>
      </c>
      <c r="N10" s="10" t="s">
        <v>19</v>
      </c>
      <c r="O10" s="10" t="s">
        <v>19</v>
      </c>
      <c r="P10" s="10" t="s">
        <v>40</v>
      </c>
      <c r="Q10" s="10" t="s">
        <v>20</v>
      </c>
    </row>
    <row r="11" spans="1:22" x14ac:dyDescent="0.3">
      <c r="A11" s="10" t="s">
        <v>480</v>
      </c>
      <c r="B11" s="10" t="s">
        <v>13</v>
      </c>
      <c r="C11" s="10" t="s">
        <v>41</v>
      </c>
      <c r="D11" s="10" t="s">
        <v>52</v>
      </c>
      <c r="E11" s="10" t="s">
        <v>16</v>
      </c>
      <c r="F11" s="10" t="s">
        <v>53</v>
      </c>
      <c r="G11" s="10" t="s">
        <v>13</v>
      </c>
      <c r="H11" s="10" t="s">
        <v>14</v>
      </c>
      <c r="I11" s="10" t="s">
        <v>29</v>
      </c>
      <c r="J11" s="10" t="s">
        <v>16</v>
      </c>
      <c r="K11" s="10">
        <v>-42575.9</v>
      </c>
      <c r="L11" s="10">
        <v>0.128998960784</v>
      </c>
      <c r="M11" s="10">
        <v>0.23038618321599899</v>
      </c>
      <c r="N11" s="10" t="s">
        <v>19</v>
      </c>
      <c r="O11" s="10" t="s">
        <v>19</v>
      </c>
      <c r="P11" s="10" t="s">
        <v>40</v>
      </c>
      <c r="Q11" s="10" t="s">
        <v>20</v>
      </c>
    </row>
    <row r="12" spans="1:22" x14ac:dyDescent="0.3">
      <c r="A12" s="10" t="s">
        <v>480</v>
      </c>
      <c r="B12" s="10" t="s">
        <v>13</v>
      </c>
      <c r="C12" s="10" t="s">
        <v>41</v>
      </c>
      <c r="D12" s="10" t="s">
        <v>63</v>
      </c>
      <c r="E12" s="10" t="s">
        <v>16</v>
      </c>
      <c r="F12" s="10" t="s">
        <v>64</v>
      </c>
      <c r="G12" s="10" t="s">
        <v>13</v>
      </c>
      <c r="H12" s="10" t="s">
        <v>14</v>
      </c>
      <c r="I12" s="10" t="s">
        <v>25</v>
      </c>
      <c r="J12" s="10" t="s">
        <v>16</v>
      </c>
      <c r="K12" s="10">
        <v>-485586.28</v>
      </c>
      <c r="L12" s="10">
        <v>7.33755460896041</v>
      </c>
      <c r="M12" s="10">
        <v>20.648362679439501</v>
      </c>
      <c r="N12" s="10" t="s">
        <v>19</v>
      </c>
      <c r="O12" s="10" t="s">
        <v>19</v>
      </c>
      <c r="P12" s="10" t="s">
        <v>40</v>
      </c>
      <c r="Q12" s="10" t="s">
        <v>20</v>
      </c>
    </row>
    <row r="13" spans="1:22" x14ac:dyDescent="0.3">
      <c r="A13" s="10" t="s">
        <v>480</v>
      </c>
      <c r="B13" s="10" t="s">
        <v>13</v>
      </c>
      <c r="C13" s="10" t="s">
        <v>41</v>
      </c>
      <c r="D13" s="10" t="s">
        <v>65</v>
      </c>
      <c r="E13" s="10" t="s">
        <v>16</v>
      </c>
      <c r="F13" s="10" t="s">
        <v>66</v>
      </c>
      <c r="G13" s="10" t="s">
        <v>13</v>
      </c>
      <c r="H13" s="10" t="s">
        <v>14</v>
      </c>
      <c r="I13" s="10" t="s">
        <v>31</v>
      </c>
      <c r="J13" s="10" t="s">
        <v>16</v>
      </c>
      <c r="K13" s="10">
        <v>-238570.533081081</v>
      </c>
      <c r="L13" s="10">
        <v>0.93055679741432795</v>
      </c>
      <c r="M13" s="10">
        <v>2.6186482105856599</v>
      </c>
      <c r="N13" s="10" t="s">
        <v>19</v>
      </c>
      <c r="O13" s="10" t="s">
        <v>19</v>
      </c>
      <c r="P13" s="10" t="s">
        <v>40</v>
      </c>
      <c r="Q13" s="10" t="s">
        <v>20</v>
      </c>
    </row>
    <row r="14" spans="1:22" x14ac:dyDescent="0.3">
      <c r="A14" s="10" t="s">
        <v>480</v>
      </c>
      <c r="B14" s="10" t="s">
        <v>13</v>
      </c>
      <c r="C14" s="10" t="s">
        <v>41</v>
      </c>
      <c r="D14" s="10" t="s">
        <v>54</v>
      </c>
      <c r="E14" s="10" t="s">
        <v>16</v>
      </c>
      <c r="F14" s="10" t="s">
        <v>55</v>
      </c>
      <c r="G14" s="10" t="s">
        <v>13</v>
      </c>
      <c r="H14" s="10" t="s">
        <v>14</v>
      </c>
      <c r="I14" s="10" t="s">
        <v>21</v>
      </c>
      <c r="J14" s="10" t="s">
        <v>16</v>
      </c>
      <c r="K14" s="10">
        <v>-1191155.27</v>
      </c>
      <c r="L14" s="10">
        <v>1.39886373979346</v>
      </c>
      <c r="M14" s="10">
        <v>2.4983060010065299</v>
      </c>
      <c r="N14" s="10" t="s">
        <v>19</v>
      </c>
      <c r="O14" s="10" t="s">
        <v>19</v>
      </c>
      <c r="P14" s="10" t="s">
        <v>40</v>
      </c>
      <c r="Q14" s="10" t="s">
        <v>20</v>
      </c>
    </row>
    <row r="15" spans="1:22" x14ac:dyDescent="0.3">
      <c r="A15" s="10" t="s">
        <v>480</v>
      </c>
      <c r="B15" s="10" t="s">
        <v>13</v>
      </c>
      <c r="C15" s="10" t="s">
        <v>41</v>
      </c>
      <c r="D15" s="10" t="s">
        <v>56</v>
      </c>
      <c r="E15" s="10" t="s">
        <v>16</v>
      </c>
      <c r="F15" s="10" t="s">
        <v>57</v>
      </c>
      <c r="G15" s="10" t="s">
        <v>13</v>
      </c>
      <c r="H15" s="10" t="s">
        <v>14</v>
      </c>
      <c r="I15" s="10" t="s">
        <v>23</v>
      </c>
      <c r="J15" s="10" t="s">
        <v>16</v>
      </c>
      <c r="K15" s="10">
        <v>-156050.71</v>
      </c>
      <c r="L15" s="10">
        <v>0.185024688859944</v>
      </c>
      <c r="M15" s="10">
        <v>0.330445544740055</v>
      </c>
      <c r="N15" s="10" t="s">
        <v>19</v>
      </c>
      <c r="O15" s="10" t="s">
        <v>19</v>
      </c>
      <c r="P15" s="10" t="s">
        <v>40</v>
      </c>
      <c r="Q15" s="10" t="s">
        <v>20</v>
      </c>
    </row>
    <row r="16" spans="1:22" x14ac:dyDescent="0.3">
      <c r="A16" s="10" t="s">
        <v>480</v>
      </c>
      <c r="B16" s="10" t="s">
        <v>13</v>
      </c>
      <c r="C16" s="10" t="s">
        <v>41</v>
      </c>
      <c r="D16" s="10" t="s">
        <v>58</v>
      </c>
      <c r="E16" s="10" t="s">
        <v>16</v>
      </c>
      <c r="F16" s="10" t="s">
        <v>59</v>
      </c>
      <c r="G16" s="10" t="s">
        <v>13</v>
      </c>
      <c r="H16" s="10" t="s">
        <v>14</v>
      </c>
      <c r="I16" s="10" t="s">
        <v>33</v>
      </c>
      <c r="J16" s="10" t="s">
        <v>16</v>
      </c>
      <c r="K16" s="10">
        <v>-131938.78558635301</v>
      </c>
      <c r="L16" s="10">
        <v>0.25777561551191802</v>
      </c>
      <c r="M16" s="10">
        <v>0.46037533808808101</v>
      </c>
      <c r="N16" s="10" t="s">
        <v>19</v>
      </c>
      <c r="O16" s="10" t="s">
        <v>19</v>
      </c>
      <c r="P16" s="10" t="s">
        <v>40</v>
      </c>
      <c r="Q16" s="10" t="s">
        <v>20</v>
      </c>
    </row>
    <row r="17" spans="1:17" x14ac:dyDescent="0.3">
      <c r="A17" s="2" t="s">
        <v>481</v>
      </c>
      <c r="B17" s="2" t="s">
        <v>13</v>
      </c>
      <c r="C17" s="2" t="s">
        <v>41</v>
      </c>
      <c r="D17" s="2" t="s">
        <v>484</v>
      </c>
      <c r="E17" s="2" t="s">
        <v>16</v>
      </c>
      <c r="F17" s="2" t="s">
        <v>485</v>
      </c>
      <c r="G17" s="2" t="s">
        <v>13</v>
      </c>
      <c r="H17" s="2" t="s">
        <v>464</v>
      </c>
      <c r="I17" s="2" t="s">
        <v>465</v>
      </c>
      <c r="J17" s="2" t="s">
        <v>16</v>
      </c>
      <c r="K17" s="2">
        <v>-52727.39</v>
      </c>
      <c r="L17" s="2">
        <v>1.1579009925097701</v>
      </c>
      <c r="M17" s="2">
        <v>2.0679576686902101</v>
      </c>
      <c r="N17" s="2" t="s">
        <v>19</v>
      </c>
      <c r="O17" s="2" t="s">
        <v>19</v>
      </c>
      <c r="P17" s="2" t="s">
        <v>40</v>
      </c>
      <c r="Q17" s="2" t="s">
        <v>20</v>
      </c>
    </row>
    <row r="18" spans="1:17" x14ac:dyDescent="0.3">
      <c r="A18" s="11" t="s">
        <v>481</v>
      </c>
      <c r="B18" s="11" t="s">
        <v>13</v>
      </c>
      <c r="C18" s="11" t="s">
        <v>41</v>
      </c>
      <c r="D18" s="11" t="s">
        <v>486</v>
      </c>
      <c r="E18" s="11" t="s">
        <v>16</v>
      </c>
      <c r="F18" s="11" t="s">
        <v>487</v>
      </c>
      <c r="G18" s="11" t="s">
        <v>13</v>
      </c>
      <c r="H18" s="11" t="s">
        <v>464</v>
      </c>
      <c r="I18" s="11" t="s">
        <v>465</v>
      </c>
      <c r="J18" s="11" t="s">
        <v>16</v>
      </c>
      <c r="K18" s="11">
        <v>-96251.33</v>
      </c>
      <c r="L18" s="11">
        <v>1.3176097931469</v>
      </c>
      <c r="M18" s="11">
        <v>2.3531902068530801</v>
      </c>
      <c r="N18" s="11" t="s">
        <v>19</v>
      </c>
      <c r="O18" s="11" t="s">
        <v>19</v>
      </c>
      <c r="P18" s="11" t="s">
        <v>40</v>
      </c>
      <c r="Q18" s="11" t="s">
        <v>20</v>
      </c>
    </row>
    <row r="19" spans="1:17" x14ac:dyDescent="0.3">
      <c r="A19" s="10" t="s">
        <v>481</v>
      </c>
      <c r="B19" s="10" t="s">
        <v>13</v>
      </c>
      <c r="C19" s="10" t="s">
        <v>41</v>
      </c>
      <c r="D19" s="10" t="s">
        <v>488</v>
      </c>
      <c r="E19" s="10" t="s">
        <v>16</v>
      </c>
      <c r="F19" s="10" t="s">
        <v>489</v>
      </c>
      <c r="G19" s="10" t="s">
        <v>13</v>
      </c>
      <c r="H19" s="10" t="s">
        <v>464</v>
      </c>
      <c r="I19" s="10" t="s">
        <v>467</v>
      </c>
      <c r="J19" s="10" t="s">
        <v>16</v>
      </c>
      <c r="K19" s="10">
        <v>-195458.64</v>
      </c>
      <c r="L19" s="10">
        <v>1.4616858539588999</v>
      </c>
      <c r="M19" s="10">
        <v>2.61050339404109</v>
      </c>
      <c r="N19" s="10" t="s">
        <v>19</v>
      </c>
      <c r="O19" s="10" t="s">
        <v>19</v>
      </c>
      <c r="P19" s="10" t="s">
        <v>40</v>
      </c>
      <c r="Q19" s="10" t="s">
        <v>20</v>
      </c>
    </row>
    <row r="20" spans="1:17" x14ac:dyDescent="0.3">
      <c r="A20" s="2" t="s">
        <v>481</v>
      </c>
      <c r="B20" s="2" t="s">
        <v>13</v>
      </c>
      <c r="C20" s="2" t="s">
        <v>41</v>
      </c>
      <c r="D20" s="2" t="s">
        <v>490</v>
      </c>
      <c r="E20" s="2" t="s">
        <v>16</v>
      </c>
      <c r="F20" s="2" t="s">
        <v>491</v>
      </c>
      <c r="G20" s="2" t="s">
        <v>13</v>
      </c>
      <c r="H20" s="2" t="s">
        <v>464</v>
      </c>
      <c r="I20" s="2" t="s">
        <v>468</v>
      </c>
      <c r="J20" s="2" t="s">
        <v>16</v>
      </c>
      <c r="K20" s="2">
        <v>-125830.06</v>
      </c>
      <c r="L20" s="2">
        <v>0.99357240555905701</v>
      </c>
      <c r="M20" s="2">
        <v>1.7744744056409401</v>
      </c>
      <c r="N20" s="2" t="s">
        <v>19</v>
      </c>
      <c r="O20" s="2" t="s">
        <v>19</v>
      </c>
      <c r="P20" s="2" t="s">
        <v>40</v>
      </c>
      <c r="Q20" s="2" t="s">
        <v>20</v>
      </c>
    </row>
    <row r="21" spans="1:17" x14ac:dyDescent="0.3">
      <c r="A21" s="11" t="s">
        <v>481</v>
      </c>
      <c r="B21" s="11" t="s">
        <v>13</v>
      </c>
      <c r="C21" s="11" t="s">
        <v>41</v>
      </c>
      <c r="D21" s="11" t="s">
        <v>492</v>
      </c>
      <c r="E21" s="11" t="s">
        <v>16</v>
      </c>
      <c r="F21" s="11" t="s">
        <v>491</v>
      </c>
      <c r="G21" s="11" t="s">
        <v>13</v>
      </c>
      <c r="H21" s="11" t="s">
        <v>464</v>
      </c>
      <c r="I21" s="11" t="s">
        <v>468</v>
      </c>
      <c r="J21" s="11" t="s">
        <v>16</v>
      </c>
      <c r="K21" s="11">
        <v>-73967.86</v>
      </c>
      <c r="L21" s="11">
        <v>0.58405944208137595</v>
      </c>
      <c r="M21" s="11">
        <v>1.04310317551862</v>
      </c>
      <c r="N21" s="11" t="s">
        <v>19</v>
      </c>
      <c r="O21" s="11" t="s">
        <v>19</v>
      </c>
      <c r="P21" s="11" t="s">
        <v>40</v>
      </c>
      <c r="Q21" s="11" t="s">
        <v>20</v>
      </c>
    </row>
    <row r="22" spans="1:17" x14ac:dyDescent="0.3">
      <c r="A22" s="2" t="s">
        <v>481</v>
      </c>
      <c r="B22" s="2" t="s">
        <v>13</v>
      </c>
      <c r="C22" s="2" t="s">
        <v>41</v>
      </c>
      <c r="D22" s="2" t="s">
        <v>493</v>
      </c>
      <c r="E22" s="2" t="s">
        <v>16</v>
      </c>
      <c r="F22" s="2" t="s">
        <v>494</v>
      </c>
      <c r="G22" s="2" t="s">
        <v>13</v>
      </c>
      <c r="H22" s="2" t="s">
        <v>464</v>
      </c>
      <c r="I22" s="2" t="s">
        <v>469</v>
      </c>
      <c r="J22" s="2" t="s">
        <v>16</v>
      </c>
      <c r="K22" s="2">
        <v>-148086.96</v>
      </c>
      <c r="L22" s="2">
        <v>0.40185024284715898</v>
      </c>
      <c r="M22" s="2">
        <v>0.71768596515284</v>
      </c>
      <c r="N22" s="2" t="s">
        <v>19</v>
      </c>
      <c r="O22" s="2" t="s">
        <v>19</v>
      </c>
      <c r="P22" s="2" t="s">
        <v>40</v>
      </c>
      <c r="Q22" s="2" t="s">
        <v>20</v>
      </c>
    </row>
    <row r="23" spans="1:17" x14ac:dyDescent="0.3">
      <c r="A23" s="2" t="s">
        <v>481</v>
      </c>
      <c r="B23" s="2" t="s">
        <v>13</v>
      </c>
      <c r="C23" s="2" t="s">
        <v>41</v>
      </c>
      <c r="D23" s="2" t="s">
        <v>495</v>
      </c>
      <c r="E23" s="2" t="s">
        <v>16</v>
      </c>
      <c r="F23" s="2" t="s">
        <v>494</v>
      </c>
      <c r="G23" s="2" t="s">
        <v>13</v>
      </c>
      <c r="H23" s="2" t="s">
        <v>464</v>
      </c>
      <c r="I23" s="2" t="s">
        <v>469</v>
      </c>
      <c r="J23" s="2" t="s">
        <v>16</v>
      </c>
      <c r="K23" s="2">
        <v>-317159.55</v>
      </c>
      <c r="L23" s="2">
        <v>0.86064727944158903</v>
      </c>
      <c r="M23" s="2">
        <v>1.53707627255841</v>
      </c>
      <c r="N23" s="2" t="s">
        <v>19</v>
      </c>
      <c r="O23" s="2" t="s">
        <v>19</v>
      </c>
      <c r="P23" s="2" t="s">
        <v>40</v>
      </c>
      <c r="Q23" s="2" t="s">
        <v>20</v>
      </c>
    </row>
    <row r="24" spans="1:17" x14ac:dyDescent="0.3">
      <c r="A24" s="11" t="s">
        <v>481</v>
      </c>
      <c r="B24" s="11" t="s">
        <v>13</v>
      </c>
      <c r="C24" s="11" t="s">
        <v>41</v>
      </c>
      <c r="D24" s="11" t="s">
        <v>496</v>
      </c>
      <c r="E24" s="11" t="s">
        <v>16</v>
      </c>
      <c r="F24" s="11" t="s">
        <v>494</v>
      </c>
      <c r="G24" s="11" t="s">
        <v>13</v>
      </c>
      <c r="H24" s="11" t="s">
        <v>464</v>
      </c>
      <c r="I24" s="11" t="s">
        <v>469</v>
      </c>
      <c r="J24" s="11" t="s">
        <v>16</v>
      </c>
      <c r="K24" s="11">
        <v>-57520.22</v>
      </c>
      <c r="L24" s="11">
        <v>0.15608701091905899</v>
      </c>
      <c r="M24" s="11">
        <v>0.27876418908093997</v>
      </c>
      <c r="N24" s="11" t="s">
        <v>19</v>
      </c>
      <c r="O24" s="11" t="s">
        <v>19</v>
      </c>
      <c r="P24" s="11" t="s">
        <v>40</v>
      </c>
      <c r="Q24" s="11" t="s">
        <v>20</v>
      </c>
    </row>
    <row r="25" spans="1:17" x14ac:dyDescent="0.3">
      <c r="A25" s="2" t="s">
        <v>481</v>
      </c>
      <c r="B25" s="2" t="s">
        <v>13</v>
      </c>
      <c r="C25" s="2" t="s">
        <v>41</v>
      </c>
      <c r="D25" s="2" t="s">
        <v>497</v>
      </c>
      <c r="E25" s="2" t="s">
        <v>16</v>
      </c>
      <c r="F25" s="2" t="s">
        <v>498</v>
      </c>
      <c r="G25" s="2" t="s">
        <v>13</v>
      </c>
      <c r="H25" s="2" t="s">
        <v>464</v>
      </c>
      <c r="I25" s="2" t="s">
        <v>470</v>
      </c>
      <c r="J25" s="2" t="s">
        <v>16</v>
      </c>
      <c r="K25" s="2">
        <v>-97016.65</v>
      </c>
      <c r="L25" s="2">
        <v>1.33156328085633</v>
      </c>
      <c r="M25" s="2">
        <v>2.3781104911436501</v>
      </c>
      <c r="N25" s="2" t="s">
        <v>19</v>
      </c>
      <c r="O25" s="2" t="s">
        <v>19</v>
      </c>
      <c r="P25" s="2" t="s">
        <v>40</v>
      </c>
      <c r="Q25" s="2" t="s">
        <v>20</v>
      </c>
    </row>
    <row r="26" spans="1:17" x14ac:dyDescent="0.3">
      <c r="A26" s="11" t="s">
        <v>481</v>
      </c>
      <c r="B26" s="11" t="s">
        <v>13</v>
      </c>
      <c r="C26" s="11" t="s">
        <v>499</v>
      </c>
      <c r="D26" s="11" t="s">
        <v>500</v>
      </c>
      <c r="E26" s="11" t="s">
        <v>16</v>
      </c>
      <c r="F26" s="11" t="s">
        <v>501</v>
      </c>
      <c r="G26" s="11" t="s">
        <v>13</v>
      </c>
      <c r="H26" s="11" t="s">
        <v>471</v>
      </c>
      <c r="I26" s="11" t="s">
        <v>472</v>
      </c>
      <c r="J26" s="11" t="s">
        <v>16</v>
      </c>
      <c r="K26" s="11">
        <v>-91439.58</v>
      </c>
      <c r="L26" s="11">
        <v>1.83800998212449</v>
      </c>
      <c r="M26" s="11">
        <v>3.2826008978755001</v>
      </c>
      <c r="N26" s="11" t="s">
        <v>19</v>
      </c>
      <c r="O26" s="11" t="s">
        <v>19</v>
      </c>
      <c r="P26" s="11" t="s">
        <v>40</v>
      </c>
      <c r="Q26" s="11" t="s">
        <v>20</v>
      </c>
    </row>
    <row r="27" spans="1:17" x14ac:dyDescent="0.3">
      <c r="A27" s="2" t="s">
        <v>481</v>
      </c>
      <c r="B27" s="2" t="s">
        <v>13</v>
      </c>
      <c r="C27" s="2" t="s">
        <v>499</v>
      </c>
      <c r="D27" s="2" t="s">
        <v>502</v>
      </c>
      <c r="E27" s="2" t="s">
        <v>16</v>
      </c>
      <c r="F27" s="2" t="s">
        <v>503</v>
      </c>
      <c r="G27" s="2" t="s">
        <v>13</v>
      </c>
      <c r="H27" s="2" t="s">
        <v>471</v>
      </c>
      <c r="I27" s="2" t="s">
        <v>473</v>
      </c>
      <c r="J27" s="2" t="s">
        <v>16</v>
      </c>
      <c r="K27" s="2">
        <v>-53715.65</v>
      </c>
      <c r="L27" s="2">
        <v>0.33609570789910098</v>
      </c>
      <c r="M27" s="2">
        <v>0.60025140410089795</v>
      </c>
      <c r="N27" s="2" t="s">
        <v>19</v>
      </c>
      <c r="O27" s="2" t="s">
        <v>19</v>
      </c>
      <c r="P27" s="2" t="s">
        <v>40</v>
      </c>
      <c r="Q27" s="2" t="s">
        <v>20</v>
      </c>
    </row>
    <row r="28" spans="1:17" x14ac:dyDescent="0.3">
      <c r="A28" s="2" t="s">
        <v>481</v>
      </c>
      <c r="B28" s="2" t="s">
        <v>13</v>
      </c>
      <c r="C28" s="2" t="s">
        <v>499</v>
      </c>
      <c r="D28" s="2" t="s">
        <v>504</v>
      </c>
      <c r="E28" s="2" t="s">
        <v>16</v>
      </c>
      <c r="F28" s="2" t="s">
        <v>503</v>
      </c>
      <c r="G28" s="2" t="s">
        <v>13</v>
      </c>
      <c r="H28" s="2" t="s">
        <v>471</v>
      </c>
      <c r="I28" s="2" t="s">
        <v>473</v>
      </c>
      <c r="J28" s="2" t="s">
        <v>16</v>
      </c>
      <c r="K28" s="2">
        <v>-83564.06</v>
      </c>
      <c r="L28" s="2">
        <v>0.52285589948466404</v>
      </c>
      <c r="M28" s="2">
        <v>0.93379647651533504</v>
      </c>
      <c r="N28" s="2" t="s">
        <v>19</v>
      </c>
      <c r="O28" s="2" t="s">
        <v>19</v>
      </c>
      <c r="P28" s="2" t="s">
        <v>40</v>
      </c>
      <c r="Q28" s="2" t="s">
        <v>20</v>
      </c>
    </row>
    <row r="29" spans="1:17" x14ac:dyDescent="0.3">
      <c r="A29" s="2" t="s">
        <v>481</v>
      </c>
      <c r="B29" s="2" t="s">
        <v>13</v>
      </c>
      <c r="C29" s="2" t="s">
        <v>499</v>
      </c>
      <c r="D29" s="2" t="s">
        <v>505</v>
      </c>
      <c r="E29" s="2" t="s">
        <v>16</v>
      </c>
      <c r="F29" s="2" t="s">
        <v>503</v>
      </c>
      <c r="G29" s="2" t="s">
        <v>13</v>
      </c>
      <c r="H29" s="2" t="s">
        <v>471</v>
      </c>
      <c r="I29" s="2" t="s">
        <v>473</v>
      </c>
      <c r="J29" s="2" t="s">
        <v>16</v>
      </c>
      <c r="K29" s="2">
        <v>-32306.69</v>
      </c>
      <c r="L29" s="2">
        <v>0.20214115594983501</v>
      </c>
      <c r="M29" s="2">
        <v>0.36101476405016403</v>
      </c>
      <c r="N29" s="2" t="s">
        <v>19</v>
      </c>
      <c r="O29" s="2" t="s">
        <v>19</v>
      </c>
      <c r="P29" s="2" t="s">
        <v>40</v>
      </c>
      <c r="Q29" s="2" t="s">
        <v>20</v>
      </c>
    </row>
    <row r="30" spans="1:17" x14ac:dyDescent="0.3">
      <c r="A30" s="11" t="s">
        <v>481</v>
      </c>
      <c r="B30" s="11" t="s">
        <v>13</v>
      </c>
      <c r="C30" s="11" t="s">
        <v>41</v>
      </c>
      <c r="D30" s="11" t="s">
        <v>506</v>
      </c>
      <c r="E30" s="11" t="s">
        <v>16</v>
      </c>
      <c r="F30" s="11" t="s">
        <v>503</v>
      </c>
      <c r="G30" s="11" t="s">
        <v>13</v>
      </c>
      <c r="H30" s="11" t="s">
        <v>471</v>
      </c>
      <c r="I30" s="11" t="s">
        <v>473</v>
      </c>
      <c r="J30" s="11" t="s">
        <v>16</v>
      </c>
      <c r="K30" s="11">
        <v>-32372.2</v>
      </c>
      <c r="L30" s="11">
        <v>0.20255129914860401</v>
      </c>
      <c r="M30" s="11">
        <v>0.36174726085139502</v>
      </c>
      <c r="N30" s="11" t="s">
        <v>19</v>
      </c>
      <c r="O30" s="11" t="s">
        <v>19</v>
      </c>
      <c r="P30" s="11" t="s">
        <v>40</v>
      </c>
      <c r="Q30" s="11" t="s">
        <v>20</v>
      </c>
    </row>
    <row r="31" spans="1:17" x14ac:dyDescent="0.3">
      <c r="A31" s="10" t="s">
        <v>481</v>
      </c>
      <c r="B31" s="10" t="s">
        <v>13</v>
      </c>
      <c r="C31" s="10" t="s">
        <v>41</v>
      </c>
      <c r="D31" s="10" t="s">
        <v>507</v>
      </c>
      <c r="E31" s="10" t="s">
        <v>16</v>
      </c>
      <c r="F31" s="10" t="s">
        <v>508</v>
      </c>
      <c r="G31" s="10" t="s">
        <v>13</v>
      </c>
      <c r="H31" s="10" t="s">
        <v>464</v>
      </c>
      <c r="I31" s="10" t="s">
        <v>474</v>
      </c>
      <c r="J31" s="10" t="s">
        <v>16</v>
      </c>
      <c r="K31" s="10">
        <v>-186858.92</v>
      </c>
      <c r="L31" s="10">
        <v>1.32802067651477</v>
      </c>
      <c r="M31" s="10">
        <v>2.37178356348522</v>
      </c>
      <c r="N31" s="10" t="s">
        <v>19</v>
      </c>
      <c r="O31" s="10" t="s">
        <v>19</v>
      </c>
      <c r="P31" s="10" t="s">
        <v>40</v>
      </c>
      <c r="Q31" s="10" t="s">
        <v>20</v>
      </c>
    </row>
    <row r="32" spans="1:17" x14ac:dyDescent="0.3">
      <c r="A32" s="2" t="s">
        <v>481</v>
      </c>
      <c r="B32" s="2" t="s">
        <v>13</v>
      </c>
      <c r="C32" s="2" t="s">
        <v>41</v>
      </c>
      <c r="D32" s="2" t="s">
        <v>509</v>
      </c>
      <c r="E32" s="2" t="s">
        <v>16</v>
      </c>
      <c r="F32" s="2" t="s">
        <v>510</v>
      </c>
      <c r="G32" s="2" t="s">
        <v>13</v>
      </c>
      <c r="H32" s="2" t="s">
        <v>464</v>
      </c>
      <c r="I32" s="2" t="s">
        <v>475</v>
      </c>
      <c r="J32" s="2" t="s">
        <v>16</v>
      </c>
      <c r="K32" s="2">
        <v>-18558.59</v>
      </c>
      <c r="L32" s="2">
        <v>0.18974933305050501</v>
      </c>
      <c r="M32" s="2">
        <v>0.33888354094949302</v>
      </c>
      <c r="N32" s="2" t="s">
        <v>19</v>
      </c>
      <c r="O32" s="2" t="s">
        <v>19</v>
      </c>
      <c r="P32" s="2" t="s">
        <v>40</v>
      </c>
      <c r="Q32" s="2" t="s">
        <v>20</v>
      </c>
    </row>
    <row r="33" spans="1:17" x14ac:dyDescent="0.3">
      <c r="A33" s="11" t="s">
        <v>481</v>
      </c>
      <c r="B33" s="11" t="s">
        <v>13</v>
      </c>
      <c r="C33" s="11" t="s">
        <v>41</v>
      </c>
      <c r="D33" s="11" t="s">
        <v>511</v>
      </c>
      <c r="E33" s="11" t="s">
        <v>16</v>
      </c>
      <c r="F33" s="11" t="s">
        <v>510</v>
      </c>
      <c r="G33" s="11" t="s">
        <v>13</v>
      </c>
      <c r="H33" s="11" t="s">
        <v>464</v>
      </c>
      <c r="I33" s="11" t="s">
        <v>475</v>
      </c>
      <c r="J33" s="11" t="s">
        <v>16</v>
      </c>
      <c r="K33" s="11">
        <v>-120628.35</v>
      </c>
      <c r="L33" s="11">
        <v>1.23334806897612</v>
      </c>
      <c r="M33" s="11">
        <v>2.20270266102386</v>
      </c>
      <c r="N33" s="11" t="s">
        <v>19</v>
      </c>
      <c r="O33" s="11" t="s">
        <v>19</v>
      </c>
      <c r="P33" s="11" t="s">
        <v>40</v>
      </c>
      <c r="Q33" s="11" t="s">
        <v>20</v>
      </c>
    </row>
    <row r="34" spans="1:17" x14ac:dyDescent="0.3">
      <c r="A34" s="2" t="s">
        <v>481</v>
      </c>
      <c r="B34" s="2" t="s">
        <v>13</v>
      </c>
      <c r="C34" s="2" t="s">
        <v>41</v>
      </c>
      <c r="D34" s="2" t="s">
        <v>512</v>
      </c>
      <c r="E34" s="2" t="s">
        <v>16</v>
      </c>
      <c r="F34" s="2" t="s">
        <v>513</v>
      </c>
      <c r="G34" s="2" t="s">
        <v>13</v>
      </c>
      <c r="H34" s="2" t="s">
        <v>464</v>
      </c>
      <c r="I34" s="2" t="s">
        <v>476</v>
      </c>
      <c r="J34" s="2" t="s">
        <v>16</v>
      </c>
      <c r="K34" s="2">
        <v>-230985.88</v>
      </c>
      <c r="L34" s="2">
        <v>0.83058219385716203</v>
      </c>
      <c r="M34" s="2">
        <v>1.48338141894283</v>
      </c>
      <c r="N34" s="2" t="s">
        <v>19</v>
      </c>
      <c r="O34" s="2" t="s">
        <v>19</v>
      </c>
      <c r="P34" s="2" t="s">
        <v>40</v>
      </c>
      <c r="Q34" s="2" t="s">
        <v>20</v>
      </c>
    </row>
    <row r="35" spans="1:17" x14ac:dyDescent="0.3">
      <c r="A35" s="11" t="s">
        <v>481</v>
      </c>
      <c r="B35" s="11" t="s">
        <v>13</v>
      </c>
      <c r="C35" s="11" t="s">
        <v>41</v>
      </c>
      <c r="D35" s="11" t="s">
        <v>514</v>
      </c>
      <c r="E35" s="11" t="s">
        <v>16</v>
      </c>
      <c r="F35" s="11" t="s">
        <v>513</v>
      </c>
      <c r="G35" s="11" t="s">
        <v>13</v>
      </c>
      <c r="H35" s="11" t="s">
        <v>464</v>
      </c>
      <c r="I35" s="11" t="s">
        <v>476</v>
      </c>
      <c r="J35" s="11" t="s">
        <v>16</v>
      </c>
      <c r="K35" s="11">
        <v>-91107.31</v>
      </c>
      <c r="L35" s="11">
        <v>0.32760451193407403</v>
      </c>
      <c r="M35" s="11">
        <v>0.58508652046592302</v>
      </c>
      <c r="N35" s="11" t="s">
        <v>19</v>
      </c>
      <c r="O35" s="11" t="s">
        <v>19</v>
      </c>
      <c r="P35" s="11" t="s">
        <v>40</v>
      </c>
      <c r="Q35" s="11" t="s">
        <v>20</v>
      </c>
    </row>
    <row r="36" spans="1:17" x14ac:dyDescent="0.3">
      <c r="A36" s="2" t="s">
        <v>481</v>
      </c>
      <c r="B36" s="2" t="s">
        <v>13</v>
      </c>
      <c r="C36" s="2" t="s">
        <v>41</v>
      </c>
      <c r="D36" s="2" t="s">
        <v>515</v>
      </c>
      <c r="E36" s="2" t="s">
        <v>16</v>
      </c>
      <c r="F36" s="2" t="s">
        <v>516</v>
      </c>
      <c r="G36" s="2" t="s">
        <v>13</v>
      </c>
      <c r="H36" s="2" t="s">
        <v>464</v>
      </c>
      <c r="I36" s="2" t="s">
        <v>477</v>
      </c>
      <c r="J36" s="2" t="s">
        <v>16</v>
      </c>
      <c r="K36" s="2">
        <v>-58351.360000000001</v>
      </c>
      <c r="L36" s="2">
        <v>0.434256512990354</v>
      </c>
      <c r="M36" s="2">
        <v>0.77556206620964496</v>
      </c>
      <c r="N36" s="2" t="s">
        <v>19</v>
      </c>
      <c r="O36" s="2" t="s">
        <v>19</v>
      </c>
      <c r="P36" s="2" t="s">
        <v>40</v>
      </c>
      <c r="Q36" s="2" t="s">
        <v>20</v>
      </c>
    </row>
    <row r="37" spans="1:17" x14ac:dyDescent="0.3">
      <c r="A37" s="2" t="s">
        <v>481</v>
      </c>
      <c r="B37" s="2" t="s">
        <v>13</v>
      </c>
      <c r="C37" s="2" t="s">
        <v>41</v>
      </c>
      <c r="D37" s="2" t="s">
        <v>517</v>
      </c>
      <c r="E37" s="2" t="s">
        <v>16</v>
      </c>
      <c r="F37" s="2" t="s">
        <v>516</v>
      </c>
      <c r="G37" s="2" t="s">
        <v>13</v>
      </c>
      <c r="H37" s="2" t="s">
        <v>464</v>
      </c>
      <c r="I37" s="2" t="s">
        <v>477</v>
      </c>
      <c r="J37" s="2" t="s">
        <v>16</v>
      </c>
      <c r="K37" s="2">
        <v>-117554.78</v>
      </c>
      <c r="L37" s="2">
        <v>0.87485480352518197</v>
      </c>
      <c r="M37" s="2">
        <v>1.56245025407481</v>
      </c>
      <c r="N37" s="2" t="s">
        <v>19</v>
      </c>
      <c r="O37" s="2" t="s">
        <v>19</v>
      </c>
      <c r="P37" s="2" t="s">
        <v>40</v>
      </c>
      <c r="Q37" s="2" t="s">
        <v>20</v>
      </c>
    </row>
    <row r="38" spans="1:17" x14ac:dyDescent="0.3">
      <c r="A38" s="11" t="s">
        <v>481</v>
      </c>
      <c r="B38" s="11" t="s">
        <v>13</v>
      </c>
      <c r="C38" s="11" t="s">
        <v>41</v>
      </c>
      <c r="D38" s="11" t="s">
        <v>518</v>
      </c>
      <c r="E38" s="11" t="s">
        <v>16</v>
      </c>
      <c r="F38" s="11" t="s">
        <v>516</v>
      </c>
      <c r="G38" s="11" t="s">
        <v>13</v>
      </c>
      <c r="H38" s="11" t="s">
        <v>464</v>
      </c>
      <c r="I38" s="11" t="s">
        <v>477</v>
      </c>
      <c r="J38" s="11" t="s">
        <v>16</v>
      </c>
      <c r="K38" s="11">
        <v>-17735.810000000001</v>
      </c>
      <c r="L38" s="11">
        <v>0.13199090071603101</v>
      </c>
      <c r="M38" s="11">
        <v>0.23572964968396801</v>
      </c>
      <c r="N38" s="11" t="s">
        <v>19</v>
      </c>
      <c r="O38" s="11" t="s">
        <v>19</v>
      </c>
      <c r="P38" s="11" t="s">
        <v>40</v>
      </c>
      <c r="Q38" s="11" t="s">
        <v>20</v>
      </c>
    </row>
    <row r="39" spans="1:17" x14ac:dyDescent="0.3">
      <c r="A39" s="2" t="s">
        <v>481</v>
      </c>
      <c r="B39" s="2" t="s">
        <v>13</v>
      </c>
      <c r="C39" s="2" t="s">
        <v>41</v>
      </c>
      <c r="D39" s="2" t="s">
        <v>519</v>
      </c>
      <c r="E39" s="2" t="s">
        <v>16</v>
      </c>
      <c r="F39" s="2" t="s">
        <v>520</v>
      </c>
      <c r="G39" s="2" t="s">
        <v>13</v>
      </c>
      <c r="H39" s="2" t="s">
        <v>478</v>
      </c>
      <c r="I39" s="2" t="s">
        <v>479</v>
      </c>
      <c r="J39" s="2" t="s">
        <v>16</v>
      </c>
      <c r="K39" s="2">
        <v>-31163.8</v>
      </c>
      <c r="L39" s="2">
        <v>0.42950275374403601</v>
      </c>
      <c r="M39" s="2">
        <v>0.76707207185596304</v>
      </c>
      <c r="N39" s="2" t="s">
        <v>19</v>
      </c>
      <c r="O39" s="2" t="s">
        <v>19</v>
      </c>
      <c r="P39" s="2" t="s">
        <v>40</v>
      </c>
      <c r="Q39" s="2" t="s">
        <v>20</v>
      </c>
    </row>
    <row r="40" spans="1:17" x14ac:dyDescent="0.3">
      <c r="A40" s="2" t="s">
        <v>481</v>
      </c>
      <c r="B40" s="2" t="s">
        <v>13</v>
      </c>
      <c r="C40" s="2" t="s">
        <v>478</v>
      </c>
      <c r="D40" s="2" t="s">
        <v>521</v>
      </c>
      <c r="E40" s="2" t="s">
        <v>16</v>
      </c>
      <c r="F40" s="2" t="s">
        <v>520</v>
      </c>
      <c r="G40" s="2" t="s">
        <v>13</v>
      </c>
      <c r="H40" s="2" t="s">
        <v>478</v>
      </c>
      <c r="I40" s="2" t="s">
        <v>479</v>
      </c>
      <c r="J40" s="2" t="s">
        <v>16</v>
      </c>
      <c r="K40" s="2">
        <v>-22962.79</v>
      </c>
      <c r="L40" s="2">
        <v>0.31647520674401403</v>
      </c>
      <c r="M40" s="2">
        <v>0.56521009565598501</v>
      </c>
      <c r="N40" s="2" t="s">
        <v>19</v>
      </c>
      <c r="O40" s="2" t="s">
        <v>19</v>
      </c>
      <c r="P40" s="2" t="s">
        <v>40</v>
      </c>
      <c r="Q40" s="2" t="s">
        <v>20</v>
      </c>
    </row>
    <row r="41" spans="1:17" x14ac:dyDescent="0.3">
      <c r="A41" s="2" t="s">
        <v>481</v>
      </c>
      <c r="B41" s="2" t="s">
        <v>13</v>
      </c>
      <c r="C41" s="2" t="s">
        <v>41</v>
      </c>
      <c r="D41" s="2" t="s">
        <v>522</v>
      </c>
      <c r="E41" s="2" t="s">
        <v>16</v>
      </c>
      <c r="F41" s="2" t="s">
        <v>520</v>
      </c>
      <c r="G41" s="2" t="s">
        <v>13</v>
      </c>
      <c r="H41" s="2" t="s">
        <v>478</v>
      </c>
      <c r="I41" s="2" t="s">
        <v>479</v>
      </c>
      <c r="J41" s="2" t="s">
        <v>16</v>
      </c>
      <c r="K41" s="2">
        <v>-27947.360000000001</v>
      </c>
      <c r="L41" s="2">
        <v>0.385173319012931</v>
      </c>
      <c r="M41" s="2">
        <v>0.68790174978706797</v>
      </c>
      <c r="N41" s="2" t="s">
        <v>19</v>
      </c>
      <c r="O41" s="2" t="s">
        <v>19</v>
      </c>
      <c r="P41" s="2" t="s">
        <v>40</v>
      </c>
      <c r="Q41" s="2" t="s">
        <v>20</v>
      </c>
    </row>
    <row r="43" spans="1:17" x14ac:dyDescent="0.3">
      <c r="A43" s="5" t="s">
        <v>523</v>
      </c>
      <c r="B43" s="23"/>
      <c r="C43" s="23"/>
      <c r="D43" s="23"/>
    </row>
    <row r="44" spans="1:17" x14ac:dyDescent="0.3">
      <c r="A44" s="21"/>
    </row>
    <row r="45" spans="1:17" x14ac:dyDescent="0.3">
      <c r="A45" s="1" t="s">
        <v>482</v>
      </c>
      <c r="B45" s="14" t="s">
        <v>34</v>
      </c>
      <c r="C45" s="14" t="s">
        <v>35</v>
      </c>
      <c r="D45" s="14" t="s">
        <v>36</v>
      </c>
      <c r="E45" s="14" t="s">
        <v>37</v>
      </c>
      <c r="F45" s="14" t="s">
        <v>38</v>
      </c>
      <c r="G45" s="13" t="s">
        <v>0</v>
      </c>
      <c r="H45" s="13" t="s">
        <v>1</v>
      </c>
      <c r="I45" s="13" t="s">
        <v>2</v>
      </c>
      <c r="J45" s="13" t="s">
        <v>3</v>
      </c>
      <c r="K45" s="14" t="s">
        <v>7</v>
      </c>
      <c r="L45" s="14" t="s">
        <v>8</v>
      </c>
      <c r="M45" s="14" t="s">
        <v>9</v>
      </c>
      <c r="N45" s="14" t="s">
        <v>10</v>
      </c>
      <c r="O45" s="14" t="s">
        <v>11</v>
      </c>
      <c r="P45" s="14" t="s">
        <v>39</v>
      </c>
      <c r="Q45" s="14" t="s">
        <v>12</v>
      </c>
    </row>
    <row r="46" spans="1:17" x14ac:dyDescent="0.3">
      <c r="A46" s="2" t="s">
        <v>480</v>
      </c>
      <c r="B46" s="2" t="s">
        <v>13</v>
      </c>
      <c r="C46" s="2" t="s">
        <v>41</v>
      </c>
      <c r="D46" s="2" t="s">
        <v>42</v>
      </c>
      <c r="E46" s="2" t="s">
        <v>16</v>
      </c>
      <c r="F46" s="2" t="s">
        <v>43</v>
      </c>
      <c r="G46" s="2" t="s">
        <v>155</v>
      </c>
      <c r="H46" s="2" t="s">
        <v>155</v>
      </c>
      <c r="I46" s="2" t="s">
        <v>155</v>
      </c>
      <c r="J46" s="2" t="s">
        <v>155</v>
      </c>
      <c r="K46" s="2">
        <v>-599298.85</v>
      </c>
      <c r="L46" s="2" t="s">
        <v>155</v>
      </c>
      <c r="M46" s="2" t="s">
        <v>155</v>
      </c>
      <c r="N46" s="2" t="s">
        <v>852</v>
      </c>
      <c r="O46" s="2" t="s">
        <v>852</v>
      </c>
      <c r="P46" s="2" t="s">
        <v>852</v>
      </c>
      <c r="Q46" s="2" t="s">
        <v>20</v>
      </c>
    </row>
    <row r="47" spans="1:17" x14ac:dyDescent="0.3">
      <c r="A47" s="2" t="s">
        <v>480</v>
      </c>
      <c r="B47" s="2" t="s">
        <v>13</v>
      </c>
      <c r="C47" s="2" t="s">
        <v>41</v>
      </c>
      <c r="D47" s="2" t="s">
        <v>42</v>
      </c>
      <c r="E47" s="2" t="s">
        <v>16</v>
      </c>
      <c r="F47" s="2" t="s">
        <v>43</v>
      </c>
      <c r="G47" s="2" t="s">
        <v>13</v>
      </c>
      <c r="H47" s="2" t="s">
        <v>14</v>
      </c>
      <c r="I47" s="2" t="s">
        <v>27</v>
      </c>
      <c r="J47" s="2" t="s">
        <v>16</v>
      </c>
      <c r="K47" s="2">
        <v>-387140.33</v>
      </c>
      <c r="L47" s="2">
        <v>2.2477897992163598</v>
      </c>
      <c r="M47" s="2">
        <v>6.32542876678363</v>
      </c>
      <c r="N47" s="2" t="s">
        <v>19</v>
      </c>
      <c r="O47" s="2" t="s">
        <v>19</v>
      </c>
      <c r="P47" s="2" t="s">
        <v>40</v>
      </c>
      <c r="Q47" s="2" t="s">
        <v>20</v>
      </c>
    </row>
    <row r="48" spans="1:17" x14ac:dyDescent="0.3">
      <c r="A48" s="2" t="s">
        <v>480</v>
      </c>
      <c r="B48" s="2" t="s">
        <v>13</v>
      </c>
      <c r="C48" s="2" t="s">
        <v>41</v>
      </c>
      <c r="D48" s="2" t="s">
        <v>44</v>
      </c>
      <c r="E48" s="2" t="s">
        <v>16</v>
      </c>
      <c r="F48" s="2" t="s">
        <v>45</v>
      </c>
      <c r="G48" s="2" t="s">
        <v>155</v>
      </c>
      <c r="H48" s="2" t="s">
        <v>155</v>
      </c>
      <c r="I48" s="2" t="s">
        <v>155</v>
      </c>
      <c r="J48" s="2" t="s">
        <v>155</v>
      </c>
      <c r="K48" s="2">
        <v>-2087746.54</v>
      </c>
      <c r="L48" s="2" t="s">
        <v>155</v>
      </c>
      <c r="M48" s="2" t="s">
        <v>155</v>
      </c>
      <c r="N48" s="2" t="s">
        <v>852</v>
      </c>
      <c r="O48" s="2" t="s">
        <v>852</v>
      </c>
      <c r="P48" s="2" t="s">
        <v>852</v>
      </c>
      <c r="Q48" s="2" t="s">
        <v>20</v>
      </c>
    </row>
    <row r="49" spans="1:17" x14ac:dyDescent="0.3">
      <c r="A49" s="2" t="s">
        <v>480</v>
      </c>
      <c r="B49" s="2" t="s">
        <v>13</v>
      </c>
      <c r="C49" s="2" t="s">
        <v>41</v>
      </c>
      <c r="D49" s="2" t="s">
        <v>44</v>
      </c>
      <c r="E49" s="2" t="s">
        <v>16</v>
      </c>
      <c r="F49" s="2" t="s">
        <v>45</v>
      </c>
      <c r="G49" s="2" t="s">
        <v>13</v>
      </c>
      <c r="H49" s="2" t="s">
        <v>14</v>
      </c>
      <c r="I49" s="2" t="s">
        <v>15</v>
      </c>
      <c r="J49" s="2" t="s">
        <v>16</v>
      </c>
      <c r="K49" s="2">
        <v>-1779861.75</v>
      </c>
      <c r="L49" s="2">
        <v>3.9296446870466601</v>
      </c>
      <c r="M49" s="2">
        <v>11.0582793619533</v>
      </c>
      <c r="N49" s="2" t="s">
        <v>19</v>
      </c>
      <c r="O49" s="2" t="s">
        <v>19</v>
      </c>
      <c r="P49" s="2" t="s">
        <v>40</v>
      </c>
      <c r="Q49" s="2" t="s">
        <v>20</v>
      </c>
    </row>
    <row r="50" spans="1:17" x14ac:dyDescent="0.3">
      <c r="A50" s="2" t="s">
        <v>480</v>
      </c>
      <c r="B50" s="2" t="s">
        <v>13</v>
      </c>
      <c r="C50" s="2" t="s">
        <v>41</v>
      </c>
      <c r="D50" s="2" t="s">
        <v>46</v>
      </c>
      <c r="E50" s="2" t="s">
        <v>16</v>
      </c>
      <c r="F50" s="2" t="s">
        <v>47</v>
      </c>
      <c r="G50" s="2" t="s">
        <v>155</v>
      </c>
      <c r="H50" s="2" t="s">
        <v>155</v>
      </c>
      <c r="I50" s="2" t="s">
        <v>155</v>
      </c>
      <c r="J50" s="2" t="s">
        <v>155</v>
      </c>
      <c r="K50" s="2">
        <v>34100.53</v>
      </c>
      <c r="L50" s="2" t="s">
        <v>155</v>
      </c>
      <c r="M50" s="2" t="s">
        <v>155</v>
      </c>
      <c r="N50" s="2" t="s">
        <v>852</v>
      </c>
      <c r="O50" s="2" t="s">
        <v>852</v>
      </c>
      <c r="P50" s="2" t="s">
        <v>852</v>
      </c>
      <c r="Q50" s="2" t="s">
        <v>20</v>
      </c>
    </row>
    <row r="51" spans="1:17" x14ac:dyDescent="0.3">
      <c r="A51" s="2" t="s">
        <v>480</v>
      </c>
      <c r="B51" s="2" t="s">
        <v>13</v>
      </c>
      <c r="C51" s="2" t="s">
        <v>41</v>
      </c>
      <c r="D51" s="2" t="s">
        <v>46</v>
      </c>
      <c r="E51" s="2" t="s">
        <v>16</v>
      </c>
      <c r="F51" s="2" t="s">
        <v>47</v>
      </c>
      <c r="G51" s="2" t="s">
        <v>13</v>
      </c>
      <c r="H51" s="2" t="s">
        <v>14</v>
      </c>
      <c r="I51" s="2" t="s">
        <v>30</v>
      </c>
      <c r="J51" s="2" t="s">
        <v>16</v>
      </c>
      <c r="K51" s="2">
        <v>-32955627.449999999</v>
      </c>
      <c r="L51" s="2">
        <v>31.4213951953144</v>
      </c>
      <c r="M51" s="2">
        <v>56.117159908685501</v>
      </c>
      <c r="N51" s="2" t="s">
        <v>19</v>
      </c>
      <c r="O51" s="2" t="s">
        <v>19</v>
      </c>
      <c r="P51" s="2" t="s">
        <v>40</v>
      </c>
      <c r="Q51" s="2" t="s">
        <v>20</v>
      </c>
    </row>
    <row r="52" spans="1:17" x14ac:dyDescent="0.3">
      <c r="A52" s="2" t="s">
        <v>480</v>
      </c>
      <c r="B52" s="2" t="s">
        <v>13</v>
      </c>
      <c r="C52" s="2" t="s">
        <v>41</v>
      </c>
      <c r="D52" s="2" t="s">
        <v>48</v>
      </c>
      <c r="E52" s="2" t="s">
        <v>16</v>
      </c>
      <c r="F52" s="2" t="s">
        <v>49</v>
      </c>
      <c r="G52" s="2" t="s">
        <v>13</v>
      </c>
      <c r="H52" s="2" t="s">
        <v>14</v>
      </c>
      <c r="I52" s="2" t="s">
        <v>28</v>
      </c>
      <c r="J52" s="2" t="s">
        <v>16</v>
      </c>
      <c r="K52" s="2">
        <v>-133758.17000000001</v>
      </c>
      <c r="L52" s="2">
        <v>3.07960244023249</v>
      </c>
      <c r="M52" s="2">
        <v>8.6662044077675002</v>
      </c>
      <c r="N52" s="2" t="s">
        <v>19</v>
      </c>
      <c r="O52" s="2" t="s">
        <v>19</v>
      </c>
      <c r="P52" s="2" t="s">
        <v>40</v>
      </c>
      <c r="Q52" s="2" t="s">
        <v>20</v>
      </c>
    </row>
    <row r="53" spans="1:17" x14ac:dyDescent="0.3">
      <c r="A53" s="2" t="s">
        <v>480</v>
      </c>
      <c r="B53" s="2" t="s">
        <v>13</v>
      </c>
      <c r="C53" s="2" t="s">
        <v>41</v>
      </c>
      <c r="D53" s="2" t="s">
        <v>48</v>
      </c>
      <c r="E53" s="2" t="s">
        <v>16</v>
      </c>
      <c r="F53" s="2" t="s">
        <v>49</v>
      </c>
      <c r="G53" s="2" t="s">
        <v>155</v>
      </c>
      <c r="H53" s="2" t="s">
        <v>155</v>
      </c>
      <c r="I53" s="2" t="s">
        <v>155</v>
      </c>
      <c r="J53" s="2" t="s">
        <v>155</v>
      </c>
      <c r="K53" s="2">
        <v>-243139.43</v>
      </c>
      <c r="L53" s="2" t="s">
        <v>155</v>
      </c>
      <c r="M53" s="2" t="s">
        <v>155</v>
      </c>
      <c r="N53" s="2" t="s">
        <v>852</v>
      </c>
      <c r="O53" s="2" t="s">
        <v>852</v>
      </c>
      <c r="P53" s="2" t="s">
        <v>852</v>
      </c>
      <c r="Q53" s="2" t="s">
        <v>20</v>
      </c>
    </row>
    <row r="54" spans="1:17" x14ac:dyDescent="0.3">
      <c r="A54" s="2" t="s">
        <v>480</v>
      </c>
      <c r="B54" s="2" t="s">
        <v>13</v>
      </c>
      <c r="C54" s="2" t="s">
        <v>41</v>
      </c>
      <c r="D54" s="2" t="s">
        <v>50</v>
      </c>
      <c r="E54" s="2" t="s">
        <v>16</v>
      </c>
      <c r="F54" s="2" t="s">
        <v>51</v>
      </c>
      <c r="G54" s="2" t="s">
        <v>13</v>
      </c>
      <c r="H54" s="2" t="s">
        <v>14</v>
      </c>
      <c r="I54" s="2" t="s">
        <v>32</v>
      </c>
      <c r="J54" s="2" t="s">
        <v>16</v>
      </c>
      <c r="K54" s="2">
        <v>-69269.740000000005</v>
      </c>
      <c r="L54" s="2">
        <v>0.31466566114125899</v>
      </c>
      <c r="M54" s="2">
        <v>0.88548992685873895</v>
      </c>
      <c r="N54" s="2" t="s">
        <v>19</v>
      </c>
      <c r="O54" s="2" t="s">
        <v>19</v>
      </c>
      <c r="P54" s="2" t="s">
        <v>40</v>
      </c>
      <c r="Q54" s="2" t="s">
        <v>20</v>
      </c>
    </row>
    <row r="55" spans="1:17" x14ac:dyDescent="0.3">
      <c r="A55" s="2" t="s">
        <v>480</v>
      </c>
      <c r="B55" s="2" t="s">
        <v>13</v>
      </c>
      <c r="C55" s="2" t="s">
        <v>41</v>
      </c>
      <c r="D55" s="2" t="s">
        <v>50</v>
      </c>
      <c r="E55" s="2" t="s">
        <v>16</v>
      </c>
      <c r="F55" s="2" t="s">
        <v>51</v>
      </c>
      <c r="G55" s="2" t="s">
        <v>155</v>
      </c>
      <c r="H55" s="2" t="s">
        <v>155</v>
      </c>
      <c r="I55" s="2" t="s">
        <v>155</v>
      </c>
      <c r="J55" s="2" t="s">
        <v>155</v>
      </c>
      <c r="K55" s="2">
        <v>-91786.240000000005</v>
      </c>
      <c r="L55" s="2" t="s">
        <v>155</v>
      </c>
      <c r="M55" s="2" t="s">
        <v>155</v>
      </c>
      <c r="N55" s="2" t="s">
        <v>852</v>
      </c>
      <c r="O55" s="2" t="s">
        <v>852</v>
      </c>
      <c r="P55" s="2" t="s">
        <v>852</v>
      </c>
      <c r="Q55" s="2" t="s">
        <v>20</v>
      </c>
    </row>
    <row r="56" spans="1:17" x14ac:dyDescent="0.3">
      <c r="A56" s="2" t="s">
        <v>480</v>
      </c>
      <c r="B56" s="2" t="s">
        <v>13</v>
      </c>
      <c r="C56" s="2" t="s">
        <v>41</v>
      </c>
      <c r="D56" s="2" t="s">
        <v>52</v>
      </c>
      <c r="E56" s="2" t="s">
        <v>16</v>
      </c>
      <c r="F56" s="2" t="s">
        <v>53</v>
      </c>
      <c r="G56" s="2" t="s">
        <v>13</v>
      </c>
      <c r="H56" s="2" t="s">
        <v>14</v>
      </c>
      <c r="I56" s="2" t="s">
        <v>29</v>
      </c>
      <c r="J56" s="2" t="s">
        <v>16</v>
      </c>
      <c r="K56" s="2">
        <v>-42575.9</v>
      </c>
      <c r="L56" s="2">
        <v>0.128998960784</v>
      </c>
      <c r="M56" s="2">
        <v>0.23038618321599899</v>
      </c>
      <c r="N56" s="2" t="s">
        <v>19</v>
      </c>
      <c r="O56" s="2" t="s">
        <v>19</v>
      </c>
      <c r="P56" s="2" t="s">
        <v>40</v>
      </c>
      <c r="Q56" s="2" t="s">
        <v>20</v>
      </c>
    </row>
    <row r="57" spans="1:17" x14ac:dyDescent="0.3">
      <c r="A57" s="2" t="s">
        <v>480</v>
      </c>
      <c r="B57" s="2" t="s">
        <v>13</v>
      </c>
      <c r="C57" s="2" t="s">
        <v>41</v>
      </c>
      <c r="D57" s="2" t="s">
        <v>52</v>
      </c>
      <c r="E57" s="2" t="s">
        <v>16</v>
      </c>
      <c r="F57" s="2" t="s">
        <v>53</v>
      </c>
      <c r="G57" s="2" t="s">
        <v>155</v>
      </c>
      <c r="H57" s="2" t="s">
        <v>155</v>
      </c>
      <c r="I57" s="2" t="s">
        <v>155</v>
      </c>
      <c r="J57" s="2" t="s">
        <v>155</v>
      </c>
      <c r="K57" s="2">
        <v>-58415.13</v>
      </c>
      <c r="L57" s="2" t="s">
        <v>155</v>
      </c>
      <c r="M57" s="2" t="s">
        <v>155</v>
      </c>
      <c r="N57" s="2" t="s">
        <v>852</v>
      </c>
      <c r="O57" s="2" t="s">
        <v>852</v>
      </c>
      <c r="P57" s="2" t="s">
        <v>852</v>
      </c>
      <c r="Q57" s="2" t="s">
        <v>20</v>
      </c>
    </row>
    <row r="58" spans="1:17" x14ac:dyDescent="0.3">
      <c r="A58" s="2" t="s">
        <v>480</v>
      </c>
      <c r="B58" s="2" t="s">
        <v>13</v>
      </c>
      <c r="C58" s="2" t="s">
        <v>41</v>
      </c>
      <c r="D58" s="2" t="s">
        <v>54</v>
      </c>
      <c r="E58" s="2" t="s">
        <v>16</v>
      </c>
      <c r="F58" s="2" t="s">
        <v>55</v>
      </c>
      <c r="G58" s="2" t="s">
        <v>13</v>
      </c>
      <c r="H58" s="2" t="s">
        <v>14</v>
      </c>
      <c r="I58" s="2" t="s">
        <v>21</v>
      </c>
      <c r="J58" s="2" t="s">
        <v>16</v>
      </c>
      <c r="K58" s="2">
        <v>-1191155.27</v>
      </c>
      <c r="L58" s="2">
        <v>1.39886373979346</v>
      </c>
      <c r="M58" s="2">
        <v>2.4983060010065299</v>
      </c>
      <c r="N58" s="2" t="s">
        <v>19</v>
      </c>
      <c r="O58" s="2" t="s">
        <v>19</v>
      </c>
      <c r="P58" s="2" t="s">
        <v>40</v>
      </c>
      <c r="Q58" s="2" t="s">
        <v>20</v>
      </c>
    </row>
    <row r="59" spans="1:17" x14ac:dyDescent="0.3">
      <c r="A59" s="2" t="s">
        <v>480</v>
      </c>
      <c r="B59" s="2" t="s">
        <v>13</v>
      </c>
      <c r="C59" s="2" t="s">
        <v>41</v>
      </c>
      <c r="D59" s="2" t="s">
        <v>54</v>
      </c>
      <c r="E59" s="2" t="s">
        <v>16</v>
      </c>
      <c r="F59" s="2" t="s">
        <v>55</v>
      </c>
      <c r="G59" s="2" t="s">
        <v>155</v>
      </c>
      <c r="H59" s="2" t="s">
        <v>155</v>
      </c>
      <c r="I59" s="2" t="s">
        <v>155</v>
      </c>
      <c r="J59" s="2" t="s">
        <v>155</v>
      </c>
      <c r="K59" s="2">
        <v>675.64</v>
      </c>
      <c r="L59" s="2" t="s">
        <v>155</v>
      </c>
      <c r="M59" s="2" t="s">
        <v>155</v>
      </c>
      <c r="N59" s="2" t="s">
        <v>852</v>
      </c>
      <c r="O59" s="2" t="s">
        <v>852</v>
      </c>
      <c r="P59" s="2" t="s">
        <v>852</v>
      </c>
      <c r="Q59" s="2" t="s">
        <v>20</v>
      </c>
    </row>
    <row r="60" spans="1:17" x14ac:dyDescent="0.3">
      <c r="A60" s="2" t="s">
        <v>480</v>
      </c>
      <c r="B60" s="2" t="s">
        <v>13</v>
      </c>
      <c r="C60" s="2" t="s">
        <v>41</v>
      </c>
      <c r="D60" s="2" t="s">
        <v>56</v>
      </c>
      <c r="E60" s="2" t="s">
        <v>16</v>
      </c>
      <c r="F60" s="2" t="s">
        <v>57</v>
      </c>
      <c r="G60" s="2" t="s">
        <v>155</v>
      </c>
      <c r="H60" s="2" t="s">
        <v>155</v>
      </c>
      <c r="I60" s="2" t="s">
        <v>155</v>
      </c>
      <c r="J60" s="2" t="s">
        <v>155</v>
      </c>
      <c r="K60" s="2">
        <v>-154895.43</v>
      </c>
      <c r="L60" s="2" t="s">
        <v>155</v>
      </c>
      <c r="M60" s="2" t="s">
        <v>155</v>
      </c>
      <c r="N60" s="2" t="s">
        <v>852</v>
      </c>
      <c r="O60" s="2" t="s">
        <v>852</v>
      </c>
      <c r="P60" s="2" t="s">
        <v>852</v>
      </c>
      <c r="Q60" s="2" t="s">
        <v>20</v>
      </c>
    </row>
    <row r="61" spans="1:17" x14ac:dyDescent="0.3">
      <c r="A61" s="2" t="s">
        <v>480</v>
      </c>
      <c r="B61" s="2" t="s">
        <v>13</v>
      </c>
      <c r="C61" s="2" t="s">
        <v>41</v>
      </c>
      <c r="D61" s="2" t="s">
        <v>56</v>
      </c>
      <c r="E61" s="2" t="s">
        <v>16</v>
      </c>
      <c r="F61" s="2" t="s">
        <v>57</v>
      </c>
      <c r="G61" s="2" t="s">
        <v>13</v>
      </c>
      <c r="H61" s="2" t="s">
        <v>14</v>
      </c>
      <c r="I61" s="2" t="s">
        <v>23</v>
      </c>
      <c r="J61" s="2" t="s">
        <v>16</v>
      </c>
      <c r="K61" s="2">
        <v>-156050.71</v>
      </c>
      <c r="L61" s="2">
        <v>0.185024688859944</v>
      </c>
      <c r="M61" s="2">
        <v>0.330445544740055</v>
      </c>
      <c r="N61" s="2" t="s">
        <v>19</v>
      </c>
      <c r="O61" s="2" t="s">
        <v>19</v>
      </c>
      <c r="P61" s="2" t="s">
        <v>40</v>
      </c>
      <c r="Q61" s="2" t="s">
        <v>20</v>
      </c>
    </row>
    <row r="62" spans="1:17" x14ac:dyDescent="0.3">
      <c r="A62" s="2" t="s">
        <v>480</v>
      </c>
      <c r="B62" s="2" t="s">
        <v>13</v>
      </c>
      <c r="C62" s="2" t="s">
        <v>41</v>
      </c>
      <c r="D62" s="2" t="s">
        <v>58</v>
      </c>
      <c r="E62" s="2" t="s">
        <v>16</v>
      </c>
      <c r="F62" s="2" t="s">
        <v>59</v>
      </c>
      <c r="G62" s="2" t="s">
        <v>13</v>
      </c>
      <c r="H62" s="2" t="s">
        <v>14</v>
      </c>
      <c r="I62" s="2" t="s">
        <v>853</v>
      </c>
      <c r="J62" s="2" t="s">
        <v>16</v>
      </c>
      <c r="K62" s="2">
        <v>-164134.374413646</v>
      </c>
      <c r="L62" s="2">
        <v>0.21653109800000001</v>
      </c>
      <c r="M62" s="2">
        <v>0.44631920200000003</v>
      </c>
      <c r="N62" s="2" t="s">
        <v>854</v>
      </c>
      <c r="O62" s="2" t="s">
        <v>854</v>
      </c>
      <c r="P62" s="2" t="s">
        <v>40</v>
      </c>
      <c r="Q62" s="2" t="s">
        <v>20</v>
      </c>
    </row>
    <row r="63" spans="1:17" x14ac:dyDescent="0.3">
      <c r="A63" s="2" t="s">
        <v>480</v>
      </c>
      <c r="B63" s="2" t="s">
        <v>13</v>
      </c>
      <c r="C63" s="2" t="s">
        <v>41</v>
      </c>
      <c r="D63" s="2" t="s">
        <v>58</v>
      </c>
      <c r="E63" s="2" t="s">
        <v>16</v>
      </c>
      <c r="F63" s="2" t="s">
        <v>59</v>
      </c>
      <c r="G63" s="2" t="s">
        <v>155</v>
      </c>
      <c r="H63" s="2" t="s">
        <v>155</v>
      </c>
      <c r="I63" s="2" t="s">
        <v>155</v>
      </c>
      <c r="J63" s="2" t="s">
        <v>155</v>
      </c>
      <c r="K63" s="2">
        <v>-299460.52</v>
      </c>
      <c r="L63" s="2" t="s">
        <v>155</v>
      </c>
      <c r="M63" s="2" t="s">
        <v>155</v>
      </c>
      <c r="N63" s="2" t="s">
        <v>852</v>
      </c>
      <c r="O63" s="2" t="s">
        <v>852</v>
      </c>
      <c r="P63" s="2" t="s">
        <v>852</v>
      </c>
      <c r="Q63" s="2" t="s">
        <v>20</v>
      </c>
    </row>
    <row r="64" spans="1:17" x14ac:dyDescent="0.3">
      <c r="A64" s="2" t="s">
        <v>480</v>
      </c>
      <c r="B64" s="2" t="s">
        <v>13</v>
      </c>
      <c r="C64" s="2" t="s">
        <v>41</v>
      </c>
      <c r="D64" s="2" t="s">
        <v>58</v>
      </c>
      <c r="E64" s="2" t="s">
        <v>16</v>
      </c>
      <c r="F64" s="2" t="s">
        <v>59</v>
      </c>
      <c r="G64" s="2" t="s">
        <v>13</v>
      </c>
      <c r="H64" s="2" t="s">
        <v>14</v>
      </c>
      <c r="I64" s="2" t="s">
        <v>33</v>
      </c>
      <c r="J64" s="2" t="s">
        <v>16</v>
      </c>
      <c r="K64" s="2">
        <v>-131938.78558635301</v>
      </c>
      <c r="L64" s="2">
        <v>0.25777561551191802</v>
      </c>
      <c r="M64" s="2">
        <v>0.46037533808808101</v>
      </c>
      <c r="N64" s="2" t="s">
        <v>19</v>
      </c>
      <c r="O64" s="2" t="s">
        <v>19</v>
      </c>
      <c r="P64" s="2" t="s">
        <v>40</v>
      </c>
      <c r="Q64" s="2" t="s">
        <v>20</v>
      </c>
    </row>
    <row r="65" spans="1:17" x14ac:dyDescent="0.3">
      <c r="A65" s="2" t="s">
        <v>480</v>
      </c>
      <c r="B65" s="2" t="s">
        <v>13</v>
      </c>
      <c r="C65" s="2" t="s">
        <v>41</v>
      </c>
      <c r="D65" s="2" t="s">
        <v>60</v>
      </c>
      <c r="E65" s="2" t="s">
        <v>16</v>
      </c>
      <c r="F65" s="2" t="s">
        <v>61</v>
      </c>
      <c r="G65" s="2" t="s">
        <v>13</v>
      </c>
      <c r="H65" s="2" t="s">
        <v>14</v>
      </c>
      <c r="I65" s="2" t="s">
        <v>24</v>
      </c>
      <c r="J65" s="2" t="s">
        <v>16</v>
      </c>
      <c r="K65" s="2">
        <v>-944580.18</v>
      </c>
      <c r="L65" s="2">
        <v>1.1952546137856299</v>
      </c>
      <c r="M65" s="2">
        <v>3.3635253262143698</v>
      </c>
      <c r="N65" s="2" t="s">
        <v>19</v>
      </c>
      <c r="O65" s="2" t="s">
        <v>19</v>
      </c>
      <c r="P65" s="2" t="s">
        <v>40</v>
      </c>
      <c r="Q65" s="2" t="s">
        <v>20</v>
      </c>
    </row>
    <row r="66" spans="1:17" x14ac:dyDescent="0.3">
      <c r="A66" s="2" t="s">
        <v>480</v>
      </c>
      <c r="B66" s="2" t="s">
        <v>13</v>
      </c>
      <c r="C66" s="2" t="s">
        <v>41</v>
      </c>
      <c r="D66" s="2" t="s">
        <v>60</v>
      </c>
      <c r="E66" s="2" t="s">
        <v>16</v>
      </c>
      <c r="F66" s="2" t="s">
        <v>61</v>
      </c>
      <c r="G66" s="2" t="s">
        <v>155</v>
      </c>
      <c r="H66" s="2" t="s">
        <v>155</v>
      </c>
      <c r="I66" s="2" t="s">
        <v>155</v>
      </c>
      <c r="J66" s="2" t="s">
        <v>155</v>
      </c>
      <c r="K66" s="2">
        <v>-1336115.68</v>
      </c>
      <c r="L66" s="2" t="s">
        <v>155</v>
      </c>
      <c r="M66" s="2" t="s">
        <v>155</v>
      </c>
      <c r="N66" s="2" t="s">
        <v>852</v>
      </c>
      <c r="O66" s="2" t="s">
        <v>852</v>
      </c>
      <c r="P66" s="2" t="s">
        <v>852</v>
      </c>
      <c r="Q66" s="2" t="s">
        <v>20</v>
      </c>
    </row>
    <row r="67" spans="1:17" x14ac:dyDescent="0.3">
      <c r="A67" s="2" t="s">
        <v>480</v>
      </c>
      <c r="B67" s="2" t="s">
        <v>13</v>
      </c>
      <c r="C67" s="2" t="s">
        <v>41</v>
      </c>
      <c r="D67" s="2" t="s">
        <v>62</v>
      </c>
      <c r="E67" s="2" t="s">
        <v>16</v>
      </c>
      <c r="F67" s="2" t="s">
        <v>61</v>
      </c>
      <c r="G67" s="2" t="s">
        <v>155</v>
      </c>
      <c r="H67" s="2" t="s">
        <v>155</v>
      </c>
      <c r="I67" s="2" t="s">
        <v>155</v>
      </c>
      <c r="J67" s="2" t="s">
        <v>155</v>
      </c>
      <c r="K67" s="2">
        <v>-299584.14</v>
      </c>
      <c r="L67" s="2" t="s">
        <v>155</v>
      </c>
      <c r="M67" s="2" t="s">
        <v>155</v>
      </c>
      <c r="N67" s="2" t="s">
        <v>852</v>
      </c>
      <c r="O67" s="2" t="s">
        <v>852</v>
      </c>
      <c r="P67" s="2" t="s">
        <v>852</v>
      </c>
      <c r="Q67" s="2" t="s">
        <v>20</v>
      </c>
    </row>
    <row r="68" spans="1:17" x14ac:dyDescent="0.3">
      <c r="A68" s="2" t="s">
        <v>480</v>
      </c>
      <c r="B68" s="2" t="s">
        <v>13</v>
      </c>
      <c r="C68" s="2" t="s">
        <v>41</v>
      </c>
      <c r="D68" s="2" t="s">
        <v>62</v>
      </c>
      <c r="E68" s="2" t="s">
        <v>16</v>
      </c>
      <c r="F68" s="2" t="s">
        <v>61</v>
      </c>
      <c r="G68" s="2" t="s">
        <v>13</v>
      </c>
      <c r="H68" s="2" t="s">
        <v>14</v>
      </c>
      <c r="I68" s="2" t="s">
        <v>24</v>
      </c>
      <c r="J68" s="2" t="s">
        <v>16</v>
      </c>
      <c r="K68" s="2">
        <v>-98590.64</v>
      </c>
      <c r="L68" s="2">
        <v>0.12475243600130601</v>
      </c>
      <c r="M68" s="2">
        <v>0.35106158399869303</v>
      </c>
      <c r="N68" s="2" t="s">
        <v>19</v>
      </c>
      <c r="O68" s="2" t="s">
        <v>19</v>
      </c>
      <c r="P68" s="2" t="s">
        <v>40</v>
      </c>
      <c r="Q68" s="2" t="s">
        <v>20</v>
      </c>
    </row>
    <row r="69" spans="1:17" x14ac:dyDescent="0.3">
      <c r="A69" s="2" t="s">
        <v>480</v>
      </c>
      <c r="B69" s="2" t="s">
        <v>13</v>
      </c>
      <c r="C69" s="2" t="s">
        <v>41</v>
      </c>
      <c r="D69" s="2" t="s">
        <v>63</v>
      </c>
      <c r="E69" s="2" t="s">
        <v>16</v>
      </c>
      <c r="F69" s="2" t="s">
        <v>64</v>
      </c>
      <c r="G69" s="2" t="s">
        <v>13</v>
      </c>
      <c r="H69" s="2" t="s">
        <v>14</v>
      </c>
      <c r="I69" s="2" t="s">
        <v>25</v>
      </c>
      <c r="J69" s="2" t="s">
        <v>16</v>
      </c>
      <c r="K69" s="2">
        <v>-485586.28</v>
      </c>
      <c r="L69" s="2">
        <v>7.33755460896041</v>
      </c>
      <c r="M69" s="2">
        <v>20.648362679439501</v>
      </c>
      <c r="N69" s="2" t="s">
        <v>19</v>
      </c>
      <c r="O69" s="2" t="s">
        <v>19</v>
      </c>
      <c r="P69" s="2" t="s">
        <v>40</v>
      </c>
      <c r="Q69" s="2" t="s">
        <v>20</v>
      </c>
    </row>
    <row r="70" spans="1:17" x14ac:dyDescent="0.3">
      <c r="A70" s="2" t="s">
        <v>480</v>
      </c>
      <c r="B70" s="2" t="s">
        <v>13</v>
      </c>
      <c r="C70" s="2" t="s">
        <v>41</v>
      </c>
      <c r="D70" s="2" t="s">
        <v>63</v>
      </c>
      <c r="E70" s="2" t="s">
        <v>16</v>
      </c>
      <c r="F70" s="2" t="s">
        <v>64</v>
      </c>
      <c r="G70" s="2" t="s">
        <v>155</v>
      </c>
      <c r="H70" s="2" t="s">
        <v>155</v>
      </c>
      <c r="I70" s="2" t="s">
        <v>155</v>
      </c>
      <c r="J70" s="2" t="s">
        <v>155</v>
      </c>
      <c r="K70" s="2">
        <v>-544743.29</v>
      </c>
      <c r="L70" s="2" t="s">
        <v>155</v>
      </c>
      <c r="M70" s="2" t="s">
        <v>155</v>
      </c>
      <c r="N70" s="2" t="s">
        <v>852</v>
      </c>
      <c r="O70" s="2" t="s">
        <v>852</v>
      </c>
      <c r="P70" s="2" t="s">
        <v>852</v>
      </c>
      <c r="Q70" s="2" t="s">
        <v>20</v>
      </c>
    </row>
    <row r="71" spans="1:17" x14ac:dyDescent="0.3">
      <c r="A71" s="2" t="s">
        <v>480</v>
      </c>
      <c r="B71" s="2" t="s">
        <v>13</v>
      </c>
      <c r="C71" s="2" t="s">
        <v>41</v>
      </c>
      <c r="D71" s="2" t="s">
        <v>65</v>
      </c>
      <c r="E71" s="2" t="s">
        <v>16</v>
      </c>
      <c r="F71" s="2" t="s">
        <v>66</v>
      </c>
      <c r="G71" s="2" t="s">
        <v>13</v>
      </c>
      <c r="H71" s="2" t="s">
        <v>14</v>
      </c>
      <c r="I71" s="2" t="s">
        <v>855</v>
      </c>
      <c r="J71" s="2" t="s">
        <v>16</v>
      </c>
      <c r="K71" s="2">
        <v>-200715.334929729</v>
      </c>
      <c r="L71" s="2">
        <v>0.38351884479999998</v>
      </c>
      <c r="M71" s="2">
        <v>0.79051843519999998</v>
      </c>
      <c r="N71" s="2" t="s">
        <v>854</v>
      </c>
      <c r="O71" s="2" t="s">
        <v>854</v>
      </c>
      <c r="P71" s="2" t="s">
        <v>40</v>
      </c>
      <c r="Q71" s="2" t="s">
        <v>20</v>
      </c>
    </row>
    <row r="72" spans="1:17" x14ac:dyDescent="0.3">
      <c r="A72" s="2" t="s">
        <v>480</v>
      </c>
      <c r="B72" s="2" t="s">
        <v>13</v>
      </c>
      <c r="C72" s="2" t="s">
        <v>41</v>
      </c>
      <c r="D72" s="2" t="s">
        <v>65</v>
      </c>
      <c r="E72" s="2" t="s">
        <v>16</v>
      </c>
      <c r="F72" s="2" t="s">
        <v>66</v>
      </c>
      <c r="G72" s="2" t="s">
        <v>13</v>
      </c>
      <c r="H72" s="2" t="s">
        <v>14</v>
      </c>
      <c r="I72" s="2" t="s">
        <v>856</v>
      </c>
      <c r="J72" s="2" t="s">
        <v>16</v>
      </c>
      <c r="K72" s="2">
        <v>-178212.94079999899</v>
      </c>
      <c r="L72" s="2">
        <v>0.55859403221616999</v>
      </c>
      <c r="M72" s="2">
        <v>1.39750180817021</v>
      </c>
      <c r="N72" s="2" t="s">
        <v>854</v>
      </c>
      <c r="O72" s="2" t="s">
        <v>854</v>
      </c>
      <c r="P72" s="2" t="s">
        <v>40</v>
      </c>
      <c r="Q72" s="2" t="s">
        <v>20</v>
      </c>
    </row>
    <row r="73" spans="1:17" x14ac:dyDescent="0.3">
      <c r="A73" s="2" t="s">
        <v>480</v>
      </c>
      <c r="B73" s="2" t="s">
        <v>13</v>
      </c>
      <c r="C73" s="2" t="s">
        <v>41</v>
      </c>
      <c r="D73" s="2" t="s">
        <v>65</v>
      </c>
      <c r="E73" s="2" t="s">
        <v>16</v>
      </c>
      <c r="F73" s="2" t="s">
        <v>66</v>
      </c>
      <c r="G73" s="2" t="s">
        <v>13</v>
      </c>
      <c r="H73" s="2" t="s">
        <v>14</v>
      </c>
      <c r="I73" s="2" t="s">
        <v>31</v>
      </c>
      <c r="J73" s="2" t="s">
        <v>16</v>
      </c>
      <c r="K73" s="2">
        <v>-238570.533081081</v>
      </c>
      <c r="L73" s="2">
        <v>0.93055679741432795</v>
      </c>
      <c r="M73" s="2">
        <v>2.6186482105856599</v>
      </c>
      <c r="N73" s="2" t="s">
        <v>19</v>
      </c>
      <c r="O73" s="2" t="s">
        <v>19</v>
      </c>
      <c r="P73" s="2" t="s">
        <v>40</v>
      </c>
      <c r="Q73" s="2" t="s">
        <v>20</v>
      </c>
    </row>
    <row r="74" spans="1:17" x14ac:dyDescent="0.3">
      <c r="A74" s="2" t="s">
        <v>480</v>
      </c>
      <c r="B74" s="2" t="s">
        <v>13</v>
      </c>
      <c r="C74" s="2" t="s">
        <v>41</v>
      </c>
      <c r="D74" s="2" t="s">
        <v>65</v>
      </c>
      <c r="E74" s="2" t="s">
        <v>16</v>
      </c>
      <c r="F74" s="2" t="s">
        <v>66</v>
      </c>
      <c r="G74" s="2" t="s">
        <v>13</v>
      </c>
      <c r="H74" s="2" t="s">
        <v>14</v>
      </c>
      <c r="I74" s="2" t="s">
        <v>857</v>
      </c>
      <c r="J74" s="2" t="s">
        <v>16</v>
      </c>
      <c r="K74" s="2">
        <v>-161279.70107027001</v>
      </c>
      <c r="L74" s="2">
        <v>1.4179694663948901</v>
      </c>
      <c r="M74" s="2">
        <v>3.5475045899705502</v>
      </c>
      <c r="N74" s="2" t="s">
        <v>854</v>
      </c>
      <c r="O74" s="2" t="s">
        <v>854</v>
      </c>
      <c r="P74" s="2" t="s">
        <v>40</v>
      </c>
      <c r="Q74" s="2" t="s">
        <v>20</v>
      </c>
    </row>
    <row r="75" spans="1:17" x14ac:dyDescent="0.3">
      <c r="A75" s="2" t="s">
        <v>480</v>
      </c>
      <c r="B75" s="2" t="s">
        <v>13</v>
      </c>
      <c r="C75" s="2" t="s">
        <v>41</v>
      </c>
      <c r="D75" s="2" t="s">
        <v>65</v>
      </c>
      <c r="E75" s="2" t="s">
        <v>16</v>
      </c>
      <c r="F75" s="2" t="s">
        <v>66</v>
      </c>
      <c r="G75" s="2" t="s">
        <v>155</v>
      </c>
      <c r="H75" s="2" t="s">
        <v>155</v>
      </c>
      <c r="I75" s="2" t="s">
        <v>155</v>
      </c>
      <c r="J75" s="2" t="s">
        <v>155</v>
      </c>
      <c r="K75" s="2">
        <v>-1998922.99</v>
      </c>
      <c r="L75" s="2" t="s">
        <v>155</v>
      </c>
      <c r="M75" s="2" t="s">
        <v>155</v>
      </c>
      <c r="N75" s="2" t="s">
        <v>852</v>
      </c>
      <c r="O75" s="2" t="s">
        <v>852</v>
      </c>
      <c r="P75" s="2" t="s">
        <v>852</v>
      </c>
      <c r="Q75" s="2" t="s">
        <v>20</v>
      </c>
    </row>
    <row r="76" spans="1:17" x14ac:dyDescent="0.3">
      <c r="A76" s="2" t="s">
        <v>480</v>
      </c>
      <c r="B76" s="2" t="s">
        <v>13</v>
      </c>
      <c r="C76" s="2" t="s">
        <v>41</v>
      </c>
      <c r="D76" s="2" t="s">
        <v>65</v>
      </c>
      <c r="E76" s="2" t="s">
        <v>16</v>
      </c>
      <c r="F76" s="2" t="s">
        <v>66</v>
      </c>
      <c r="G76" s="2" t="s">
        <v>13</v>
      </c>
      <c r="H76" s="2" t="s">
        <v>14</v>
      </c>
      <c r="I76" s="2" t="s">
        <v>858</v>
      </c>
      <c r="J76" s="2" t="s">
        <v>16</v>
      </c>
      <c r="K76" s="2">
        <v>-176557.24624864801</v>
      </c>
      <c r="L76" s="2">
        <v>1.9765634986110601</v>
      </c>
      <c r="M76" s="2">
        <v>4.9450063981407704</v>
      </c>
      <c r="N76" s="2" t="s">
        <v>854</v>
      </c>
      <c r="O76" s="2" t="s">
        <v>854</v>
      </c>
      <c r="P76" s="2" t="s">
        <v>40</v>
      </c>
      <c r="Q76" s="2" t="s">
        <v>20</v>
      </c>
    </row>
    <row r="77" spans="1:17" x14ac:dyDescent="0.3">
      <c r="A77" s="2" t="s">
        <v>480</v>
      </c>
      <c r="B77" s="2" t="s">
        <v>13</v>
      </c>
      <c r="C77" s="2" t="s">
        <v>41</v>
      </c>
      <c r="D77" s="2" t="s">
        <v>65</v>
      </c>
      <c r="E77" s="2" t="s">
        <v>16</v>
      </c>
      <c r="F77" s="2" t="s">
        <v>66</v>
      </c>
      <c r="G77" s="2" t="s">
        <v>13</v>
      </c>
      <c r="H77" s="2" t="s">
        <v>14</v>
      </c>
      <c r="I77" s="2" t="s">
        <v>859</v>
      </c>
      <c r="J77" s="2" t="s">
        <v>16</v>
      </c>
      <c r="K77" s="2">
        <v>-168354.03233513501</v>
      </c>
      <c r="L77" s="2">
        <v>2.2558605147191502</v>
      </c>
      <c r="M77" s="2">
        <v>5.6437573022258798</v>
      </c>
      <c r="N77" s="2" t="s">
        <v>854</v>
      </c>
      <c r="O77" s="2" t="s">
        <v>854</v>
      </c>
      <c r="P77" s="2" t="s">
        <v>40</v>
      </c>
      <c r="Q77" s="2" t="s">
        <v>20</v>
      </c>
    </row>
    <row r="78" spans="1:17" x14ac:dyDescent="0.3">
      <c r="A78" s="2" t="s">
        <v>480</v>
      </c>
      <c r="B78" s="2" t="s">
        <v>13</v>
      </c>
      <c r="C78" s="2" t="s">
        <v>41</v>
      </c>
      <c r="D78" s="2" t="s">
        <v>65</v>
      </c>
      <c r="E78" s="2" t="s">
        <v>16</v>
      </c>
      <c r="F78" s="2" t="s">
        <v>66</v>
      </c>
      <c r="G78" s="2" t="s">
        <v>13</v>
      </c>
      <c r="H78" s="2" t="s">
        <v>14</v>
      </c>
      <c r="I78" s="2" t="s">
        <v>860</v>
      </c>
      <c r="J78" s="2" t="s">
        <v>16</v>
      </c>
      <c r="K78" s="2">
        <v>-232248.790248648</v>
      </c>
      <c r="L78" s="2">
        <v>0.76180951727252699</v>
      </c>
      <c r="M78" s="2">
        <v>2.1437822331274701</v>
      </c>
      <c r="N78" s="2" t="s">
        <v>19</v>
      </c>
      <c r="O78" s="2" t="s">
        <v>19</v>
      </c>
      <c r="P78" s="2" t="s">
        <v>40</v>
      </c>
      <c r="Q78" s="2" t="s">
        <v>20</v>
      </c>
    </row>
    <row r="79" spans="1:17" x14ac:dyDescent="0.3">
      <c r="A79" s="2" t="s">
        <v>480</v>
      </c>
      <c r="B79" s="2" t="s">
        <v>13</v>
      </c>
      <c r="C79" s="2" t="s">
        <v>41</v>
      </c>
      <c r="D79" s="2" t="s">
        <v>65</v>
      </c>
      <c r="E79" s="2" t="s">
        <v>16</v>
      </c>
      <c r="F79" s="2" t="s">
        <v>66</v>
      </c>
      <c r="G79" s="2" t="s">
        <v>13</v>
      </c>
      <c r="H79" s="2" t="s">
        <v>14</v>
      </c>
      <c r="I79" s="2" t="s">
        <v>861</v>
      </c>
      <c r="J79" s="2" t="s">
        <v>16</v>
      </c>
      <c r="K79" s="2">
        <v>-108372.73427027</v>
      </c>
      <c r="L79" s="2">
        <v>1.02050832808723</v>
      </c>
      <c r="M79" s="2">
        <v>2.5531283033879002</v>
      </c>
      <c r="N79" s="2" t="s">
        <v>854</v>
      </c>
      <c r="O79" s="2" t="s">
        <v>854</v>
      </c>
      <c r="P79" s="2" t="s">
        <v>40</v>
      </c>
      <c r="Q79" s="2" t="s">
        <v>20</v>
      </c>
    </row>
    <row r="80" spans="1:17" x14ac:dyDescent="0.3">
      <c r="A80" s="2" t="s">
        <v>480</v>
      </c>
      <c r="B80" s="2" t="s">
        <v>13</v>
      </c>
      <c r="C80" s="2" t="s">
        <v>41</v>
      </c>
      <c r="D80" s="2" t="s">
        <v>65</v>
      </c>
      <c r="E80" s="2" t="s">
        <v>16</v>
      </c>
      <c r="F80" s="2" t="s">
        <v>66</v>
      </c>
      <c r="G80" s="2" t="s">
        <v>13</v>
      </c>
      <c r="H80" s="2" t="s">
        <v>14</v>
      </c>
      <c r="I80" s="2" t="s">
        <v>862</v>
      </c>
      <c r="J80" s="2" t="s">
        <v>16</v>
      </c>
      <c r="K80" s="2">
        <v>-415278.29701621598</v>
      </c>
      <c r="L80" s="2">
        <v>0.56052754240000002</v>
      </c>
      <c r="M80" s="2">
        <v>1.1553730976000001</v>
      </c>
      <c r="N80" s="2" t="s">
        <v>854</v>
      </c>
      <c r="O80" s="2" t="s">
        <v>854</v>
      </c>
      <c r="P80" s="2" t="s">
        <v>40</v>
      </c>
      <c r="Q80" s="2" t="s">
        <v>20</v>
      </c>
    </row>
    <row r="81" spans="1:17" x14ac:dyDescent="0.3">
      <c r="A81" s="2" t="s">
        <v>481</v>
      </c>
      <c r="B81" s="2" t="s">
        <v>13</v>
      </c>
      <c r="C81" s="2" t="s">
        <v>478</v>
      </c>
      <c r="D81" s="2" t="s">
        <v>521</v>
      </c>
      <c r="E81" s="2" t="s">
        <v>16</v>
      </c>
      <c r="F81" s="2" t="s">
        <v>520</v>
      </c>
      <c r="G81" s="2" t="s">
        <v>13</v>
      </c>
      <c r="H81" s="2" t="s">
        <v>478</v>
      </c>
      <c r="I81" s="2" t="s">
        <v>479</v>
      </c>
      <c r="J81" s="2" t="s">
        <v>16</v>
      </c>
      <c r="K81" s="2">
        <v>-22962.79</v>
      </c>
      <c r="L81" s="2">
        <v>0.31647520674401403</v>
      </c>
      <c r="M81" s="2">
        <v>0.56521009565598501</v>
      </c>
      <c r="N81" s="2" t="s">
        <v>19</v>
      </c>
      <c r="O81" s="2" t="s">
        <v>19</v>
      </c>
      <c r="P81" s="2" t="s">
        <v>40</v>
      </c>
      <c r="Q81" s="2" t="s">
        <v>20</v>
      </c>
    </row>
    <row r="82" spans="1:17" x14ac:dyDescent="0.3">
      <c r="A82" s="2" t="s">
        <v>481</v>
      </c>
      <c r="B82" s="2" t="s">
        <v>13</v>
      </c>
      <c r="C82" s="2" t="s">
        <v>478</v>
      </c>
      <c r="D82" s="2" t="s">
        <v>521</v>
      </c>
      <c r="E82" s="2" t="s">
        <v>16</v>
      </c>
      <c r="F82" s="2" t="s">
        <v>520</v>
      </c>
      <c r="G82" s="2" t="s">
        <v>155</v>
      </c>
      <c r="H82" s="2" t="s">
        <v>155</v>
      </c>
      <c r="I82" s="2" t="s">
        <v>155</v>
      </c>
      <c r="J82" s="2" t="s">
        <v>155</v>
      </c>
      <c r="K82" s="2">
        <v>-64544.61</v>
      </c>
      <c r="L82" s="2" t="s">
        <v>155</v>
      </c>
      <c r="M82" s="2" t="s">
        <v>155</v>
      </c>
      <c r="N82" s="2" t="s">
        <v>852</v>
      </c>
      <c r="O82" s="2" t="s">
        <v>852</v>
      </c>
      <c r="P82" s="2" t="s">
        <v>852</v>
      </c>
      <c r="Q82" s="2" t="s">
        <v>20</v>
      </c>
    </row>
    <row r="83" spans="1:17" x14ac:dyDescent="0.3">
      <c r="A83" s="2" t="s">
        <v>481</v>
      </c>
      <c r="B83" s="2" t="s">
        <v>13</v>
      </c>
      <c r="C83" s="2" t="s">
        <v>41</v>
      </c>
      <c r="D83" s="2" t="s">
        <v>519</v>
      </c>
      <c r="E83" s="2" t="s">
        <v>16</v>
      </c>
      <c r="F83" s="2" t="s">
        <v>520</v>
      </c>
      <c r="G83" s="2" t="s">
        <v>155</v>
      </c>
      <c r="H83" s="2" t="s">
        <v>155</v>
      </c>
      <c r="I83" s="2" t="s">
        <v>155</v>
      </c>
      <c r="J83" s="2" t="s">
        <v>155</v>
      </c>
      <c r="K83" s="2">
        <v>-49785.66</v>
      </c>
      <c r="L83" s="2" t="s">
        <v>155</v>
      </c>
      <c r="M83" s="2" t="s">
        <v>155</v>
      </c>
      <c r="N83" s="2" t="s">
        <v>852</v>
      </c>
      <c r="O83" s="2" t="s">
        <v>852</v>
      </c>
      <c r="P83" s="2" t="s">
        <v>852</v>
      </c>
      <c r="Q83" s="2" t="s">
        <v>20</v>
      </c>
    </row>
    <row r="84" spans="1:17" x14ac:dyDescent="0.3">
      <c r="A84" s="2" t="s">
        <v>481</v>
      </c>
      <c r="B84" s="2" t="s">
        <v>13</v>
      </c>
      <c r="C84" s="2" t="s">
        <v>41</v>
      </c>
      <c r="D84" s="2" t="s">
        <v>519</v>
      </c>
      <c r="E84" s="2" t="s">
        <v>16</v>
      </c>
      <c r="F84" s="2" t="s">
        <v>520</v>
      </c>
      <c r="G84" s="2" t="s">
        <v>13</v>
      </c>
      <c r="H84" s="2" t="s">
        <v>478</v>
      </c>
      <c r="I84" s="2" t="s">
        <v>479</v>
      </c>
      <c r="J84" s="2" t="s">
        <v>16</v>
      </c>
      <c r="K84" s="2">
        <v>-31163.8</v>
      </c>
      <c r="L84" s="2">
        <v>0.42950275374403601</v>
      </c>
      <c r="M84" s="2">
        <v>0.76707207185596304</v>
      </c>
      <c r="N84" s="2" t="s">
        <v>19</v>
      </c>
      <c r="O84" s="2" t="s">
        <v>19</v>
      </c>
      <c r="P84" s="2" t="s">
        <v>40</v>
      </c>
      <c r="Q84" s="2" t="s">
        <v>20</v>
      </c>
    </row>
    <row r="85" spans="1:17" x14ac:dyDescent="0.3">
      <c r="A85" s="2" t="s">
        <v>481</v>
      </c>
      <c r="B85" s="2" t="s">
        <v>13</v>
      </c>
      <c r="C85" s="2" t="s">
        <v>41</v>
      </c>
      <c r="D85" s="2" t="s">
        <v>515</v>
      </c>
      <c r="E85" s="2" t="s">
        <v>16</v>
      </c>
      <c r="F85" s="2" t="s">
        <v>516</v>
      </c>
      <c r="G85" s="2" t="s">
        <v>155</v>
      </c>
      <c r="H85" s="2" t="s">
        <v>155</v>
      </c>
      <c r="I85" s="2" t="s">
        <v>155</v>
      </c>
      <c r="J85" s="2" t="s">
        <v>155</v>
      </c>
      <c r="K85" s="2">
        <v>-93412.54</v>
      </c>
      <c r="L85" s="2" t="s">
        <v>155</v>
      </c>
      <c r="M85" s="2" t="s">
        <v>155</v>
      </c>
      <c r="N85" s="2" t="s">
        <v>852</v>
      </c>
      <c r="O85" s="2" t="s">
        <v>852</v>
      </c>
      <c r="P85" s="2" t="s">
        <v>852</v>
      </c>
      <c r="Q85" s="2" t="s">
        <v>20</v>
      </c>
    </row>
    <row r="86" spans="1:17" x14ac:dyDescent="0.3">
      <c r="A86" s="2" t="s">
        <v>481</v>
      </c>
      <c r="B86" s="2" t="s">
        <v>13</v>
      </c>
      <c r="C86" s="2" t="s">
        <v>41</v>
      </c>
      <c r="D86" s="2" t="s">
        <v>515</v>
      </c>
      <c r="E86" s="2" t="s">
        <v>16</v>
      </c>
      <c r="F86" s="2" t="s">
        <v>516</v>
      </c>
      <c r="G86" s="2" t="s">
        <v>13</v>
      </c>
      <c r="H86" s="2" t="s">
        <v>464</v>
      </c>
      <c r="I86" s="2" t="s">
        <v>477</v>
      </c>
      <c r="J86" s="2" t="s">
        <v>16</v>
      </c>
      <c r="K86" s="2">
        <v>-58351.360000000001</v>
      </c>
      <c r="L86" s="2">
        <v>0.434256512990354</v>
      </c>
      <c r="M86" s="2">
        <v>0.77556206620964496</v>
      </c>
      <c r="N86" s="2" t="s">
        <v>19</v>
      </c>
      <c r="O86" s="2" t="s">
        <v>19</v>
      </c>
      <c r="P86" s="2" t="s">
        <v>40</v>
      </c>
      <c r="Q86" s="2" t="s">
        <v>20</v>
      </c>
    </row>
    <row r="87" spans="1:17" x14ac:dyDescent="0.3">
      <c r="A87" s="2" t="s">
        <v>481</v>
      </c>
      <c r="B87" s="2" t="s">
        <v>13</v>
      </c>
      <c r="C87" s="2" t="s">
        <v>41</v>
      </c>
      <c r="D87" s="2" t="s">
        <v>517</v>
      </c>
      <c r="E87" s="2" t="s">
        <v>16</v>
      </c>
      <c r="F87" s="2" t="s">
        <v>516</v>
      </c>
      <c r="G87" s="2" t="s">
        <v>155</v>
      </c>
      <c r="H87" s="2" t="s">
        <v>155</v>
      </c>
      <c r="I87" s="2" t="s">
        <v>155</v>
      </c>
      <c r="J87" s="2" t="s">
        <v>155</v>
      </c>
      <c r="K87" s="2">
        <v>-112074.06</v>
      </c>
      <c r="L87" s="2" t="s">
        <v>155</v>
      </c>
      <c r="M87" s="2" t="s">
        <v>155</v>
      </c>
      <c r="N87" s="2" t="s">
        <v>852</v>
      </c>
      <c r="O87" s="2" t="s">
        <v>852</v>
      </c>
      <c r="P87" s="2" t="s">
        <v>852</v>
      </c>
      <c r="Q87" s="2" t="s">
        <v>20</v>
      </c>
    </row>
    <row r="88" spans="1:17" x14ac:dyDescent="0.3">
      <c r="A88" s="2" t="s">
        <v>481</v>
      </c>
      <c r="B88" s="2" t="s">
        <v>13</v>
      </c>
      <c r="C88" s="2" t="s">
        <v>41</v>
      </c>
      <c r="D88" s="2" t="s">
        <v>517</v>
      </c>
      <c r="E88" s="2" t="s">
        <v>16</v>
      </c>
      <c r="F88" s="2" t="s">
        <v>516</v>
      </c>
      <c r="G88" s="2" t="s">
        <v>13</v>
      </c>
      <c r="H88" s="2" t="s">
        <v>464</v>
      </c>
      <c r="I88" s="2" t="s">
        <v>477</v>
      </c>
      <c r="J88" s="2" t="s">
        <v>16</v>
      </c>
      <c r="K88" s="2">
        <v>-117554.78</v>
      </c>
      <c r="L88" s="2">
        <v>0.87485480352518197</v>
      </c>
      <c r="M88" s="2">
        <v>1.56245025407481</v>
      </c>
      <c r="N88" s="2" t="s">
        <v>19</v>
      </c>
      <c r="O88" s="2" t="s">
        <v>19</v>
      </c>
      <c r="P88" s="2" t="s">
        <v>40</v>
      </c>
      <c r="Q88" s="2" t="s">
        <v>20</v>
      </c>
    </row>
    <row r="89" spans="1:17" x14ac:dyDescent="0.3">
      <c r="A89" s="2" t="s">
        <v>481</v>
      </c>
      <c r="B89" s="2" t="s">
        <v>13</v>
      </c>
      <c r="C89" s="2" t="s">
        <v>41</v>
      </c>
      <c r="D89" s="2" t="s">
        <v>511</v>
      </c>
      <c r="E89" s="2" t="s">
        <v>16</v>
      </c>
      <c r="F89" s="2" t="s">
        <v>510</v>
      </c>
      <c r="G89" s="2" t="s">
        <v>13</v>
      </c>
      <c r="H89" s="2" t="s">
        <v>464</v>
      </c>
      <c r="I89" s="2" t="s">
        <v>475</v>
      </c>
      <c r="J89" s="2" t="s">
        <v>16</v>
      </c>
      <c r="K89" s="2">
        <v>-120628.35</v>
      </c>
      <c r="L89" s="2">
        <v>1.23334806897612</v>
      </c>
      <c r="M89" s="2">
        <v>2.20270266102386</v>
      </c>
      <c r="N89" s="2" t="s">
        <v>19</v>
      </c>
      <c r="O89" s="2" t="s">
        <v>19</v>
      </c>
      <c r="P89" s="2" t="s">
        <v>40</v>
      </c>
      <c r="Q89" s="2" t="s">
        <v>20</v>
      </c>
    </row>
    <row r="90" spans="1:17" x14ac:dyDescent="0.3">
      <c r="A90" s="2" t="s">
        <v>481</v>
      </c>
      <c r="B90" s="2" t="s">
        <v>13</v>
      </c>
      <c r="C90" s="2" t="s">
        <v>41</v>
      </c>
      <c r="D90" s="2" t="s">
        <v>511</v>
      </c>
      <c r="E90" s="2" t="s">
        <v>16</v>
      </c>
      <c r="F90" s="2" t="s">
        <v>510</v>
      </c>
      <c r="G90" s="2" t="s">
        <v>155</v>
      </c>
      <c r="H90" s="2" t="s">
        <v>155</v>
      </c>
      <c r="I90" s="2" t="s">
        <v>155</v>
      </c>
      <c r="J90" s="2" t="s">
        <v>155</v>
      </c>
      <c r="K90" s="2">
        <v>-174156.28</v>
      </c>
      <c r="L90" s="2" t="s">
        <v>155</v>
      </c>
      <c r="M90" s="2" t="s">
        <v>155</v>
      </c>
      <c r="N90" s="2" t="s">
        <v>852</v>
      </c>
      <c r="O90" s="2" t="s">
        <v>852</v>
      </c>
      <c r="P90" s="2" t="s">
        <v>852</v>
      </c>
      <c r="Q90" s="2" t="s">
        <v>20</v>
      </c>
    </row>
    <row r="91" spans="1:17" x14ac:dyDescent="0.3">
      <c r="A91" s="2" t="s">
        <v>481</v>
      </c>
      <c r="B91" s="2" t="s">
        <v>13</v>
      </c>
      <c r="C91" s="2" t="s">
        <v>41</v>
      </c>
      <c r="D91" s="2" t="s">
        <v>518</v>
      </c>
      <c r="E91" s="2" t="s">
        <v>16</v>
      </c>
      <c r="F91" s="2" t="s">
        <v>516</v>
      </c>
      <c r="G91" s="2" t="s">
        <v>13</v>
      </c>
      <c r="H91" s="2" t="s">
        <v>464</v>
      </c>
      <c r="I91" s="2" t="s">
        <v>477</v>
      </c>
      <c r="J91" s="2" t="s">
        <v>16</v>
      </c>
      <c r="K91" s="2">
        <v>-17735.810000000001</v>
      </c>
      <c r="L91" s="2">
        <v>0.13199090071603101</v>
      </c>
      <c r="M91" s="2">
        <v>0.23572964968396801</v>
      </c>
      <c r="N91" s="2" t="s">
        <v>19</v>
      </c>
      <c r="O91" s="2" t="s">
        <v>19</v>
      </c>
      <c r="P91" s="2" t="s">
        <v>40</v>
      </c>
      <c r="Q91" s="2" t="s">
        <v>20</v>
      </c>
    </row>
    <row r="92" spans="1:17" x14ac:dyDescent="0.3">
      <c r="A92" s="2" t="s">
        <v>481</v>
      </c>
      <c r="B92" s="2" t="s">
        <v>13</v>
      </c>
      <c r="C92" s="2" t="s">
        <v>41</v>
      </c>
      <c r="D92" s="2" t="s">
        <v>518</v>
      </c>
      <c r="E92" s="2" t="s">
        <v>16</v>
      </c>
      <c r="F92" s="2" t="s">
        <v>516</v>
      </c>
      <c r="G92" s="2" t="s">
        <v>155</v>
      </c>
      <c r="H92" s="2" t="s">
        <v>155</v>
      </c>
      <c r="I92" s="2" t="s">
        <v>155</v>
      </c>
      <c r="J92" s="2" t="s">
        <v>155</v>
      </c>
      <c r="K92" s="2">
        <v>-17264.32</v>
      </c>
      <c r="L92" s="2" t="s">
        <v>155</v>
      </c>
      <c r="M92" s="2" t="s">
        <v>155</v>
      </c>
      <c r="N92" s="2" t="s">
        <v>852</v>
      </c>
      <c r="O92" s="2" t="s">
        <v>852</v>
      </c>
      <c r="P92" s="2" t="s">
        <v>852</v>
      </c>
      <c r="Q92" s="2" t="s">
        <v>20</v>
      </c>
    </row>
    <row r="93" spans="1:17" x14ac:dyDescent="0.3">
      <c r="A93" s="2" t="s">
        <v>481</v>
      </c>
      <c r="B93" s="2" t="s">
        <v>13</v>
      </c>
      <c r="C93" s="2" t="s">
        <v>41</v>
      </c>
      <c r="D93" s="2" t="s">
        <v>512</v>
      </c>
      <c r="E93" s="2" t="s">
        <v>16</v>
      </c>
      <c r="F93" s="2" t="s">
        <v>513</v>
      </c>
      <c r="G93" s="2" t="s">
        <v>13</v>
      </c>
      <c r="H93" s="2" t="s">
        <v>464</v>
      </c>
      <c r="I93" s="2" t="s">
        <v>476</v>
      </c>
      <c r="J93" s="2" t="s">
        <v>16</v>
      </c>
      <c r="K93" s="2">
        <v>-230985.88</v>
      </c>
      <c r="L93" s="2">
        <v>0.83058219385716203</v>
      </c>
      <c r="M93" s="2">
        <v>1.48338141894283</v>
      </c>
      <c r="N93" s="2" t="s">
        <v>19</v>
      </c>
      <c r="O93" s="2" t="s">
        <v>19</v>
      </c>
      <c r="P93" s="2" t="s">
        <v>40</v>
      </c>
      <c r="Q93" s="2" t="s">
        <v>20</v>
      </c>
    </row>
    <row r="94" spans="1:17" x14ac:dyDescent="0.3">
      <c r="A94" s="2" t="s">
        <v>481</v>
      </c>
      <c r="B94" s="2" t="s">
        <v>13</v>
      </c>
      <c r="C94" s="2" t="s">
        <v>41</v>
      </c>
      <c r="D94" s="2" t="s">
        <v>512</v>
      </c>
      <c r="E94" s="2" t="s">
        <v>16</v>
      </c>
      <c r="F94" s="2" t="s">
        <v>513</v>
      </c>
      <c r="G94" s="2" t="s">
        <v>155</v>
      </c>
      <c r="H94" s="2" t="s">
        <v>155</v>
      </c>
      <c r="I94" s="2" t="s">
        <v>155</v>
      </c>
      <c r="J94" s="2" t="s">
        <v>155</v>
      </c>
      <c r="K94" s="2">
        <v>-401975.32</v>
      </c>
      <c r="L94" s="2" t="s">
        <v>155</v>
      </c>
      <c r="M94" s="2" t="s">
        <v>155</v>
      </c>
      <c r="N94" s="2" t="s">
        <v>852</v>
      </c>
      <c r="O94" s="2" t="s">
        <v>852</v>
      </c>
      <c r="P94" s="2" t="s">
        <v>852</v>
      </c>
      <c r="Q94" s="2" t="s">
        <v>20</v>
      </c>
    </row>
    <row r="95" spans="1:17" x14ac:dyDescent="0.3">
      <c r="A95" s="2" t="s">
        <v>481</v>
      </c>
      <c r="B95" s="2" t="s">
        <v>13</v>
      </c>
      <c r="C95" s="2" t="s">
        <v>41</v>
      </c>
      <c r="D95" s="2" t="s">
        <v>509</v>
      </c>
      <c r="E95" s="2" t="s">
        <v>16</v>
      </c>
      <c r="F95" s="2" t="s">
        <v>510</v>
      </c>
      <c r="G95" s="2" t="s">
        <v>155</v>
      </c>
      <c r="H95" s="2" t="s">
        <v>155</v>
      </c>
      <c r="I95" s="2" t="s">
        <v>155</v>
      </c>
      <c r="J95" s="2" t="s">
        <v>155</v>
      </c>
      <c r="K95" s="2">
        <v>-20420.41</v>
      </c>
      <c r="L95" s="2" t="s">
        <v>155</v>
      </c>
      <c r="M95" s="2" t="s">
        <v>155</v>
      </c>
      <c r="N95" s="2" t="s">
        <v>852</v>
      </c>
      <c r="O95" s="2" t="s">
        <v>852</v>
      </c>
      <c r="P95" s="2" t="s">
        <v>852</v>
      </c>
      <c r="Q95" s="2" t="s">
        <v>20</v>
      </c>
    </row>
    <row r="96" spans="1:17" x14ac:dyDescent="0.3">
      <c r="A96" s="2" t="s">
        <v>481</v>
      </c>
      <c r="B96" s="2" t="s">
        <v>13</v>
      </c>
      <c r="C96" s="2" t="s">
        <v>41</v>
      </c>
      <c r="D96" s="2" t="s">
        <v>509</v>
      </c>
      <c r="E96" s="2" t="s">
        <v>16</v>
      </c>
      <c r="F96" s="2" t="s">
        <v>510</v>
      </c>
      <c r="G96" s="2" t="s">
        <v>13</v>
      </c>
      <c r="H96" s="2" t="s">
        <v>464</v>
      </c>
      <c r="I96" s="2" t="s">
        <v>475</v>
      </c>
      <c r="J96" s="2" t="s">
        <v>16</v>
      </c>
      <c r="K96" s="2">
        <v>-18558.59</v>
      </c>
      <c r="L96" s="2">
        <v>0.18974933305050501</v>
      </c>
      <c r="M96" s="2">
        <v>0.33888354094949302</v>
      </c>
      <c r="N96" s="2" t="s">
        <v>19</v>
      </c>
      <c r="O96" s="2" t="s">
        <v>19</v>
      </c>
      <c r="P96" s="2" t="s">
        <v>40</v>
      </c>
      <c r="Q96" s="2" t="s">
        <v>20</v>
      </c>
    </row>
    <row r="97" spans="1:17" x14ac:dyDescent="0.3">
      <c r="A97" s="2" t="s">
        <v>481</v>
      </c>
      <c r="B97" s="2" t="s">
        <v>13</v>
      </c>
      <c r="C97" s="2" t="s">
        <v>41</v>
      </c>
      <c r="D97" s="2" t="s">
        <v>492</v>
      </c>
      <c r="E97" s="2" t="s">
        <v>16</v>
      </c>
      <c r="F97" s="2" t="s">
        <v>491</v>
      </c>
      <c r="G97" s="2" t="s">
        <v>155</v>
      </c>
      <c r="H97" s="2" t="s">
        <v>155</v>
      </c>
      <c r="I97" s="2" t="s">
        <v>155</v>
      </c>
      <c r="J97" s="2" t="s">
        <v>155</v>
      </c>
      <c r="K97" s="2">
        <v>-106912.85</v>
      </c>
      <c r="L97" s="2" t="s">
        <v>155</v>
      </c>
      <c r="M97" s="2" t="s">
        <v>155</v>
      </c>
      <c r="N97" s="2" t="s">
        <v>852</v>
      </c>
      <c r="O97" s="2" t="s">
        <v>852</v>
      </c>
      <c r="P97" s="2" t="s">
        <v>852</v>
      </c>
      <c r="Q97" s="2" t="s">
        <v>20</v>
      </c>
    </row>
    <row r="98" spans="1:17" x14ac:dyDescent="0.3">
      <c r="A98" s="2" t="s">
        <v>481</v>
      </c>
      <c r="B98" s="2" t="s">
        <v>13</v>
      </c>
      <c r="C98" s="2" t="s">
        <v>41</v>
      </c>
      <c r="D98" s="2" t="s">
        <v>492</v>
      </c>
      <c r="E98" s="2" t="s">
        <v>16</v>
      </c>
      <c r="F98" s="2" t="s">
        <v>491</v>
      </c>
      <c r="G98" s="2" t="s">
        <v>13</v>
      </c>
      <c r="H98" s="2" t="s">
        <v>464</v>
      </c>
      <c r="I98" s="2" t="s">
        <v>468</v>
      </c>
      <c r="J98" s="2" t="s">
        <v>16</v>
      </c>
      <c r="K98" s="2">
        <v>-73967.86</v>
      </c>
      <c r="L98" s="2">
        <v>0.58405944208137595</v>
      </c>
      <c r="M98" s="2">
        <v>1.04310317551862</v>
      </c>
      <c r="N98" s="2" t="s">
        <v>19</v>
      </c>
      <c r="O98" s="2" t="s">
        <v>19</v>
      </c>
      <c r="P98" s="2" t="s">
        <v>40</v>
      </c>
      <c r="Q98" s="2" t="s">
        <v>20</v>
      </c>
    </row>
    <row r="99" spans="1:17" x14ac:dyDescent="0.3">
      <c r="A99" s="2" t="s">
        <v>481</v>
      </c>
      <c r="B99" s="2" t="s">
        <v>13</v>
      </c>
      <c r="C99" s="2" t="s">
        <v>41</v>
      </c>
      <c r="D99" s="2" t="s">
        <v>507</v>
      </c>
      <c r="E99" s="2" t="s">
        <v>16</v>
      </c>
      <c r="F99" s="2" t="s">
        <v>508</v>
      </c>
      <c r="G99" s="2" t="s">
        <v>13</v>
      </c>
      <c r="H99" s="2" t="s">
        <v>464</v>
      </c>
      <c r="I99" s="2" t="s">
        <v>474</v>
      </c>
      <c r="J99" s="2" t="s">
        <v>16</v>
      </c>
      <c r="K99" s="2">
        <v>-186858.92</v>
      </c>
      <c r="L99" s="2">
        <v>1.32802067651477</v>
      </c>
      <c r="M99" s="2">
        <v>2.37178356348522</v>
      </c>
      <c r="N99" s="2" t="s">
        <v>19</v>
      </c>
      <c r="O99" s="2" t="s">
        <v>19</v>
      </c>
      <c r="P99" s="2" t="s">
        <v>40</v>
      </c>
      <c r="Q99" s="2" t="s">
        <v>20</v>
      </c>
    </row>
    <row r="100" spans="1:17" x14ac:dyDescent="0.3">
      <c r="A100" s="2" t="s">
        <v>481</v>
      </c>
      <c r="B100" s="2" t="s">
        <v>13</v>
      </c>
      <c r="C100" s="2" t="s">
        <v>41</v>
      </c>
      <c r="D100" s="2" t="s">
        <v>507</v>
      </c>
      <c r="E100" s="2" t="s">
        <v>16</v>
      </c>
      <c r="F100" s="2" t="s">
        <v>508</v>
      </c>
      <c r="G100" s="2" t="s">
        <v>155</v>
      </c>
      <c r="H100" s="2" t="s">
        <v>155</v>
      </c>
      <c r="I100" s="2" t="s">
        <v>155</v>
      </c>
      <c r="J100" s="2" t="s">
        <v>155</v>
      </c>
      <c r="K100" s="2">
        <v>-261971.69</v>
      </c>
      <c r="L100" s="2" t="s">
        <v>155</v>
      </c>
      <c r="M100" s="2" t="s">
        <v>155</v>
      </c>
      <c r="N100" s="2" t="s">
        <v>852</v>
      </c>
      <c r="O100" s="2" t="s">
        <v>852</v>
      </c>
      <c r="P100" s="2" t="s">
        <v>852</v>
      </c>
      <c r="Q100" s="2" t="s">
        <v>20</v>
      </c>
    </row>
    <row r="101" spans="1:17" x14ac:dyDescent="0.3">
      <c r="A101" s="2" t="s">
        <v>481</v>
      </c>
      <c r="B101" s="2" t="s">
        <v>13</v>
      </c>
      <c r="C101" s="2" t="s">
        <v>41</v>
      </c>
      <c r="D101" s="2" t="s">
        <v>496</v>
      </c>
      <c r="E101" s="2" t="s">
        <v>16</v>
      </c>
      <c r="F101" s="2" t="s">
        <v>494</v>
      </c>
      <c r="G101" s="2" t="s">
        <v>155</v>
      </c>
      <c r="H101" s="2" t="s">
        <v>155</v>
      </c>
      <c r="I101" s="2" t="s">
        <v>155</v>
      </c>
      <c r="J101" s="2" t="s">
        <v>155</v>
      </c>
      <c r="K101" s="2">
        <v>-80393.81</v>
      </c>
      <c r="L101" s="2" t="s">
        <v>155</v>
      </c>
      <c r="M101" s="2" t="s">
        <v>155</v>
      </c>
      <c r="N101" s="2" t="s">
        <v>852</v>
      </c>
      <c r="O101" s="2" t="s">
        <v>852</v>
      </c>
      <c r="P101" s="2" t="s">
        <v>852</v>
      </c>
      <c r="Q101" s="2" t="s">
        <v>20</v>
      </c>
    </row>
    <row r="102" spans="1:17" x14ac:dyDescent="0.3">
      <c r="A102" s="2" t="s">
        <v>481</v>
      </c>
      <c r="B102" s="2" t="s">
        <v>13</v>
      </c>
      <c r="C102" s="2" t="s">
        <v>41</v>
      </c>
      <c r="D102" s="2" t="s">
        <v>496</v>
      </c>
      <c r="E102" s="2" t="s">
        <v>16</v>
      </c>
      <c r="F102" s="2" t="s">
        <v>494</v>
      </c>
      <c r="G102" s="2" t="s">
        <v>13</v>
      </c>
      <c r="H102" s="2" t="s">
        <v>464</v>
      </c>
      <c r="I102" s="2" t="s">
        <v>469</v>
      </c>
      <c r="J102" s="2" t="s">
        <v>16</v>
      </c>
      <c r="K102" s="2">
        <v>-57520.22</v>
      </c>
      <c r="L102" s="2">
        <v>0.15608701091905899</v>
      </c>
      <c r="M102" s="2">
        <v>0.27876418908093997</v>
      </c>
      <c r="N102" s="2" t="s">
        <v>19</v>
      </c>
      <c r="O102" s="2" t="s">
        <v>19</v>
      </c>
      <c r="P102" s="2" t="s">
        <v>40</v>
      </c>
      <c r="Q102" s="2" t="s">
        <v>20</v>
      </c>
    </row>
    <row r="103" spans="1:17" x14ac:dyDescent="0.3">
      <c r="A103" s="2" t="s">
        <v>481</v>
      </c>
      <c r="B103" s="2" t="s">
        <v>13</v>
      </c>
      <c r="C103" s="2" t="s">
        <v>41</v>
      </c>
      <c r="D103" s="2" t="s">
        <v>514</v>
      </c>
      <c r="E103" s="2" t="s">
        <v>16</v>
      </c>
      <c r="F103" s="2" t="s">
        <v>513</v>
      </c>
      <c r="G103" s="2" t="s">
        <v>13</v>
      </c>
      <c r="H103" s="2" t="s">
        <v>464</v>
      </c>
      <c r="I103" s="2" t="s">
        <v>476</v>
      </c>
      <c r="J103" s="2" t="s">
        <v>16</v>
      </c>
      <c r="K103" s="2">
        <v>-91107.31</v>
      </c>
      <c r="L103" s="2">
        <v>0.32760451193407403</v>
      </c>
      <c r="M103" s="2">
        <v>0.58508652046592302</v>
      </c>
      <c r="N103" s="2" t="s">
        <v>19</v>
      </c>
      <c r="O103" s="2" t="s">
        <v>19</v>
      </c>
      <c r="P103" s="2" t="s">
        <v>40</v>
      </c>
      <c r="Q103" s="2" t="s">
        <v>20</v>
      </c>
    </row>
    <row r="104" spans="1:17" x14ac:dyDescent="0.3">
      <c r="A104" s="2" t="s">
        <v>481</v>
      </c>
      <c r="B104" s="2" t="s">
        <v>13</v>
      </c>
      <c r="C104" s="2" t="s">
        <v>41</v>
      </c>
      <c r="D104" s="2" t="s">
        <v>514</v>
      </c>
      <c r="E104" s="2" t="s">
        <v>16</v>
      </c>
      <c r="F104" s="2" t="s">
        <v>513</v>
      </c>
      <c r="G104" s="2" t="s">
        <v>155</v>
      </c>
      <c r="H104" s="2" t="s">
        <v>155</v>
      </c>
      <c r="I104" s="2" t="s">
        <v>155</v>
      </c>
      <c r="J104" s="2" t="s">
        <v>155</v>
      </c>
      <c r="K104" s="2">
        <v>-99990.25</v>
      </c>
      <c r="L104" s="2" t="s">
        <v>155</v>
      </c>
      <c r="M104" s="2" t="s">
        <v>155</v>
      </c>
      <c r="N104" s="2" t="s">
        <v>852</v>
      </c>
      <c r="O104" s="2" t="s">
        <v>852</v>
      </c>
      <c r="P104" s="2" t="s">
        <v>852</v>
      </c>
      <c r="Q104" s="2" t="s">
        <v>20</v>
      </c>
    </row>
    <row r="105" spans="1:17" x14ac:dyDescent="0.3">
      <c r="A105" s="2" t="s">
        <v>481</v>
      </c>
      <c r="B105" s="2" t="s">
        <v>13</v>
      </c>
      <c r="C105" s="2" t="s">
        <v>41</v>
      </c>
      <c r="D105" s="2" t="s">
        <v>497</v>
      </c>
      <c r="E105" s="2" t="s">
        <v>16</v>
      </c>
      <c r="F105" s="2" t="s">
        <v>498</v>
      </c>
      <c r="G105" s="2" t="s">
        <v>13</v>
      </c>
      <c r="H105" s="2" t="s">
        <v>464</v>
      </c>
      <c r="I105" s="2" t="s">
        <v>470</v>
      </c>
      <c r="J105" s="2" t="s">
        <v>16</v>
      </c>
      <c r="K105" s="2">
        <v>-97016.65</v>
      </c>
      <c r="L105" s="2">
        <v>1.33156328085633</v>
      </c>
      <c r="M105" s="2">
        <v>2.3781104911436501</v>
      </c>
      <c r="N105" s="2" t="s">
        <v>19</v>
      </c>
      <c r="O105" s="2" t="s">
        <v>19</v>
      </c>
      <c r="P105" s="2" t="s">
        <v>40</v>
      </c>
      <c r="Q105" s="2" t="s">
        <v>20</v>
      </c>
    </row>
    <row r="106" spans="1:17" x14ac:dyDescent="0.3">
      <c r="A106" s="2" t="s">
        <v>481</v>
      </c>
      <c r="B106" s="2" t="s">
        <v>13</v>
      </c>
      <c r="C106" s="2" t="s">
        <v>41</v>
      </c>
      <c r="D106" s="2" t="s">
        <v>497</v>
      </c>
      <c r="E106" s="2" t="s">
        <v>16</v>
      </c>
      <c r="F106" s="2" t="s">
        <v>498</v>
      </c>
      <c r="G106" s="2" t="s">
        <v>155</v>
      </c>
      <c r="H106" s="2" t="s">
        <v>155</v>
      </c>
      <c r="I106" s="2" t="s">
        <v>155</v>
      </c>
      <c r="J106" s="2" t="s">
        <v>155</v>
      </c>
      <c r="K106" s="2">
        <v>-143753</v>
      </c>
      <c r="L106" s="2" t="s">
        <v>155</v>
      </c>
      <c r="M106" s="2" t="s">
        <v>155</v>
      </c>
      <c r="N106" s="2" t="s">
        <v>852</v>
      </c>
      <c r="O106" s="2" t="s">
        <v>852</v>
      </c>
      <c r="P106" s="2" t="s">
        <v>852</v>
      </c>
      <c r="Q106" s="2" t="s">
        <v>20</v>
      </c>
    </row>
    <row r="107" spans="1:17" x14ac:dyDescent="0.3">
      <c r="A107" s="2" t="s">
        <v>481</v>
      </c>
      <c r="B107" s="2" t="s">
        <v>13</v>
      </c>
      <c r="C107" s="2" t="s">
        <v>41</v>
      </c>
      <c r="D107" s="2" t="s">
        <v>495</v>
      </c>
      <c r="E107" s="2" t="s">
        <v>16</v>
      </c>
      <c r="F107" s="2" t="s">
        <v>494</v>
      </c>
      <c r="G107" s="2" t="s">
        <v>13</v>
      </c>
      <c r="H107" s="2" t="s">
        <v>464</v>
      </c>
      <c r="I107" s="2" t="s">
        <v>469</v>
      </c>
      <c r="J107" s="2" t="s">
        <v>16</v>
      </c>
      <c r="K107" s="2">
        <v>-317159.55</v>
      </c>
      <c r="L107" s="2">
        <v>0.86064727944158903</v>
      </c>
      <c r="M107" s="2">
        <v>1.53707627255841</v>
      </c>
      <c r="N107" s="2" t="s">
        <v>19</v>
      </c>
      <c r="O107" s="2" t="s">
        <v>19</v>
      </c>
      <c r="P107" s="2" t="s">
        <v>40</v>
      </c>
      <c r="Q107" s="2" t="s">
        <v>20</v>
      </c>
    </row>
    <row r="108" spans="1:17" x14ac:dyDescent="0.3">
      <c r="A108" s="2" t="s">
        <v>481</v>
      </c>
      <c r="B108" s="2" t="s">
        <v>13</v>
      </c>
      <c r="C108" s="2" t="s">
        <v>41</v>
      </c>
      <c r="D108" s="2" t="s">
        <v>495</v>
      </c>
      <c r="E108" s="2" t="s">
        <v>16</v>
      </c>
      <c r="F108" s="2" t="s">
        <v>494</v>
      </c>
      <c r="G108" s="2" t="s">
        <v>155</v>
      </c>
      <c r="H108" s="2" t="s">
        <v>155</v>
      </c>
      <c r="I108" s="2" t="s">
        <v>155</v>
      </c>
      <c r="J108" s="2" t="s">
        <v>155</v>
      </c>
      <c r="K108" s="2">
        <v>-482365.96</v>
      </c>
      <c r="L108" s="2" t="s">
        <v>155</v>
      </c>
      <c r="M108" s="2" t="s">
        <v>155</v>
      </c>
      <c r="N108" s="2" t="s">
        <v>852</v>
      </c>
      <c r="O108" s="2" t="s">
        <v>852</v>
      </c>
      <c r="P108" s="2" t="s">
        <v>852</v>
      </c>
      <c r="Q108" s="2" t="s">
        <v>20</v>
      </c>
    </row>
    <row r="109" spans="1:17" x14ac:dyDescent="0.3">
      <c r="A109" s="2" t="s">
        <v>481</v>
      </c>
      <c r="B109" s="2" t="s">
        <v>13</v>
      </c>
      <c r="C109" s="2" t="s">
        <v>41</v>
      </c>
      <c r="D109" s="2" t="s">
        <v>490</v>
      </c>
      <c r="E109" s="2" t="s">
        <v>16</v>
      </c>
      <c r="F109" s="2" t="s">
        <v>491</v>
      </c>
      <c r="G109" s="2" t="s">
        <v>13</v>
      </c>
      <c r="H109" s="2" t="s">
        <v>464</v>
      </c>
      <c r="I109" s="2" t="s">
        <v>468</v>
      </c>
      <c r="J109" s="2" t="s">
        <v>16</v>
      </c>
      <c r="K109" s="2">
        <v>-125830.06</v>
      </c>
      <c r="L109" s="2">
        <v>0.99357240555905701</v>
      </c>
      <c r="M109" s="2">
        <v>1.7744744056409401</v>
      </c>
      <c r="N109" s="2" t="s">
        <v>19</v>
      </c>
      <c r="O109" s="2" t="s">
        <v>19</v>
      </c>
      <c r="P109" s="2" t="s">
        <v>40</v>
      </c>
      <c r="Q109" s="2" t="s">
        <v>20</v>
      </c>
    </row>
    <row r="110" spans="1:17" x14ac:dyDescent="0.3">
      <c r="A110" s="2" t="s">
        <v>481</v>
      </c>
      <c r="B110" s="2" t="s">
        <v>13</v>
      </c>
      <c r="C110" s="2" t="s">
        <v>41</v>
      </c>
      <c r="D110" s="2" t="s">
        <v>490</v>
      </c>
      <c r="E110" s="2" t="s">
        <v>16</v>
      </c>
      <c r="F110" s="2" t="s">
        <v>491</v>
      </c>
      <c r="G110" s="2" t="s">
        <v>155</v>
      </c>
      <c r="H110" s="2" t="s">
        <v>155</v>
      </c>
      <c r="I110" s="2" t="s">
        <v>155</v>
      </c>
      <c r="J110" s="2" t="s">
        <v>155</v>
      </c>
      <c r="K110" s="2">
        <v>-135486.47</v>
      </c>
      <c r="L110" s="2" t="s">
        <v>155</v>
      </c>
      <c r="M110" s="2" t="s">
        <v>155</v>
      </c>
      <c r="N110" s="2" t="s">
        <v>852</v>
      </c>
      <c r="O110" s="2" t="s">
        <v>852</v>
      </c>
      <c r="P110" s="2" t="s">
        <v>852</v>
      </c>
      <c r="Q110" s="2" t="s">
        <v>20</v>
      </c>
    </row>
    <row r="111" spans="1:17" x14ac:dyDescent="0.3">
      <c r="A111" s="2" t="s">
        <v>481</v>
      </c>
      <c r="B111" s="2" t="s">
        <v>13</v>
      </c>
      <c r="C111" s="2" t="s">
        <v>41</v>
      </c>
      <c r="D111" s="2" t="s">
        <v>488</v>
      </c>
      <c r="E111" s="2" t="s">
        <v>16</v>
      </c>
      <c r="F111" s="2" t="s">
        <v>489</v>
      </c>
      <c r="G111" s="2" t="s">
        <v>13</v>
      </c>
      <c r="H111" s="2" t="s">
        <v>464</v>
      </c>
      <c r="I111" s="2" t="s">
        <v>467</v>
      </c>
      <c r="J111" s="2" t="s">
        <v>16</v>
      </c>
      <c r="K111" s="2">
        <v>-195458.64</v>
      </c>
      <c r="L111" s="2">
        <v>1.4616858539588999</v>
      </c>
      <c r="M111" s="2">
        <v>2.61050339404109</v>
      </c>
      <c r="N111" s="2" t="s">
        <v>19</v>
      </c>
      <c r="O111" s="2" t="s">
        <v>19</v>
      </c>
      <c r="P111" s="2" t="s">
        <v>40</v>
      </c>
      <c r="Q111" s="2" t="s">
        <v>20</v>
      </c>
    </row>
    <row r="112" spans="1:17" x14ac:dyDescent="0.3">
      <c r="A112" s="2" t="s">
        <v>481</v>
      </c>
      <c r="B112" s="2" t="s">
        <v>13</v>
      </c>
      <c r="C112" s="2" t="s">
        <v>41</v>
      </c>
      <c r="D112" s="2" t="s">
        <v>488</v>
      </c>
      <c r="E112" s="2" t="s">
        <v>16</v>
      </c>
      <c r="F112" s="2" t="s">
        <v>489</v>
      </c>
      <c r="G112" s="2" t="s">
        <v>155</v>
      </c>
      <c r="H112" s="2" t="s">
        <v>155</v>
      </c>
      <c r="I112" s="2" t="s">
        <v>155</v>
      </c>
      <c r="J112" s="2" t="s">
        <v>155</v>
      </c>
      <c r="K112" s="2">
        <v>-267979.03000000003</v>
      </c>
      <c r="L112" s="2" t="s">
        <v>155</v>
      </c>
      <c r="M112" s="2" t="s">
        <v>155</v>
      </c>
      <c r="N112" s="2" t="s">
        <v>852</v>
      </c>
      <c r="O112" s="2" t="s">
        <v>852</v>
      </c>
      <c r="P112" s="2" t="s">
        <v>852</v>
      </c>
      <c r="Q112" s="2" t="s">
        <v>20</v>
      </c>
    </row>
    <row r="113" spans="1:17" x14ac:dyDescent="0.3">
      <c r="A113" s="2" t="s">
        <v>481</v>
      </c>
      <c r="B113" s="2" t="s">
        <v>13</v>
      </c>
      <c r="C113" s="2" t="s">
        <v>41</v>
      </c>
      <c r="D113" s="2" t="s">
        <v>522</v>
      </c>
      <c r="E113" s="2" t="s">
        <v>16</v>
      </c>
      <c r="F113" s="2" t="s">
        <v>520</v>
      </c>
      <c r="G113" s="2" t="s">
        <v>155</v>
      </c>
      <c r="H113" s="2" t="s">
        <v>155</v>
      </c>
      <c r="I113" s="2" t="s">
        <v>155</v>
      </c>
      <c r="J113" s="2" t="s">
        <v>155</v>
      </c>
      <c r="K113" s="2">
        <v>-39865.75</v>
      </c>
      <c r="L113" s="2" t="s">
        <v>155</v>
      </c>
      <c r="M113" s="2" t="s">
        <v>155</v>
      </c>
      <c r="N113" s="2" t="s">
        <v>852</v>
      </c>
      <c r="O113" s="2" t="s">
        <v>852</v>
      </c>
      <c r="P113" s="2" t="s">
        <v>852</v>
      </c>
      <c r="Q113" s="2" t="s">
        <v>20</v>
      </c>
    </row>
    <row r="114" spans="1:17" x14ac:dyDescent="0.3">
      <c r="A114" s="2" t="s">
        <v>481</v>
      </c>
      <c r="B114" s="2" t="s">
        <v>13</v>
      </c>
      <c r="C114" s="2" t="s">
        <v>41</v>
      </c>
      <c r="D114" s="2" t="s">
        <v>522</v>
      </c>
      <c r="E114" s="2" t="s">
        <v>16</v>
      </c>
      <c r="F114" s="2" t="s">
        <v>520</v>
      </c>
      <c r="G114" s="2" t="s">
        <v>13</v>
      </c>
      <c r="H114" s="2" t="s">
        <v>478</v>
      </c>
      <c r="I114" s="2" t="s">
        <v>479</v>
      </c>
      <c r="J114" s="2" t="s">
        <v>16</v>
      </c>
      <c r="K114" s="2">
        <v>-27947.360000000001</v>
      </c>
      <c r="L114" s="2">
        <v>0.385173319012931</v>
      </c>
      <c r="M114" s="2">
        <v>0.68790174978706797</v>
      </c>
      <c r="N114" s="2" t="s">
        <v>19</v>
      </c>
      <c r="O114" s="2" t="s">
        <v>19</v>
      </c>
      <c r="P114" s="2" t="s">
        <v>40</v>
      </c>
      <c r="Q114" s="2" t="s">
        <v>20</v>
      </c>
    </row>
    <row r="115" spans="1:17" x14ac:dyDescent="0.3">
      <c r="A115" s="2" t="s">
        <v>481</v>
      </c>
      <c r="B115" s="2" t="s">
        <v>13</v>
      </c>
      <c r="C115" s="2" t="s">
        <v>41</v>
      </c>
      <c r="D115" s="2" t="s">
        <v>484</v>
      </c>
      <c r="E115" s="2" t="s">
        <v>16</v>
      </c>
      <c r="F115" s="2" t="s">
        <v>485</v>
      </c>
      <c r="G115" s="2" t="s">
        <v>13</v>
      </c>
      <c r="H115" s="2" t="s">
        <v>464</v>
      </c>
      <c r="I115" s="2" t="s">
        <v>465</v>
      </c>
      <c r="J115" s="2" t="s">
        <v>16</v>
      </c>
      <c r="K115" s="2">
        <v>-52727.39</v>
      </c>
      <c r="L115" s="2">
        <v>1.1579009925097701</v>
      </c>
      <c r="M115" s="2">
        <v>2.0679576686902101</v>
      </c>
      <c r="N115" s="2" t="s">
        <v>19</v>
      </c>
      <c r="O115" s="2" t="s">
        <v>19</v>
      </c>
      <c r="P115" s="2" t="s">
        <v>40</v>
      </c>
      <c r="Q115" s="2" t="s">
        <v>20</v>
      </c>
    </row>
    <row r="116" spans="1:17" x14ac:dyDescent="0.3">
      <c r="A116" s="2" t="s">
        <v>481</v>
      </c>
      <c r="B116" s="2" t="s">
        <v>13</v>
      </c>
      <c r="C116" s="2" t="s">
        <v>41</v>
      </c>
      <c r="D116" s="2" t="s">
        <v>484</v>
      </c>
      <c r="E116" s="2" t="s">
        <v>16</v>
      </c>
      <c r="F116" s="2" t="s">
        <v>485</v>
      </c>
      <c r="G116" s="2" t="s">
        <v>155</v>
      </c>
      <c r="H116" s="2" t="s">
        <v>155</v>
      </c>
      <c r="I116" s="2" t="s">
        <v>155</v>
      </c>
      <c r="J116" s="2" t="s">
        <v>155</v>
      </c>
      <c r="K116" s="2">
        <v>-72355.259999999995</v>
      </c>
      <c r="L116" s="2" t="s">
        <v>155</v>
      </c>
      <c r="M116" s="2" t="s">
        <v>155</v>
      </c>
      <c r="N116" s="2" t="s">
        <v>852</v>
      </c>
      <c r="O116" s="2" t="s">
        <v>852</v>
      </c>
      <c r="P116" s="2" t="s">
        <v>852</v>
      </c>
      <c r="Q116" s="2" t="s">
        <v>20</v>
      </c>
    </row>
    <row r="117" spans="1:17" x14ac:dyDescent="0.3">
      <c r="A117" s="2" t="s">
        <v>481</v>
      </c>
      <c r="B117" s="2" t="s">
        <v>13</v>
      </c>
      <c r="C117" s="2" t="s">
        <v>41</v>
      </c>
      <c r="D117" s="2" t="s">
        <v>506</v>
      </c>
      <c r="E117" s="2" t="s">
        <v>16</v>
      </c>
      <c r="F117" s="2" t="s">
        <v>503</v>
      </c>
      <c r="G117" s="2" t="s">
        <v>155</v>
      </c>
      <c r="H117" s="2" t="s">
        <v>155</v>
      </c>
      <c r="I117" s="2" t="s">
        <v>155</v>
      </c>
      <c r="J117" s="2" t="s">
        <v>155</v>
      </c>
      <c r="K117" s="2">
        <v>-37407.949999999997</v>
      </c>
      <c r="L117" s="2" t="s">
        <v>155</v>
      </c>
      <c r="M117" s="2" t="s">
        <v>155</v>
      </c>
      <c r="N117" s="2" t="s">
        <v>852</v>
      </c>
      <c r="O117" s="2" t="s">
        <v>852</v>
      </c>
      <c r="P117" s="2" t="s">
        <v>852</v>
      </c>
      <c r="Q117" s="2" t="s">
        <v>20</v>
      </c>
    </row>
    <row r="118" spans="1:17" x14ac:dyDescent="0.3">
      <c r="A118" s="2" t="s">
        <v>481</v>
      </c>
      <c r="B118" s="2" t="s">
        <v>13</v>
      </c>
      <c r="C118" s="2" t="s">
        <v>41</v>
      </c>
      <c r="D118" s="2" t="s">
        <v>506</v>
      </c>
      <c r="E118" s="2" t="s">
        <v>16</v>
      </c>
      <c r="F118" s="2" t="s">
        <v>503</v>
      </c>
      <c r="G118" s="2" t="s">
        <v>13</v>
      </c>
      <c r="H118" s="2" t="s">
        <v>471</v>
      </c>
      <c r="I118" s="2" t="s">
        <v>473</v>
      </c>
      <c r="J118" s="2" t="s">
        <v>16</v>
      </c>
      <c r="K118" s="2">
        <v>-32372.2</v>
      </c>
      <c r="L118" s="2">
        <v>0.20255129914860401</v>
      </c>
      <c r="M118" s="2">
        <v>0.36174726085139502</v>
      </c>
      <c r="N118" s="2" t="s">
        <v>19</v>
      </c>
      <c r="O118" s="2" t="s">
        <v>19</v>
      </c>
      <c r="P118" s="2" t="s">
        <v>40</v>
      </c>
      <c r="Q118" s="2" t="s">
        <v>20</v>
      </c>
    </row>
    <row r="119" spans="1:17" x14ac:dyDescent="0.3">
      <c r="A119" s="2" t="s">
        <v>481</v>
      </c>
      <c r="B119" s="2" t="s">
        <v>13</v>
      </c>
      <c r="C119" s="2" t="s">
        <v>41</v>
      </c>
      <c r="D119" s="2" t="s">
        <v>493</v>
      </c>
      <c r="E119" s="2" t="s">
        <v>16</v>
      </c>
      <c r="F119" s="2" t="s">
        <v>494</v>
      </c>
      <c r="G119" s="2" t="s">
        <v>155</v>
      </c>
      <c r="H119" s="2" t="s">
        <v>155</v>
      </c>
      <c r="I119" s="2" t="s">
        <v>155</v>
      </c>
      <c r="J119" s="2" t="s">
        <v>155</v>
      </c>
      <c r="K119" s="2">
        <v>-214384.11</v>
      </c>
      <c r="L119" s="2" t="s">
        <v>155</v>
      </c>
      <c r="M119" s="2" t="s">
        <v>155</v>
      </c>
      <c r="N119" s="2" t="s">
        <v>852</v>
      </c>
      <c r="O119" s="2" t="s">
        <v>852</v>
      </c>
      <c r="P119" s="2" t="s">
        <v>852</v>
      </c>
      <c r="Q119" s="2" t="s">
        <v>20</v>
      </c>
    </row>
    <row r="120" spans="1:17" x14ac:dyDescent="0.3">
      <c r="A120" s="2" t="s">
        <v>481</v>
      </c>
      <c r="B120" s="2" t="s">
        <v>13</v>
      </c>
      <c r="C120" s="2" t="s">
        <v>41</v>
      </c>
      <c r="D120" s="2" t="s">
        <v>493</v>
      </c>
      <c r="E120" s="2" t="s">
        <v>16</v>
      </c>
      <c r="F120" s="2" t="s">
        <v>494</v>
      </c>
      <c r="G120" s="2" t="s">
        <v>13</v>
      </c>
      <c r="H120" s="2" t="s">
        <v>464</v>
      </c>
      <c r="I120" s="2" t="s">
        <v>469</v>
      </c>
      <c r="J120" s="2" t="s">
        <v>16</v>
      </c>
      <c r="K120" s="2">
        <v>-148086.96</v>
      </c>
      <c r="L120" s="2">
        <v>0.40185024284715898</v>
      </c>
      <c r="M120" s="2">
        <v>0.71768596515284</v>
      </c>
      <c r="N120" s="2" t="s">
        <v>19</v>
      </c>
      <c r="O120" s="2" t="s">
        <v>19</v>
      </c>
      <c r="P120" s="2" t="s">
        <v>40</v>
      </c>
      <c r="Q120" s="2" t="s">
        <v>20</v>
      </c>
    </row>
    <row r="121" spans="1:17" x14ac:dyDescent="0.3">
      <c r="A121" s="2" t="s">
        <v>481</v>
      </c>
      <c r="B121" s="2" t="s">
        <v>13</v>
      </c>
      <c r="C121" s="2" t="s">
        <v>499</v>
      </c>
      <c r="D121" s="2" t="s">
        <v>505</v>
      </c>
      <c r="E121" s="2" t="s">
        <v>16</v>
      </c>
      <c r="F121" s="2" t="s">
        <v>503</v>
      </c>
      <c r="G121" s="2" t="s">
        <v>155</v>
      </c>
      <c r="H121" s="2" t="s">
        <v>155</v>
      </c>
      <c r="I121" s="2" t="s">
        <v>155</v>
      </c>
      <c r="J121" s="2" t="s">
        <v>155</v>
      </c>
      <c r="K121" s="2">
        <v>-39986.11</v>
      </c>
      <c r="L121" s="2" t="s">
        <v>155</v>
      </c>
      <c r="M121" s="2" t="s">
        <v>155</v>
      </c>
      <c r="N121" s="2" t="s">
        <v>852</v>
      </c>
      <c r="O121" s="2" t="s">
        <v>852</v>
      </c>
      <c r="P121" s="2" t="s">
        <v>852</v>
      </c>
      <c r="Q121" s="2" t="s">
        <v>20</v>
      </c>
    </row>
    <row r="122" spans="1:17" x14ac:dyDescent="0.3">
      <c r="A122" s="2" t="s">
        <v>481</v>
      </c>
      <c r="B122" s="2" t="s">
        <v>13</v>
      </c>
      <c r="C122" s="2" t="s">
        <v>499</v>
      </c>
      <c r="D122" s="2" t="s">
        <v>505</v>
      </c>
      <c r="E122" s="2" t="s">
        <v>16</v>
      </c>
      <c r="F122" s="2" t="s">
        <v>503</v>
      </c>
      <c r="G122" s="2" t="s">
        <v>13</v>
      </c>
      <c r="H122" s="2" t="s">
        <v>471</v>
      </c>
      <c r="I122" s="2" t="s">
        <v>473</v>
      </c>
      <c r="J122" s="2" t="s">
        <v>16</v>
      </c>
      <c r="K122" s="2">
        <v>-32306.69</v>
      </c>
      <c r="L122" s="2">
        <v>0.20214115594983501</v>
      </c>
      <c r="M122" s="2">
        <v>0.36101476405016403</v>
      </c>
      <c r="N122" s="2" t="s">
        <v>19</v>
      </c>
      <c r="O122" s="2" t="s">
        <v>19</v>
      </c>
      <c r="P122" s="2" t="s">
        <v>40</v>
      </c>
      <c r="Q122" s="2" t="s">
        <v>20</v>
      </c>
    </row>
    <row r="123" spans="1:17" x14ac:dyDescent="0.3">
      <c r="A123" s="2" t="s">
        <v>481</v>
      </c>
      <c r="B123" s="2" t="s">
        <v>13</v>
      </c>
      <c r="C123" s="2" t="s">
        <v>41</v>
      </c>
      <c r="D123" s="2" t="s">
        <v>486</v>
      </c>
      <c r="E123" s="2" t="s">
        <v>16</v>
      </c>
      <c r="F123" s="2" t="s">
        <v>487</v>
      </c>
      <c r="G123" s="2" t="s">
        <v>155</v>
      </c>
      <c r="H123" s="2" t="s">
        <v>155</v>
      </c>
      <c r="I123" s="2" t="s">
        <v>155</v>
      </c>
      <c r="J123" s="2" t="s">
        <v>155</v>
      </c>
      <c r="K123" s="2">
        <v>-184789.14</v>
      </c>
      <c r="L123" s="2" t="s">
        <v>155</v>
      </c>
      <c r="M123" s="2" t="s">
        <v>155</v>
      </c>
      <c r="N123" s="2" t="s">
        <v>852</v>
      </c>
      <c r="O123" s="2" t="s">
        <v>852</v>
      </c>
      <c r="P123" s="2" t="s">
        <v>852</v>
      </c>
      <c r="Q123" s="2" t="s">
        <v>20</v>
      </c>
    </row>
    <row r="124" spans="1:17" x14ac:dyDescent="0.3">
      <c r="A124" s="2" t="s">
        <v>481</v>
      </c>
      <c r="B124" s="2" t="s">
        <v>13</v>
      </c>
      <c r="C124" s="2" t="s">
        <v>41</v>
      </c>
      <c r="D124" s="2" t="s">
        <v>486</v>
      </c>
      <c r="E124" s="2" t="s">
        <v>16</v>
      </c>
      <c r="F124" s="2" t="s">
        <v>487</v>
      </c>
      <c r="G124" s="2" t="s">
        <v>13</v>
      </c>
      <c r="H124" s="2" t="s">
        <v>464</v>
      </c>
      <c r="I124" s="2" t="s">
        <v>465</v>
      </c>
      <c r="J124" s="2" t="s">
        <v>16</v>
      </c>
      <c r="K124" s="2">
        <v>-96251.33</v>
      </c>
      <c r="L124" s="2">
        <v>1.3176097931469</v>
      </c>
      <c r="M124" s="2">
        <v>2.3531902068530801</v>
      </c>
      <c r="N124" s="2" t="s">
        <v>19</v>
      </c>
      <c r="O124" s="2" t="s">
        <v>19</v>
      </c>
      <c r="P124" s="2" t="s">
        <v>40</v>
      </c>
      <c r="Q124" s="2" t="s">
        <v>20</v>
      </c>
    </row>
    <row r="125" spans="1:17" x14ac:dyDescent="0.3">
      <c r="A125" s="2" t="s">
        <v>481</v>
      </c>
      <c r="B125" s="2" t="s">
        <v>13</v>
      </c>
      <c r="C125" s="2" t="s">
        <v>499</v>
      </c>
      <c r="D125" s="2" t="s">
        <v>504</v>
      </c>
      <c r="E125" s="2" t="s">
        <v>16</v>
      </c>
      <c r="F125" s="2" t="s">
        <v>503</v>
      </c>
      <c r="G125" s="2" t="s">
        <v>13</v>
      </c>
      <c r="H125" s="2" t="s">
        <v>471</v>
      </c>
      <c r="I125" s="2" t="s">
        <v>473</v>
      </c>
      <c r="J125" s="2" t="s">
        <v>16</v>
      </c>
      <c r="K125" s="2">
        <v>-83564.06</v>
      </c>
      <c r="L125" s="2">
        <v>0.52285589948466404</v>
      </c>
      <c r="M125" s="2">
        <v>0.93379647651533504</v>
      </c>
      <c r="N125" s="2" t="s">
        <v>19</v>
      </c>
      <c r="O125" s="2" t="s">
        <v>19</v>
      </c>
      <c r="P125" s="2" t="s">
        <v>40</v>
      </c>
      <c r="Q125" s="2" t="s">
        <v>20</v>
      </c>
    </row>
    <row r="126" spans="1:17" x14ac:dyDescent="0.3">
      <c r="A126" s="2" t="s">
        <v>481</v>
      </c>
      <c r="B126" s="2" t="s">
        <v>13</v>
      </c>
      <c r="C126" s="2" t="s">
        <v>499</v>
      </c>
      <c r="D126" s="2" t="s">
        <v>504</v>
      </c>
      <c r="E126" s="2" t="s">
        <v>16</v>
      </c>
      <c r="F126" s="2" t="s">
        <v>503</v>
      </c>
      <c r="G126" s="2" t="s">
        <v>155</v>
      </c>
      <c r="H126" s="2" t="s">
        <v>155</v>
      </c>
      <c r="I126" s="2" t="s">
        <v>155</v>
      </c>
      <c r="J126" s="2" t="s">
        <v>155</v>
      </c>
      <c r="K126" s="2">
        <v>-130969.55</v>
      </c>
      <c r="L126" s="2" t="s">
        <v>155</v>
      </c>
      <c r="M126" s="2" t="s">
        <v>155</v>
      </c>
      <c r="N126" s="2" t="s">
        <v>852</v>
      </c>
      <c r="O126" s="2" t="s">
        <v>852</v>
      </c>
      <c r="P126" s="2" t="s">
        <v>852</v>
      </c>
      <c r="Q126" s="2" t="s">
        <v>20</v>
      </c>
    </row>
    <row r="127" spans="1:17" x14ac:dyDescent="0.3">
      <c r="A127" s="2" t="s">
        <v>481</v>
      </c>
      <c r="B127" s="2" t="s">
        <v>13</v>
      </c>
      <c r="C127" s="2" t="s">
        <v>499</v>
      </c>
      <c r="D127" s="2" t="s">
        <v>500</v>
      </c>
      <c r="E127" s="2" t="s">
        <v>16</v>
      </c>
      <c r="F127" s="2" t="s">
        <v>501</v>
      </c>
      <c r="G127" s="2" t="s">
        <v>155</v>
      </c>
      <c r="H127" s="2" t="s">
        <v>155</v>
      </c>
      <c r="I127" s="2" t="s">
        <v>155</v>
      </c>
      <c r="J127" s="2" t="s">
        <v>155</v>
      </c>
      <c r="K127" s="2">
        <v>-109987.53</v>
      </c>
      <c r="L127" s="2" t="s">
        <v>155</v>
      </c>
      <c r="M127" s="2" t="s">
        <v>155</v>
      </c>
      <c r="N127" s="2" t="s">
        <v>852</v>
      </c>
      <c r="O127" s="2" t="s">
        <v>852</v>
      </c>
      <c r="P127" s="2" t="s">
        <v>852</v>
      </c>
      <c r="Q127" s="2" t="s">
        <v>20</v>
      </c>
    </row>
    <row r="128" spans="1:17" x14ac:dyDescent="0.3">
      <c r="A128" s="2" t="s">
        <v>481</v>
      </c>
      <c r="B128" s="2" t="s">
        <v>13</v>
      </c>
      <c r="C128" s="2" t="s">
        <v>499</v>
      </c>
      <c r="D128" s="2" t="s">
        <v>500</v>
      </c>
      <c r="E128" s="2" t="s">
        <v>16</v>
      </c>
      <c r="F128" s="2" t="s">
        <v>501</v>
      </c>
      <c r="G128" s="2" t="s">
        <v>13</v>
      </c>
      <c r="H128" s="2" t="s">
        <v>471</v>
      </c>
      <c r="I128" s="2" t="s">
        <v>472</v>
      </c>
      <c r="J128" s="2" t="s">
        <v>16</v>
      </c>
      <c r="K128" s="2">
        <v>-91439.58</v>
      </c>
      <c r="L128" s="2">
        <v>1.83800998212449</v>
      </c>
      <c r="M128" s="2">
        <v>3.2826008978755001</v>
      </c>
      <c r="N128" s="2" t="s">
        <v>19</v>
      </c>
      <c r="O128" s="2" t="s">
        <v>19</v>
      </c>
      <c r="P128" s="2" t="s">
        <v>40</v>
      </c>
      <c r="Q128" s="2" t="s">
        <v>20</v>
      </c>
    </row>
    <row r="129" spans="1:17" x14ac:dyDescent="0.3">
      <c r="A129" s="2" t="s">
        <v>481</v>
      </c>
      <c r="B129" s="2" t="s">
        <v>13</v>
      </c>
      <c r="C129" s="2" t="s">
        <v>499</v>
      </c>
      <c r="D129" s="2" t="s">
        <v>502</v>
      </c>
      <c r="E129" s="2" t="s">
        <v>16</v>
      </c>
      <c r="F129" s="2" t="s">
        <v>503</v>
      </c>
      <c r="G129" s="2" t="s">
        <v>13</v>
      </c>
      <c r="H129" s="2" t="s">
        <v>471</v>
      </c>
      <c r="I129" s="2" t="s">
        <v>473</v>
      </c>
      <c r="J129" s="2" t="s">
        <v>16</v>
      </c>
      <c r="K129" s="2">
        <v>-53715.65</v>
      </c>
      <c r="L129" s="2">
        <v>0.33609570789910098</v>
      </c>
      <c r="M129" s="2">
        <v>0.60025140410089795</v>
      </c>
      <c r="N129" s="2" t="s">
        <v>19</v>
      </c>
      <c r="O129" s="2" t="s">
        <v>19</v>
      </c>
      <c r="P129" s="2" t="s">
        <v>40</v>
      </c>
      <c r="Q129" s="2" t="s">
        <v>20</v>
      </c>
    </row>
    <row r="130" spans="1:17" x14ac:dyDescent="0.3">
      <c r="A130" s="2" t="s">
        <v>481</v>
      </c>
      <c r="B130" s="2" t="s">
        <v>13</v>
      </c>
      <c r="C130" s="2" t="s">
        <v>499</v>
      </c>
      <c r="D130" s="2" t="s">
        <v>502</v>
      </c>
      <c r="E130" s="2" t="s">
        <v>16</v>
      </c>
      <c r="F130" s="2" t="s">
        <v>503</v>
      </c>
      <c r="G130" s="2" t="s">
        <v>155</v>
      </c>
      <c r="H130" s="2" t="s">
        <v>155</v>
      </c>
      <c r="I130" s="2" t="s">
        <v>155</v>
      </c>
      <c r="J130" s="2" t="s">
        <v>155</v>
      </c>
      <c r="K130" s="2">
        <v>-94980.5</v>
      </c>
      <c r="L130" s="2" t="s">
        <v>155</v>
      </c>
      <c r="M130" s="2" t="s">
        <v>155</v>
      </c>
      <c r="N130" s="2" t="s">
        <v>852</v>
      </c>
      <c r="O130" s="2" t="s">
        <v>852</v>
      </c>
      <c r="P130" s="2" t="s">
        <v>852</v>
      </c>
      <c r="Q130" s="2" t="s">
        <v>20</v>
      </c>
    </row>
  </sheetData>
  <autoFilter ref="A3:Q41" xr:uid="{0B25323E-544B-48A5-8148-08AD4BA7E82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1229-F861-4666-9233-77F5634D1EB2}">
  <dimension ref="A1:CA25"/>
  <sheetViews>
    <sheetView showGridLines="0" workbookViewId="0">
      <selection activeCell="K24" sqref="K24"/>
    </sheetView>
  </sheetViews>
  <sheetFormatPr defaultRowHeight="14.4" x14ac:dyDescent="0.3"/>
  <cols>
    <col min="1" max="1" width="8.88671875" style="2"/>
    <col min="2" max="2" width="16.21875" style="2" bestFit="1" customWidth="1"/>
    <col min="3" max="3" width="20.5546875" style="2" bestFit="1" customWidth="1"/>
    <col min="4" max="4" width="19.109375" style="2" bestFit="1" customWidth="1"/>
    <col min="5" max="5" width="22.77734375" style="2" bestFit="1" customWidth="1"/>
    <col min="6" max="6" width="23.109375" style="2" hidden="1" customWidth="1"/>
    <col min="7" max="7" width="26" style="2" hidden="1" customWidth="1"/>
    <col min="8" max="8" width="30.33203125" style="2" hidden="1" customWidth="1"/>
    <col min="9" max="9" width="15.5546875" style="2" hidden="1" customWidth="1"/>
    <col min="10" max="10" width="19.6640625" style="2" hidden="1" customWidth="1"/>
    <col min="11" max="11" width="6.77734375" style="2" customWidth="1"/>
    <col min="12" max="12" width="29.6640625" style="2" hidden="1" customWidth="1"/>
    <col min="13" max="13" width="29.5546875" style="2" hidden="1" customWidth="1"/>
    <col min="14" max="14" width="19.77734375" style="2" hidden="1" customWidth="1"/>
    <col min="15" max="15" width="23.6640625" style="2" hidden="1" customWidth="1"/>
    <col min="16" max="16" width="8.6640625" style="2" hidden="1" customWidth="1"/>
    <col min="17" max="17" width="8.5546875" style="2" hidden="1" customWidth="1"/>
    <col min="18" max="18" width="14.21875" style="2" hidden="1" customWidth="1"/>
    <col min="19" max="19" width="29.88671875" style="2" hidden="1" customWidth="1"/>
    <col min="20" max="20" width="31.88671875" style="2" hidden="1" customWidth="1"/>
    <col min="21" max="21" width="25.21875" style="2" hidden="1" customWidth="1"/>
    <col min="22" max="22" width="6.33203125" style="2" hidden="1" customWidth="1"/>
    <col min="23" max="23" width="26.88671875" style="2" hidden="1" customWidth="1"/>
    <col min="24" max="24" width="22.33203125" style="2" hidden="1" customWidth="1"/>
    <col min="25" max="25" width="28.88671875" style="2" hidden="1" customWidth="1"/>
    <col min="26" max="26" width="26.6640625" style="2" hidden="1" customWidth="1"/>
    <col min="27" max="27" width="28.6640625" style="2" hidden="1" customWidth="1"/>
    <col min="28" max="28" width="22.109375" style="2" hidden="1" customWidth="1"/>
    <col min="29" max="29" width="30.109375" style="2" hidden="1" customWidth="1"/>
    <col min="30" max="30" width="22" style="2" hidden="1" customWidth="1"/>
    <col min="31" max="31" width="26" style="2" hidden="1" customWidth="1"/>
    <col min="32" max="32" width="21.77734375" style="2" hidden="1" customWidth="1"/>
    <col min="33" max="33" width="23.21875" style="2" hidden="1" customWidth="1"/>
    <col min="34" max="34" width="30.6640625" style="2" hidden="1" customWidth="1"/>
    <col min="35" max="35" width="26.21875" style="2" hidden="1" customWidth="1"/>
    <col min="36" max="36" width="16.21875" style="2" hidden="1" customWidth="1"/>
    <col min="37" max="37" width="14.6640625" style="2" hidden="1" customWidth="1"/>
    <col min="38" max="38" width="25.88671875" style="2" hidden="1" customWidth="1"/>
    <col min="39" max="39" width="21" style="2" hidden="1" customWidth="1"/>
    <col min="40" max="40" width="27.21875" style="2" hidden="1" customWidth="1"/>
    <col min="41" max="41" width="31.33203125" style="2" hidden="1" customWidth="1"/>
    <col min="42" max="42" width="29.33203125" style="2" hidden="1" customWidth="1"/>
    <col min="43" max="43" width="25.6640625" style="2" hidden="1" customWidth="1"/>
    <col min="44" max="44" width="32.5546875" style="2" hidden="1" customWidth="1"/>
    <col min="45" max="45" width="26" style="2" hidden="1" customWidth="1"/>
    <col min="46" max="46" width="21.5546875" style="2" hidden="1" customWidth="1"/>
    <col min="47" max="47" width="24" style="2" hidden="1" customWidth="1"/>
    <col min="48" max="48" width="29.6640625" style="2" hidden="1" customWidth="1"/>
    <col min="49" max="49" width="30.77734375" style="2" hidden="1" customWidth="1"/>
    <col min="50" max="50" width="26.88671875" style="2" hidden="1" customWidth="1"/>
    <col min="51" max="51" width="21.6640625" style="2" hidden="1" customWidth="1"/>
    <col min="52" max="52" width="20.33203125" style="2" hidden="1" customWidth="1"/>
    <col min="53" max="53" width="24.33203125" style="2" hidden="1" customWidth="1"/>
    <col min="54" max="54" width="19.109375" style="2" hidden="1" customWidth="1"/>
    <col min="55" max="55" width="20.33203125" style="2" hidden="1" customWidth="1"/>
    <col min="56" max="56" width="22" style="2" hidden="1" customWidth="1"/>
    <col min="57" max="57" width="26" style="2" hidden="1" customWidth="1"/>
    <col min="58" max="58" width="28.44140625" style="2" hidden="1" customWidth="1"/>
    <col min="59" max="59" width="20.6640625" style="2" hidden="1" customWidth="1"/>
    <col min="60" max="60" width="30.5546875" style="2" hidden="1" customWidth="1"/>
    <col min="61" max="61" width="29.88671875" style="2" hidden="1" customWidth="1"/>
    <col min="62" max="62" width="29.5546875" style="2" hidden="1" customWidth="1"/>
    <col min="63" max="63" width="18.6640625" style="2" hidden="1" customWidth="1"/>
    <col min="64" max="64" width="20.21875" style="2" hidden="1" customWidth="1"/>
    <col min="65" max="65" width="11.33203125" style="2" hidden="1" customWidth="1"/>
    <col min="66" max="66" width="12.88671875" style="2" hidden="1" customWidth="1"/>
    <col min="67" max="67" width="13.5546875" style="2" hidden="1" customWidth="1"/>
    <col min="68" max="68" width="21.109375" style="2" hidden="1" customWidth="1"/>
    <col min="69" max="69" width="26.109375" style="2" hidden="1" customWidth="1"/>
    <col min="70" max="70" width="23.21875" style="2" hidden="1" customWidth="1"/>
    <col min="71" max="71" width="30.88671875" style="2" hidden="1" customWidth="1"/>
    <col min="72" max="72" width="19.6640625" style="2" hidden="1" customWidth="1"/>
    <col min="73" max="73" width="15.21875" style="2" hidden="1" customWidth="1"/>
    <col min="74" max="74" width="25.77734375" style="2" hidden="1" customWidth="1"/>
    <col min="75" max="75" width="12.21875" style="2" bestFit="1" customWidth="1"/>
    <col min="76" max="76" width="15.21875" style="2" hidden="1" customWidth="1"/>
    <col min="77" max="77" width="21.77734375" style="2" hidden="1" customWidth="1"/>
    <col min="78" max="78" width="14.109375" style="2" hidden="1" customWidth="1"/>
    <col min="79" max="79" width="11.6640625" style="2" bestFit="1" customWidth="1"/>
    <col min="80" max="16384" width="8.88671875" style="2"/>
  </cols>
  <sheetData>
    <row r="1" spans="1:79" x14ac:dyDescent="0.3">
      <c r="A1" s="12" t="s">
        <v>482</v>
      </c>
      <c r="B1" s="13" t="s">
        <v>67</v>
      </c>
      <c r="C1" s="13" t="s">
        <v>68</v>
      </c>
      <c r="D1" s="13" t="s">
        <v>69</v>
      </c>
      <c r="E1" s="13" t="s">
        <v>70</v>
      </c>
      <c r="F1" s="14" t="s">
        <v>71</v>
      </c>
      <c r="G1" s="14" t="s">
        <v>72</v>
      </c>
      <c r="H1" s="14" t="s">
        <v>73</v>
      </c>
      <c r="I1" s="14" t="s">
        <v>74</v>
      </c>
      <c r="J1" s="14" t="s">
        <v>75</v>
      </c>
      <c r="K1" s="14" t="s">
        <v>76</v>
      </c>
      <c r="L1" s="14" t="s">
        <v>77</v>
      </c>
      <c r="M1" s="14" t="s">
        <v>78</v>
      </c>
      <c r="N1" s="14" t="s">
        <v>79</v>
      </c>
      <c r="O1" s="14" t="s">
        <v>80</v>
      </c>
      <c r="P1" s="14" t="s">
        <v>81</v>
      </c>
      <c r="Q1" s="14" t="s">
        <v>82</v>
      </c>
      <c r="R1" s="14" t="s">
        <v>83</v>
      </c>
      <c r="S1" s="14" t="s">
        <v>84</v>
      </c>
      <c r="T1" s="14" t="s">
        <v>85</v>
      </c>
      <c r="U1" s="14" t="s">
        <v>86</v>
      </c>
      <c r="V1" s="14" t="s">
        <v>87</v>
      </c>
      <c r="W1" s="14" t="s">
        <v>88</v>
      </c>
      <c r="X1" s="14" t="s">
        <v>89</v>
      </c>
      <c r="Y1" s="14" t="s">
        <v>90</v>
      </c>
      <c r="Z1" s="14" t="s">
        <v>91</v>
      </c>
      <c r="AA1" s="14" t="s">
        <v>92</v>
      </c>
      <c r="AB1" s="14" t="s">
        <v>93</v>
      </c>
      <c r="AC1" s="14" t="s">
        <v>94</v>
      </c>
      <c r="AD1" s="14" t="s">
        <v>95</v>
      </c>
      <c r="AE1" s="14" t="s">
        <v>96</v>
      </c>
      <c r="AF1" s="14" t="s">
        <v>97</v>
      </c>
      <c r="AG1" s="14" t="s">
        <v>98</v>
      </c>
      <c r="AH1" s="14" t="s">
        <v>99</v>
      </c>
      <c r="AI1" s="14" t="s">
        <v>100</v>
      </c>
      <c r="AJ1" s="14" t="s">
        <v>101</v>
      </c>
      <c r="AK1" s="14" t="s">
        <v>102</v>
      </c>
      <c r="AL1" s="14" t="s">
        <v>103</v>
      </c>
      <c r="AM1" s="14" t="s">
        <v>104</v>
      </c>
      <c r="AN1" s="14" t="s">
        <v>105</v>
      </c>
      <c r="AO1" s="14" t="s">
        <v>106</v>
      </c>
      <c r="AP1" s="14" t="s">
        <v>107</v>
      </c>
      <c r="AQ1" s="14" t="s">
        <v>108</v>
      </c>
      <c r="AR1" s="14" t="s">
        <v>109</v>
      </c>
      <c r="AS1" s="14" t="s">
        <v>110</v>
      </c>
      <c r="AT1" s="14" t="s">
        <v>111</v>
      </c>
      <c r="AU1" s="14" t="s">
        <v>112</v>
      </c>
      <c r="AV1" s="14" t="s">
        <v>113</v>
      </c>
      <c r="AW1" s="14" t="s">
        <v>114</v>
      </c>
      <c r="AX1" s="14" t="s">
        <v>115</v>
      </c>
      <c r="AY1" s="14" t="s">
        <v>116</v>
      </c>
      <c r="AZ1" s="14" t="s">
        <v>117</v>
      </c>
      <c r="BA1" s="14" t="s">
        <v>118</v>
      </c>
      <c r="BB1" s="14" t="s">
        <v>119</v>
      </c>
      <c r="BC1" s="14" t="s">
        <v>120</v>
      </c>
      <c r="BD1" s="14" t="s">
        <v>121</v>
      </c>
      <c r="BE1" s="14" t="s">
        <v>122</v>
      </c>
      <c r="BF1" s="14" t="s">
        <v>123</v>
      </c>
      <c r="BG1" s="14" t="s">
        <v>124</v>
      </c>
      <c r="BH1" s="14" t="s">
        <v>125</v>
      </c>
      <c r="BI1" s="14" t="s">
        <v>126</v>
      </c>
      <c r="BJ1" s="14" t="s">
        <v>127</v>
      </c>
      <c r="BK1" s="14" t="s">
        <v>128</v>
      </c>
      <c r="BL1" s="14" t="s">
        <v>129</v>
      </c>
      <c r="BM1" s="14" t="s">
        <v>130</v>
      </c>
      <c r="BN1" s="14" t="s">
        <v>131</v>
      </c>
      <c r="BO1" s="14" t="s">
        <v>132</v>
      </c>
      <c r="BP1" s="14" t="s">
        <v>133</v>
      </c>
      <c r="BQ1" s="14" t="s">
        <v>134</v>
      </c>
      <c r="BR1" s="14" t="s">
        <v>135</v>
      </c>
      <c r="BS1" s="14" t="s">
        <v>136</v>
      </c>
      <c r="BT1" s="14" t="s">
        <v>137</v>
      </c>
      <c r="BU1" s="14" t="s">
        <v>138</v>
      </c>
      <c r="BV1" s="14" t="s">
        <v>139</v>
      </c>
      <c r="BW1" s="14" t="s">
        <v>140</v>
      </c>
      <c r="BX1" s="14" t="s">
        <v>141</v>
      </c>
      <c r="BY1" s="14" t="s">
        <v>142</v>
      </c>
      <c r="BZ1" s="14" t="s">
        <v>143</v>
      </c>
      <c r="CA1" s="14" t="s">
        <v>144</v>
      </c>
    </row>
    <row r="2" spans="1:79" x14ac:dyDescent="0.3">
      <c r="A2" s="2" t="s">
        <v>480</v>
      </c>
      <c r="B2" s="2" t="s">
        <v>13</v>
      </c>
      <c r="C2" s="2" t="s">
        <v>14</v>
      </c>
      <c r="D2" s="2" t="s">
        <v>21</v>
      </c>
      <c r="E2" s="2" t="s">
        <v>16</v>
      </c>
      <c r="F2" s="2" t="s">
        <v>145</v>
      </c>
      <c r="G2" s="2" t="s">
        <v>146</v>
      </c>
      <c r="H2" s="2" t="s">
        <v>147</v>
      </c>
      <c r="I2" s="2" t="s">
        <v>148</v>
      </c>
      <c r="J2" s="2" t="s">
        <v>149</v>
      </c>
      <c r="K2" s="2" t="s">
        <v>150</v>
      </c>
      <c r="L2" s="2" t="s">
        <v>151</v>
      </c>
      <c r="M2" s="2" t="s">
        <v>151</v>
      </c>
      <c r="N2" s="2" t="s">
        <v>151</v>
      </c>
      <c r="O2" s="2" t="s">
        <v>151</v>
      </c>
      <c r="P2" s="2" t="s">
        <v>152</v>
      </c>
      <c r="Q2" s="2" t="s">
        <v>151</v>
      </c>
      <c r="R2" s="2" t="s">
        <v>153</v>
      </c>
      <c r="S2" s="2" t="s">
        <v>151</v>
      </c>
      <c r="T2" s="2" t="s">
        <v>151</v>
      </c>
      <c r="U2" s="2" t="s">
        <v>151</v>
      </c>
      <c r="V2" s="2" t="s">
        <v>151</v>
      </c>
      <c r="W2" s="2" t="s">
        <v>151</v>
      </c>
      <c r="X2" s="2" t="s">
        <v>151</v>
      </c>
      <c r="Y2" s="2" t="s">
        <v>151</v>
      </c>
      <c r="Z2" s="2" t="s">
        <v>151</v>
      </c>
      <c r="AA2" s="2" t="s">
        <v>151</v>
      </c>
      <c r="AB2" s="2" t="s">
        <v>151</v>
      </c>
      <c r="AC2" s="2" t="s">
        <v>151</v>
      </c>
      <c r="AI2" s="2" t="s">
        <v>151</v>
      </c>
      <c r="AJ2" s="2" t="s">
        <v>151</v>
      </c>
      <c r="AK2" s="2" t="s">
        <v>151</v>
      </c>
      <c r="AL2" s="2" t="s">
        <v>154</v>
      </c>
      <c r="AM2" s="2" t="s">
        <v>151</v>
      </c>
      <c r="AN2" s="2" t="s">
        <v>151</v>
      </c>
      <c r="AO2" s="2" t="s">
        <v>151</v>
      </c>
      <c r="AP2" s="2" t="s">
        <v>151</v>
      </c>
      <c r="AQ2" s="2" t="s">
        <v>155</v>
      </c>
      <c r="AR2" s="2" t="s">
        <v>151</v>
      </c>
      <c r="AS2" s="2" t="s">
        <v>151</v>
      </c>
      <c r="AT2" s="2" t="s">
        <v>151</v>
      </c>
      <c r="AU2" s="2" t="s">
        <v>155</v>
      </c>
      <c r="AV2" s="2" t="s">
        <v>155</v>
      </c>
      <c r="AW2" s="2" t="s">
        <v>156</v>
      </c>
      <c r="BH2" s="2" t="s">
        <v>151</v>
      </c>
      <c r="BI2" s="2" t="s">
        <v>151</v>
      </c>
      <c r="BJ2" s="2" t="s">
        <v>151</v>
      </c>
      <c r="BM2" s="2" t="s">
        <v>157</v>
      </c>
      <c r="BN2" s="2" t="s">
        <v>158</v>
      </c>
      <c r="BO2" s="2" t="s">
        <v>159</v>
      </c>
      <c r="BP2" s="2" t="s">
        <v>160</v>
      </c>
      <c r="BQ2" s="2" t="s">
        <v>145</v>
      </c>
      <c r="BR2" s="2" t="s">
        <v>161</v>
      </c>
      <c r="BS2" s="2" t="s">
        <v>162</v>
      </c>
      <c r="BT2" s="2" t="s">
        <v>163</v>
      </c>
      <c r="BU2" s="2" t="s">
        <v>145</v>
      </c>
      <c r="BV2" s="2" t="s">
        <v>155</v>
      </c>
      <c r="BW2" s="2" t="s">
        <v>164</v>
      </c>
      <c r="BX2" s="2" t="s">
        <v>165</v>
      </c>
      <c r="BY2" s="2" t="s">
        <v>166</v>
      </c>
      <c r="BZ2" s="2" t="s">
        <v>20</v>
      </c>
      <c r="CA2" s="2" t="s">
        <v>167</v>
      </c>
    </row>
    <row r="3" spans="1:79" x14ac:dyDescent="0.3">
      <c r="A3" s="2" t="s">
        <v>480</v>
      </c>
      <c r="B3" s="2" t="s">
        <v>13</v>
      </c>
      <c r="C3" s="2" t="s">
        <v>14</v>
      </c>
      <c r="D3" s="2" t="s">
        <v>32</v>
      </c>
      <c r="E3" s="2" t="s">
        <v>16</v>
      </c>
      <c r="F3" s="2" t="s">
        <v>155</v>
      </c>
      <c r="G3" s="2" t="s">
        <v>155</v>
      </c>
      <c r="H3" s="2" t="s">
        <v>155</v>
      </c>
      <c r="I3" s="2" t="s">
        <v>155</v>
      </c>
      <c r="J3" s="2" t="s">
        <v>155</v>
      </c>
      <c r="K3" s="2" t="s">
        <v>168</v>
      </c>
      <c r="L3" s="2" t="s">
        <v>151</v>
      </c>
      <c r="M3" s="2" t="s">
        <v>151</v>
      </c>
      <c r="N3" s="2" t="s">
        <v>151</v>
      </c>
      <c r="O3" s="2" t="s">
        <v>151</v>
      </c>
      <c r="P3" s="2" t="s">
        <v>155</v>
      </c>
      <c r="Q3" s="2" t="s">
        <v>151</v>
      </c>
      <c r="R3" s="2" t="s">
        <v>155</v>
      </c>
      <c r="S3" s="2" t="s">
        <v>151</v>
      </c>
      <c r="T3" s="2" t="s">
        <v>151</v>
      </c>
      <c r="U3" s="2" t="s">
        <v>151</v>
      </c>
      <c r="V3" s="2" t="s">
        <v>151</v>
      </c>
      <c r="W3" s="2" t="s">
        <v>151</v>
      </c>
      <c r="X3" s="2" t="s">
        <v>151</v>
      </c>
      <c r="Y3" s="2" t="s">
        <v>151</v>
      </c>
      <c r="Z3" s="2" t="s">
        <v>151</v>
      </c>
      <c r="AA3" s="2" t="s">
        <v>151</v>
      </c>
      <c r="AB3" s="2" t="s">
        <v>151</v>
      </c>
      <c r="AC3" s="2" t="s">
        <v>151</v>
      </c>
      <c r="AI3" s="2" t="s">
        <v>151</v>
      </c>
      <c r="AJ3" s="2" t="s">
        <v>151</v>
      </c>
      <c r="AK3" s="2" t="s">
        <v>151</v>
      </c>
      <c r="AL3" s="2" t="s">
        <v>169</v>
      </c>
      <c r="AM3" s="2" t="s">
        <v>151</v>
      </c>
      <c r="AN3" s="2" t="s">
        <v>151</v>
      </c>
      <c r="AO3" s="2" t="s">
        <v>151</v>
      </c>
      <c r="AP3" s="2" t="s">
        <v>151</v>
      </c>
      <c r="AQ3" s="2" t="s">
        <v>155</v>
      </c>
      <c r="AR3" s="2" t="s">
        <v>151</v>
      </c>
      <c r="AS3" s="2" t="s">
        <v>151</v>
      </c>
      <c r="AT3" s="2" t="s">
        <v>151</v>
      </c>
      <c r="AU3" s="2" t="s">
        <v>155</v>
      </c>
      <c r="AV3" s="2" t="s">
        <v>170</v>
      </c>
      <c r="AW3" s="2" t="s">
        <v>155</v>
      </c>
      <c r="BH3" s="2" t="s">
        <v>151</v>
      </c>
      <c r="BI3" s="2" t="s">
        <v>151</v>
      </c>
      <c r="BJ3" s="2" t="s">
        <v>151</v>
      </c>
      <c r="BM3" s="2" t="s">
        <v>155</v>
      </c>
      <c r="BN3" s="2" t="s">
        <v>155</v>
      </c>
      <c r="BO3" s="2" t="s">
        <v>155</v>
      </c>
      <c r="BP3" s="2" t="s">
        <v>155</v>
      </c>
      <c r="BQ3" s="2" t="s">
        <v>155</v>
      </c>
      <c r="BR3" s="2" t="s">
        <v>155</v>
      </c>
      <c r="BS3" s="2" t="s">
        <v>155</v>
      </c>
      <c r="BT3" s="2" t="s">
        <v>155</v>
      </c>
      <c r="BU3" s="2" t="s">
        <v>155</v>
      </c>
      <c r="BV3" s="2" t="s">
        <v>155</v>
      </c>
      <c r="BW3" s="2" t="s">
        <v>164</v>
      </c>
      <c r="BX3" s="2" t="s">
        <v>165</v>
      </c>
      <c r="BY3" s="2" t="s">
        <v>166</v>
      </c>
      <c r="BZ3" s="2" t="s">
        <v>20</v>
      </c>
      <c r="CA3" s="2" t="s">
        <v>171</v>
      </c>
    </row>
    <row r="4" spans="1:79" x14ac:dyDescent="0.3">
      <c r="A4" s="2" t="s">
        <v>480</v>
      </c>
      <c r="B4" s="2" t="s">
        <v>13</v>
      </c>
      <c r="C4" s="2" t="s">
        <v>14</v>
      </c>
      <c r="D4" s="2" t="s">
        <v>29</v>
      </c>
      <c r="E4" s="2" t="s">
        <v>16</v>
      </c>
      <c r="F4" s="2" t="s">
        <v>155</v>
      </c>
      <c r="G4" s="2" t="s">
        <v>155</v>
      </c>
      <c r="H4" s="2" t="s">
        <v>155</v>
      </c>
      <c r="I4" s="2" t="s">
        <v>155</v>
      </c>
      <c r="J4" s="2" t="s">
        <v>155</v>
      </c>
      <c r="K4" s="2" t="s">
        <v>168</v>
      </c>
      <c r="L4" s="2" t="s">
        <v>151</v>
      </c>
      <c r="M4" s="2" t="s">
        <v>151</v>
      </c>
      <c r="N4" s="2" t="s">
        <v>151</v>
      </c>
      <c r="O4" s="2" t="s">
        <v>151</v>
      </c>
      <c r="P4" s="2" t="s">
        <v>155</v>
      </c>
      <c r="Q4" s="2" t="s">
        <v>151</v>
      </c>
      <c r="R4" s="2" t="s">
        <v>155</v>
      </c>
      <c r="S4" s="2" t="s">
        <v>151</v>
      </c>
      <c r="T4" s="2" t="s">
        <v>151</v>
      </c>
      <c r="U4" s="2" t="s">
        <v>151</v>
      </c>
      <c r="V4" s="2" t="s">
        <v>151</v>
      </c>
      <c r="W4" s="2" t="s">
        <v>151</v>
      </c>
      <c r="X4" s="2" t="s">
        <v>151</v>
      </c>
      <c r="Y4" s="2" t="s">
        <v>151</v>
      </c>
      <c r="Z4" s="2" t="s">
        <v>151</v>
      </c>
      <c r="AA4" s="2" t="s">
        <v>151</v>
      </c>
      <c r="AB4" s="2" t="s">
        <v>151</v>
      </c>
      <c r="AC4" s="2" t="s">
        <v>151</v>
      </c>
      <c r="AI4" s="2" t="s">
        <v>151</v>
      </c>
      <c r="AJ4" s="2" t="s">
        <v>151</v>
      </c>
      <c r="AK4" s="2" t="s">
        <v>151</v>
      </c>
      <c r="AL4" s="2" t="s">
        <v>172</v>
      </c>
      <c r="AM4" s="2" t="s">
        <v>151</v>
      </c>
      <c r="AN4" s="2" t="s">
        <v>151</v>
      </c>
      <c r="AO4" s="2" t="s">
        <v>151</v>
      </c>
      <c r="AP4" s="2" t="s">
        <v>151</v>
      </c>
      <c r="AQ4" s="2" t="s">
        <v>155</v>
      </c>
      <c r="AR4" s="2" t="s">
        <v>151</v>
      </c>
      <c r="AS4" s="2" t="s">
        <v>151</v>
      </c>
      <c r="AT4" s="2" t="s">
        <v>151</v>
      </c>
      <c r="AU4" s="2" t="s">
        <v>155</v>
      </c>
      <c r="AV4" s="2" t="s">
        <v>173</v>
      </c>
      <c r="AW4" s="2" t="s">
        <v>155</v>
      </c>
      <c r="BH4" s="2" t="s">
        <v>151</v>
      </c>
      <c r="BI4" s="2" t="s">
        <v>151</v>
      </c>
      <c r="BJ4" s="2" t="s">
        <v>151</v>
      </c>
      <c r="BM4" s="2" t="s">
        <v>155</v>
      </c>
      <c r="BN4" s="2" t="s">
        <v>155</v>
      </c>
      <c r="BO4" s="2" t="s">
        <v>155</v>
      </c>
      <c r="BP4" s="2" t="s">
        <v>155</v>
      </c>
      <c r="BQ4" s="2" t="s">
        <v>155</v>
      </c>
      <c r="BR4" s="2" t="s">
        <v>155</v>
      </c>
      <c r="BS4" s="2" t="s">
        <v>155</v>
      </c>
      <c r="BT4" s="2" t="s">
        <v>155</v>
      </c>
      <c r="BU4" s="2" t="s">
        <v>155</v>
      </c>
      <c r="BV4" s="2" t="s">
        <v>155</v>
      </c>
      <c r="BW4" s="2" t="s">
        <v>164</v>
      </c>
      <c r="BX4" s="2" t="s">
        <v>165</v>
      </c>
      <c r="BY4" s="2" t="s">
        <v>166</v>
      </c>
      <c r="BZ4" s="2" t="s">
        <v>20</v>
      </c>
      <c r="CA4" s="2" t="s">
        <v>171</v>
      </c>
    </row>
    <row r="5" spans="1:79" x14ac:dyDescent="0.3">
      <c r="A5" s="2" t="s">
        <v>480</v>
      </c>
      <c r="B5" s="2" t="s">
        <v>13</v>
      </c>
      <c r="C5" s="2" t="s">
        <v>14</v>
      </c>
      <c r="D5" s="2" t="s">
        <v>23</v>
      </c>
      <c r="E5" s="2" t="s">
        <v>16</v>
      </c>
      <c r="F5" s="2" t="s">
        <v>174</v>
      </c>
      <c r="G5" s="2" t="s">
        <v>175</v>
      </c>
      <c r="H5" s="2" t="s">
        <v>176</v>
      </c>
      <c r="I5" s="2" t="s">
        <v>177</v>
      </c>
      <c r="J5" s="2" t="s">
        <v>178</v>
      </c>
      <c r="K5" s="2" t="s">
        <v>179</v>
      </c>
      <c r="L5" s="2" t="s">
        <v>151</v>
      </c>
      <c r="M5" s="2" t="s">
        <v>151</v>
      </c>
      <c r="N5" s="2" t="s">
        <v>151</v>
      </c>
      <c r="O5" s="2" t="s">
        <v>151</v>
      </c>
      <c r="P5" s="2" t="s">
        <v>152</v>
      </c>
      <c r="Q5" s="2" t="s">
        <v>151</v>
      </c>
      <c r="R5" s="2" t="s">
        <v>153</v>
      </c>
      <c r="S5" s="2" t="s">
        <v>151</v>
      </c>
      <c r="T5" s="2" t="s">
        <v>151</v>
      </c>
      <c r="U5" s="2" t="s">
        <v>151</v>
      </c>
      <c r="V5" s="2" t="s">
        <v>151</v>
      </c>
      <c r="W5" s="2" t="s">
        <v>151</v>
      </c>
      <c r="X5" s="2" t="s">
        <v>151</v>
      </c>
      <c r="Y5" s="2" t="s">
        <v>151</v>
      </c>
      <c r="Z5" s="2" t="s">
        <v>151</v>
      </c>
      <c r="AA5" s="2" t="s">
        <v>151</v>
      </c>
      <c r="AB5" s="2" t="s">
        <v>151</v>
      </c>
      <c r="AC5" s="2" t="s">
        <v>151</v>
      </c>
      <c r="AI5" s="2" t="s">
        <v>151</v>
      </c>
      <c r="AJ5" s="2" t="s">
        <v>151</v>
      </c>
      <c r="AK5" s="2" t="s">
        <v>151</v>
      </c>
      <c r="AL5" s="2" t="s">
        <v>180</v>
      </c>
      <c r="AM5" s="2" t="s">
        <v>151</v>
      </c>
      <c r="AN5" s="2" t="s">
        <v>151</v>
      </c>
      <c r="AO5" s="2" t="s">
        <v>151</v>
      </c>
      <c r="AP5" s="2" t="s">
        <v>151</v>
      </c>
      <c r="AQ5" s="2" t="s">
        <v>155</v>
      </c>
      <c r="AR5" s="2" t="s">
        <v>151</v>
      </c>
      <c r="AS5" s="2" t="s">
        <v>151</v>
      </c>
      <c r="AT5" s="2" t="s">
        <v>151</v>
      </c>
      <c r="AU5" s="2" t="s">
        <v>155</v>
      </c>
      <c r="AV5" s="2" t="s">
        <v>155</v>
      </c>
      <c r="AW5" s="2" t="s">
        <v>181</v>
      </c>
      <c r="BH5" s="2" t="s">
        <v>151</v>
      </c>
      <c r="BI5" s="2" t="s">
        <v>151</v>
      </c>
      <c r="BJ5" s="2" t="s">
        <v>151</v>
      </c>
      <c r="BM5" s="2" t="s">
        <v>182</v>
      </c>
      <c r="BN5" s="2" t="s">
        <v>183</v>
      </c>
      <c r="BO5" s="2" t="s">
        <v>184</v>
      </c>
      <c r="BP5" s="2" t="s">
        <v>185</v>
      </c>
      <c r="BQ5" s="2" t="s">
        <v>174</v>
      </c>
      <c r="BR5" s="2" t="s">
        <v>161</v>
      </c>
      <c r="BS5" s="2" t="s">
        <v>186</v>
      </c>
      <c r="BT5" s="2" t="s">
        <v>187</v>
      </c>
      <c r="BU5" s="2" t="s">
        <v>174</v>
      </c>
      <c r="BV5" s="2" t="s">
        <v>155</v>
      </c>
      <c r="BW5" s="2" t="s">
        <v>164</v>
      </c>
      <c r="BX5" s="2" t="s">
        <v>165</v>
      </c>
      <c r="BY5" s="2" t="s">
        <v>166</v>
      </c>
      <c r="BZ5" s="2" t="s">
        <v>20</v>
      </c>
      <c r="CA5" s="2" t="s">
        <v>167</v>
      </c>
    </row>
    <row r="6" spans="1:79" x14ac:dyDescent="0.3">
      <c r="A6" s="2" t="s">
        <v>480</v>
      </c>
      <c r="B6" s="2" t="s">
        <v>13</v>
      </c>
      <c r="C6" s="2" t="s">
        <v>14</v>
      </c>
      <c r="D6" s="2" t="s">
        <v>33</v>
      </c>
      <c r="E6" s="2" t="s">
        <v>16</v>
      </c>
      <c r="F6" s="2" t="s">
        <v>188</v>
      </c>
      <c r="G6" s="2" t="s">
        <v>189</v>
      </c>
      <c r="H6" s="2" t="s">
        <v>190</v>
      </c>
      <c r="I6" s="2" t="s">
        <v>191</v>
      </c>
      <c r="J6" s="2" t="s">
        <v>192</v>
      </c>
      <c r="K6" s="2" t="s">
        <v>193</v>
      </c>
      <c r="L6" s="2" t="s">
        <v>151</v>
      </c>
      <c r="M6" s="2" t="s">
        <v>151</v>
      </c>
      <c r="N6" s="2" t="s">
        <v>151</v>
      </c>
      <c r="O6" s="2" t="s">
        <v>151</v>
      </c>
      <c r="P6" s="2" t="s">
        <v>152</v>
      </c>
      <c r="Q6" s="2" t="s">
        <v>151</v>
      </c>
      <c r="R6" s="2" t="s">
        <v>153</v>
      </c>
      <c r="S6" s="2" t="s">
        <v>151</v>
      </c>
      <c r="T6" s="2" t="s">
        <v>151</v>
      </c>
      <c r="U6" s="2" t="s">
        <v>151</v>
      </c>
      <c r="V6" s="2" t="s">
        <v>151</v>
      </c>
      <c r="W6" s="2" t="s">
        <v>151</v>
      </c>
      <c r="X6" s="2" t="s">
        <v>151</v>
      </c>
      <c r="Y6" s="2" t="s">
        <v>151</v>
      </c>
      <c r="Z6" s="2" t="s">
        <v>151</v>
      </c>
      <c r="AA6" s="2" t="s">
        <v>151</v>
      </c>
      <c r="AB6" s="2" t="s">
        <v>151</v>
      </c>
      <c r="AC6" s="2" t="s">
        <v>151</v>
      </c>
      <c r="AI6" s="2" t="s">
        <v>151</v>
      </c>
      <c r="AJ6" s="2" t="s">
        <v>151</v>
      </c>
      <c r="AK6" s="2" t="s">
        <v>151</v>
      </c>
      <c r="AL6" s="2" t="s">
        <v>194</v>
      </c>
      <c r="AM6" s="2" t="s">
        <v>151</v>
      </c>
      <c r="AN6" s="2" t="s">
        <v>151</v>
      </c>
      <c r="AO6" s="2" t="s">
        <v>151</v>
      </c>
      <c r="AP6" s="2" t="s">
        <v>151</v>
      </c>
      <c r="AQ6" s="2" t="s">
        <v>151</v>
      </c>
      <c r="AR6" s="2" t="s">
        <v>151</v>
      </c>
      <c r="AS6" s="2" t="s">
        <v>151</v>
      </c>
      <c r="AT6" s="2" t="s">
        <v>151</v>
      </c>
      <c r="AU6" s="2" t="s">
        <v>195</v>
      </c>
      <c r="AV6" s="2" t="s">
        <v>155</v>
      </c>
      <c r="AW6" s="2" t="s">
        <v>196</v>
      </c>
      <c r="BH6" s="2" t="s">
        <v>151</v>
      </c>
      <c r="BI6" s="2" t="s">
        <v>151</v>
      </c>
      <c r="BJ6" s="2" t="s">
        <v>151</v>
      </c>
      <c r="BM6" s="2" t="s">
        <v>197</v>
      </c>
      <c r="BN6" s="2" t="s">
        <v>198</v>
      </c>
      <c r="BO6" s="2" t="s">
        <v>199</v>
      </c>
      <c r="BP6" s="2" t="s">
        <v>200</v>
      </c>
      <c r="BQ6" s="2" t="s">
        <v>188</v>
      </c>
      <c r="BR6" s="2" t="s">
        <v>161</v>
      </c>
      <c r="BS6" s="2" t="s">
        <v>201</v>
      </c>
      <c r="BT6" s="2" t="s">
        <v>202</v>
      </c>
      <c r="BU6" s="2" t="s">
        <v>203</v>
      </c>
      <c r="BV6" s="2" t="s">
        <v>155</v>
      </c>
      <c r="BW6" s="2" t="s">
        <v>164</v>
      </c>
      <c r="BX6" s="2" t="s">
        <v>165</v>
      </c>
      <c r="BY6" s="2" t="s">
        <v>166</v>
      </c>
      <c r="BZ6" s="2" t="s">
        <v>20</v>
      </c>
      <c r="CA6" s="2" t="s">
        <v>167</v>
      </c>
    </row>
    <row r="7" spans="1:79" x14ac:dyDescent="0.3">
      <c r="A7" s="2" t="s">
        <v>480</v>
      </c>
      <c r="B7" s="2" t="s">
        <v>13</v>
      </c>
      <c r="C7" s="2" t="s">
        <v>14</v>
      </c>
      <c r="D7" s="2" t="s">
        <v>27</v>
      </c>
      <c r="E7" s="2" t="s">
        <v>16</v>
      </c>
      <c r="F7" s="2" t="s">
        <v>155</v>
      </c>
      <c r="G7" s="2" t="s">
        <v>155</v>
      </c>
      <c r="H7" s="2" t="s">
        <v>155</v>
      </c>
      <c r="I7" s="2" t="s">
        <v>155</v>
      </c>
      <c r="J7" s="2" t="s">
        <v>155</v>
      </c>
      <c r="K7" s="2" t="s">
        <v>168</v>
      </c>
      <c r="L7" s="2" t="s">
        <v>151</v>
      </c>
      <c r="M7" s="2" t="s">
        <v>151</v>
      </c>
      <c r="N7" s="2" t="s">
        <v>151</v>
      </c>
      <c r="O7" s="2" t="s">
        <v>151</v>
      </c>
      <c r="P7" s="2" t="s">
        <v>155</v>
      </c>
      <c r="Q7" s="2" t="s">
        <v>151</v>
      </c>
      <c r="R7" s="2" t="s">
        <v>155</v>
      </c>
      <c r="S7" s="2" t="s">
        <v>151</v>
      </c>
      <c r="T7" s="2" t="s">
        <v>151</v>
      </c>
      <c r="U7" s="2" t="s">
        <v>151</v>
      </c>
      <c r="V7" s="2" t="s">
        <v>151</v>
      </c>
      <c r="W7" s="2" t="s">
        <v>151</v>
      </c>
      <c r="X7" s="2" t="s">
        <v>151</v>
      </c>
      <c r="Y7" s="2" t="s">
        <v>151</v>
      </c>
      <c r="Z7" s="2" t="s">
        <v>151</v>
      </c>
      <c r="AA7" s="2" t="s">
        <v>151</v>
      </c>
      <c r="AB7" s="2" t="s">
        <v>151</v>
      </c>
      <c r="AC7" s="2" t="s">
        <v>151</v>
      </c>
      <c r="AI7" s="2" t="s">
        <v>151</v>
      </c>
      <c r="AJ7" s="2" t="s">
        <v>151</v>
      </c>
      <c r="AK7" s="2" t="s">
        <v>151</v>
      </c>
      <c r="AL7" s="2" t="s">
        <v>204</v>
      </c>
      <c r="AM7" s="2" t="s">
        <v>151</v>
      </c>
      <c r="AN7" s="2" t="s">
        <v>151</v>
      </c>
      <c r="AO7" s="2" t="s">
        <v>151</v>
      </c>
      <c r="AP7" s="2" t="s">
        <v>151</v>
      </c>
      <c r="AQ7" s="2" t="s">
        <v>155</v>
      </c>
      <c r="AR7" s="2" t="s">
        <v>151</v>
      </c>
      <c r="AS7" s="2" t="s">
        <v>151</v>
      </c>
      <c r="AT7" s="2" t="s">
        <v>151</v>
      </c>
      <c r="AU7" s="2" t="s">
        <v>155</v>
      </c>
      <c r="AV7" s="2" t="s">
        <v>205</v>
      </c>
      <c r="AW7" s="2" t="s">
        <v>155</v>
      </c>
      <c r="BH7" s="2" t="s">
        <v>151</v>
      </c>
      <c r="BI7" s="2" t="s">
        <v>151</v>
      </c>
      <c r="BJ7" s="2" t="s">
        <v>151</v>
      </c>
      <c r="BM7" s="2" t="s">
        <v>155</v>
      </c>
      <c r="BN7" s="2" t="s">
        <v>155</v>
      </c>
      <c r="BO7" s="2" t="s">
        <v>155</v>
      </c>
      <c r="BP7" s="2" t="s">
        <v>155</v>
      </c>
      <c r="BQ7" s="2" t="s">
        <v>155</v>
      </c>
      <c r="BR7" s="2" t="s">
        <v>155</v>
      </c>
      <c r="BS7" s="2" t="s">
        <v>155</v>
      </c>
      <c r="BT7" s="2" t="s">
        <v>155</v>
      </c>
      <c r="BU7" s="2" t="s">
        <v>155</v>
      </c>
      <c r="BV7" s="2" t="s">
        <v>155</v>
      </c>
      <c r="BW7" s="2" t="s">
        <v>164</v>
      </c>
      <c r="BX7" s="2" t="s">
        <v>165</v>
      </c>
      <c r="BY7" s="2" t="s">
        <v>166</v>
      </c>
      <c r="BZ7" s="2" t="s">
        <v>20</v>
      </c>
      <c r="CA7" s="2" t="s">
        <v>171</v>
      </c>
    </row>
    <row r="8" spans="1:79" x14ac:dyDescent="0.3">
      <c r="A8" s="2" t="s">
        <v>480</v>
      </c>
      <c r="B8" s="2" t="s">
        <v>13</v>
      </c>
      <c r="C8" s="2" t="s">
        <v>14</v>
      </c>
      <c r="D8" s="2" t="s">
        <v>30</v>
      </c>
      <c r="E8" s="2" t="s">
        <v>16</v>
      </c>
      <c r="F8" s="2" t="s">
        <v>155</v>
      </c>
      <c r="G8" s="2" t="s">
        <v>155</v>
      </c>
      <c r="H8" s="2" t="s">
        <v>155</v>
      </c>
      <c r="I8" s="2" t="s">
        <v>155</v>
      </c>
      <c r="J8" s="2" t="s">
        <v>155</v>
      </c>
      <c r="K8" s="2" t="s">
        <v>150</v>
      </c>
      <c r="L8" s="2" t="s">
        <v>151</v>
      </c>
      <c r="M8" s="2" t="s">
        <v>151</v>
      </c>
      <c r="N8" s="2" t="s">
        <v>151</v>
      </c>
      <c r="O8" s="2" t="s">
        <v>151</v>
      </c>
      <c r="P8" s="2" t="s">
        <v>155</v>
      </c>
      <c r="Q8" s="2" t="s">
        <v>151</v>
      </c>
      <c r="R8" s="2" t="s">
        <v>155</v>
      </c>
      <c r="S8" s="2" t="s">
        <v>151</v>
      </c>
      <c r="T8" s="2" t="s">
        <v>151</v>
      </c>
      <c r="U8" s="2" t="s">
        <v>151</v>
      </c>
      <c r="V8" s="2" t="s">
        <v>151</v>
      </c>
      <c r="W8" s="2" t="s">
        <v>151</v>
      </c>
      <c r="X8" s="2" t="s">
        <v>151</v>
      </c>
      <c r="Y8" s="2" t="s">
        <v>151</v>
      </c>
      <c r="Z8" s="2" t="s">
        <v>151</v>
      </c>
      <c r="AA8" s="2" t="s">
        <v>151</v>
      </c>
      <c r="AB8" s="2" t="s">
        <v>151</v>
      </c>
      <c r="AC8" s="2" t="s">
        <v>151</v>
      </c>
      <c r="AI8" s="2" t="s">
        <v>151</v>
      </c>
      <c r="AJ8" s="2" t="s">
        <v>151</v>
      </c>
      <c r="AK8" s="2" t="s">
        <v>151</v>
      </c>
      <c r="AL8" s="2" t="s">
        <v>206</v>
      </c>
      <c r="AM8" s="2" t="s">
        <v>151</v>
      </c>
      <c r="AN8" s="2" t="s">
        <v>151</v>
      </c>
      <c r="AO8" s="2" t="s">
        <v>151</v>
      </c>
      <c r="AP8" s="2" t="s">
        <v>151</v>
      </c>
      <c r="AQ8" s="2" t="s">
        <v>155</v>
      </c>
      <c r="AR8" s="2" t="s">
        <v>151</v>
      </c>
      <c r="AS8" s="2" t="s">
        <v>151</v>
      </c>
      <c r="AT8" s="2" t="s">
        <v>151</v>
      </c>
      <c r="AU8" s="2" t="s">
        <v>155</v>
      </c>
      <c r="AV8" s="2" t="s">
        <v>207</v>
      </c>
      <c r="AW8" s="2" t="s">
        <v>155</v>
      </c>
      <c r="BH8" s="2" t="s">
        <v>151</v>
      </c>
      <c r="BI8" s="2" t="s">
        <v>151</v>
      </c>
      <c r="BJ8" s="2" t="s">
        <v>151</v>
      </c>
      <c r="BM8" s="2" t="s">
        <v>155</v>
      </c>
      <c r="BN8" s="2" t="s">
        <v>155</v>
      </c>
      <c r="BO8" s="2" t="s">
        <v>155</v>
      </c>
      <c r="BP8" s="2" t="s">
        <v>155</v>
      </c>
      <c r="BQ8" s="2" t="s">
        <v>155</v>
      </c>
      <c r="BR8" s="2" t="s">
        <v>155</v>
      </c>
      <c r="BS8" s="2" t="s">
        <v>155</v>
      </c>
      <c r="BT8" s="2" t="s">
        <v>155</v>
      </c>
      <c r="BU8" s="2" t="s">
        <v>155</v>
      </c>
      <c r="BV8" s="2" t="s">
        <v>155</v>
      </c>
      <c r="BW8" s="2" t="s">
        <v>164</v>
      </c>
      <c r="BX8" s="2" t="s">
        <v>165</v>
      </c>
      <c r="BY8" s="2" t="s">
        <v>166</v>
      </c>
      <c r="BZ8" s="2" t="s">
        <v>20</v>
      </c>
      <c r="CA8" s="2" t="s">
        <v>171</v>
      </c>
    </row>
    <row r="9" spans="1:79" x14ac:dyDescent="0.3">
      <c r="A9" s="2" t="s">
        <v>480</v>
      </c>
      <c r="B9" s="2" t="s">
        <v>13</v>
      </c>
      <c r="C9" s="2" t="s">
        <v>14</v>
      </c>
      <c r="D9" s="2" t="s">
        <v>28</v>
      </c>
      <c r="E9" s="2" t="s">
        <v>16</v>
      </c>
      <c r="F9" s="2" t="s">
        <v>155</v>
      </c>
      <c r="G9" s="2" t="s">
        <v>155</v>
      </c>
      <c r="H9" s="2" t="s">
        <v>155</v>
      </c>
      <c r="I9" s="2" t="s">
        <v>155</v>
      </c>
      <c r="J9" s="2" t="s">
        <v>155</v>
      </c>
      <c r="K9" s="2" t="s">
        <v>193</v>
      </c>
      <c r="L9" s="2" t="s">
        <v>151</v>
      </c>
      <c r="M9" s="2" t="s">
        <v>151</v>
      </c>
      <c r="N9" s="2" t="s">
        <v>151</v>
      </c>
      <c r="O9" s="2" t="s">
        <v>151</v>
      </c>
      <c r="P9" s="2" t="s">
        <v>155</v>
      </c>
      <c r="Q9" s="2" t="s">
        <v>151</v>
      </c>
      <c r="R9" s="2" t="s">
        <v>155</v>
      </c>
      <c r="S9" s="2" t="s">
        <v>151</v>
      </c>
      <c r="T9" s="2" t="s">
        <v>151</v>
      </c>
      <c r="U9" s="2" t="s">
        <v>151</v>
      </c>
      <c r="V9" s="2" t="s">
        <v>151</v>
      </c>
      <c r="W9" s="2" t="s">
        <v>151</v>
      </c>
      <c r="X9" s="2" t="s">
        <v>151</v>
      </c>
      <c r="Y9" s="2" t="s">
        <v>151</v>
      </c>
      <c r="Z9" s="2" t="s">
        <v>151</v>
      </c>
      <c r="AA9" s="2" t="s">
        <v>151</v>
      </c>
      <c r="AB9" s="2" t="s">
        <v>151</v>
      </c>
      <c r="AC9" s="2" t="s">
        <v>151</v>
      </c>
      <c r="AI9" s="2" t="s">
        <v>151</v>
      </c>
      <c r="AJ9" s="2" t="s">
        <v>151</v>
      </c>
      <c r="AK9" s="2" t="s">
        <v>151</v>
      </c>
      <c r="AL9" s="2" t="s">
        <v>208</v>
      </c>
      <c r="AM9" s="2" t="s">
        <v>151</v>
      </c>
      <c r="AN9" s="2" t="s">
        <v>151</v>
      </c>
      <c r="AO9" s="2" t="s">
        <v>151</v>
      </c>
      <c r="AP9" s="2" t="s">
        <v>151</v>
      </c>
      <c r="AQ9" s="2" t="s">
        <v>155</v>
      </c>
      <c r="AR9" s="2" t="s">
        <v>151</v>
      </c>
      <c r="AS9" s="2" t="s">
        <v>151</v>
      </c>
      <c r="AT9" s="2" t="s">
        <v>151</v>
      </c>
      <c r="AU9" s="2" t="s">
        <v>155</v>
      </c>
      <c r="AV9" s="2" t="s">
        <v>209</v>
      </c>
      <c r="AW9" s="2" t="s">
        <v>155</v>
      </c>
      <c r="BH9" s="2" t="s">
        <v>151</v>
      </c>
      <c r="BI9" s="2" t="s">
        <v>151</v>
      </c>
      <c r="BJ9" s="2" t="s">
        <v>151</v>
      </c>
      <c r="BM9" s="2" t="s">
        <v>155</v>
      </c>
      <c r="BN9" s="2" t="s">
        <v>155</v>
      </c>
      <c r="BO9" s="2" t="s">
        <v>155</v>
      </c>
      <c r="BP9" s="2" t="s">
        <v>155</v>
      </c>
      <c r="BQ9" s="2" t="s">
        <v>155</v>
      </c>
      <c r="BR9" s="2" t="s">
        <v>155</v>
      </c>
      <c r="BS9" s="2" t="s">
        <v>155</v>
      </c>
      <c r="BT9" s="2" t="s">
        <v>155</v>
      </c>
      <c r="BU9" s="2" t="s">
        <v>155</v>
      </c>
      <c r="BV9" s="2" t="s">
        <v>155</v>
      </c>
      <c r="BW9" s="2" t="s">
        <v>164</v>
      </c>
      <c r="BX9" s="2" t="s">
        <v>165</v>
      </c>
      <c r="BY9" s="2" t="s">
        <v>166</v>
      </c>
      <c r="BZ9" s="2" t="s">
        <v>20</v>
      </c>
      <c r="CA9" s="2" t="s">
        <v>171</v>
      </c>
    </row>
    <row r="10" spans="1:79" x14ac:dyDescent="0.3">
      <c r="A10" s="2" t="s">
        <v>480</v>
      </c>
      <c r="B10" s="2" t="s">
        <v>13</v>
      </c>
      <c r="C10" s="2" t="s">
        <v>14</v>
      </c>
      <c r="D10" s="2" t="s">
        <v>24</v>
      </c>
      <c r="E10" s="2" t="s">
        <v>16</v>
      </c>
      <c r="F10" s="2" t="s">
        <v>210</v>
      </c>
      <c r="G10" s="2" t="s">
        <v>211</v>
      </c>
      <c r="K10" s="2" t="s">
        <v>212</v>
      </c>
      <c r="L10" s="2" t="s">
        <v>151</v>
      </c>
      <c r="M10" s="2" t="s">
        <v>151</v>
      </c>
      <c r="N10" s="2" t="s">
        <v>151</v>
      </c>
      <c r="O10" s="2" t="s">
        <v>151</v>
      </c>
      <c r="P10" s="2" t="s">
        <v>152</v>
      </c>
      <c r="Q10" s="2" t="s">
        <v>151</v>
      </c>
      <c r="S10" s="2" t="s">
        <v>151</v>
      </c>
      <c r="T10" s="2" t="s">
        <v>151</v>
      </c>
      <c r="U10" s="2" t="s">
        <v>151</v>
      </c>
      <c r="V10" s="2" t="s">
        <v>151</v>
      </c>
      <c r="W10" s="2" t="s">
        <v>151</v>
      </c>
      <c r="X10" s="2" t="s">
        <v>151</v>
      </c>
      <c r="Y10" s="2" t="s">
        <v>151</v>
      </c>
      <c r="Z10" s="2" t="s">
        <v>151</v>
      </c>
      <c r="AA10" s="2" t="s">
        <v>151</v>
      </c>
      <c r="AB10" s="2" t="s">
        <v>151</v>
      </c>
      <c r="AC10" s="2" t="s">
        <v>151</v>
      </c>
      <c r="AI10" s="2" t="s">
        <v>151</v>
      </c>
      <c r="AJ10" s="2" t="s">
        <v>151</v>
      </c>
      <c r="AK10" s="2" t="s">
        <v>151</v>
      </c>
      <c r="AL10" s="2" t="s">
        <v>155</v>
      </c>
      <c r="AM10" s="2" t="s">
        <v>151</v>
      </c>
      <c r="AN10" s="2" t="s">
        <v>151</v>
      </c>
      <c r="AO10" s="2" t="s">
        <v>151</v>
      </c>
      <c r="AP10" s="2" t="s">
        <v>151</v>
      </c>
      <c r="AQ10" s="2" t="s">
        <v>155</v>
      </c>
      <c r="AR10" s="2" t="s">
        <v>151</v>
      </c>
      <c r="AS10" s="2" t="s">
        <v>151</v>
      </c>
      <c r="AT10" s="2" t="s">
        <v>151</v>
      </c>
      <c r="AU10" s="2" t="s">
        <v>155</v>
      </c>
      <c r="AV10" s="2" t="s">
        <v>155</v>
      </c>
      <c r="AW10" s="2" t="s">
        <v>155</v>
      </c>
      <c r="BH10" s="2" t="s">
        <v>151</v>
      </c>
      <c r="BI10" s="2" t="s">
        <v>151</v>
      </c>
      <c r="BJ10" s="2" t="s">
        <v>151</v>
      </c>
      <c r="BO10" s="2" t="s">
        <v>155</v>
      </c>
      <c r="BP10" s="2" t="s">
        <v>213</v>
      </c>
      <c r="BQ10" s="2" t="s">
        <v>210</v>
      </c>
      <c r="BR10" s="2" t="s">
        <v>214</v>
      </c>
      <c r="BS10" s="2" t="s">
        <v>215</v>
      </c>
      <c r="BT10" s="2" t="s">
        <v>216</v>
      </c>
      <c r="BU10" s="2" t="s">
        <v>210</v>
      </c>
      <c r="BV10" s="2" t="s">
        <v>155</v>
      </c>
      <c r="BW10" s="2" t="s">
        <v>164</v>
      </c>
      <c r="BX10" s="2" t="s">
        <v>165</v>
      </c>
      <c r="BY10" s="2" t="s">
        <v>166</v>
      </c>
      <c r="BZ10" s="2" t="s">
        <v>20</v>
      </c>
      <c r="CA10" s="2" t="s">
        <v>217</v>
      </c>
    </row>
    <row r="11" spans="1:79" x14ac:dyDescent="0.3">
      <c r="A11" s="2" t="s">
        <v>480</v>
      </c>
      <c r="B11" s="2" t="s">
        <v>13</v>
      </c>
      <c r="C11" s="2" t="s">
        <v>14</v>
      </c>
      <c r="D11" s="2" t="s">
        <v>31</v>
      </c>
      <c r="E11" s="2" t="s">
        <v>16</v>
      </c>
      <c r="F11" s="2" t="s">
        <v>155</v>
      </c>
      <c r="G11" s="2" t="s">
        <v>155</v>
      </c>
      <c r="H11" s="2" t="s">
        <v>155</v>
      </c>
      <c r="I11" s="2" t="s">
        <v>155</v>
      </c>
      <c r="J11" s="2" t="s">
        <v>155</v>
      </c>
      <c r="K11" s="2" t="s">
        <v>168</v>
      </c>
      <c r="L11" s="2" t="s">
        <v>151</v>
      </c>
      <c r="M11" s="2" t="s">
        <v>151</v>
      </c>
      <c r="N11" s="2" t="s">
        <v>151</v>
      </c>
      <c r="O11" s="2" t="s">
        <v>151</v>
      </c>
      <c r="P11" s="2" t="s">
        <v>155</v>
      </c>
      <c r="Q11" s="2" t="s">
        <v>151</v>
      </c>
      <c r="R11" s="2" t="s">
        <v>155</v>
      </c>
      <c r="S11" s="2" t="s">
        <v>151</v>
      </c>
      <c r="T11" s="2" t="s">
        <v>151</v>
      </c>
      <c r="U11" s="2" t="s">
        <v>151</v>
      </c>
      <c r="V11" s="2" t="s">
        <v>151</v>
      </c>
      <c r="W11" s="2" t="s">
        <v>151</v>
      </c>
      <c r="X11" s="2" t="s">
        <v>151</v>
      </c>
      <c r="Y11" s="2" t="s">
        <v>151</v>
      </c>
      <c r="Z11" s="2" t="s">
        <v>151</v>
      </c>
      <c r="AA11" s="2" t="s">
        <v>151</v>
      </c>
      <c r="AB11" s="2" t="s">
        <v>151</v>
      </c>
      <c r="AC11" s="2" t="s">
        <v>151</v>
      </c>
      <c r="AI11" s="2" t="s">
        <v>151</v>
      </c>
      <c r="AJ11" s="2" t="s">
        <v>151</v>
      </c>
      <c r="AK11" s="2" t="s">
        <v>151</v>
      </c>
      <c r="AL11" s="2" t="s">
        <v>218</v>
      </c>
      <c r="AM11" s="2" t="s">
        <v>151</v>
      </c>
      <c r="AN11" s="2" t="s">
        <v>151</v>
      </c>
      <c r="AO11" s="2" t="s">
        <v>151</v>
      </c>
      <c r="AP11" s="2" t="s">
        <v>151</v>
      </c>
      <c r="AQ11" s="2" t="s">
        <v>155</v>
      </c>
      <c r="AR11" s="2" t="s">
        <v>151</v>
      </c>
      <c r="AS11" s="2" t="s">
        <v>151</v>
      </c>
      <c r="AT11" s="2" t="s">
        <v>151</v>
      </c>
      <c r="AU11" s="2" t="s">
        <v>155</v>
      </c>
      <c r="AV11" s="2" t="s">
        <v>219</v>
      </c>
      <c r="AW11" s="2" t="s">
        <v>155</v>
      </c>
      <c r="BH11" s="2" t="s">
        <v>151</v>
      </c>
      <c r="BI11" s="2" t="s">
        <v>151</v>
      </c>
      <c r="BJ11" s="2" t="s">
        <v>151</v>
      </c>
      <c r="BM11" s="2" t="s">
        <v>155</v>
      </c>
      <c r="BN11" s="2" t="s">
        <v>155</v>
      </c>
      <c r="BO11" s="2" t="s">
        <v>155</v>
      </c>
      <c r="BP11" s="2" t="s">
        <v>155</v>
      </c>
      <c r="BQ11" s="2" t="s">
        <v>155</v>
      </c>
      <c r="BR11" s="2" t="s">
        <v>155</v>
      </c>
      <c r="BS11" s="2" t="s">
        <v>155</v>
      </c>
      <c r="BT11" s="2" t="s">
        <v>155</v>
      </c>
      <c r="BU11" s="2" t="s">
        <v>155</v>
      </c>
      <c r="BV11" s="2" t="s">
        <v>155</v>
      </c>
      <c r="BW11" s="2" t="s">
        <v>164</v>
      </c>
      <c r="BX11" s="2" t="s">
        <v>165</v>
      </c>
      <c r="BY11" s="2" t="s">
        <v>166</v>
      </c>
      <c r="BZ11" s="2" t="s">
        <v>20</v>
      </c>
      <c r="CA11" s="2" t="s">
        <v>171</v>
      </c>
    </row>
    <row r="12" spans="1:79" x14ac:dyDescent="0.3">
      <c r="A12" s="2" t="s">
        <v>480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155</v>
      </c>
      <c r="G12" s="2" t="s">
        <v>155</v>
      </c>
      <c r="H12" s="2" t="s">
        <v>220</v>
      </c>
      <c r="I12" s="2" t="s">
        <v>221</v>
      </c>
      <c r="J12" s="2" t="s">
        <v>222</v>
      </c>
      <c r="K12" s="2" t="s">
        <v>179</v>
      </c>
      <c r="L12" s="2" t="s">
        <v>151</v>
      </c>
      <c r="M12" s="2" t="s">
        <v>151</v>
      </c>
      <c r="N12" s="2" t="s">
        <v>151</v>
      </c>
      <c r="O12" s="2" t="s">
        <v>151</v>
      </c>
      <c r="P12" s="2" t="s">
        <v>152</v>
      </c>
      <c r="Q12" s="2" t="s">
        <v>151</v>
      </c>
      <c r="R12" s="2" t="s">
        <v>153</v>
      </c>
      <c r="S12" s="2" t="s">
        <v>151</v>
      </c>
      <c r="T12" s="2" t="s">
        <v>151</v>
      </c>
      <c r="U12" s="2" t="s">
        <v>151</v>
      </c>
      <c r="V12" s="2" t="s">
        <v>151</v>
      </c>
      <c r="W12" s="2" t="s">
        <v>151</v>
      </c>
      <c r="X12" s="2" t="s">
        <v>151</v>
      </c>
      <c r="Y12" s="2" t="s">
        <v>151</v>
      </c>
      <c r="Z12" s="2" t="s">
        <v>151</v>
      </c>
      <c r="AA12" s="2" t="s">
        <v>151</v>
      </c>
      <c r="AB12" s="2" t="s">
        <v>151</v>
      </c>
      <c r="AC12" s="2" t="s">
        <v>151</v>
      </c>
      <c r="AI12" s="2" t="s">
        <v>151</v>
      </c>
      <c r="AJ12" s="2" t="s">
        <v>151</v>
      </c>
      <c r="AK12" s="2" t="s">
        <v>151</v>
      </c>
      <c r="AL12" s="2" t="s">
        <v>223</v>
      </c>
      <c r="AM12" s="2" t="s">
        <v>151</v>
      </c>
      <c r="AN12" s="2" t="s">
        <v>151</v>
      </c>
      <c r="AO12" s="2" t="s">
        <v>151</v>
      </c>
      <c r="AP12" s="2" t="s">
        <v>151</v>
      </c>
      <c r="AQ12" s="2" t="s">
        <v>151</v>
      </c>
      <c r="AR12" s="2" t="s">
        <v>151</v>
      </c>
      <c r="AS12" s="2" t="s">
        <v>151</v>
      </c>
      <c r="AT12" s="2" t="s">
        <v>151</v>
      </c>
      <c r="AU12" s="2" t="s">
        <v>151</v>
      </c>
      <c r="AV12" s="2" t="s">
        <v>155</v>
      </c>
      <c r="AW12" s="2" t="s">
        <v>224</v>
      </c>
      <c r="BH12" s="2" t="s">
        <v>151</v>
      </c>
      <c r="BI12" s="2" t="s">
        <v>151</v>
      </c>
      <c r="BJ12" s="2" t="s">
        <v>151</v>
      </c>
      <c r="BM12" s="2" t="s">
        <v>155</v>
      </c>
      <c r="BN12" s="2" t="s">
        <v>155</v>
      </c>
      <c r="BO12" s="2" t="s">
        <v>225</v>
      </c>
      <c r="BP12" s="2" t="s">
        <v>155</v>
      </c>
      <c r="BQ12" s="2" t="s">
        <v>155</v>
      </c>
      <c r="BR12" s="2" t="s">
        <v>226</v>
      </c>
      <c r="BS12" s="2" t="s">
        <v>155</v>
      </c>
      <c r="BT12" s="2" t="s">
        <v>155</v>
      </c>
      <c r="BU12" s="2" t="s">
        <v>174</v>
      </c>
      <c r="BV12" s="2" t="s">
        <v>155</v>
      </c>
      <c r="BW12" s="2" t="s">
        <v>164</v>
      </c>
      <c r="BX12" s="2" t="s">
        <v>165</v>
      </c>
      <c r="BY12" s="2" t="s">
        <v>166</v>
      </c>
      <c r="BZ12" s="2" t="s">
        <v>20</v>
      </c>
      <c r="CA12" s="2" t="s">
        <v>167</v>
      </c>
    </row>
    <row r="13" spans="1:79" x14ac:dyDescent="0.3">
      <c r="A13" s="2" t="s">
        <v>480</v>
      </c>
      <c r="B13" s="2" t="s">
        <v>13</v>
      </c>
      <c r="C13" s="2" t="s">
        <v>14</v>
      </c>
      <c r="D13" s="2" t="s">
        <v>25</v>
      </c>
      <c r="E13" s="2" t="s">
        <v>16</v>
      </c>
      <c r="F13" s="2" t="s">
        <v>155</v>
      </c>
      <c r="G13" s="2" t="s">
        <v>155</v>
      </c>
      <c r="H13" s="2" t="s">
        <v>155</v>
      </c>
      <c r="I13" s="2" t="s">
        <v>155</v>
      </c>
      <c r="J13" s="2" t="s">
        <v>155</v>
      </c>
      <c r="K13" s="2" t="s">
        <v>168</v>
      </c>
      <c r="L13" s="2" t="s">
        <v>151</v>
      </c>
      <c r="M13" s="2" t="s">
        <v>151</v>
      </c>
      <c r="N13" s="2" t="s">
        <v>151</v>
      </c>
      <c r="O13" s="2" t="s">
        <v>151</v>
      </c>
      <c r="P13" s="2" t="s">
        <v>155</v>
      </c>
      <c r="Q13" s="2" t="s">
        <v>151</v>
      </c>
      <c r="R13" s="2" t="s">
        <v>155</v>
      </c>
      <c r="S13" s="2" t="s">
        <v>151</v>
      </c>
      <c r="T13" s="2" t="s">
        <v>151</v>
      </c>
      <c r="U13" s="2" t="s">
        <v>151</v>
      </c>
      <c r="V13" s="2" t="s">
        <v>151</v>
      </c>
      <c r="W13" s="2" t="s">
        <v>151</v>
      </c>
      <c r="X13" s="2" t="s">
        <v>151</v>
      </c>
      <c r="Y13" s="2" t="s">
        <v>151</v>
      </c>
      <c r="Z13" s="2" t="s">
        <v>151</v>
      </c>
      <c r="AA13" s="2" t="s">
        <v>151</v>
      </c>
      <c r="AB13" s="2" t="s">
        <v>151</v>
      </c>
      <c r="AC13" s="2" t="s">
        <v>151</v>
      </c>
      <c r="AI13" s="2" t="s">
        <v>151</v>
      </c>
      <c r="AJ13" s="2" t="s">
        <v>151</v>
      </c>
      <c r="AK13" s="2" t="s">
        <v>151</v>
      </c>
      <c r="AL13" s="2" t="s">
        <v>227</v>
      </c>
      <c r="AM13" s="2" t="s">
        <v>151</v>
      </c>
      <c r="AN13" s="2" t="s">
        <v>151</v>
      </c>
      <c r="AO13" s="2" t="s">
        <v>151</v>
      </c>
      <c r="AP13" s="2" t="s">
        <v>151</v>
      </c>
      <c r="AQ13" s="2" t="s">
        <v>155</v>
      </c>
      <c r="AR13" s="2" t="s">
        <v>151</v>
      </c>
      <c r="AS13" s="2" t="s">
        <v>151</v>
      </c>
      <c r="AT13" s="2" t="s">
        <v>151</v>
      </c>
      <c r="AU13" s="2" t="s">
        <v>155</v>
      </c>
      <c r="AV13" s="2" t="s">
        <v>228</v>
      </c>
      <c r="AW13" s="2" t="s">
        <v>155</v>
      </c>
      <c r="BH13" s="2" t="s">
        <v>151</v>
      </c>
      <c r="BI13" s="2" t="s">
        <v>151</v>
      </c>
      <c r="BJ13" s="2" t="s">
        <v>151</v>
      </c>
      <c r="BM13" s="2" t="s">
        <v>155</v>
      </c>
      <c r="BN13" s="2" t="s">
        <v>155</v>
      </c>
      <c r="BO13" s="2" t="s">
        <v>155</v>
      </c>
      <c r="BP13" s="2" t="s">
        <v>155</v>
      </c>
      <c r="BQ13" s="2" t="s">
        <v>155</v>
      </c>
      <c r="BR13" s="2" t="s">
        <v>155</v>
      </c>
      <c r="BS13" s="2" t="s">
        <v>155</v>
      </c>
      <c r="BT13" s="2" t="s">
        <v>155</v>
      </c>
      <c r="BU13" s="2" t="s">
        <v>155</v>
      </c>
      <c r="BV13" s="2" t="s">
        <v>155</v>
      </c>
      <c r="BW13" s="2" t="s">
        <v>164</v>
      </c>
      <c r="BX13" s="2" t="s">
        <v>165</v>
      </c>
      <c r="BY13" s="2" t="s">
        <v>166</v>
      </c>
      <c r="BZ13" s="2" t="s">
        <v>20</v>
      </c>
      <c r="CA13" s="2" t="s">
        <v>171</v>
      </c>
    </row>
    <row r="14" spans="1:79" x14ac:dyDescent="0.3">
      <c r="A14" s="2" t="s">
        <v>481</v>
      </c>
      <c r="B14" s="2" t="s">
        <v>13</v>
      </c>
      <c r="C14" s="2" t="s">
        <v>464</v>
      </c>
      <c r="D14" s="2" t="s">
        <v>465</v>
      </c>
      <c r="E14" s="2" t="s">
        <v>16</v>
      </c>
      <c r="F14" s="2" t="s">
        <v>524</v>
      </c>
      <c r="G14" s="2" t="s">
        <v>525</v>
      </c>
      <c r="H14" s="2" t="s">
        <v>526</v>
      </c>
      <c r="I14" s="2" t="s">
        <v>527</v>
      </c>
      <c r="J14" s="2" t="s">
        <v>528</v>
      </c>
      <c r="K14" s="2" t="s">
        <v>529</v>
      </c>
      <c r="L14" s="2" t="s">
        <v>151</v>
      </c>
      <c r="M14" s="2" t="s">
        <v>151</v>
      </c>
      <c r="N14" s="2" t="s">
        <v>151</v>
      </c>
      <c r="O14" s="2" t="s">
        <v>151</v>
      </c>
      <c r="P14" s="2" t="s">
        <v>152</v>
      </c>
      <c r="Q14" s="2" t="s">
        <v>151</v>
      </c>
      <c r="R14" s="2" t="s">
        <v>153</v>
      </c>
      <c r="S14" s="2" t="s">
        <v>151</v>
      </c>
      <c r="T14" s="2" t="s">
        <v>151</v>
      </c>
      <c r="U14" s="2" t="s">
        <v>151</v>
      </c>
      <c r="V14" s="2" t="s">
        <v>151</v>
      </c>
      <c r="W14" s="2" t="s">
        <v>151</v>
      </c>
      <c r="X14" s="2" t="s">
        <v>151</v>
      </c>
      <c r="Y14" s="2" t="s">
        <v>151</v>
      </c>
      <c r="Z14" s="2" t="s">
        <v>151</v>
      </c>
      <c r="AA14" s="2" t="s">
        <v>151</v>
      </c>
      <c r="AB14" s="2" t="s">
        <v>151</v>
      </c>
      <c r="AC14" s="2" t="s">
        <v>151</v>
      </c>
      <c r="AI14" s="2" t="s">
        <v>151</v>
      </c>
      <c r="AJ14" s="2" t="s">
        <v>151</v>
      </c>
      <c r="AK14" s="2" t="s">
        <v>151</v>
      </c>
      <c r="AL14" s="2" t="s">
        <v>549</v>
      </c>
      <c r="AM14" s="2" t="s">
        <v>151</v>
      </c>
      <c r="AN14" s="2" t="s">
        <v>151</v>
      </c>
      <c r="AO14" s="2" t="s">
        <v>151</v>
      </c>
      <c r="AP14" s="2" t="s">
        <v>151</v>
      </c>
      <c r="AQ14" s="2" t="s">
        <v>155</v>
      </c>
      <c r="AR14" s="2" t="s">
        <v>151</v>
      </c>
      <c r="AS14" s="2" t="s">
        <v>151</v>
      </c>
      <c r="AT14" s="2" t="s">
        <v>151</v>
      </c>
      <c r="AU14" s="2" t="s">
        <v>155</v>
      </c>
      <c r="AV14" s="2" t="s">
        <v>155</v>
      </c>
      <c r="AW14" s="2" t="s">
        <v>550</v>
      </c>
      <c r="BH14" s="2" t="s">
        <v>151</v>
      </c>
      <c r="BI14" s="2" t="s">
        <v>151</v>
      </c>
      <c r="BJ14" s="2" t="s">
        <v>151</v>
      </c>
      <c r="BM14" s="2" t="s">
        <v>551</v>
      </c>
      <c r="BN14" s="2" t="s">
        <v>552</v>
      </c>
      <c r="BO14" s="2" t="s">
        <v>553</v>
      </c>
      <c r="BP14" s="2" t="s">
        <v>554</v>
      </c>
      <c r="BQ14" s="2" t="s">
        <v>524</v>
      </c>
      <c r="BR14" s="2" t="s">
        <v>161</v>
      </c>
      <c r="BS14" s="2" t="s">
        <v>555</v>
      </c>
      <c r="BT14" s="2" t="s">
        <v>216</v>
      </c>
      <c r="BU14" s="2" t="s">
        <v>556</v>
      </c>
      <c r="BV14" s="2" t="s">
        <v>155</v>
      </c>
      <c r="BW14" s="2" t="s">
        <v>164</v>
      </c>
      <c r="BX14" s="2" t="s">
        <v>165</v>
      </c>
      <c r="BY14" s="2" t="s">
        <v>166</v>
      </c>
      <c r="BZ14" s="2" t="s">
        <v>20</v>
      </c>
      <c r="CA14" s="2" t="s">
        <v>167</v>
      </c>
    </row>
    <row r="15" spans="1:79" x14ac:dyDescent="0.3">
      <c r="A15" s="2" t="s">
        <v>481</v>
      </c>
      <c r="B15" s="2" t="s">
        <v>13</v>
      </c>
      <c r="C15" s="2" t="s">
        <v>464</v>
      </c>
      <c r="D15" s="2" t="s">
        <v>467</v>
      </c>
      <c r="E15" s="2" t="s">
        <v>16</v>
      </c>
      <c r="F15" s="2" t="s">
        <v>530</v>
      </c>
      <c r="G15" s="2" t="s">
        <v>531</v>
      </c>
      <c r="H15" s="2" t="s">
        <v>532</v>
      </c>
      <c r="I15" s="2" t="s">
        <v>533</v>
      </c>
      <c r="J15" s="2" t="s">
        <v>534</v>
      </c>
      <c r="K15" s="2" t="s">
        <v>193</v>
      </c>
      <c r="L15" s="2" t="s">
        <v>151</v>
      </c>
      <c r="M15" s="2" t="s">
        <v>151</v>
      </c>
      <c r="N15" s="2" t="s">
        <v>151</v>
      </c>
      <c r="O15" s="2" t="s">
        <v>151</v>
      </c>
      <c r="P15" s="2" t="s">
        <v>152</v>
      </c>
      <c r="Q15" s="2" t="s">
        <v>151</v>
      </c>
      <c r="R15" s="2" t="s">
        <v>153</v>
      </c>
      <c r="S15" s="2" t="s">
        <v>151</v>
      </c>
      <c r="T15" s="2" t="s">
        <v>151</v>
      </c>
      <c r="U15" s="2" t="s">
        <v>151</v>
      </c>
      <c r="V15" s="2" t="s">
        <v>151</v>
      </c>
      <c r="W15" s="2" t="s">
        <v>151</v>
      </c>
      <c r="X15" s="2" t="s">
        <v>151</v>
      </c>
      <c r="Y15" s="2" t="s">
        <v>151</v>
      </c>
      <c r="Z15" s="2" t="s">
        <v>151</v>
      </c>
      <c r="AA15" s="2" t="s">
        <v>151</v>
      </c>
      <c r="AB15" s="2" t="s">
        <v>151</v>
      </c>
      <c r="AC15" s="2" t="s">
        <v>151</v>
      </c>
      <c r="AI15" s="2" t="s">
        <v>151</v>
      </c>
      <c r="AJ15" s="2" t="s">
        <v>151</v>
      </c>
      <c r="AK15" s="2" t="s">
        <v>151</v>
      </c>
      <c r="AL15" s="2" t="s">
        <v>557</v>
      </c>
      <c r="AM15" s="2" t="s">
        <v>151</v>
      </c>
      <c r="AN15" s="2" t="s">
        <v>151</v>
      </c>
      <c r="AO15" s="2" t="s">
        <v>151</v>
      </c>
      <c r="AP15" s="2" t="s">
        <v>151</v>
      </c>
      <c r="AQ15" s="2" t="s">
        <v>155</v>
      </c>
      <c r="AR15" s="2" t="s">
        <v>151</v>
      </c>
      <c r="AS15" s="2" t="s">
        <v>151</v>
      </c>
      <c r="AT15" s="2" t="s">
        <v>151</v>
      </c>
      <c r="AU15" s="2" t="s">
        <v>155</v>
      </c>
      <c r="AV15" s="2" t="s">
        <v>155</v>
      </c>
      <c r="AW15" s="2" t="s">
        <v>558</v>
      </c>
      <c r="BH15" s="2" t="s">
        <v>151</v>
      </c>
      <c r="BI15" s="2" t="s">
        <v>151</v>
      </c>
      <c r="BJ15" s="2" t="s">
        <v>151</v>
      </c>
      <c r="BO15" s="2" t="s">
        <v>559</v>
      </c>
      <c r="BP15" s="2" t="s">
        <v>560</v>
      </c>
      <c r="BQ15" s="2" t="s">
        <v>530</v>
      </c>
      <c r="BR15" s="2" t="s">
        <v>161</v>
      </c>
      <c r="BS15" s="2" t="s">
        <v>561</v>
      </c>
      <c r="BT15" s="2" t="s">
        <v>216</v>
      </c>
      <c r="BU15" s="2" t="s">
        <v>530</v>
      </c>
      <c r="BV15" s="2" t="s">
        <v>155</v>
      </c>
      <c r="BW15" s="2" t="s">
        <v>164</v>
      </c>
      <c r="BX15" s="2" t="s">
        <v>165</v>
      </c>
      <c r="BY15" s="2" t="s">
        <v>166</v>
      </c>
      <c r="BZ15" s="2" t="s">
        <v>20</v>
      </c>
      <c r="CA15" s="2" t="s">
        <v>167</v>
      </c>
    </row>
    <row r="16" spans="1:79" x14ac:dyDescent="0.3">
      <c r="A16" s="2" t="s">
        <v>481</v>
      </c>
      <c r="B16" s="2" t="s">
        <v>13</v>
      </c>
      <c r="C16" s="2" t="s">
        <v>464</v>
      </c>
      <c r="D16" s="2" t="s">
        <v>468</v>
      </c>
      <c r="E16" s="2" t="s">
        <v>16</v>
      </c>
      <c r="F16" s="2" t="s">
        <v>155</v>
      </c>
      <c r="G16" s="2" t="s">
        <v>155</v>
      </c>
      <c r="H16" s="2" t="s">
        <v>155</v>
      </c>
      <c r="I16" s="2" t="s">
        <v>155</v>
      </c>
      <c r="J16" s="2" t="s">
        <v>155</v>
      </c>
      <c r="K16" s="2" t="s">
        <v>193</v>
      </c>
      <c r="L16" s="2" t="s">
        <v>151</v>
      </c>
      <c r="M16" s="2" t="s">
        <v>151</v>
      </c>
      <c r="N16" s="2" t="s">
        <v>151</v>
      </c>
      <c r="O16" s="2" t="s">
        <v>151</v>
      </c>
      <c r="P16" s="2" t="s">
        <v>155</v>
      </c>
      <c r="Q16" s="2" t="s">
        <v>151</v>
      </c>
      <c r="R16" s="2" t="s">
        <v>155</v>
      </c>
      <c r="S16" s="2" t="s">
        <v>151</v>
      </c>
      <c r="T16" s="2" t="s">
        <v>151</v>
      </c>
      <c r="U16" s="2" t="s">
        <v>151</v>
      </c>
      <c r="V16" s="2" t="s">
        <v>151</v>
      </c>
      <c r="W16" s="2" t="s">
        <v>151</v>
      </c>
      <c r="X16" s="2" t="s">
        <v>151</v>
      </c>
      <c r="Y16" s="2" t="s">
        <v>151</v>
      </c>
      <c r="Z16" s="2" t="s">
        <v>151</v>
      </c>
      <c r="AA16" s="2" t="s">
        <v>151</v>
      </c>
      <c r="AB16" s="2" t="s">
        <v>151</v>
      </c>
      <c r="AC16" s="2" t="s">
        <v>151</v>
      </c>
      <c r="AI16" s="2" t="s">
        <v>151</v>
      </c>
      <c r="AJ16" s="2" t="s">
        <v>151</v>
      </c>
      <c r="AK16" s="2" t="s">
        <v>151</v>
      </c>
      <c r="AL16" s="2" t="s">
        <v>562</v>
      </c>
      <c r="AM16" s="2" t="s">
        <v>151</v>
      </c>
      <c r="AN16" s="2" t="s">
        <v>151</v>
      </c>
      <c r="AO16" s="2" t="s">
        <v>151</v>
      </c>
      <c r="AP16" s="2" t="s">
        <v>151</v>
      </c>
      <c r="AQ16" s="2" t="s">
        <v>155</v>
      </c>
      <c r="AR16" s="2" t="s">
        <v>151</v>
      </c>
      <c r="AS16" s="2" t="s">
        <v>151</v>
      </c>
      <c r="AT16" s="2" t="s">
        <v>151</v>
      </c>
      <c r="AU16" s="2" t="s">
        <v>155</v>
      </c>
      <c r="AV16" s="2" t="s">
        <v>563</v>
      </c>
      <c r="AW16" s="2" t="s">
        <v>155</v>
      </c>
      <c r="BH16" s="2" t="s">
        <v>151</v>
      </c>
      <c r="BI16" s="2" t="s">
        <v>151</v>
      </c>
      <c r="BJ16" s="2" t="s">
        <v>151</v>
      </c>
      <c r="BM16" s="2" t="s">
        <v>155</v>
      </c>
      <c r="BN16" s="2" t="s">
        <v>155</v>
      </c>
      <c r="BO16" s="2" t="s">
        <v>155</v>
      </c>
      <c r="BP16" s="2" t="s">
        <v>155</v>
      </c>
      <c r="BQ16" s="2" t="s">
        <v>155</v>
      </c>
      <c r="BR16" s="2" t="s">
        <v>155</v>
      </c>
      <c r="BS16" s="2" t="s">
        <v>155</v>
      </c>
      <c r="BT16" s="2" t="s">
        <v>155</v>
      </c>
      <c r="BU16" s="2" t="s">
        <v>155</v>
      </c>
      <c r="BV16" s="2" t="s">
        <v>155</v>
      </c>
      <c r="BW16" s="2" t="s">
        <v>164</v>
      </c>
      <c r="BX16" s="2" t="s">
        <v>165</v>
      </c>
      <c r="BY16" s="2" t="s">
        <v>166</v>
      </c>
      <c r="BZ16" s="2" t="s">
        <v>20</v>
      </c>
      <c r="CA16" s="2" t="s">
        <v>171</v>
      </c>
    </row>
    <row r="17" spans="1:79" x14ac:dyDescent="0.3">
      <c r="A17" s="2" t="s">
        <v>481</v>
      </c>
      <c r="B17" s="2" t="s">
        <v>13</v>
      </c>
      <c r="C17" s="2" t="s">
        <v>464</v>
      </c>
      <c r="D17" s="2" t="s">
        <v>469</v>
      </c>
      <c r="E17" s="2" t="s">
        <v>16</v>
      </c>
      <c r="G17" s="2" t="s">
        <v>535</v>
      </c>
      <c r="J17" s="2" t="s">
        <v>536</v>
      </c>
      <c r="K17" s="2" t="s">
        <v>193</v>
      </c>
      <c r="L17" s="2" t="s">
        <v>151</v>
      </c>
      <c r="M17" s="2" t="s">
        <v>151</v>
      </c>
      <c r="N17" s="2" t="s">
        <v>151</v>
      </c>
      <c r="O17" s="2" t="s">
        <v>151</v>
      </c>
      <c r="P17" s="2" t="s">
        <v>152</v>
      </c>
      <c r="Q17" s="2" t="s">
        <v>151</v>
      </c>
      <c r="S17" s="2" t="s">
        <v>151</v>
      </c>
      <c r="T17" s="2" t="s">
        <v>151</v>
      </c>
      <c r="U17" s="2" t="s">
        <v>151</v>
      </c>
      <c r="V17" s="2" t="s">
        <v>151</v>
      </c>
      <c r="W17" s="2" t="s">
        <v>151</v>
      </c>
      <c r="X17" s="2" t="s">
        <v>151</v>
      </c>
      <c r="Y17" s="2" t="s">
        <v>151</v>
      </c>
      <c r="Z17" s="2" t="s">
        <v>151</v>
      </c>
      <c r="AA17" s="2" t="s">
        <v>151</v>
      </c>
      <c r="AB17" s="2" t="s">
        <v>151</v>
      </c>
      <c r="AC17" s="2" t="s">
        <v>151</v>
      </c>
      <c r="AI17" s="2" t="s">
        <v>151</v>
      </c>
      <c r="AJ17" s="2" t="s">
        <v>151</v>
      </c>
      <c r="AK17" s="2" t="s">
        <v>151</v>
      </c>
      <c r="AL17" s="2" t="s">
        <v>155</v>
      </c>
      <c r="AM17" s="2" t="s">
        <v>151</v>
      </c>
      <c r="AN17" s="2" t="s">
        <v>151</v>
      </c>
      <c r="AO17" s="2" t="s">
        <v>151</v>
      </c>
      <c r="AP17" s="2" t="s">
        <v>151</v>
      </c>
      <c r="AQ17" s="2" t="s">
        <v>155</v>
      </c>
      <c r="AR17" s="2" t="s">
        <v>151</v>
      </c>
      <c r="AS17" s="2" t="s">
        <v>151</v>
      </c>
      <c r="AT17" s="2" t="s">
        <v>151</v>
      </c>
      <c r="AU17" s="2" t="s">
        <v>155</v>
      </c>
      <c r="AV17" s="2" t="s">
        <v>155</v>
      </c>
      <c r="AW17" s="2" t="s">
        <v>155</v>
      </c>
      <c r="BH17" s="2" t="s">
        <v>151</v>
      </c>
      <c r="BI17" s="2" t="s">
        <v>151</v>
      </c>
      <c r="BJ17" s="2" t="s">
        <v>151</v>
      </c>
      <c r="BO17" s="2" t="s">
        <v>155</v>
      </c>
      <c r="BP17" s="2" t="s">
        <v>564</v>
      </c>
      <c r="BQ17" s="2" t="s">
        <v>565</v>
      </c>
      <c r="BR17" s="2" t="s">
        <v>161</v>
      </c>
      <c r="BS17" s="2" t="s">
        <v>566</v>
      </c>
      <c r="BT17" s="2" t="s">
        <v>216</v>
      </c>
      <c r="BU17" s="2" t="s">
        <v>565</v>
      </c>
      <c r="BV17" s="2" t="s">
        <v>155</v>
      </c>
      <c r="BW17" s="2" t="s">
        <v>164</v>
      </c>
      <c r="BX17" s="2" t="s">
        <v>165</v>
      </c>
      <c r="BY17" s="2" t="s">
        <v>166</v>
      </c>
      <c r="BZ17" s="2" t="s">
        <v>20</v>
      </c>
      <c r="CA17" s="2" t="s">
        <v>217</v>
      </c>
    </row>
    <row r="18" spans="1:79" x14ac:dyDescent="0.3">
      <c r="A18" s="2" t="s">
        <v>481</v>
      </c>
      <c r="B18" s="2" t="s">
        <v>13</v>
      </c>
      <c r="C18" s="2" t="s">
        <v>464</v>
      </c>
      <c r="D18" s="2" t="s">
        <v>470</v>
      </c>
      <c r="E18" s="2" t="s">
        <v>16</v>
      </c>
      <c r="F18" s="2" t="s">
        <v>537</v>
      </c>
      <c r="G18" s="2" t="s">
        <v>538</v>
      </c>
      <c r="H18" s="2" t="s">
        <v>539</v>
      </c>
      <c r="I18" s="2" t="s">
        <v>540</v>
      </c>
      <c r="J18" s="2" t="s">
        <v>541</v>
      </c>
      <c r="K18" s="2" t="s">
        <v>529</v>
      </c>
      <c r="L18" s="2" t="s">
        <v>151</v>
      </c>
      <c r="M18" s="2" t="s">
        <v>151</v>
      </c>
      <c r="N18" s="2" t="s">
        <v>151</v>
      </c>
      <c r="O18" s="2" t="s">
        <v>151</v>
      </c>
      <c r="P18" s="2" t="s">
        <v>152</v>
      </c>
      <c r="Q18" s="2" t="s">
        <v>151</v>
      </c>
      <c r="R18" s="2" t="s">
        <v>153</v>
      </c>
      <c r="S18" s="2" t="s">
        <v>151</v>
      </c>
      <c r="T18" s="2" t="s">
        <v>151</v>
      </c>
      <c r="U18" s="2" t="s">
        <v>151</v>
      </c>
      <c r="V18" s="2" t="s">
        <v>151</v>
      </c>
      <c r="W18" s="2" t="s">
        <v>151</v>
      </c>
      <c r="X18" s="2" t="s">
        <v>151</v>
      </c>
      <c r="Y18" s="2" t="s">
        <v>151</v>
      </c>
      <c r="Z18" s="2" t="s">
        <v>151</v>
      </c>
      <c r="AA18" s="2" t="s">
        <v>151</v>
      </c>
      <c r="AB18" s="2" t="s">
        <v>151</v>
      </c>
      <c r="AC18" s="2" t="s">
        <v>151</v>
      </c>
      <c r="AI18" s="2" t="s">
        <v>151</v>
      </c>
      <c r="AJ18" s="2" t="s">
        <v>151</v>
      </c>
      <c r="AK18" s="2" t="s">
        <v>151</v>
      </c>
      <c r="AL18" s="2" t="s">
        <v>567</v>
      </c>
      <c r="AM18" s="2" t="s">
        <v>151</v>
      </c>
      <c r="AN18" s="2" t="s">
        <v>151</v>
      </c>
      <c r="AO18" s="2" t="s">
        <v>151</v>
      </c>
      <c r="AP18" s="2" t="s">
        <v>151</v>
      </c>
      <c r="AQ18" s="2" t="s">
        <v>155</v>
      </c>
      <c r="AR18" s="2" t="s">
        <v>151</v>
      </c>
      <c r="AS18" s="2" t="s">
        <v>151</v>
      </c>
      <c r="AT18" s="2" t="s">
        <v>151</v>
      </c>
      <c r="AU18" s="2" t="s">
        <v>155</v>
      </c>
      <c r="AV18" s="2" t="s">
        <v>155</v>
      </c>
      <c r="AW18" s="2" t="s">
        <v>568</v>
      </c>
      <c r="BH18" s="2" t="s">
        <v>151</v>
      </c>
      <c r="BI18" s="2" t="s">
        <v>151</v>
      </c>
      <c r="BJ18" s="2" t="s">
        <v>151</v>
      </c>
      <c r="BM18" s="2" t="s">
        <v>569</v>
      </c>
      <c r="BN18" s="2" t="s">
        <v>570</v>
      </c>
      <c r="BO18" s="2" t="s">
        <v>571</v>
      </c>
      <c r="BP18" s="2" t="s">
        <v>572</v>
      </c>
      <c r="BQ18" s="2" t="s">
        <v>537</v>
      </c>
      <c r="BR18" s="2" t="s">
        <v>161</v>
      </c>
      <c r="BS18" s="2" t="s">
        <v>573</v>
      </c>
      <c r="BT18" s="2" t="s">
        <v>216</v>
      </c>
      <c r="BU18" s="2" t="s">
        <v>537</v>
      </c>
      <c r="BV18" s="2" t="s">
        <v>155</v>
      </c>
      <c r="BW18" s="2" t="s">
        <v>164</v>
      </c>
      <c r="BX18" s="2" t="s">
        <v>165</v>
      </c>
      <c r="BY18" s="2" t="s">
        <v>166</v>
      </c>
      <c r="BZ18" s="2" t="s">
        <v>20</v>
      </c>
      <c r="CA18" s="2" t="s">
        <v>167</v>
      </c>
    </row>
    <row r="19" spans="1:79" x14ac:dyDescent="0.3">
      <c r="A19" s="2" t="s">
        <v>481</v>
      </c>
      <c r="B19" s="2" t="s">
        <v>13</v>
      </c>
      <c r="C19" s="2" t="s">
        <v>471</v>
      </c>
      <c r="D19" s="2" t="s">
        <v>472</v>
      </c>
      <c r="E19" s="2" t="s">
        <v>16</v>
      </c>
      <c r="F19" s="2" t="s">
        <v>155</v>
      </c>
      <c r="G19" s="2" t="s">
        <v>155</v>
      </c>
      <c r="H19" s="2" t="s">
        <v>155</v>
      </c>
      <c r="I19" s="2" t="s">
        <v>155</v>
      </c>
      <c r="J19" s="2" t="s">
        <v>155</v>
      </c>
      <c r="K19" s="2" t="s">
        <v>150</v>
      </c>
      <c r="L19" s="2" t="s">
        <v>151</v>
      </c>
      <c r="M19" s="2" t="s">
        <v>151</v>
      </c>
      <c r="N19" s="2" t="s">
        <v>151</v>
      </c>
      <c r="O19" s="2" t="s">
        <v>151</v>
      </c>
      <c r="P19" s="2" t="s">
        <v>155</v>
      </c>
      <c r="Q19" s="2" t="s">
        <v>151</v>
      </c>
      <c r="R19" s="2" t="s">
        <v>155</v>
      </c>
      <c r="S19" s="2" t="s">
        <v>151</v>
      </c>
      <c r="T19" s="2" t="s">
        <v>151</v>
      </c>
      <c r="U19" s="2" t="s">
        <v>151</v>
      </c>
      <c r="V19" s="2" t="s">
        <v>151</v>
      </c>
      <c r="W19" s="2" t="s">
        <v>151</v>
      </c>
      <c r="X19" s="2" t="s">
        <v>151</v>
      </c>
      <c r="Y19" s="2" t="s">
        <v>151</v>
      </c>
      <c r="Z19" s="2" t="s">
        <v>151</v>
      </c>
      <c r="AA19" s="2" t="s">
        <v>151</v>
      </c>
      <c r="AB19" s="2" t="s">
        <v>151</v>
      </c>
      <c r="AC19" s="2" t="s">
        <v>151</v>
      </c>
      <c r="AI19" s="2" t="s">
        <v>151</v>
      </c>
      <c r="AJ19" s="2" t="s">
        <v>151</v>
      </c>
      <c r="AK19" s="2" t="s">
        <v>151</v>
      </c>
      <c r="AL19" s="2" t="s">
        <v>574</v>
      </c>
      <c r="AM19" s="2" t="s">
        <v>151</v>
      </c>
      <c r="AN19" s="2" t="s">
        <v>151</v>
      </c>
      <c r="AO19" s="2" t="s">
        <v>151</v>
      </c>
      <c r="AP19" s="2" t="s">
        <v>151</v>
      </c>
      <c r="AQ19" s="2" t="s">
        <v>155</v>
      </c>
      <c r="AR19" s="2" t="s">
        <v>151</v>
      </c>
      <c r="AS19" s="2" t="s">
        <v>151</v>
      </c>
      <c r="AT19" s="2" t="s">
        <v>151</v>
      </c>
      <c r="AU19" s="2" t="s">
        <v>155</v>
      </c>
      <c r="AV19" s="2" t="s">
        <v>575</v>
      </c>
      <c r="AW19" s="2" t="s">
        <v>155</v>
      </c>
      <c r="BH19" s="2" t="s">
        <v>151</v>
      </c>
      <c r="BI19" s="2" t="s">
        <v>151</v>
      </c>
      <c r="BJ19" s="2" t="s">
        <v>151</v>
      </c>
      <c r="BM19" s="2" t="s">
        <v>155</v>
      </c>
      <c r="BN19" s="2" t="s">
        <v>155</v>
      </c>
      <c r="BO19" s="2" t="s">
        <v>155</v>
      </c>
      <c r="BP19" s="2" t="s">
        <v>155</v>
      </c>
      <c r="BQ19" s="2" t="s">
        <v>155</v>
      </c>
      <c r="BR19" s="2" t="s">
        <v>155</v>
      </c>
      <c r="BS19" s="2" t="s">
        <v>155</v>
      </c>
      <c r="BT19" s="2" t="s">
        <v>155</v>
      </c>
      <c r="BU19" s="2" t="s">
        <v>155</v>
      </c>
      <c r="BV19" s="2" t="s">
        <v>155</v>
      </c>
      <c r="BW19" s="2" t="s">
        <v>164</v>
      </c>
      <c r="BX19" s="2" t="s">
        <v>165</v>
      </c>
      <c r="BY19" s="2" t="s">
        <v>166</v>
      </c>
      <c r="BZ19" s="2" t="s">
        <v>20</v>
      </c>
      <c r="CA19" s="2" t="s">
        <v>171</v>
      </c>
    </row>
    <row r="20" spans="1:79" x14ac:dyDescent="0.3">
      <c r="A20" s="2" t="s">
        <v>481</v>
      </c>
      <c r="B20" s="2" t="s">
        <v>13</v>
      </c>
      <c r="C20" s="2" t="s">
        <v>471</v>
      </c>
      <c r="D20" s="2" t="s">
        <v>473</v>
      </c>
      <c r="E20" s="2" t="s">
        <v>16</v>
      </c>
      <c r="F20" s="2" t="s">
        <v>155</v>
      </c>
      <c r="G20" s="2" t="s">
        <v>155</v>
      </c>
      <c r="H20" s="2" t="s">
        <v>155</v>
      </c>
      <c r="I20" s="2" t="s">
        <v>155</v>
      </c>
      <c r="J20" s="2" t="s">
        <v>155</v>
      </c>
      <c r="K20" s="2" t="s">
        <v>168</v>
      </c>
      <c r="L20" s="2" t="s">
        <v>151</v>
      </c>
      <c r="M20" s="2" t="s">
        <v>151</v>
      </c>
      <c r="N20" s="2" t="s">
        <v>151</v>
      </c>
      <c r="O20" s="2" t="s">
        <v>151</v>
      </c>
      <c r="P20" s="2" t="s">
        <v>155</v>
      </c>
      <c r="Q20" s="2" t="s">
        <v>151</v>
      </c>
      <c r="R20" s="2" t="s">
        <v>155</v>
      </c>
      <c r="S20" s="2" t="s">
        <v>151</v>
      </c>
      <c r="T20" s="2" t="s">
        <v>151</v>
      </c>
      <c r="U20" s="2" t="s">
        <v>151</v>
      </c>
      <c r="V20" s="2" t="s">
        <v>151</v>
      </c>
      <c r="W20" s="2" t="s">
        <v>151</v>
      </c>
      <c r="X20" s="2" t="s">
        <v>151</v>
      </c>
      <c r="Y20" s="2" t="s">
        <v>151</v>
      </c>
      <c r="Z20" s="2" t="s">
        <v>151</v>
      </c>
      <c r="AA20" s="2" t="s">
        <v>151</v>
      </c>
      <c r="AB20" s="2" t="s">
        <v>151</v>
      </c>
      <c r="AC20" s="2" t="s">
        <v>151</v>
      </c>
      <c r="AI20" s="2" t="s">
        <v>151</v>
      </c>
      <c r="AJ20" s="2" t="s">
        <v>151</v>
      </c>
      <c r="AK20" s="2" t="s">
        <v>151</v>
      </c>
      <c r="AL20" s="2" t="s">
        <v>576</v>
      </c>
      <c r="AM20" s="2" t="s">
        <v>151</v>
      </c>
      <c r="AN20" s="2" t="s">
        <v>151</v>
      </c>
      <c r="AO20" s="2" t="s">
        <v>151</v>
      </c>
      <c r="AP20" s="2" t="s">
        <v>151</v>
      </c>
      <c r="AQ20" s="2" t="s">
        <v>155</v>
      </c>
      <c r="AR20" s="2" t="s">
        <v>151</v>
      </c>
      <c r="AS20" s="2" t="s">
        <v>151</v>
      </c>
      <c r="AT20" s="2" t="s">
        <v>151</v>
      </c>
      <c r="AU20" s="2" t="s">
        <v>155</v>
      </c>
      <c r="AV20" s="2" t="s">
        <v>577</v>
      </c>
      <c r="AW20" s="2" t="s">
        <v>155</v>
      </c>
      <c r="BH20" s="2" t="s">
        <v>151</v>
      </c>
      <c r="BI20" s="2" t="s">
        <v>151</v>
      </c>
      <c r="BJ20" s="2" t="s">
        <v>151</v>
      </c>
      <c r="BM20" s="2" t="s">
        <v>155</v>
      </c>
      <c r="BN20" s="2" t="s">
        <v>155</v>
      </c>
      <c r="BO20" s="2" t="s">
        <v>155</v>
      </c>
      <c r="BP20" s="2" t="s">
        <v>155</v>
      </c>
      <c r="BQ20" s="2" t="s">
        <v>155</v>
      </c>
      <c r="BR20" s="2" t="s">
        <v>155</v>
      </c>
      <c r="BS20" s="2" t="s">
        <v>155</v>
      </c>
      <c r="BT20" s="2" t="s">
        <v>155</v>
      </c>
      <c r="BU20" s="2" t="s">
        <v>155</v>
      </c>
      <c r="BV20" s="2" t="s">
        <v>155</v>
      </c>
      <c r="BW20" s="2" t="s">
        <v>164</v>
      </c>
      <c r="BX20" s="2" t="s">
        <v>165</v>
      </c>
      <c r="BY20" s="2" t="s">
        <v>166</v>
      </c>
      <c r="BZ20" s="2" t="s">
        <v>20</v>
      </c>
      <c r="CA20" s="2" t="s">
        <v>171</v>
      </c>
    </row>
    <row r="21" spans="1:79" x14ac:dyDescent="0.3">
      <c r="A21" s="2" t="s">
        <v>481</v>
      </c>
      <c r="B21" s="2" t="s">
        <v>13</v>
      </c>
      <c r="C21" s="2" t="s">
        <v>464</v>
      </c>
      <c r="D21" s="2" t="s">
        <v>474</v>
      </c>
      <c r="E21" s="2" t="s">
        <v>16</v>
      </c>
      <c r="F21" s="2" t="s">
        <v>155</v>
      </c>
      <c r="G21" s="2" t="s">
        <v>155</v>
      </c>
      <c r="H21" s="2" t="s">
        <v>155</v>
      </c>
      <c r="I21" s="2" t="s">
        <v>155</v>
      </c>
      <c r="J21" s="2" t="s">
        <v>155</v>
      </c>
      <c r="K21" s="2" t="s">
        <v>193</v>
      </c>
      <c r="L21" s="2" t="s">
        <v>151</v>
      </c>
      <c r="M21" s="2" t="s">
        <v>151</v>
      </c>
      <c r="N21" s="2" t="s">
        <v>151</v>
      </c>
      <c r="O21" s="2" t="s">
        <v>151</v>
      </c>
      <c r="P21" s="2" t="s">
        <v>155</v>
      </c>
      <c r="Q21" s="2" t="s">
        <v>151</v>
      </c>
      <c r="R21" s="2" t="s">
        <v>155</v>
      </c>
      <c r="S21" s="2" t="s">
        <v>151</v>
      </c>
      <c r="T21" s="2" t="s">
        <v>151</v>
      </c>
      <c r="U21" s="2" t="s">
        <v>151</v>
      </c>
      <c r="V21" s="2" t="s">
        <v>151</v>
      </c>
      <c r="W21" s="2" t="s">
        <v>151</v>
      </c>
      <c r="X21" s="2" t="s">
        <v>151</v>
      </c>
      <c r="Y21" s="2" t="s">
        <v>151</v>
      </c>
      <c r="Z21" s="2" t="s">
        <v>151</v>
      </c>
      <c r="AA21" s="2" t="s">
        <v>151</v>
      </c>
      <c r="AB21" s="2" t="s">
        <v>151</v>
      </c>
      <c r="AC21" s="2" t="s">
        <v>151</v>
      </c>
      <c r="AI21" s="2" t="s">
        <v>151</v>
      </c>
      <c r="AJ21" s="2" t="s">
        <v>151</v>
      </c>
      <c r="AK21" s="2" t="s">
        <v>151</v>
      </c>
      <c r="AL21" s="2" t="s">
        <v>578</v>
      </c>
      <c r="AM21" s="2" t="s">
        <v>151</v>
      </c>
      <c r="AN21" s="2" t="s">
        <v>151</v>
      </c>
      <c r="AO21" s="2" t="s">
        <v>151</v>
      </c>
      <c r="AP21" s="2" t="s">
        <v>151</v>
      </c>
      <c r="AQ21" s="2" t="s">
        <v>155</v>
      </c>
      <c r="AR21" s="2" t="s">
        <v>151</v>
      </c>
      <c r="AS21" s="2" t="s">
        <v>151</v>
      </c>
      <c r="AT21" s="2" t="s">
        <v>151</v>
      </c>
      <c r="AU21" s="2" t="s">
        <v>155</v>
      </c>
      <c r="AV21" s="2" t="s">
        <v>579</v>
      </c>
      <c r="AW21" s="2" t="s">
        <v>155</v>
      </c>
      <c r="BH21" s="2" t="s">
        <v>151</v>
      </c>
      <c r="BI21" s="2" t="s">
        <v>151</v>
      </c>
      <c r="BJ21" s="2" t="s">
        <v>151</v>
      </c>
      <c r="BM21" s="2" t="s">
        <v>155</v>
      </c>
      <c r="BN21" s="2" t="s">
        <v>155</v>
      </c>
      <c r="BO21" s="2" t="s">
        <v>155</v>
      </c>
      <c r="BP21" s="2" t="s">
        <v>155</v>
      </c>
      <c r="BQ21" s="2" t="s">
        <v>155</v>
      </c>
      <c r="BR21" s="2" t="s">
        <v>155</v>
      </c>
      <c r="BS21" s="2" t="s">
        <v>155</v>
      </c>
      <c r="BT21" s="2" t="s">
        <v>155</v>
      </c>
      <c r="BU21" s="2" t="s">
        <v>155</v>
      </c>
      <c r="BV21" s="2" t="s">
        <v>155</v>
      </c>
      <c r="BW21" s="2" t="s">
        <v>164</v>
      </c>
      <c r="BX21" s="2" t="s">
        <v>165</v>
      </c>
      <c r="BY21" s="2" t="s">
        <v>166</v>
      </c>
      <c r="BZ21" s="2" t="s">
        <v>20</v>
      </c>
      <c r="CA21" s="2" t="s">
        <v>171</v>
      </c>
    </row>
    <row r="22" spans="1:79" x14ac:dyDescent="0.3">
      <c r="A22" s="2" t="s">
        <v>481</v>
      </c>
      <c r="B22" s="2" t="s">
        <v>13</v>
      </c>
      <c r="C22" s="2" t="s">
        <v>464</v>
      </c>
      <c r="D22" s="2" t="s">
        <v>475</v>
      </c>
      <c r="E22" s="2" t="s">
        <v>16</v>
      </c>
      <c r="F22" s="2" t="s">
        <v>542</v>
      </c>
      <c r="G22" s="2" t="s">
        <v>543</v>
      </c>
      <c r="H22" s="2" t="s">
        <v>544</v>
      </c>
      <c r="I22" s="2" t="s">
        <v>545</v>
      </c>
      <c r="J22" s="2" t="s">
        <v>546</v>
      </c>
      <c r="K22" s="2" t="s">
        <v>529</v>
      </c>
      <c r="L22" s="2" t="s">
        <v>151</v>
      </c>
      <c r="M22" s="2" t="s">
        <v>151</v>
      </c>
      <c r="N22" s="2" t="s">
        <v>151</v>
      </c>
      <c r="O22" s="2" t="s">
        <v>151</v>
      </c>
      <c r="P22" s="2" t="s">
        <v>152</v>
      </c>
      <c r="Q22" s="2" t="s">
        <v>151</v>
      </c>
      <c r="R22" s="2" t="s">
        <v>153</v>
      </c>
      <c r="S22" s="2" t="s">
        <v>151</v>
      </c>
      <c r="T22" s="2" t="s">
        <v>151</v>
      </c>
      <c r="U22" s="2" t="s">
        <v>151</v>
      </c>
      <c r="V22" s="2" t="s">
        <v>151</v>
      </c>
      <c r="W22" s="2" t="s">
        <v>151</v>
      </c>
      <c r="X22" s="2" t="s">
        <v>151</v>
      </c>
      <c r="Y22" s="2" t="s">
        <v>151</v>
      </c>
      <c r="Z22" s="2" t="s">
        <v>151</v>
      </c>
      <c r="AA22" s="2" t="s">
        <v>151</v>
      </c>
      <c r="AB22" s="2" t="s">
        <v>151</v>
      </c>
      <c r="AC22" s="2" t="s">
        <v>151</v>
      </c>
      <c r="AI22" s="2" t="s">
        <v>151</v>
      </c>
      <c r="AJ22" s="2" t="s">
        <v>151</v>
      </c>
      <c r="AK22" s="2" t="s">
        <v>151</v>
      </c>
      <c r="AL22" s="2" t="s">
        <v>580</v>
      </c>
      <c r="AM22" s="2" t="s">
        <v>151</v>
      </c>
      <c r="AN22" s="2" t="s">
        <v>151</v>
      </c>
      <c r="AO22" s="2" t="s">
        <v>151</v>
      </c>
      <c r="AP22" s="2" t="s">
        <v>151</v>
      </c>
      <c r="AQ22" s="2" t="s">
        <v>155</v>
      </c>
      <c r="AR22" s="2" t="s">
        <v>151</v>
      </c>
      <c r="AS22" s="2" t="s">
        <v>151</v>
      </c>
      <c r="AT22" s="2" t="s">
        <v>151</v>
      </c>
      <c r="AU22" s="2" t="s">
        <v>155</v>
      </c>
      <c r="AV22" s="2" t="s">
        <v>155</v>
      </c>
      <c r="AW22" s="2" t="s">
        <v>581</v>
      </c>
      <c r="BH22" s="2" t="s">
        <v>151</v>
      </c>
      <c r="BI22" s="2" t="s">
        <v>151</v>
      </c>
      <c r="BJ22" s="2" t="s">
        <v>151</v>
      </c>
      <c r="BM22" s="2" t="s">
        <v>582</v>
      </c>
      <c r="BN22" s="2" t="s">
        <v>583</v>
      </c>
      <c r="BO22" s="2" t="s">
        <v>584</v>
      </c>
      <c r="BP22" s="2" t="s">
        <v>585</v>
      </c>
      <c r="BQ22" s="2" t="s">
        <v>542</v>
      </c>
      <c r="BR22" s="2" t="s">
        <v>161</v>
      </c>
      <c r="BS22" s="2" t="s">
        <v>586</v>
      </c>
      <c r="BT22" s="2" t="s">
        <v>216</v>
      </c>
      <c r="BU22" s="2" t="s">
        <v>542</v>
      </c>
      <c r="BV22" s="2" t="s">
        <v>155</v>
      </c>
      <c r="BW22" s="2" t="s">
        <v>164</v>
      </c>
      <c r="BX22" s="2" t="s">
        <v>165</v>
      </c>
      <c r="BY22" s="2" t="s">
        <v>166</v>
      </c>
      <c r="BZ22" s="2" t="s">
        <v>20</v>
      </c>
      <c r="CA22" s="2" t="s">
        <v>167</v>
      </c>
    </row>
    <row r="23" spans="1:79" x14ac:dyDescent="0.3">
      <c r="A23" s="2" t="s">
        <v>481</v>
      </c>
      <c r="B23" s="2" t="s">
        <v>13</v>
      </c>
      <c r="C23" s="2" t="s">
        <v>464</v>
      </c>
      <c r="D23" s="2" t="s">
        <v>476</v>
      </c>
      <c r="E23" s="2" t="s">
        <v>16</v>
      </c>
      <c r="F23" s="2" t="s">
        <v>547</v>
      </c>
      <c r="G23" s="2" t="s">
        <v>548</v>
      </c>
      <c r="K23" s="2" t="s">
        <v>529</v>
      </c>
      <c r="L23" s="2" t="s">
        <v>151</v>
      </c>
      <c r="M23" s="2" t="s">
        <v>151</v>
      </c>
      <c r="N23" s="2" t="s">
        <v>151</v>
      </c>
      <c r="O23" s="2" t="s">
        <v>151</v>
      </c>
      <c r="P23" s="2" t="s">
        <v>152</v>
      </c>
      <c r="Q23" s="2" t="s">
        <v>151</v>
      </c>
      <c r="S23" s="2" t="s">
        <v>151</v>
      </c>
      <c r="T23" s="2" t="s">
        <v>151</v>
      </c>
      <c r="U23" s="2" t="s">
        <v>151</v>
      </c>
      <c r="V23" s="2" t="s">
        <v>151</v>
      </c>
      <c r="W23" s="2" t="s">
        <v>151</v>
      </c>
      <c r="X23" s="2" t="s">
        <v>151</v>
      </c>
      <c r="Y23" s="2" t="s">
        <v>151</v>
      </c>
      <c r="Z23" s="2" t="s">
        <v>151</v>
      </c>
      <c r="AA23" s="2" t="s">
        <v>151</v>
      </c>
      <c r="AB23" s="2" t="s">
        <v>151</v>
      </c>
      <c r="AC23" s="2" t="s">
        <v>151</v>
      </c>
      <c r="AI23" s="2" t="s">
        <v>151</v>
      </c>
      <c r="AJ23" s="2" t="s">
        <v>151</v>
      </c>
      <c r="AK23" s="2" t="s">
        <v>151</v>
      </c>
      <c r="AL23" s="2" t="s">
        <v>587</v>
      </c>
      <c r="AM23" s="2" t="s">
        <v>151</v>
      </c>
      <c r="AN23" s="2" t="s">
        <v>151</v>
      </c>
      <c r="AO23" s="2" t="s">
        <v>151</v>
      </c>
      <c r="AP23" s="2" t="s">
        <v>151</v>
      </c>
      <c r="AQ23" s="2" t="s">
        <v>588</v>
      </c>
      <c r="AR23" s="2" t="s">
        <v>151</v>
      </c>
      <c r="AS23" s="2" t="s">
        <v>151</v>
      </c>
      <c r="AT23" s="2" t="s">
        <v>151</v>
      </c>
      <c r="AU23" s="2" t="s">
        <v>155</v>
      </c>
      <c r="AV23" s="2" t="s">
        <v>155</v>
      </c>
      <c r="AW23" s="2" t="s">
        <v>155</v>
      </c>
      <c r="BH23" s="2" t="s">
        <v>151</v>
      </c>
      <c r="BI23" s="2" t="s">
        <v>151</v>
      </c>
      <c r="BJ23" s="2" t="s">
        <v>151</v>
      </c>
      <c r="BM23" s="2" t="s">
        <v>589</v>
      </c>
      <c r="BN23" s="2" t="s">
        <v>590</v>
      </c>
      <c r="BO23" s="2" t="s">
        <v>591</v>
      </c>
      <c r="BP23" s="2" t="s">
        <v>592</v>
      </c>
      <c r="BQ23" s="2" t="s">
        <v>593</v>
      </c>
      <c r="BS23" s="2" t="s">
        <v>594</v>
      </c>
      <c r="BT23" s="2" t="s">
        <v>595</v>
      </c>
      <c r="BU23" s="2" t="s">
        <v>547</v>
      </c>
      <c r="BV23" s="2" t="s">
        <v>155</v>
      </c>
      <c r="BW23" s="2" t="s">
        <v>164</v>
      </c>
      <c r="BX23" s="2" t="s">
        <v>165</v>
      </c>
      <c r="BY23" s="2" t="s">
        <v>166</v>
      </c>
      <c r="BZ23" s="2" t="s">
        <v>20</v>
      </c>
      <c r="CA23" s="2" t="s">
        <v>217</v>
      </c>
    </row>
    <row r="24" spans="1:79" x14ac:dyDescent="0.3">
      <c r="A24" s="2" t="s">
        <v>481</v>
      </c>
      <c r="B24" s="2" t="s">
        <v>13</v>
      </c>
      <c r="C24" s="2" t="s">
        <v>464</v>
      </c>
      <c r="D24" s="2" t="s">
        <v>477</v>
      </c>
      <c r="E24" s="2" t="s">
        <v>16</v>
      </c>
      <c r="F24" s="2" t="s">
        <v>155</v>
      </c>
      <c r="G24" s="2" t="s">
        <v>155</v>
      </c>
      <c r="H24" s="2" t="s">
        <v>155</v>
      </c>
      <c r="I24" s="2" t="s">
        <v>155</v>
      </c>
      <c r="J24" s="2" t="s">
        <v>155</v>
      </c>
      <c r="K24" s="2" t="s">
        <v>150</v>
      </c>
      <c r="L24" s="2" t="s">
        <v>151</v>
      </c>
      <c r="M24" s="2" t="s">
        <v>151</v>
      </c>
      <c r="N24" s="2" t="s">
        <v>151</v>
      </c>
      <c r="O24" s="2" t="s">
        <v>151</v>
      </c>
      <c r="P24" s="2" t="s">
        <v>155</v>
      </c>
      <c r="Q24" s="2" t="s">
        <v>151</v>
      </c>
      <c r="R24" s="2" t="s">
        <v>155</v>
      </c>
      <c r="S24" s="2" t="s">
        <v>151</v>
      </c>
      <c r="T24" s="2" t="s">
        <v>151</v>
      </c>
      <c r="U24" s="2" t="s">
        <v>151</v>
      </c>
      <c r="V24" s="2" t="s">
        <v>151</v>
      </c>
      <c r="W24" s="2" t="s">
        <v>151</v>
      </c>
      <c r="X24" s="2" t="s">
        <v>151</v>
      </c>
      <c r="Y24" s="2" t="s">
        <v>151</v>
      </c>
      <c r="Z24" s="2" t="s">
        <v>151</v>
      </c>
      <c r="AA24" s="2" t="s">
        <v>151</v>
      </c>
      <c r="AB24" s="2" t="s">
        <v>151</v>
      </c>
      <c r="AC24" s="2" t="s">
        <v>151</v>
      </c>
      <c r="AI24" s="2" t="s">
        <v>151</v>
      </c>
      <c r="AJ24" s="2" t="s">
        <v>151</v>
      </c>
      <c r="AK24" s="2" t="s">
        <v>151</v>
      </c>
      <c r="AL24" s="2" t="s">
        <v>596</v>
      </c>
      <c r="AM24" s="2" t="s">
        <v>151</v>
      </c>
      <c r="AN24" s="2" t="s">
        <v>151</v>
      </c>
      <c r="AO24" s="2" t="s">
        <v>151</v>
      </c>
      <c r="AP24" s="2" t="s">
        <v>151</v>
      </c>
      <c r="AQ24" s="2" t="s">
        <v>155</v>
      </c>
      <c r="AR24" s="2" t="s">
        <v>151</v>
      </c>
      <c r="AS24" s="2" t="s">
        <v>151</v>
      </c>
      <c r="AT24" s="2" t="s">
        <v>151</v>
      </c>
      <c r="AU24" s="2" t="s">
        <v>155</v>
      </c>
      <c r="AV24" s="2" t="s">
        <v>597</v>
      </c>
      <c r="AW24" s="2" t="s">
        <v>155</v>
      </c>
      <c r="BH24" s="2" t="s">
        <v>151</v>
      </c>
      <c r="BI24" s="2" t="s">
        <v>151</v>
      </c>
      <c r="BJ24" s="2" t="s">
        <v>151</v>
      </c>
      <c r="BM24" s="2" t="s">
        <v>155</v>
      </c>
      <c r="BN24" s="2" t="s">
        <v>155</v>
      </c>
      <c r="BO24" s="2" t="s">
        <v>155</v>
      </c>
      <c r="BP24" s="2" t="s">
        <v>155</v>
      </c>
      <c r="BQ24" s="2" t="s">
        <v>155</v>
      </c>
      <c r="BR24" s="2" t="s">
        <v>155</v>
      </c>
      <c r="BS24" s="2" t="s">
        <v>155</v>
      </c>
      <c r="BT24" s="2" t="s">
        <v>155</v>
      </c>
      <c r="BU24" s="2" t="s">
        <v>155</v>
      </c>
      <c r="BV24" s="2" t="s">
        <v>155</v>
      </c>
      <c r="BW24" s="2" t="s">
        <v>164</v>
      </c>
      <c r="BX24" s="2" t="s">
        <v>165</v>
      </c>
      <c r="BY24" s="2" t="s">
        <v>166</v>
      </c>
      <c r="BZ24" s="2" t="s">
        <v>20</v>
      </c>
      <c r="CA24" s="2" t="s">
        <v>171</v>
      </c>
    </row>
    <row r="25" spans="1:79" x14ac:dyDescent="0.3">
      <c r="A25" s="2" t="s">
        <v>481</v>
      </c>
      <c r="B25" s="2" t="s">
        <v>13</v>
      </c>
      <c r="C25" s="2" t="s">
        <v>478</v>
      </c>
      <c r="D25" s="2" t="s">
        <v>479</v>
      </c>
      <c r="E25" s="2" t="s">
        <v>16</v>
      </c>
      <c r="F25" s="2" t="s">
        <v>155</v>
      </c>
      <c r="G25" s="2" t="s">
        <v>155</v>
      </c>
      <c r="H25" s="2" t="s">
        <v>155</v>
      </c>
      <c r="I25" s="2" t="s">
        <v>155</v>
      </c>
      <c r="J25" s="2" t="s">
        <v>155</v>
      </c>
      <c r="K25" s="2" t="s">
        <v>150</v>
      </c>
      <c r="L25" s="2" t="s">
        <v>151</v>
      </c>
      <c r="M25" s="2" t="s">
        <v>151</v>
      </c>
      <c r="N25" s="2" t="s">
        <v>151</v>
      </c>
      <c r="O25" s="2" t="s">
        <v>151</v>
      </c>
      <c r="P25" s="2" t="s">
        <v>155</v>
      </c>
      <c r="Q25" s="2" t="s">
        <v>151</v>
      </c>
      <c r="R25" s="2" t="s">
        <v>155</v>
      </c>
      <c r="S25" s="2" t="s">
        <v>151</v>
      </c>
      <c r="T25" s="2" t="s">
        <v>151</v>
      </c>
      <c r="U25" s="2" t="s">
        <v>151</v>
      </c>
      <c r="V25" s="2" t="s">
        <v>151</v>
      </c>
      <c r="W25" s="2" t="s">
        <v>151</v>
      </c>
      <c r="X25" s="2" t="s">
        <v>151</v>
      </c>
      <c r="Y25" s="2" t="s">
        <v>151</v>
      </c>
      <c r="Z25" s="2" t="s">
        <v>151</v>
      </c>
      <c r="AA25" s="2" t="s">
        <v>151</v>
      </c>
      <c r="AB25" s="2" t="s">
        <v>151</v>
      </c>
      <c r="AC25" s="2" t="s">
        <v>151</v>
      </c>
      <c r="AI25" s="2" t="s">
        <v>151</v>
      </c>
      <c r="AJ25" s="2" t="s">
        <v>151</v>
      </c>
      <c r="AK25" s="2" t="s">
        <v>151</v>
      </c>
      <c r="AL25" s="2" t="s">
        <v>598</v>
      </c>
      <c r="AM25" s="2" t="s">
        <v>151</v>
      </c>
      <c r="AN25" s="2" t="s">
        <v>151</v>
      </c>
      <c r="AO25" s="2" t="s">
        <v>151</v>
      </c>
      <c r="AP25" s="2" t="s">
        <v>151</v>
      </c>
      <c r="AQ25" s="2" t="s">
        <v>155</v>
      </c>
      <c r="AR25" s="2" t="s">
        <v>151</v>
      </c>
      <c r="AS25" s="2" t="s">
        <v>151</v>
      </c>
      <c r="AT25" s="2" t="s">
        <v>151</v>
      </c>
      <c r="AU25" s="2" t="s">
        <v>155</v>
      </c>
      <c r="AV25" s="2" t="s">
        <v>599</v>
      </c>
      <c r="AW25" s="2" t="s">
        <v>155</v>
      </c>
      <c r="BH25" s="2" t="s">
        <v>151</v>
      </c>
      <c r="BI25" s="2" t="s">
        <v>151</v>
      </c>
      <c r="BJ25" s="2" t="s">
        <v>151</v>
      </c>
      <c r="BM25" s="2" t="s">
        <v>155</v>
      </c>
      <c r="BN25" s="2" t="s">
        <v>155</v>
      </c>
      <c r="BO25" s="2" t="s">
        <v>155</v>
      </c>
      <c r="BP25" s="2" t="s">
        <v>155</v>
      </c>
      <c r="BQ25" s="2" t="s">
        <v>155</v>
      </c>
      <c r="BR25" s="2" t="s">
        <v>155</v>
      </c>
      <c r="BS25" s="2" t="s">
        <v>155</v>
      </c>
      <c r="BT25" s="2" t="s">
        <v>155</v>
      </c>
      <c r="BU25" s="2" t="s">
        <v>155</v>
      </c>
      <c r="BV25" s="2" t="s">
        <v>155</v>
      </c>
      <c r="BW25" s="2" t="s">
        <v>164</v>
      </c>
      <c r="BX25" s="2" t="s">
        <v>165</v>
      </c>
      <c r="BY25" s="2" t="s">
        <v>166</v>
      </c>
      <c r="BZ25" s="2" t="s">
        <v>20</v>
      </c>
      <c r="CA25" s="2" t="s">
        <v>171</v>
      </c>
    </row>
  </sheetData>
  <autoFilter ref="A1:CA25" xr:uid="{B7A21229-F861-4666-9233-77F5634D1EB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73CA-B410-4E7E-ADC1-8E9FE7043B56}">
  <dimension ref="A1:AH25"/>
  <sheetViews>
    <sheetView showGridLines="0" workbookViewId="0">
      <selection activeCell="A7" sqref="A7"/>
    </sheetView>
  </sheetViews>
  <sheetFormatPr defaultRowHeight="14.4" x14ac:dyDescent="0.3"/>
  <cols>
    <col min="1" max="1" width="8.88671875" style="2"/>
    <col min="2" max="2" width="16.21875" style="2" bestFit="1" customWidth="1"/>
    <col min="3" max="3" width="20.5546875" style="2" bestFit="1" customWidth="1"/>
    <col min="4" max="4" width="19.109375" style="2" bestFit="1" customWidth="1"/>
    <col min="5" max="5" width="22.77734375" style="2" bestFit="1" customWidth="1"/>
    <col min="6" max="6" width="18.44140625" style="2" hidden="1" customWidth="1"/>
    <col min="7" max="7" width="13.5546875" style="2" hidden="1" customWidth="1"/>
    <col min="8" max="8" width="26.109375" style="2" hidden="1" customWidth="1"/>
    <col min="9" max="9" width="16.109375" style="2" customWidth="1"/>
    <col min="10" max="10" width="11.5546875" style="2" hidden="1" customWidth="1"/>
    <col min="11" max="11" width="12.5546875" style="2" customWidth="1"/>
    <col min="12" max="12" width="24.33203125" style="2" customWidth="1"/>
    <col min="13" max="13" width="16.109375" style="2" customWidth="1"/>
    <col min="14" max="14" width="11.5546875" style="2" customWidth="1"/>
    <col min="15" max="16" width="12.6640625" style="2" customWidth="1"/>
    <col min="17" max="17" width="21" style="2" hidden="1" customWidth="1"/>
    <col min="18" max="18" width="22.6640625" style="2" hidden="1" customWidth="1"/>
    <col min="19" max="19" width="21.109375" style="2" hidden="1" customWidth="1"/>
    <col min="20" max="20" width="21.6640625" style="2" hidden="1" customWidth="1"/>
    <col min="21" max="21" width="11.21875" style="2" bestFit="1" customWidth="1"/>
    <col min="22" max="22" width="20.33203125" style="2" hidden="1" customWidth="1"/>
    <col min="23" max="23" width="17.44140625" style="2" hidden="1" customWidth="1"/>
    <col min="24" max="24" width="20.21875" style="2" hidden="1" customWidth="1"/>
    <col min="25" max="25" width="13.77734375" style="2" hidden="1" customWidth="1"/>
    <col min="26" max="26" width="22.109375" style="2" hidden="1" customWidth="1"/>
    <col min="27" max="27" width="25" style="2" hidden="1" customWidth="1"/>
    <col min="28" max="28" width="25.6640625" style="2" hidden="1" customWidth="1"/>
    <col min="29" max="29" width="22.33203125" style="2" hidden="1" customWidth="1"/>
    <col min="30" max="30" width="13.5546875" style="2" customWidth="1"/>
    <col min="31" max="31" width="16.33203125" style="2" hidden="1" customWidth="1"/>
    <col min="32" max="32" width="15.21875" style="2" hidden="1" customWidth="1"/>
    <col min="33" max="33" width="27.88671875" style="2" hidden="1" customWidth="1"/>
    <col min="34" max="34" width="14.109375" style="2" hidden="1" customWidth="1"/>
    <col min="35" max="16384" width="8.88671875" style="2"/>
  </cols>
  <sheetData>
    <row r="1" spans="1:34" x14ac:dyDescent="0.3">
      <c r="A1" s="3" t="s">
        <v>482</v>
      </c>
      <c r="B1" s="7" t="s">
        <v>67</v>
      </c>
      <c r="C1" s="7" t="s">
        <v>68</v>
      </c>
      <c r="D1" s="7" t="s">
        <v>69</v>
      </c>
      <c r="E1" s="7" t="s">
        <v>70</v>
      </c>
      <c r="F1" s="3" t="s">
        <v>229</v>
      </c>
      <c r="G1" s="3" t="s">
        <v>230</v>
      </c>
      <c r="H1" s="3" t="s">
        <v>134</v>
      </c>
      <c r="I1" s="3" t="s">
        <v>138</v>
      </c>
      <c r="J1" s="3" t="s">
        <v>231</v>
      </c>
      <c r="K1" s="3" t="s">
        <v>136</v>
      </c>
      <c r="L1" s="3" t="s">
        <v>232</v>
      </c>
      <c r="M1" s="3" t="s">
        <v>233</v>
      </c>
      <c r="N1" s="3" t="s">
        <v>234</v>
      </c>
      <c r="O1" s="3" t="s">
        <v>137</v>
      </c>
      <c r="P1" s="3" t="s">
        <v>235</v>
      </c>
      <c r="Q1" s="3" t="s">
        <v>236</v>
      </c>
      <c r="R1" s="3" t="s">
        <v>237</v>
      </c>
      <c r="S1" s="3" t="s">
        <v>133</v>
      </c>
      <c r="T1" s="3" t="s">
        <v>135</v>
      </c>
      <c r="U1" s="3" t="s">
        <v>238</v>
      </c>
      <c r="V1" s="3" t="s">
        <v>239</v>
      </c>
      <c r="W1" s="3" t="s">
        <v>240</v>
      </c>
      <c r="X1" s="3" t="s">
        <v>241</v>
      </c>
      <c r="Y1" s="3" t="s">
        <v>242</v>
      </c>
      <c r="Z1" s="3" t="s">
        <v>243</v>
      </c>
      <c r="AA1" s="3" t="s">
        <v>244</v>
      </c>
      <c r="AB1" s="3" t="s">
        <v>245</v>
      </c>
      <c r="AC1" s="3" t="s">
        <v>246</v>
      </c>
      <c r="AD1" s="3" t="s">
        <v>132</v>
      </c>
      <c r="AE1" s="3" t="s">
        <v>247</v>
      </c>
      <c r="AF1" s="3" t="s">
        <v>141</v>
      </c>
      <c r="AG1" s="3" t="s">
        <v>142</v>
      </c>
      <c r="AH1" s="3" t="s">
        <v>143</v>
      </c>
    </row>
    <row r="2" spans="1:34" x14ac:dyDescent="0.3">
      <c r="A2" s="2" t="s">
        <v>480</v>
      </c>
      <c r="B2" s="2" t="s">
        <v>13</v>
      </c>
      <c r="C2" s="2" t="s">
        <v>14</v>
      </c>
      <c r="D2" s="2" t="s">
        <v>31</v>
      </c>
      <c r="E2" s="2" t="s">
        <v>16</v>
      </c>
      <c r="F2" s="2" t="s">
        <v>294</v>
      </c>
      <c r="G2" s="2" t="s">
        <v>155</v>
      </c>
      <c r="H2" s="2" t="s">
        <v>295</v>
      </c>
      <c r="I2" s="2" t="s">
        <v>248</v>
      </c>
      <c r="K2" s="2" t="s">
        <v>22</v>
      </c>
      <c r="L2" s="2" t="s">
        <v>249</v>
      </c>
      <c r="M2" s="2" t="s">
        <v>296</v>
      </c>
      <c r="O2" s="2" t="s">
        <v>250</v>
      </c>
      <c r="P2" s="2" t="s">
        <v>297</v>
      </c>
      <c r="Q2" s="2" t="s">
        <v>298</v>
      </c>
      <c r="R2" s="2" t="s">
        <v>155</v>
      </c>
      <c r="T2" s="2" t="s">
        <v>26</v>
      </c>
      <c r="U2" s="2" t="s">
        <v>299</v>
      </c>
      <c r="V2" s="2" t="s">
        <v>251</v>
      </c>
      <c r="W2" s="2" t="s">
        <v>20</v>
      </c>
      <c r="X2" s="2" t="s">
        <v>151</v>
      </c>
      <c r="Y2" s="2" t="s">
        <v>300</v>
      </c>
      <c r="AA2" s="2" t="s">
        <v>151</v>
      </c>
      <c r="AB2" s="2" t="s">
        <v>301</v>
      </c>
      <c r="AC2" s="2" t="s">
        <v>252</v>
      </c>
      <c r="AD2" s="15">
        <v>180</v>
      </c>
      <c r="AE2" s="2" t="s">
        <v>302</v>
      </c>
      <c r="AF2" s="2" t="s">
        <v>253</v>
      </c>
      <c r="AG2" s="2" t="s">
        <v>254</v>
      </c>
      <c r="AH2" s="2" t="s">
        <v>20</v>
      </c>
    </row>
    <row r="3" spans="1:34" x14ac:dyDescent="0.3">
      <c r="A3" s="2" t="s">
        <v>480</v>
      </c>
      <c r="B3" s="2" t="s">
        <v>13</v>
      </c>
      <c r="C3" s="2" t="s">
        <v>14</v>
      </c>
      <c r="D3" s="2" t="s">
        <v>23</v>
      </c>
      <c r="E3" s="2" t="s">
        <v>16</v>
      </c>
      <c r="F3" s="2" t="s">
        <v>303</v>
      </c>
      <c r="G3" s="2" t="s">
        <v>155</v>
      </c>
      <c r="H3" s="2" t="s">
        <v>304</v>
      </c>
      <c r="I3" s="2" t="s">
        <v>255</v>
      </c>
      <c r="K3" s="2" t="s">
        <v>22</v>
      </c>
      <c r="L3" s="2" t="s">
        <v>256</v>
      </c>
      <c r="M3" s="2" t="s">
        <v>305</v>
      </c>
      <c r="O3" s="2" t="s">
        <v>257</v>
      </c>
      <c r="P3" s="2" t="s">
        <v>297</v>
      </c>
      <c r="Q3" s="2" t="s">
        <v>306</v>
      </c>
      <c r="R3" s="2" t="s">
        <v>155</v>
      </c>
      <c r="S3" s="2" t="s">
        <v>258</v>
      </c>
      <c r="T3" s="2" t="s">
        <v>22</v>
      </c>
      <c r="U3" s="2" t="s">
        <v>307</v>
      </c>
      <c r="V3" s="2" t="s">
        <v>259</v>
      </c>
      <c r="W3" s="2" t="s">
        <v>308</v>
      </c>
      <c r="X3" s="2" t="s">
        <v>151</v>
      </c>
      <c r="Y3" s="2" t="s">
        <v>300</v>
      </c>
      <c r="Z3" s="2" t="s">
        <v>175</v>
      </c>
      <c r="AA3" s="2" t="s">
        <v>151</v>
      </c>
      <c r="AB3" s="2" t="s">
        <v>301</v>
      </c>
      <c r="AC3" s="2" t="s">
        <v>252</v>
      </c>
      <c r="AD3" s="15">
        <v>128</v>
      </c>
      <c r="AE3" s="2" t="s">
        <v>260</v>
      </c>
      <c r="AF3" s="2" t="s">
        <v>253</v>
      </c>
      <c r="AG3" s="2" t="s">
        <v>254</v>
      </c>
      <c r="AH3" s="2" t="s">
        <v>20</v>
      </c>
    </row>
    <row r="4" spans="1:34" x14ac:dyDescent="0.3">
      <c r="A4" s="2" t="s">
        <v>480</v>
      </c>
      <c r="B4" s="2" t="s">
        <v>13</v>
      </c>
      <c r="C4" s="2" t="s">
        <v>14</v>
      </c>
      <c r="D4" s="2" t="s">
        <v>28</v>
      </c>
      <c r="E4" s="2" t="s">
        <v>16</v>
      </c>
      <c r="F4" s="2" t="s">
        <v>294</v>
      </c>
      <c r="G4" s="2" t="s">
        <v>155</v>
      </c>
      <c r="H4" s="2" t="s">
        <v>309</v>
      </c>
      <c r="I4" s="2" t="s">
        <v>261</v>
      </c>
      <c r="K4" s="2" t="s">
        <v>22</v>
      </c>
      <c r="L4" s="2" t="s">
        <v>262</v>
      </c>
      <c r="M4" s="2" t="s">
        <v>310</v>
      </c>
      <c r="P4" s="2" t="s">
        <v>297</v>
      </c>
      <c r="Q4" s="2" t="s">
        <v>306</v>
      </c>
      <c r="R4" s="2" t="s">
        <v>155</v>
      </c>
      <c r="S4" s="2" t="s">
        <v>311</v>
      </c>
      <c r="T4" s="2" t="s">
        <v>26</v>
      </c>
      <c r="U4" s="2" t="s">
        <v>312</v>
      </c>
      <c r="V4" s="2" t="s">
        <v>263</v>
      </c>
      <c r="W4" s="2" t="s">
        <v>313</v>
      </c>
      <c r="X4" s="2" t="s">
        <v>151</v>
      </c>
      <c r="Y4" s="2" t="s">
        <v>300</v>
      </c>
      <c r="Z4" s="2" t="s">
        <v>314</v>
      </c>
      <c r="AA4" s="2" t="s">
        <v>151</v>
      </c>
      <c r="AB4" s="2" t="s">
        <v>301</v>
      </c>
      <c r="AC4" s="2" t="s">
        <v>315</v>
      </c>
      <c r="AD4" s="15">
        <v>640</v>
      </c>
      <c r="AE4" s="2" t="s">
        <v>260</v>
      </c>
      <c r="AF4" s="2" t="s">
        <v>253</v>
      </c>
      <c r="AG4" s="2" t="s">
        <v>254</v>
      </c>
      <c r="AH4" s="2" t="s">
        <v>20</v>
      </c>
    </row>
    <row r="5" spans="1:34" x14ac:dyDescent="0.3">
      <c r="A5" s="2" t="s">
        <v>480</v>
      </c>
      <c r="B5" s="2" t="s">
        <v>13</v>
      </c>
      <c r="C5" s="2" t="s">
        <v>14</v>
      </c>
      <c r="D5" s="2" t="s">
        <v>27</v>
      </c>
      <c r="E5" s="2" t="s">
        <v>16</v>
      </c>
      <c r="F5" s="2" t="s">
        <v>294</v>
      </c>
      <c r="G5" s="2" t="s">
        <v>155</v>
      </c>
      <c r="H5" s="2" t="s">
        <v>316</v>
      </c>
      <c r="I5" s="2" t="s">
        <v>264</v>
      </c>
      <c r="K5" s="2" t="s">
        <v>22</v>
      </c>
      <c r="L5" s="2" t="s">
        <v>265</v>
      </c>
      <c r="M5" s="2" t="s">
        <v>317</v>
      </c>
      <c r="O5" s="2" t="s">
        <v>266</v>
      </c>
      <c r="P5" s="2" t="s">
        <v>297</v>
      </c>
      <c r="Q5" s="2" t="s">
        <v>298</v>
      </c>
      <c r="R5" s="2" t="s">
        <v>155</v>
      </c>
      <c r="S5" s="2" t="s">
        <v>318</v>
      </c>
      <c r="T5" s="2" t="s">
        <v>17</v>
      </c>
      <c r="U5" s="2" t="s">
        <v>319</v>
      </c>
      <c r="V5" s="2" t="s">
        <v>267</v>
      </c>
      <c r="W5" s="2" t="s">
        <v>320</v>
      </c>
      <c r="X5" s="2" t="s">
        <v>151</v>
      </c>
      <c r="Y5" s="2" t="s">
        <v>300</v>
      </c>
      <c r="Z5" s="2" t="s">
        <v>321</v>
      </c>
      <c r="AA5" s="2" t="s">
        <v>151</v>
      </c>
      <c r="AB5" s="2" t="s">
        <v>301</v>
      </c>
      <c r="AC5" s="2" t="s">
        <v>252</v>
      </c>
      <c r="AD5" s="15">
        <v>1177</v>
      </c>
      <c r="AE5" s="2" t="s">
        <v>322</v>
      </c>
      <c r="AF5" s="2" t="s">
        <v>253</v>
      </c>
      <c r="AG5" s="2" t="s">
        <v>254</v>
      </c>
      <c r="AH5" s="2" t="s">
        <v>20</v>
      </c>
    </row>
    <row r="6" spans="1:34" x14ac:dyDescent="0.3">
      <c r="A6" s="2" t="s">
        <v>480</v>
      </c>
      <c r="B6" s="2" t="s">
        <v>13</v>
      </c>
      <c r="C6" s="2" t="s">
        <v>14</v>
      </c>
      <c r="D6" s="2" t="s">
        <v>21</v>
      </c>
      <c r="E6" s="2" t="s">
        <v>16</v>
      </c>
      <c r="F6" s="2" t="s">
        <v>294</v>
      </c>
      <c r="G6" s="2" t="s">
        <v>155</v>
      </c>
      <c r="H6" s="2" t="s">
        <v>323</v>
      </c>
      <c r="I6" s="2" t="s">
        <v>268</v>
      </c>
      <c r="K6" s="2" t="s">
        <v>22</v>
      </c>
      <c r="L6" s="2" t="s">
        <v>269</v>
      </c>
      <c r="M6" s="2" t="s">
        <v>324</v>
      </c>
      <c r="P6" s="2" t="s">
        <v>297</v>
      </c>
      <c r="Q6" s="2" t="s">
        <v>298</v>
      </c>
      <c r="R6" s="2" t="s">
        <v>155</v>
      </c>
      <c r="S6" s="2" t="s">
        <v>160</v>
      </c>
      <c r="T6" s="2" t="s">
        <v>22</v>
      </c>
      <c r="U6" s="2" t="s">
        <v>325</v>
      </c>
      <c r="V6" s="2" t="s">
        <v>270</v>
      </c>
      <c r="W6" s="2" t="s">
        <v>326</v>
      </c>
      <c r="X6" s="2" t="s">
        <v>151</v>
      </c>
      <c r="Y6" s="2" t="s">
        <v>327</v>
      </c>
      <c r="Z6" s="2" t="s">
        <v>146</v>
      </c>
      <c r="AA6" s="2" t="s">
        <v>151</v>
      </c>
      <c r="AB6" s="2" t="s">
        <v>301</v>
      </c>
      <c r="AC6" s="2" t="s">
        <v>252</v>
      </c>
      <c r="AD6" s="15">
        <v>482</v>
      </c>
      <c r="AE6" s="2" t="s">
        <v>260</v>
      </c>
      <c r="AF6" s="2" t="s">
        <v>253</v>
      </c>
      <c r="AG6" s="2" t="s">
        <v>254</v>
      </c>
      <c r="AH6" s="2" t="s">
        <v>20</v>
      </c>
    </row>
    <row r="7" spans="1:34" x14ac:dyDescent="0.3">
      <c r="A7" s="2" t="s">
        <v>480</v>
      </c>
      <c r="B7" s="2" t="s">
        <v>13</v>
      </c>
      <c r="C7" s="2" t="s">
        <v>14</v>
      </c>
      <c r="D7" s="2" t="s">
        <v>30</v>
      </c>
      <c r="E7" s="2" t="s">
        <v>16</v>
      </c>
      <c r="F7" s="2" t="s">
        <v>294</v>
      </c>
      <c r="G7" s="2" t="s">
        <v>155</v>
      </c>
      <c r="H7" s="2" t="s">
        <v>328</v>
      </c>
      <c r="I7" s="2" t="s">
        <v>145</v>
      </c>
      <c r="K7" s="2" t="s">
        <v>22</v>
      </c>
      <c r="L7" s="2" t="s">
        <v>271</v>
      </c>
      <c r="M7" s="2" t="s">
        <v>329</v>
      </c>
      <c r="P7" s="2" t="s">
        <v>297</v>
      </c>
      <c r="Q7" s="2" t="s">
        <v>330</v>
      </c>
      <c r="R7" s="2" t="s">
        <v>155</v>
      </c>
      <c r="S7" s="2" t="s">
        <v>331</v>
      </c>
      <c r="T7" s="2" t="s">
        <v>332</v>
      </c>
      <c r="U7" s="2" t="s">
        <v>333</v>
      </c>
      <c r="V7" s="2" t="s">
        <v>272</v>
      </c>
      <c r="W7" s="2" t="s">
        <v>334</v>
      </c>
      <c r="X7" s="2" t="s">
        <v>151</v>
      </c>
      <c r="Y7" s="2" t="s">
        <v>327</v>
      </c>
      <c r="Z7" s="2" t="s">
        <v>335</v>
      </c>
      <c r="AA7" s="2" t="s">
        <v>151</v>
      </c>
      <c r="AB7" s="2" t="s">
        <v>301</v>
      </c>
      <c r="AC7" s="2" t="s">
        <v>252</v>
      </c>
      <c r="AD7" s="15">
        <v>17740</v>
      </c>
      <c r="AE7" s="2" t="s">
        <v>260</v>
      </c>
      <c r="AF7" s="2" t="s">
        <v>253</v>
      </c>
      <c r="AG7" s="2" t="s">
        <v>254</v>
      </c>
      <c r="AH7" s="2" t="s">
        <v>20</v>
      </c>
    </row>
    <row r="8" spans="1:34" x14ac:dyDescent="0.3">
      <c r="A8" s="2" t="s">
        <v>480</v>
      </c>
      <c r="B8" s="2" t="s">
        <v>13</v>
      </c>
      <c r="C8" s="2" t="s">
        <v>14</v>
      </c>
      <c r="D8" s="2" t="s">
        <v>32</v>
      </c>
      <c r="E8" s="2" t="s">
        <v>16</v>
      </c>
      <c r="F8" s="2" t="s">
        <v>294</v>
      </c>
      <c r="G8" s="2" t="s">
        <v>155</v>
      </c>
      <c r="H8" s="2" t="s">
        <v>336</v>
      </c>
      <c r="I8" s="2" t="s">
        <v>273</v>
      </c>
      <c r="K8" s="2" t="s">
        <v>22</v>
      </c>
      <c r="L8" s="2" t="s">
        <v>274</v>
      </c>
      <c r="M8" s="2" t="s">
        <v>337</v>
      </c>
      <c r="O8" s="2" t="s">
        <v>275</v>
      </c>
      <c r="P8" s="2" t="s">
        <v>297</v>
      </c>
      <c r="Q8" s="2" t="s">
        <v>306</v>
      </c>
      <c r="R8" s="2" t="s">
        <v>155</v>
      </c>
      <c r="S8" s="2" t="s">
        <v>276</v>
      </c>
      <c r="T8" s="2" t="s">
        <v>17</v>
      </c>
      <c r="U8" s="2" t="s">
        <v>338</v>
      </c>
      <c r="V8" s="2" t="s">
        <v>277</v>
      </c>
      <c r="W8" s="2" t="s">
        <v>320</v>
      </c>
      <c r="X8" s="2" t="s">
        <v>151</v>
      </c>
      <c r="Y8" s="2" t="s">
        <v>300</v>
      </c>
      <c r="Z8" s="2" t="s">
        <v>339</v>
      </c>
      <c r="AA8" s="2" t="s">
        <v>151</v>
      </c>
      <c r="AB8" s="2" t="s">
        <v>301</v>
      </c>
      <c r="AC8" s="2" t="s">
        <v>252</v>
      </c>
      <c r="AD8" s="15">
        <v>103</v>
      </c>
      <c r="AE8" s="2" t="s">
        <v>260</v>
      </c>
      <c r="AF8" s="2" t="s">
        <v>253</v>
      </c>
      <c r="AG8" s="2" t="s">
        <v>254</v>
      </c>
      <c r="AH8" s="2" t="s">
        <v>20</v>
      </c>
    </row>
    <row r="9" spans="1:34" x14ac:dyDescent="0.3">
      <c r="A9" s="2" t="s">
        <v>480</v>
      </c>
      <c r="B9" s="2" t="s">
        <v>13</v>
      </c>
      <c r="C9" s="2" t="s">
        <v>14</v>
      </c>
      <c r="D9" s="2" t="s">
        <v>25</v>
      </c>
      <c r="E9" s="2" t="s">
        <v>16</v>
      </c>
      <c r="F9" s="2" t="s">
        <v>294</v>
      </c>
      <c r="G9" s="2" t="s">
        <v>155</v>
      </c>
      <c r="H9" s="2" t="s">
        <v>340</v>
      </c>
      <c r="I9" s="2" t="s">
        <v>278</v>
      </c>
      <c r="K9" s="2" t="s">
        <v>22</v>
      </c>
      <c r="L9" s="2" t="s">
        <v>279</v>
      </c>
      <c r="M9" s="2" t="s">
        <v>330</v>
      </c>
      <c r="P9" s="2" t="s">
        <v>297</v>
      </c>
      <c r="Q9" s="2" t="s">
        <v>298</v>
      </c>
      <c r="R9" s="2" t="s">
        <v>155</v>
      </c>
      <c r="S9" s="2" t="s">
        <v>341</v>
      </c>
      <c r="T9" s="2" t="s">
        <v>26</v>
      </c>
      <c r="U9" s="2" t="s">
        <v>342</v>
      </c>
      <c r="V9" s="2" t="s">
        <v>280</v>
      </c>
      <c r="W9" s="2" t="s">
        <v>343</v>
      </c>
      <c r="X9" s="2" t="s">
        <v>151</v>
      </c>
      <c r="Y9" s="2" t="s">
        <v>327</v>
      </c>
      <c r="Z9" s="2" t="s">
        <v>344</v>
      </c>
      <c r="AA9" s="2" t="s">
        <v>151</v>
      </c>
      <c r="AB9" s="2" t="s">
        <v>301</v>
      </c>
      <c r="AC9" s="2" t="s">
        <v>252</v>
      </c>
      <c r="AD9" s="15">
        <v>1718</v>
      </c>
      <c r="AE9" s="2" t="s">
        <v>260</v>
      </c>
      <c r="AF9" s="2" t="s">
        <v>253</v>
      </c>
      <c r="AG9" s="2" t="s">
        <v>254</v>
      </c>
      <c r="AH9" s="2" t="s">
        <v>20</v>
      </c>
    </row>
    <row r="10" spans="1:34" x14ac:dyDescent="0.3">
      <c r="A10" s="2" t="s">
        <v>480</v>
      </c>
      <c r="B10" s="2" t="s">
        <v>13</v>
      </c>
      <c r="C10" s="2" t="s">
        <v>14</v>
      </c>
      <c r="D10" s="2" t="s">
        <v>29</v>
      </c>
      <c r="E10" s="2" t="s">
        <v>16</v>
      </c>
      <c r="F10" s="2" t="s">
        <v>303</v>
      </c>
      <c r="G10" s="2" t="s">
        <v>155</v>
      </c>
      <c r="H10" s="2" t="s">
        <v>345</v>
      </c>
      <c r="I10" s="2" t="s">
        <v>281</v>
      </c>
      <c r="K10" s="2" t="s">
        <v>22</v>
      </c>
      <c r="L10" s="2" t="s">
        <v>282</v>
      </c>
      <c r="M10" s="2" t="s">
        <v>346</v>
      </c>
      <c r="O10" s="2" t="s">
        <v>283</v>
      </c>
      <c r="P10" s="2" t="s">
        <v>297</v>
      </c>
      <c r="Q10" s="2" t="s">
        <v>306</v>
      </c>
      <c r="R10" s="2" t="s">
        <v>155</v>
      </c>
      <c r="T10" s="2" t="s">
        <v>22</v>
      </c>
      <c r="U10" s="2" t="s">
        <v>347</v>
      </c>
      <c r="V10" s="2" t="s">
        <v>284</v>
      </c>
      <c r="W10" s="2" t="s">
        <v>348</v>
      </c>
      <c r="X10" s="2" t="s">
        <v>151</v>
      </c>
      <c r="Y10" s="2" t="s">
        <v>300</v>
      </c>
      <c r="Z10" s="2" t="s">
        <v>349</v>
      </c>
      <c r="AA10" s="2" t="s">
        <v>151</v>
      </c>
      <c r="AB10" s="2" t="s">
        <v>301</v>
      </c>
      <c r="AC10" s="2" t="s">
        <v>252</v>
      </c>
      <c r="AD10" s="15">
        <v>111</v>
      </c>
      <c r="AE10" s="2" t="s">
        <v>260</v>
      </c>
      <c r="AF10" s="2" t="s">
        <v>253</v>
      </c>
      <c r="AG10" s="2" t="s">
        <v>254</v>
      </c>
      <c r="AH10" s="2" t="s">
        <v>20</v>
      </c>
    </row>
    <row r="11" spans="1:34" x14ac:dyDescent="0.3">
      <c r="A11" s="2" t="s">
        <v>480</v>
      </c>
      <c r="B11" s="2" t="s">
        <v>13</v>
      </c>
      <c r="C11" s="2" t="s">
        <v>14</v>
      </c>
      <c r="D11" s="2" t="s">
        <v>24</v>
      </c>
      <c r="E11" s="2" t="s">
        <v>16</v>
      </c>
      <c r="F11" s="2" t="s">
        <v>294</v>
      </c>
      <c r="G11" s="2" t="s">
        <v>155</v>
      </c>
      <c r="H11" s="2" t="s">
        <v>350</v>
      </c>
      <c r="I11" s="2" t="s">
        <v>285</v>
      </c>
      <c r="K11" s="2" t="s">
        <v>17</v>
      </c>
      <c r="L11" s="2" t="s">
        <v>286</v>
      </c>
      <c r="M11" s="2" t="s">
        <v>351</v>
      </c>
      <c r="P11" s="2" t="s">
        <v>297</v>
      </c>
      <c r="R11" s="2" t="s">
        <v>155</v>
      </c>
      <c r="S11" s="2" t="s">
        <v>213</v>
      </c>
      <c r="T11" s="2" t="s">
        <v>17</v>
      </c>
      <c r="U11" s="2" t="s">
        <v>352</v>
      </c>
      <c r="V11" s="2" t="s">
        <v>287</v>
      </c>
      <c r="W11" s="2" t="s">
        <v>320</v>
      </c>
      <c r="X11" s="2" t="s">
        <v>151</v>
      </c>
      <c r="Y11" s="2" t="s">
        <v>300</v>
      </c>
      <c r="Z11" s="2" t="s">
        <v>211</v>
      </c>
      <c r="AA11" s="2" t="s">
        <v>151</v>
      </c>
      <c r="AB11" s="2" t="s">
        <v>301</v>
      </c>
      <c r="AC11" s="2" t="s">
        <v>252</v>
      </c>
      <c r="AD11" s="15">
        <v>4708</v>
      </c>
      <c r="AE11" s="2" t="s">
        <v>353</v>
      </c>
      <c r="AF11" s="2" t="s">
        <v>253</v>
      </c>
      <c r="AG11" s="2" t="s">
        <v>254</v>
      </c>
      <c r="AH11" s="2" t="s">
        <v>20</v>
      </c>
    </row>
    <row r="12" spans="1:34" x14ac:dyDescent="0.3">
      <c r="A12" s="2" t="s">
        <v>480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294</v>
      </c>
      <c r="G12" s="2" t="s">
        <v>155</v>
      </c>
      <c r="H12" s="2" t="s">
        <v>354</v>
      </c>
      <c r="I12" s="2" t="s">
        <v>255</v>
      </c>
      <c r="K12" s="2" t="s">
        <v>17</v>
      </c>
      <c r="L12" s="2" t="s">
        <v>288</v>
      </c>
      <c r="M12" s="2" t="s">
        <v>330</v>
      </c>
      <c r="P12" s="2" t="s">
        <v>297</v>
      </c>
      <c r="R12" s="2" t="s">
        <v>155</v>
      </c>
      <c r="S12" s="2" t="s">
        <v>289</v>
      </c>
      <c r="T12" s="2" t="s">
        <v>332</v>
      </c>
      <c r="U12" s="2" t="s">
        <v>355</v>
      </c>
      <c r="V12" s="2" t="s">
        <v>290</v>
      </c>
      <c r="W12" s="2" t="s">
        <v>356</v>
      </c>
      <c r="X12" s="2" t="s">
        <v>151</v>
      </c>
      <c r="Y12" s="2" t="s">
        <v>300</v>
      </c>
      <c r="Z12" s="2" t="s">
        <v>357</v>
      </c>
      <c r="AA12" s="2" t="s">
        <v>151</v>
      </c>
      <c r="AB12" s="2" t="s">
        <v>301</v>
      </c>
      <c r="AC12" s="2" t="s">
        <v>252</v>
      </c>
      <c r="AD12" s="15">
        <v>2065</v>
      </c>
      <c r="AE12" s="2" t="s">
        <v>260</v>
      </c>
      <c r="AF12" s="2" t="s">
        <v>253</v>
      </c>
      <c r="AG12" s="2" t="s">
        <v>254</v>
      </c>
      <c r="AH12" s="2" t="s">
        <v>20</v>
      </c>
    </row>
    <row r="13" spans="1:34" x14ac:dyDescent="0.3">
      <c r="A13" s="2" t="s">
        <v>480</v>
      </c>
      <c r="B13" s="2" t="s">
        <v>13</v>
      </c>
      <c r="C13" s="2" t="s">
        <v>14</v>
      </c>
      <c r="D13" s="2" t="s">
        <v>33</v>
      </c>
      <c r="E13" s="2" t="s">
        <v>16</v>
      </c>
      <c r="F13" s="2" t="s">
        <v>303</v>
      </c>
      <c r="G13" s="2" t="s">
        <v>155</v>
      </c>
      <c r="H13" s="2" t="s">
        <v>358</v>
      </c>
      <c r="I13" s="2" t="s">
        <v>203</v>
      </c>
      <c r="K13" s="2" t="s">
        <v>17</v>
      </c>
      <c r="L13" s="2" t="s">
        <v>291</v>
      </c>
      <c r="M13" s="2" t="s">
        <v>359</v>
      </c>
      <c r="O13" s="2" t="s">
        <v>292</v>
      </c>
      <c r="P13" s="2" t="s">
        <v>297</v>
      </c>
      <c r="Q13" s="2" t="s">
        <v>298</v>
      </c>
      <c r="R13" s="2" t="s">
        <v>155</v>
      </c>
      <c r="S13" s="2" t="s">
        <v>200</v>
      </c>
      <c r="T13" s="2" t="s">
        <v>22</v>
      </c>
      <c r="U13" s="2" t="s">
        <v>360</v>
      </c>
      <c r="V13" s="2" t="s">
        <v>293</v>
      </c>
      <c r="W13" s="2" t="s">
        <v>361</v>
      </c>
      <c r="X13" s="2" t="s">
        <v>151</v>
      </c>
      <c r="Y13" s="2" t="s">
        <v>327</v>
      </c>
      <c r="AA13" s="2" t="s">
        <v>151</v>
      </c>
      <c r="AB13" s="2" t="s">
        <v>301</v>
      </c>
      <c r="AC13" s="2" t="s">
        <v>252</v>
      </c>
      <c r="AD13" s="15">
        <v>79</v>
      </c>
      <c r="AE13" s="2" t="s">
        <v>260</v>
      </c>
      <c r="AF13" s="2" t="s">
        <v>253</v>
      </c>
      <c r="AG13" s="2" t="s">
        <v>254</v>
      </c>
      <c r="AH13" s="2" t="s">
        <v>20</v>
      </c>
    </row>
    <row r="14" spans="1:34" x14ac:dyDescent="0.3">
      <c r="A14" s="2" t="s">
        <v>481</v>
      </c>
      <c r="B14" s="2" t="s">
        <v>13</v>
      </c>
      <c r="C14" s="2" t="s">
        <v>464</v>
      </c>
      <c r="D14" s="2" t="s">
        <v>465</v>
      </c>
      <c r="E14" s="2" t="s">
        <v>16</v>
      </c>
      <c r="F14" s="2" t="s">
        <v>600</v>
      </c>
      <c r="G14" s="2" t="s">
        <v>155</v>
      </c>
      <c r="H14" s="2" t="s">
        <v>601</v>
      </c>
      <c r="I14" s="2" t="s">
        <v>602</v>
      </c>
      <c r="K14" s="2" t="s">
        <v>22</v>
      </c>
      <c r="L14" s="2" t="s">
        <v>603</v>
      </c>
      <c r="M14" s="2" t="s">
        <v>604</v>
      </c>
      <c r="P14" s="2" t="s">
        <v>297</v>
      </c>
      <c r="Q14" s="2" t="s">
        <v>298</v>
      </c>
      <c r="R14" s="2" t="s">
        <v>605</v>
      </c>
      <c r="S14" s="2" t="s">
        <v>606</v>
      </c>
      <c r="T14" s="2" t="s">
        <v>22</v>
      </c>
      <c r="U14" s="2" t="s">
        <v>607</v>
      </c>
      <c r="V14" s="2" t="s">
        <v>608</v>
      </c>
      <c r="W14" s="2" t="s">
        <v>609</v>
      </c>
      <c r="X14" s="2" t="s">
        <v>151</v>
      </c>
      <c r="Y14" s="2" t="s">
        <v>610</v>
      </c>
      <c r="Z14" s="2" t="s">
        <v>611</v>
      </c>
      <c r="AA14" s="2" t="s">
        <v>151</v>
      </c>
      <c r="AB14" s="2" t="s">
        <v>301</v>
      </c>
      <c r="AC14" s="2" t="s">
        <v>252</v>
      </c>
      <c r="AD14" s="16">
        <v>228</v>
      </c>
      <c r="AE14" s="2" t="s">
        <v>612</v>
      </c>
      <c r="AF14" s="2" t="s">
        <v>253</v>
      </c>
      <c r="AG14" s="2" t="s">
        <v>254</v>
      </c>
      <c r="AH14" s="2" t="s">
        <v>20</v>
      </c>
    </row>
    <row r="15" spans="1:34" x14ac:dyDescent="0.3">
      <c r="A15" s="2" t="s">
        <v>481</v>
      </c>
      <c r="B15" s="2" t="s">
        <v>13</v>
      </c>
      <c r="C15" s="2" t="s">
        <v>464</v>
      </c>
      <c r="D15" s="2" t="s">
        <v>467</v>
      </c>
      <c r="E15" s="2" t="s">
        <v>16</v>
      </c>
      <c r="F15" s="2" t="s">
        <v>600</v>
      </c>
      <c r="G15" s="2" t="s">
        <v>155</v>
      </c>
      <c r="H15" s="2" t="s">
        <v>613</v>
      </c>
      <c r="I15" s="2" t="s">
        <v>614</v>
      </c>
      <c r="K15" s="2" t="s">
        <v>306</v>
      </c>
      <c r="L15" s="2" t="s">
        <v>615</v>
      </c>
      <c r="M15" s="2" t="s">
        <v>616</v>
      </c>
      <c r="N15" s="2" t="s">
        <v>616</v>
      </c>
      <c r="O15" s="2" t="s">
        <v>616</v>
      </c>
      <c r="P15" s="2" t="s">
        <v>297</v>
      </c>
      <c r="Q15" s="2" t="s">
        <v>617</v>
      </c>
      <c r="R15" s="2" t="s">
        <v>155</v>
      </c>
      <c r="S15" s="2" t="s">
        <v>618</v>
      </c>
      <c r="T15" s="2" t="s">
        <v>22</v>
      </c>
      <c r="U15" s="2" t="s">
        <v>619</v>
      </c>
      <c r="V15" s="2" t="s">
        <v>620</v>
      </c>
      <c r="W15" s="2" t="s">
        <v>313</v>
      </c>
      <c r="X15" s="2" t="s">
        <v>151</v>
      </c>
      <c r="Y15" s="2" t="s">
        <v>621</v>
      </c>
      <c r="Z15" s="2" t="s">
        <v>622</v>
      </c>
      <c r="AA15" s="2" t="s">
        <v>151</v>
      </c>
      <c r="AB15" s="2" t="s">
        <v>301</v>
      </c>
      <c r="AC15" s="2" t="s">
        <v>252</v>
      </c>
      <c r="AD15" s="16">
        <v>340</v>
      </c>
      <c r="AE15" s="2" t="s">
        <v>623</v>
      </c>
      <c r="AF15" s="2" t="s">
        <v>253</v>
      </c>
      <c r="AG15" s="2" t="s">
        <v>254</v>
      </c>
      <c r="AH15" s="2" t="s">
        <v>20</v>
      </c>
    </row>
    <row r="16" spans="1:34" x14ac:dyDescent="0.3">
      <c r="A16" s="2" t="s">
        <v>481</v>
      </c>
      <c r="B16" s="2" t="s">
        <v>13</v>
      </c>
      <c r="C16" s="2" t="s">
        <v>464</v>
      </c>
      <c r="D16" s="2" t="s">
        <v>468</v>
      </c>
      <c r="E16" s="2" t="s">
        <v>16</v>
      </c>
      <c r="F16" s="2" t="s">
        <v>600</v>
      </c>
      <c r="G16" s="2" t="s">
        <v>155</v>
      </c>
      <c r="H16" s="2" t="s">
        <v>624</v>
      </c>
      <c r="I16" s="2" t="s">
        <v>625</v>
      </c>
      <c r="K16" s="2" t="s">
        <v>22</v>
      </c>
      <c r="L16" s="2" t="s">
        <v>626</v>
      </c>
      <c r="M16" s="2" t="s">
        <v>627</v>
      </c>
      <c r="P16" s="2" t="s">
        <v>297</v>
      </c>
      <c r="Q16" s="2" t="s">
        <v>298</v>
      </c>
      <c r="R16" s="2" t="s">
        <v>155</v>
      </c>
      <c r="S16" s="2" t="s">
        <v>628</v>
      </c>
      <c r="T16" s="2" t="s">
        <v>22</v>
      </c>
      <c r="U16" s="2" t="s">
        <v>629</v>
      </c>
      <c r="V16" s="2" t="s">
        <v>630</v>
      </c>
      <c r="W16" s="2" t="s">
        <v>348</v>
      </c>
      <c r="X16" s="2" t="s">
        <v>151</v>
      </c>
      <c r="Y16" s="2" t="s">
        <v>631</v>
      </c>
      <c r="Z16" s="2" t="s">
        <v>632</v>
      </c>
      <c r="AA16" s="2" t="s">
        <v>151</v>
      </c>
      <c r="AB16" s="2" t="s">
        <v>301</v>
      </c>
      <c r="AC16" s="2" t="s">
        <v>252</v>
      </c>
      <c r="AD16" s="16">
        <v>359</v>
      </c>
      <c r="AE16" s="2" t="s">
        <v>633</v>
      </c>
      <c r="AF16" s="2" t="s">
        <v>253</v>
      </c>
      <c r="AG16" s="2" t="s">
        <v>254</v>
      </c>
      <c r="AH16" s="2" t="s">
        <v>20</v>
      </c>
    </row>
    <row r="17" spans="1:34" x14ac:dyDescent="0.3">
      <c r="A17" s="2" t="s">
        <v>481</v>
      </c>
      <c r="B17" s="2" t="s">
        <v>13</v>
      </c>
      <c r="C17" s="2" t="s">
        <v>464</v>
      </c>
      <c r="D17" s="2" t="s">
        <v>469</v>
      </c>
      <c r="E17" s="2" t="s">
        <v>16</v>
      </c>
      <c r="F17" s="2" t="s">
        <v>600</v>
      </c>
      <c r="G17" s="2" t="s">
        <v>155</v>
      </c>
      <c r="H17" s="2" t="s">
        <v>634</v>
      </c>
      <c r="I17" s="2" t="s">
        <v>565</v>
      </c>
      <c r="K17" s="2" t="s">
        <v>17</v>
      </c>
      <c r="L17" s="2" t="s">
        <v>635</v>
      </c>
      <c r="M17" s="2" t="s">
        <v>636</v>
      </c>
      <c r="P17" s="2" t="s">
        <v>297</v>
      </c>
      <c r="Q17" s="2" t="s">
        <v>298</v>
      </c>
      <c r="R17" s="2" t="s">
        <v>224</v>
      </c>
      <c r="S17" s="2" t="s">
        <v>564</v>
      </c>
      <c r="T17" s="2" t="s">
        <v>22</v>
      </c>
      <c r="U17" s="2" t="s">
        <v>637</v>
      </c>
      <c r="V17" s="2" t="s">
        <v>638</v>
      </c>
      <c r="W17" s="2" t="s">
        <v>348</v>
      </c>
      <c r="X17" s="2" t="s">
        <v>151</v>
      </c>
      <c r="Y17" s="2" t="s">
        <v>610</v>
      </c>
      <c r="Z17" s="2" t="s">
        <v>639</v>
      </c>
      <c r="AA17" s="2" t="s">
        <v>151</v>
      </c>
      <c r="AB17" s="2" t="s">
        <v>301</v>
      </c>
      <c r="AC17" s="2" t="s">
        <v>252</v>
      </c>
      <c r="AD17" s="16">
        <v>210</v>
      </c>
      <c r="AE17" s="2" t="s">
        <v>640</v>
      </c>
      <c r="AF17" s="2" t="s">
        <v>253</v>
      </c>
      <c r="AG17" s="2" t="s">
        <v>254</v>
      </c>
      <c r="AH17" s="2" t="s">
        <v>20</v>
      </c>
    </row>
    <row r="18" spans="1:34" x14ac:dyDescent="0.3">
      <c r="A18" s="2" t="s">
        <v>481</v>
      </c>
      <c r="B18" s="2" t="s">
        <v>13</v>
      </c>
      <c r="C18" s="2" t="s">
        <v>464</v>
      </c>
      <c r="D18" s="2" t="s">
        <v>470</v>
      </c>
      <c r="E18" s="2" t="s">
        <v>16</v>
      </c>
      <c r="F18" s="2" t="s">
        <v>600</v>
      </c>
      <c r="G18" s="2" t="s">
        <v>155</v>
      </c>
      <c r="H18" s="2" t="s">
        <v>641</v>
      </c>
      <c r="I18" s="2" t="s">
        <v>537</v>
      </c>
      <c r="K18" s="2" t="s">
        <v>306</v>
      </c>
      <c r="L18" s="2" t="s">
        <v>642</v>
      </c>
      <c r="M18" s="2" t="s">
        <v>643</v>
      </c>
      <c r="P18" s="2" t="s">
        <v>297</v>
      </c>
      <c r="Q18" s="2" t="s">
        <v>306</v>
      </c>
      <c r="R18" s="2" t="s">
        <v>155</v>
      </c>
      <c r="S18" s="2" t="s">
        <v>572</v>
      </c>
      <c r="T18" s="2" t="s">
        <v>22</v>
      </c>
      <c r="U18" s="2" t="s">
        <v>644</v>
      </c>
      <c r="V18" s="2" t="s">
        <v>645</v>
      </c>
      <c r="W18" s="2" t="s">
        <v>348</v>
      </c>
      <c r="X18" s="2" t="s">
        <v>151</v>
      </c>
      <c r="Y18" s="2" t="s">
        <v>646</v>
      </c>
      <c r="Z18" s="2" t="s">
        <v>538</v>
      </c>
      <c r="AA18" s="2" t="s">
        <v>151</v>
      </c>
      <c r="AB18" s="2" t="s">
        <v>301</v>
      </c>
      <c r="AC18" s="2" t="s">
        <v>252</v>
      </c>
      <c r="AD18" s="16">
        <v>285</v>
      </c>
      <c r="AE18" s="2" t="s">
        <v>647</v>
      </c>
      <c r="AF18" s="2" t="s">
        <v>253</v>
      </c>
      <c r="AG18" s="2" t="s">
        <v>254</v>
      </c>
      <c r="AH18" s="2" t="s">
        <v>20</v>
      </c>
    </row>
    <row r="19" spans="1:34" x14ac:dyDescent="0.3">
      <c r="A19" s="2" t="s">
        <v>481</v>
      </c>
      <c r="B19" s="2" t="s">
        <v>13</v>
      </c>
      <c r="C19" s="2" t="s">
        <v>471</v>
      </c>
      <c r="D19" s="2" t="s">
        <v>472</v>
      </c>
      <c r="E19" s="2" t="s">
        <v>16</v>
      </c>
      <c r="F19" s="2" t="s">
        <v>303</v>
      </c>
      <c r="G19" s="2" t="s">
        <v>155</v>
      </c>
      <c r="H19" s="2" t="s">
        <v>648</v>
      </c>
      <c r="I19" s="2" t="s">
        <v>649</v>
      </c>
      <c r="K19" s="2" t="s">
        <v>22</v>
      </c>
      <c r="L19" s="2" t="s">
        <v>650</v>
      </c>
      <c r="M19" s="2" t="s">
        <v>651</v>
      </c>
      <c r="P19" s="2" t="s">
        <v>297</v>
      </c>
      <c r="R19" s="2" t="s">
        <v>151</v>
      </c>
      <c r="S19" s="2" t="s">
        <v>652</v>
      </c>
      <c r="T19" s="2" t="s">
        <v>22</v>
      </c>
      <c r="U19" s="2" t="s">
        <v>653</v>
      </c>
      <c r="V19" s="2" t="s">
        <v>654</v>
      </c>
      <c r="W19" s="2" t="s">
        <v>348</v>
      </c>
      <c r="X19" s="2" t="s">
        <v>151</v>
      </c>
      <c r="Y19" s="2" t="s">
        <v>655</v>
      </c>
      <c r="AA19" s="2" t="s">
        <v>151</v>
      </c>
      <c r="AB19" s="2" t="s">
        <v>656</v>
      </c>
      <c r="AC19" s="2" t="s">
        <v>252</v>
      </c>
      <c r="AD19" s="16">
        <v>550</v>
      </c>
      <c r="AE19" s="2" t="s">
        <v>657</v>
      </c>
      <c r="AF19" s="2" t="s">
        <v>253</v>
      </c>
      <c r="AG19" s="2" t="s">
        <v>254</v>
      </c>
      <c r="AH19" s="2" t="s">
        <v>20</v>
      </c>
    </row>
    <row r="20" spans="1:34" x14ac:dyDescent="0.3">
      <c r="A20" s="2" t="s">
        <v>481</v>
      </c>
      <c r="B20" s="2" t="s">
        <v>13</v>
      </c>
      <c r="C20" s="2" t="s">
        <v>471</v>
      </c>
      <c r="D20" s="2" t="s">
        <v>473</v>
      </c>
      <c r="E20" s="2" t="s">
        <v>16</v>
      </c>
      <c r="F20" s="2" t="s">
        <v>600</v>
      </c>
      <c r="G20" s="2" t="s">
        <v>155</v>
      </c>
      <c r="H20" s="2" t="s">
        <v>658</v>
      </c>
      <c r="I20" s="2" t="s">
        <v>659</v>
      </c>
      <c r="K20" s="2" t="s">
        <v>22</v>
      </c>
      <c r="L20" s="2" t="s">
        <v>660</v>
      </c>
      <c r="M20" s="2" t="s">
        <v>661</v>
      </c>
      <c r="P20" s="2" t="s">
        <v>297</v>
      </c>
      <c r="Q20" s="2" t="s">
        <v>332</v>
      </c>
      <c r="R20" s="2" t="s">
        <v>151</v>
      </c>
      <c r="S20" s="2" t="s">
        <v>662</v>
      </c>
      <c r="T20" s="2" t="s">
        <v>22</v>
      </c>
      <c r="U20" s="2" t="s">
        <v>663</v>
      </c>
      <c r="V20" s="2" t="s">
        <v>664</v>
      </c>
      <c r="W20" s="2" t="s">
        <v>665</v>
      </c>
      <c r="X20" s="2" t="s">
        <v>151</v>
      </c>
      <c r="Y20" s="2" t="s">
        <v>327</v>
      </c>
      <c r="AA20" s="2" t="s">
        <v>151</v>
      </c>
      <c r="AB20" s="2" t="s">
        <v>301</v>
      </c>
      <c r="AC20" s="2" t="s">
        <v>252</v>
      </c>
      <c r="AD20" s="16">
        <v>207</v>
      </c>
      <c r="AE20" s="2" t="s">
        <v>666</v>
      </c>
      <c r="AF20" s="2" t="s">
        <v>253</v>
      </c>
      <c r="AG20" s="2" t="s">
        <v>254</v>
      </c>
      <c r="AH20" s="2" t="s">
        <v>20</v>
      </c>
    </row>
    <row r="21" spans="1:34" x14ac:dyDescent="0.3">
      <c r="A21" s="2" t="s">
        <v>481</v>
      </c>
      <c r="B21" s="2" t="s">
        <v>13</v>
      </c>
      <c r="C21" s="2" t="s">
        <v>464</v>
      </c>
      <c r="D21" s="2" t="s">
        <v>474</v>
      </c>
      <c r="E21" s="2" t="s">
        <v>16</v>
      </c>
      <c r="F21" s="2" t="s">
        <v>600</v>
      </c>
      <c r="G21" s="2" t="s">
        <v>155</v>
      </c>
      <c r="H21" s="2" t="s">
        <v>667</v>
      </c>
      <c r="I21" s="2" t="s">
        <v>668</v>
      </c>
      <c r="K21" s="2" t="s">
        <v>17</v>
      </c>
      <c r="L21" s="2" t="s">
        <v>669</v>
      </c>
      <c r="M21" s="2" t="s">
        <v>670</v>
      </c>
      <c r="P21" s="2" t="s">
        <v>297</v>
      </c>
      <c r="Q21" s="2" t="s">
        <v>671</v>
      </c>
      <c r="R21" s="2" t="s">
        <v>155</v>
      </c>
      <c r="S21" s="2" t="s">
        <v>672</v>
      </c>
      <c r="T21" s="2" t="s">
        <v>22</v>
      </c>
      <c r="U21" s="2" t="s">
        <v>673</v>
      </c>
      <c r="V21" s="2" t="s">
        <v>674</v>
      </c>
      <c r="W21" s="2" t="s">
        <v>348</v>
      </c>
      <c r="X21" s="2" t="s">
        <v>151</v>
      </c>
      <c r="Y21" s="2" t="s">
        <v>675</v>
      </c>
      <c r="Z21" s="2" t="s">
        <v>676</v>
      </c>
      <c r="AA21" s="2" t="s">
        <v>151</v>
      </c>
      <c r="AB21" s="2" t="s">
        <v>301</v>
      </c>
      <c r="AC21" s="2" t="s">
        <v>252</v>
      </c>
      <c r="AD21" s="16">
        <v>275</v>
      </c>
      <c r="AE21" s="2" t="s">
        <v>677</v>
      </c>
      <c r="AF21" s="2" t="s">
        <v>253</v>
      </c>
      <c r="AG21" s="2" t="s">
        <v>254</v>
      </c>
      <c r="AH21" s="2" t="s">
        <v>20</v>
      </c>
    </row>
    <row r="22" spans="1:34" x14ac:dyDescent="0.3">
      <c r="A22" s="2" t="s">
        <v>481</v>
      </c>
      <c r="B22" s="2" t="s">
        <v>13</v>
      </c>
      <c r="C22" s="2" t="s">
        <v>464</v>
      </c>
      <c r="D22" s="2" t="s">
        <v>475</v>
      </c>
      <c r="E22" s="2" t="s">
        <v>16</v>
      </c>
      <c r="F22" s="2" t="s">
        <v>303</v>
      </c>
      <c r="G22" s="2" t="s">
        <v>155</v>
      </c>
      <c r="H22" s="2" t="s">
        <v>678</v>
      </c>
      <c r="I22" s="2" t="s">
        <v>542</v>
      </c>
      <c r="K22" s="2" t="s">
        <v>22</v>
      </c>
      <c r="L22" s="2" t="s">
        <v>679</v>
      </c>
      <c r="N22" s="2" t="s">
        <v>680</v>
      </c>
      <c r="O22" s="2" t="s">
        <v>681</v>
      </c>
      <c r="P22" s="2" t="s">
        <v>297</v>
      </c>
      <c r="Q22" s="2" t="s">
        <v>617</v>
      </c>
      <c r="R22" s="2" t="s">
        <v>155</v>
      </c>
      <c r="S22" s="2" t="s">
        <v>682</v>
      </c>
      <c r="T22" s="2" t="s">
        <v>22</v>
      </c>
      <c r="U22" s="2" t="s">
        <v>683</v>
      </c>
      <c r="V22" s="2" t="s">
        <v>684</v>
      </c>
      <c r="W22" s="2" t="s">
        <v>348</v>
      </c>
      <c r="X22" s="2" t="s">
        <v>151</v>
      </c>
      <c r="Y22" s="2" t="s">
        <v>685</v>
      </c>
      <c r="Z22" s="2" t="s">
        <v>543</v>
      </c>
      <c r="AA22" s="2" t="s">
        <v>151</v>
      </c>
      <c r="AB22" s="2" t="s">
        <v>301</v>
      </c>
      <c r="AC22" s="2" t="s">
        <v>252</v>
      </c>
      <c r="AD22" s="16">
        <v>230</v>
      </c>
      <c r="AE22" s="2" t="s">
        <v>686</v>
      </c>
      <c r="AF22" s="2" t="s">
        <v>253</v>
      </c>
      <c r="AG22" s="2" t="s">
        <v>254</v>
      </c>
      <c r="AH22" s="2" t="s">
        <v>20</v>
      </c>
    </row>
    <row r="23" spans="1:34" x14ac:dyDescent="0.3">
      <c r="A23" s="2" t="s">
        <v>481</v>
      </c>
      <c r="B23" s="2" t="s">
        <v>13</v>
      </c>
      <c r="C23" s="2" t="s">
        <v>464</v>
      </c>
      <c r="D23" s="2" t="s">
        <v>476</v>
      </c>
      <c r="E23" s="2" t="s">
        <v>16</v>
      </c>
      <c r="F23" s="2" t="s">
        <v>600</v>
      </c>
      <c r="G23" s="2" t="s">
        <v>155</v>
      </c>
      <c r="H23" s="2" t="s">
        <v>687</v>
      </c>
      <c r="I23" s="2" t="s">
        <v>688</v>
      </c>
      <c r="K23" s="2" t="s">
        <v>17</v>
      </c>
      <c r="L23" s="2" t="s">
        <v>689</v>
      </c>
      <c r="M23" s="2" t="s">
        <v>690</v>
      </c>
      <c r="P23" s="2" t="s">
        <v>297</v>
      </c>
      <c r="Q23" s="2" t="s">
        <v>691</v>
      </c>
      <c r="R23" s="2" t="s">
        <v>155</v>
      </c>
      <c r="S23" s="2" t="s">
        <v>692</v>
      </c>
      <c r="T23" s="2" t="s">
        <v>22</v>
      </c>
      <c r="U23" s="2" t="s">
        <v>693</v>
      </c>
      <c r="V23" s="2" t="s">
        <v>694</v>
      </c>
      <c r="W23" s="2" t="s">
        <v>348</v>
      </c>
      <c r="X23" s="2" t="s">
        <v>151</v>
      </c>
      <c r="Y23" s="2" t="s">
        <v>695</v>
      </c>
      <c r="Z23" s="2" t="s">
        <v>548</v>
      </c>
      <c r="AA23" s="2" t="s">
        <v>151</v>
      </c>
      <c r="AB23" s="2" t="s">
        <v>301</v>
      </c>
      <c r="AC23" s="2" t="s">
        <v>252</v>
      </c>
      <c r="AD23" s="16">
        <v>196</v>
      </c>
      <c r="AE23" s="2" t="s">
        <v>696</v>
      </c>
      <c r="AF23" s="2" t="s">
        <v>253</v>
      </c>
      <c r="AG23" s="2" t="s">
        <v>254</v>
      </c>
      <c r="AH23" s="2" t="s">
        <v>20</v>
      </c>
    </row>
    <row r="24" spans="1:34" x14ac:dyDescent="0.3">
      <c r="A24" s="2" t="s">
        <v>481</v>
      </c>
      <c r="B24" s="2" t="s">
        <v>13</v>
      </c>
      <c r="C24" s="2" t="s">
        <v>464</v>
      </c>
      <c r="D24" s="2" t="s">
        <v>477</v>
      </c>
      <c r="E24" s="2" t="s">
        <v>16</v>
      </c>
      <c r="F24" s="2" t="s">
        <v>600</v>
      </c>
      <c r="G24" s="2" t="s">
        <v>155</v>
      </c>
      <c r="H24" s="2" t="s">
        <v>697</v>
      </c>
      <c r="I24" s="2" t="s">
        <v>698</v>
      </c>
      <c r="K24" s="2" t="s">
        <v>332</v>
      </c>
      <c r="L24" s="2" t="s">
        <v>699</v>
      </c>
      <c r="M24" s="2" t="s">
        <v>656</v>
      </c>
      <c r="N24" s="2" t="s">
        <v>700</v>
      </c>
      <c r="P24" s="2" t="s">
        <v>297</v>
      </c>
      <c r="Q24" s="2" t="s">
        <v>691</v>
      </c>
      <c r="R24" s="2" t="s">
        <v>155</v>
      </c>
      <c r="S24" s="2" t="s">
        <v>701</v>
      </c>
      <c r="T24" s="2" t="s">
        <v>22</v>
      </c>
      <c r="U24" s="2" t="s">
        <v>702</v>
      </c>
      <c r="V24" s="2" t="s">
        <v>703</v>
      </c>
      <c r="W24" s="2" t="s">
        <v>348</v>
      </c>
      <c r="X24" s="2" t="s">
        <v>151</v>
      </c>
      <c r="Y24" s="2" t="s">
        <v>704</v>
      </c>
      <c r="Z24" s="2" t="s">
        <v>705</v>
      </c>
      <c r="AA24" s="2" t="s">
        <v>151</v>
      </c>
      <c r="AB24" s="2" t="s">
        <v>301</v>
      </c>
      <c r="AC24" s="2" t="s">
        <v>252</v>
      </c>
      <c r="AD24" s="16">
        <v>271</v>
      </c>
      <c r="AE24" s="2" t="s">
        <v>706</v>
      </c>
      <c r="AF24" s="2" t="s">
        <v>253</v>
      </c>
      <c r="AG24" s="2" t="s">
        <v>254</v>
      </c>
      <c r="AH24" s="2" t="s">
        <v>20</v>
      </c>
    </row>
    <row r="25" spans="1:34" x14ac:dyDescent="0.3">
      <c r="A25" s="2" t="s">
        <v>481</v>
      </c>
      <c r="B25" s="2" t="s">
        <v>13</v>
      </c>
      <c r="C25" s="2" t="s">
        <v>478</v>
      </c>
      <c r="D25" s="2" t="s">
        <v>479</v>
      </c>
      <c r="E25" s="2" t="s">
        <v>16</v>
      </c>
      <c r="F25" s="2" t="s">
        <v>303</v>
      </c>
      <c r="G25" s="2" t="s">
        <v>155</v>
      </c>
      <c r="H25" s="2" t="s">
        <v>707</v>
      </c>
      <c r="I25" s="2" t="s">
        <v>708</v>
      </c>
      <c r="K25" s="2" t="s">
        <v>22</v>
      </c>
      <c r="L25" s="2" t="s">
        <v>708</v>
      </c>
      <c r="M25" s="2" t="s">
        <v>709</v>
      </c>
      <c r="O25" s="2" t="s">
        <v>710</v>
      </c>
      <c r="P25" s="2" t="s">
        <v>297</v>
      </c>
      <c r="Q25" s="2" t="s">
        <v>306</v>
      </c>
      <c r="R25" s="2" t="s">
        <v>155</v>
      </c>
      <c r="S25" s="2" t="s">
        <v>711</v>
      </c>
      <c r="T25" s="2" t="s">
        <v>22</v>
      </c>
      <c r="U25" s="2" t="s">
        <v>712</v>
      </c>
      <c r="V25" s="2" t="s">
        <v>713</v>
      </c>
      <c r="W25" s="2" t="s">
        <v>348</v>
      </c>
      <c r="X25" s="2" t="s">
        <v>151</v>
      </c>
      <c r="Y25" s="2" t="s">
        <v>714</v>
      </c>
      <c r="Z25" s="2" t="s">
        <v>715</v>
      </c>
      <c r="AA25" s="2" t="s">
        <v>151</v>
      </c>
      <c r="AB25" s="2" t="s">
        <v>301</v>
      </c>
      <c r="AC25" s="2" t="s">
        <v>252</v>
      </c>
      <c r="AD25" s="16">
        <v>171</v>
      </c>
      <c r="AE25" s="2" t="s">
        <v>716</v>
      </c>
      <c r="AF25" s="2" t="s">
        <v>253</v>
      </c>
      <c r="AG25" s="2" t="s">
        <v>254</v>
      </c>
      <c r="AH25" s="2" t="s">
        <v>20</v>
      </c>
    </row>
  </sheetData>
  <autoFilter ref="A1:AH25" xr:uid="{629B73CA-B410-4E7E-ADC1-8E9FE7043B5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6981-EE44-4445-BAC3-268F1640B3A9}">
  <dimension ref="A1:BC39"/>
  <sheetViews>
    <sheetView showGridLines="0" workbookViewId="0">
      <selection activeCell="A4" sqref="A4"/>
    </sheetView>
  </sheetViews>
  <sheetFormatPr defaultRowHeight="14.4" x14ac:dyDescent="0.3"/>
  <cols>
    <col min="1" max="1" width="8.88671875" style="2"/>
    <col min="2" max="2" width="18.21875" style="2" bestFit="1" customWidth="1"/>
    <col min="3" max="3" width="9.21875" style="2" bestFit="1" customWidth="1"/>
    <col min="4" max="4" width="7.88671875" style="2" bestFit="1" customWidth="1"/>
    <col min="5" max="5" width="12" style="2" bestFit="1" customWidth="1"/>
    <col min="6" max="6" width="16.109375" style="2" bestFit="1" customWidth="1"/>
    <col min="7" max="7" width="9.109375" style="2" bestFit="1" customWidth="1"/>
    <col min="8" max="8" width="8.44140625" style="2" bestFit="1" customWidth="1"/>
    <col min="9" max="9" width="12" style="2" bestFit="1" customWidth="1"/>
    <col min="10" max="10" width="16.109375" style="2" bestFit="1" customWidth="1"/>
    <col min="11" max="11" width="9.44140625" style="2" bestFit="1" customWidth="1"/>
    <col min="12" max="12" width="9.21875" style="2" bestFit="1" customWidth="1"/>
    <col min="13" max="13" width="12" style="2" bestFit="1" customWidth="1"/>
    <col min="14" max="14" width="16.109375" style="2" bestFit="1" customWidth="1"/>
    <col min="15" max="15" width="14.88671875" style="2" hidden="1" customWidth="1"/>
    <col min="16" max="16" width="11.33203125" style="2" hidden="1" customWidth="1"/>
    <col min="17" max="17" width="10.77734375" style="2" hidden="1" customWidth="1"/>
    <col min="18" max="18" width="12.109375" style="2" bestFit="1" customWidth="1"/>
    <col min="19" max="19" width="7.44140625" style="2" hidden="1" customWidth="1"/>
    <col min="20" max="21" width="7.88671875" style="2" hidden="1" customWidth="1"/>
    <col min="22" max="22" width="12.21875" style="2" hidden="1" customWidth="1"/>
    <col min="23" max="23" width="11.5546875" style="2" hidden="1" customWidth="1"/>
    <col min="24" max="24" width="11.5546875" style="2" bestFit="1" customWidth="1"/>
    <col min="25" max="25" width="11.5546875" style="2" hidden="1" customWidth="1"/>
    <col min="26" max="26" width="16.33203125" style="2" hidden="1" customWidth="1"/>
    <col min="27" max="27" width="15.109375" style="2" hidden="1" customWidth="1"/>
    <col min="28" max="28" width="14.5546875" style="2" hidden="1" customWidth="1"/>
    <col min="29" max="29" width="18.109375" style="2" hidden="1" customWidth="1"/>
    <col min="30" max="30" width="9.33203125" style="2" hidden="1" customWidth="1"/>
    <col min="31" max="31" width="12.21875" style="2" hidden="1" customWidth="1"/>
    <col min="32" max="32" width="10.5546875" style="2" hidden="1" customWidth="1"/>
    <col min="33" max="33" width="17.6640625" style="2" hidden="1" customWidth="1"/>
    <col min="34" max="35" width="12.77734375" style="2" hidden="1" customWidth="1"/>
    <col min="36" max="36" width="17.5546875" style="2" hidden="1" customWidth="1"/>
    <col min="37" max="38" width="11.88671875" style="2" hidden="1" customWidth="1"/>
    <col min="39" max="39" width="16.5546875" style="2" hidden="1" customWidth="1"/>
    <col min="40" max="41" width="18.21875" style="2" hidden="1" customWidth="1"/>
    <col min="42" max="42" width="22.88671875" style="2" hidden="1" customWidth="1"/>
    <col min="43" max="43" width="11.5546875" style="2" bestFit="1" customWidth="1"/>
    <col min="44" max="44" width="15.5546875" style="2" hidden="1" customWidth="1"/>
    <col min="45" max="45" width="10.5546875" style="2" hidden="1" customWidth="1"/>
    <col min="46" max="46" width="17.33203125" style="2" hidden="1" customWidth="1"/>
    <col min="47" max="47" width="10.33203125" style="2" hidden="1" customWidth="1"/>
    <col min="48" max="48" width="14.77734375" style="2" hidden="1" customWidth="1"/>
    <col min="49" max="49" width="14.77734375" style="2" bestFit="1" customWidth="1"/>
    <col min="50" max="50" width="13.77734375" style="2" hidden="1" customWidth="1"/>
    <col min="51" max="51" width="17.33203125" style="2" hidden="1" customWidth="1"/>
    <col min="52" max="52" width="6.88671875" style="2" hidden="1" customWidth="1"/>
    <col min="53" max="53" width="8.33203125" style="2" hidden="1" customWidth="1"/>
    <col min="54" max="54" width="21.77734375" style="2" hidden="1" customWidth="1"/>
    <col min="55" max="55" width="10.33203125" style="2" hidden="1" customWidth="1"/>
    <col min="56" max="16384" width="8.88671875" style="2"/>
  </cols>
  <sheetData>
    <row r="1" spans="1:55" s="3" customFormat="1" x14ac:dyDescent="0.3">
      <c r="A1" s="3" t="s">
        <v>482</v>
      </c>
      <c r="B1" s="3" t="s">
        <v>362</v>
      </c>
      <c r="C1" s="4" t="s">
        <v>363</v>
      </c>
      <c r="D1" s="4" t="s">
        <v>364</v>
      </c>
      <c r="E1" s="4" t="s">
        <v>365</v>
      </c>
      <c r="F1" s="4" t="s">
        <v>366</v>
      </c>
      <c r="G1" s="3" t="s">
        <v>34</v>
      </c>
      <c r="H1" s="3" t="s">
        <v>367</v>
      </c>
      <c r="I1" s="3" t="s">
        <v>368</v>
      </c>
      <c r="J1" s="3" t="s">
        <v>369</v>
      </c>
      <c r="K1" s="7" t="s">
        <v>0</v>
      </c>
      <c r="L1" s="7" t="s">
        <v>1</v>
      </c>
      <c r="M1" s="7" t="s">
        <v>2</v>
      </c>
      <c r="N1" s="7" t="s">
        <v>3</v>
      </c>
      <c r="O1" s="3" t="s">
        <v>370</v>
      </c>
      <c r="P1" s="3" t="s">
        <v>371</v>
      </c>
      <c r="Q1" s="3" t="s">
        <v>372</v>
      </c>
      <c r="R1" s="3" t="s">
        <v>373</v>
      </c>
      <c r="S1" s="3" t="s">
        <v>374</v>
      </c>
      <c r="T1" s="3" t="s">
        <v>375</v>
      </c>
      <c r="U1" s="3" t="s">
        <v>376</v>
      </c>
      <c r="V1" s="3" t="s">
        <v>377</v>
      </c>
      <c r="W1" s="3" t="s">
        <v>378</v>
      </c>
      <c r="X1" s="3" t="s">
        <v>379</v>
      </c>
      <c r="Y1" s="3" t="s">
        <v>380</v>
      </c>
      <c r="Z1" s="3" t="s">
        <v>381</v>
      </c>
      <c r="AA1" s="3" t="s">
        <v>382</v>
      </c>
      <c r="AB1" s="3" t="s">
        <v>383</v>
      </c>
      <c r="AC1" s="3" t="s">
        <v>384</v>
      </c>
      <c r="AD1" s="3" t="s">
        <v>385</v>
      </c>
      <c r="AE1" s="3" t="s">
        <v>386</v>
      </c>
      <c r="AF1" s="3" t="s">
        <v>387</v>
      </c>
      <c r="AG1" s="3" t="s">
        <v>388</v>
      </c>
      <c r="AH1" s="3" t="s">
        <v>389</v>
      </c>
      <c r="AI1" s="3" t="s">
        <v>390</v>
      </c>
      <c r="AJ1" s="3" t="s">
        <v>391</v>
      </c>
      <c r="AK1" s="3" t="s">
        <v>392</v>
      </c>
      <c r="AL1" s="3" t="s">
        <v>393</v>
      </c>
      <c r="AM1" s="3" t="s">
        <v>394</v>
      </c>
      <c r="AN1" s="3" t="s">
        <v>395</v>
      </c>
      <c r="AO1" s="3" t="s">
        <v>396</v>
      </c>
      <c r="AP1" s="3" t="s">
        <v>397</v>
      </c>
      <c r="AQ1" s="3" t="s">
        <v>398</v>
      </c>
      <c r="AR1" s="3" t="s">
        <v>399</v>
      </c>
      <c r="AS1" s="3" t="s">
        <v>400</v>
      </c>
      <c r="AT1" s="3" t="s">
        <v>401</v>
      </c>
      <c r="AU1" s="3" t="s">
        <v>402</v>
      </c>
      <c r="AV1" s="3" t="s">
        <v>403</v>
      </c>
      <c r="AW1" s="3" t="s">
        <v>404</v>
      </c>
      <c r="AX1" s="3" t="s">
        <v>405</v>
      </c>
      <c r="AY1" s="3" t="s">
        <v>406</v>
      </c>
      <c r="AZ1" s="3" t="s">
        <v>407</v>
      </c>
      <c r="BA1" s="3" t="s">
        <v>408</v>
      </c>
      <c r="BB1" s="3" t="s">
        <v>409</v>
      </c>
      <c r="BC1" s="3" t="s">
        <v>12</v>
      </c>
    </row>
    <row r="2" spans="1:55" x14ac:dyDescent="0.3">
      <c r="A2" s="2" t="s">
        <v>480</v>
      </c>
      <c r="B2" s="2" t="s">
        <v>410</v>
      </c>
      <c r="C2" s="2" t="s">
        <v>13</v>
      </c>
      <c r="D2" s="2" t="s">
        <v>41</v>
      </c>
      <c r="E2" s="2" t="s">
        <v>48</v>
      </c>
      <c r="F2" s="2" t="s">
        <v>16</v>
      </c>
      <c r="G2" s="2" t="s">
        <v>13</v>
      </c>
      <c r="H2" s="2" t="s">
        <v>14</v>
      </c>
      <c r="I2" s="2" t="s">
        <v>411</v>
      </c>
      <c r="J2" s="2" t="s">
        <v>412</v>
      </c>
      <c r="K2" s="2" t="s">
        <v>13</v>
      </c>
      <c r="L2" s="2" t="s">
        <v>14</v>
      </c>
      <c r="M2" s="2" t="s">
        <v>28</v>
      </c>
      <c r="N2" s="2" t="s">
        <v>16</v>
      </c>
      <c r="O2" s="2" t="s">
        <v>413</v>
      </c>
      <c r="P2" s="2" t="s">
        <v>413</v>
      </c>
      <c r="Q2" s="2" t="s">
        <v>414</v>
      </c>
      <c r="R2" s="2" t="s">
        <v>415</v>
      </c>
      <c r="T2" s="2" t="s">
        <v>294</v>
      </c>
      <c r="U2" s="2" t="s">
        <v>26</v>
      </c>
      <c r="V2" s="2">
        <v>-133758.17000000001</v>
      </c>
      <c r="W2" s="2">
        <v>133758.17000000001</v>
      </c>
      <c r="X2" s="15">
        <v>344000</v>
      </c>
      <c r="Y2" s="15">
        <v>133758.17000000001</v>
      </c>
      <c r="Z2" s="15" t="s">
        <v>155</v>
      </c>
      <c r="AA2" s="15" t="s">
        <v>155</v>
      </c>
      <c r="AB2" s="15" t="s">
        <v>155</v>
      </c>
      <c r="AC2" s="15" t="s">
        <v>155</v>
      </c>
      <c r="AD2" s="15" t="s">
        <v>416</v>
      </c>
      <c r="AE2" s="15"/>
      <c r="AF2" s="15">
        <v>100</v>
      </c>
      <c r="AG2" s="15" t="s">
        <v>155</v>
      </c>
      <c r="AH2" s="15">
        <v>344000</v>
      </c>
      <c r="AI2" s="15">
        <v>344000</v>
      </c>
      <c r="AJ2" s="15">
        <v>344000</v>
      </c>
      <c r="AK2" s="15" t="s">
        <v>417</v>
      </c>
      <c r="AL2" s="15" t="s">
        <v>417</v>
      </c>
      <c r="AM2" s="15" t="s">
        <v>417</v>
      </c>
      <c r="AN2" s="15">
        <v>143.33000000000001</v>
      </c>
      <c r="AO2" s="15">
        <v>143.33000000000001</v>
      </c>
      <c r="AP2" s="15">
        <v>143.33000000000001</v>
      </c>
      <c r="AQ2" s="15">
        <v>344000</v>
      </c>
      <c r="AR2" s="15" t="s">
        <v>155</v>
      </c>
      <c r="AS2" s="15">
        <v>257.18055199999998</v>
      </c>
      <c r="AT2" s="15" t="s">
        <v>155</v>
      </c>
      <c r="AU2" s="15" t="s">
        <v>313</v>
      </c>
      <c r="AV2" s="15" t="s">
        <v>155</v>
      </c>
      <c r="AW2" s="15" t="s">
        <v>155</v>
      </c>
      <c r="AX2" s="2" t="s">
        <v>155</v>
      </c>
      <c r="AZ2" s="2" t="s">
        <v>418</v>
      </c>
      <c r="BA2" s="2" t="s">
        <v>419</v>
      </c>
      <c r="BB2" s="2" t="s">
        <v>420</v>
      </c>
      <c r="BC2" s="2" t="s">
        <v>20</v>
      </c>
    </row>
    <row r="3" spans="1:55" x14ac:dyDescent="0.3">
      <c r="A3" s="2" t="s">
        <v>480</v>
      </c>
      <c r="B3" s="2" t="s">
        <v>421</v>
      </c>
      <c r="C3" s="2" t="s">
        <v>13</v>
      </c>
      <c r="D3" s="2" t="s">
        <v>41</v>
      </c>
      <c r="E3" s="2" t="s">
        <v>54</v>
      </c>
      <c r="F3" s="2" t="s">
        <v>16</v>
      </c>
      <c r="G3" s="2" t="s">
        <v>13</v>
      </c>
      <c r="H3" s="2" t="s">
        <v>14</v>
      </c>
      <c r="I3" s="2" t="s">
        <v>422</v>
      </c>
      <c r="J3" s="2" t="s">
        <v>412</v>
      </c>
      <c r="K3" s="2" t="s">
        <v>13</v>
      </c>
      <c r="L3" s="2" t="s">
        <v>14</v>
      </c>
      <c r="M3" s="2" t="s">
        <v>21</v>
      </c>
      <c r="N3" s="2" t="s">
        <v>16</v>
      </c>
      <c r="O3" s="2" t="s">
        <v>413</v>
      </c>
      <c r="P3" s="2" t="s">
        <v>413</v>
      </c>
      <c r="Q3" s="2" t="s">
        <v>414</v>
      </c>
      <c r="R3" s="2" t="s">
        <v>423</v>
      </c>
      <c r="T3" s="2" t="s">
        <v>294</v>
      </c>
      <c r="U3" s="2" t="s">
        <v>22</v>
      </c>
      <c r="V3" s="2">
        <v>-1191155.27</v>
      </c>
      <c r="W3" s="2">
        <v>1191155.27</v>
      </c>
      <c r="X3" s="15">
        <v>1650000</v>
      </c>
      <c r="Y3" s="15">
        <v>1191155.27</v>
      </c>
      <c r="Z3" s="15" t="s">
        <v>155</v>
      </c>
      <c r="AA3" s="15" t="s">
        <v>155</v>
      </c>
      <c r="AB3" s="15" t="s">
        <v>155</v>
      </c>
      <c r="AC3" s="15" t="s">
        <v>155</v>
      </c>
      <c r="AD3" s="15" t="s">
        <v>416</v>
      </c>
      <c r="AE3" s="15"/>
      <c r="AF3" s="15">
        <v>100</v>
      </c>
      <c r="AG3" s="15" t="s">
        <v>155</v>
      </c>
      <c r="AH3" s="15">
        <v>1650000</v>
      </c>
      <c r="AI3" s="15">
        <v>1650000</v>
      </c>
      <c r="AJ3" s="15">
        <v>1650000</v>
      </c>
      <c r="AK3" s="15" t="s">
        <v>424</v>
      </c>
      <c r="AL3" s="15" t="s">
        <v>424</v>
      </c>
      <c r="AM3" s="15" t="s">
        <v>424</v>
      </c>
      <c r="AN3" s="15">
        <v>137.5</v>
      </c>
      <c r="AO3" s="15">
        <v>137.5</v>
      </c>
      <c r="AP3" s="15">
        <v>137.5</v>
      </c>
      <c r="AQ3" s="15">
        <v>1650000</v>
      </c>
      <c r="AR3" s="15" t="s">
        <v>155</v>
      </c>
      <c r="AS3" s="15">
        <v>138.520984</v>
      </c>
      <c r="AT3" s="15" t="s">
        <v>155</v>
      </c>
      <c r="AU3" s="15" t="s">
        <v>326</v>
      </c>
      <c r="AV3" s="15" t="s">
        <v>155</v>
      </c>
      <c r="AW3" s="15" t="s">
        <v>155</v>
      </c>
      <c r="AX3" s="2" t="s">
        <v>155</v>
      </c>
      <c r="AZ3" s="2" t="s">
        <v>418</v>
      </c>
      <c r="BA3" s="2" t="s">
        <v>419</v>
      </c>
      <c r="BB3" s="2" t="s">
        <v>420</v>
      </c>
      <c r="BC3" s="2" t="s">
        <v>20</v>
      </c>
    </row>
    <row r="4" spans="1:55" x14ac:dyDescent="0.3">
      <c r="A4" s="2" t="s">
        <v>480</v>
      </c>
      <c r="B4" s="2" t="s">
        <v>425</v>
      </c>
      <c r="C4" s="2" t="s">
        <v>13</v>
      </c>
      <c r="D4" s="2" t="s">
        <v>41</v>
      </c>
      <c r="E4" s="2" t="s">
        <v>65</v>
      </c>
      <c r="F4" s="2" t="s">
        <v>16</v>
      </c>
      <c r="G4" s="2" t="s">
        <v>13</v>
      </c>
      <c r="H4" s="2" t="s">
        <v>14</v>
      </c>
      <c r="I4" s="2" t="s">
        <v>426</v>
      </c>
      <c r="J4" s="2" t="s">
        <v>427</v>
      </c>
      <c r="K4" s="2" t="s">
        <v>13</v>
      </c>
      <c r="L4" s="2" t="s">
        <v>14</v>
      </c>
      <c r="M4" s="2" t="s">
        <v>31</v>
      </c>
      <c r="N4" s="2" t="s">
        <v>16</v>
      </c>
      <c r="O4" s="2" t="s">
        <v>413</v>
      </c>
      <c r="P4" s="2" t="s">
        <v>413</v>
      </c>
      <c r="Q4" s="2" t="s">
        <v>414</v>
      </c>
      <c r="R4" s="2" t="s">
        <v>415</v>
      </c>
      <c r="T4" s="2" t="s">
        <v>294</v>
      </c>
      <c r="U4" s="2" t="s">
        <v>26</v>
      </c>
      <c r="V4" s="2">
        <v>-1879589.61</v>
      </c>
      <c r="W4" s="2">
        <v>1879589.61</v>
      </c>
      <c r="X4" s="15">
        <v>317000</v>
      </c>
      <c r="Y4" s="15">
        <v>1879589.61</v>
      </c>
      <c r="Z4" s="15" t="s">
        <v>155</v>
      </c>
      <c r="AA4" s="15" t="s">
        <v>155</v>
      </c>
      <c r="AB4" s="15" t="s">
        <v>155</v>
      </c>
      <c r="AC4" s="15" t="s">
        <v>155</v>
      </c>
      <c r="AD4" s="15" t="s">
        <v>416</v>
      </c>
      <c r="AE4" s="15"/>
      <c r="AF4" s="15">
        <v>100</v>
      </c>
      <c r="AG4" s="15" t="s">
        <v>155</v>
      </c>
      <c r="AH4" s="15">
        <v>2497500</v>
      </c>
      <c r="AI4" s="15">
        <v>317000</v>
      </c>
      <c r="AJ4" s="15">
        <v>317000</v>
      </c>
      <c r="AK4" s="15" t="s">
        <v>428</v>
      </c>
      <c r="AL4" s="15" t="s">
        <v>428</v>
      </c>
      <c r="AM4" s="15" t="s">
        <v>428</v>
      </c>
      <c r="AN4" s="15">
        <v>124.875</v>
      </c>
      <c r="AO4" s="15">
        <v>15.85</v>
      </c>
      <c r="AP4" s="15">
        <v>15.85</v>
      </c>
      <c r="AQ4" s="15">
        <v>317000</v>
      </c>
      <c r="AR4" s="15" t="s">
        <v>155</v>
      </c>
      <c r="AS4" s="15">
        <v>16.865383999999999</v>
      </c>
      <c r="AT4" s="15" t="s">
        <v>155</v>
      </c>
      <c r="AU4" s="15" t="s">
        <v>20</v>
      </c>
      <c r="AV4" s="15" t="s">
        <v>155</v>
      </c>
      <c r="AW4" s="15" t="s">
        <v>155</v>
      </c>
      <c r="AX4" s="2" t="s">
        <v>155</v>
      </c>
      <c r="AZ4" s="2" t="s">
        <v>418</v>
      </c>
      <c r="BA4" s="2" t="s">
        <v>419</v>
      </c>
      <c r="BB4" s="2" t="s">
        <v>420</v>
      </c>
      <c r="BC4" s="2" t="s">
        <v>20</v>
      </c>
    </row>
    <row r="5" spans="1:55" x14ac:dyDescent="0.3">
      <c r="A5" s="2" t="s">
        <v>480</v>
      </c>
      <c r="B5" s="2" t="s">
        <v>429</v>
      </c>
      <c r="C5" s="2" t="s">
        <v>13</v>
      </c>
      <c r="D5" s="2" t="s">
        <v>41</v>
      </c>
      <c r="E5" s="2" t="s">
        <v>56</v>
      </c>
      <c r="F5" s="2" t="s">
        <v>16</v>
      </c>
      <c r="G5" s="2" t="s">
        <v>13</v>
      </c>
      <c r="H5" s="2" t="s">
        <v>14</v>
      </c>
      <c r="I5" s="2" t="s">
        <v>430</v>
      </c>
      <c r="J5" s="2" t="s">
        <v>427</v>
      </c>
      <c r="K5" s="2" t="s">
        <v>13</v>
      </c>
      <c r="L5" s="2" t="s">
        <v>14</v>
      </c>
      <c r="M5" s="2" t="s">
        <v>23</v>
      </c>
      <c r="N5" s="2" t="s">
        <v>16</v>
      </c>
      <c r="O5" s="2" t="s">
        <v>413</v>
      </c>
      <c r="P5" s="2" t="s">
        <v>413</v>
      </c>
      <c r="Q5" s="2" t="s">
        <v>414</v>
      </c>
      <c r="R5" s="2" t="s">
        <v>423</v>
      </c>
      <c r="T5" s="2" t="s">
        <v>303</v>
      </c>
      <c r="U5" s="2" t="s">
        <v>22</v>
      </c>
      <c r="V5" s="2">
        <v>-156050.71</v>
      </c>
      <c r="W5" s="2">
        <v>156050.71</v>
      </c>
      <c r="X5" s="15">
        <v>217000</v>
      </c>
      <c r="Y5" s="15">
        <v>156050.71</v>
      </c>
      <c r="Z5" s="15" t="s">
        <v>155</v>
      </c>
      <c r="AA5" s="15" t="s">
        <v>155</v>
      </c>
      <c r="AB5" s="15" t="s">
        <v>155</v>
      </c>
      <c r="AC5" s="15" t="s">
        <v>155</v>
      </c>
      <c r="AD5" s="15" t="s">
        <v>416</v>
      </c>
      <c r="AE5" s="15"/>
      <c r="AF5" s="15">
        <v>100</v>
      </c>
      <c r="AG5" s="15" t="s">
        <v>155</v>
      </c>
      <c r="AH5" s="15">
        <v>217000</v>
      </c>
      <c r="AI5" s="15">
        <v>217000</v>
      </c>
      <c r="AJ5" s="15">
        <v>217000</v>
      </c>
      <c r="AK5" s="15" t="s">
        <v>308</v>
      </c>
      <c r="AL5" s="15" t="s">
        <v>308</v>
      </c>
      <c r="AM5" s="15" t="s">
        <v>308</v>
      </c>
      <c r="AN5" s="15">
        <v>135.56681599999999</v>
      </c>
      <c r="AO5" s="15">
        <v>135.56681599999999</v>
      </c>
      <c r="AP5" s="15">
        <v>135.56681599999999</v>
      </c>
      <c r="AQ5" s="15">
        <v>217000</v>
      </c>
      <c r="AR5" s="15" t="s">
        <v>155</v>
      </c>
      <c r="AS5" s="15">
        <v>139.05736200000001</v>
      </c>
      <c r="AT5" s="15" t="s">
        <v>155</v>
      </c>
      <c r="AU5" s="15" t="s">
        <v>308</v>
      </c>
      <c r="AV5" s="15" t="s">
        <v>155</v>
      </c>
      <c r="AW5" s="15" t="s">
        <v>155</v>
      </c>
      <c r="AX5" s="2" t="s">
        <v>155</v>
      </c>
      <c r="AZ5" s="2" t="s">
        <v>418</v>
      </c>
      <c r="BA5" s="2" t="s">
        <v>419</v>
      </c>
      <c r="BB5" s="2" t="s">
        <v>420</v>
      </c>
      <c r="BC5" s="2" t="s">
        <v>20</v>
      </c>
    </row>
    <row r="6" spans="1:55" x14ac:dyDescent="0.3">
      <c r="A6" s="2" t="s">
        <v>480</v>
      </c>
      <c r="B6" s="2" t="s">
        <v>431</v>
      </c>
      <c r="C6" s="2" t="s">
        <v>13</v>
      </c>
      <c r="D6" s="2" t="s">
        <v>41</v>
      </c>
      <c r="E6" s="2" t="s">
        <v>60</v>
      </c>
      <c r="F6" s="2" t="s">
        <v>16</v>
      </c>
      <c r="G6" s="2" t="s">
        <v>13</v>
      </c>
      <c r="H6" s="2" t="s">
        <v>14</v>
      </c>
      <c r="I6" s="2" t="s">
        <v>432</v>
      </c>
      <c r="J6" s="2" t="s">
        <v>433</v>
      </c>
      <c r="K6" s="2" t="s">
        <v>13</v>
      </c>
      <c r="L6" s="2" t="s">
        <v>14</v>
      </c>
      <c r="M6" s="2" t="s">
        <v>24</v>
      </c>
      <c r="N6" s="2" t="s">
        <v>16</v>
      </c>
      <c r="O6" s="2" t="s">
        <v>413</v>
      </c>
      <c r="P6" s="2" t="s">
        <v>413</v>
      </c>
      <c r="Q6" s="2" t="s">
        <v>414</v>
      </c>
      <c r="R6" s="2" t="s">
        <v>434</v>
      </c>
      <c r="T6" s="2" t="s">
        <v>294</v>
      </c>
      <c r="U6" s="2" t="s">
        <v>17</v>
      </c>
      <c r="V6" s="2">
        <v>-944580.18</v>
      </c>
      <c r="W6" s="2">
        <v>944580.18</v>
      </c>
      <c r="X6" s="15">
        <v>2438744</v>
      </c>
      <c r="Y6" s="15">
        <v>1043170.82</v>
      </c>
      <c r="Z6" s="15" t="s">
        <v>155</v>
      </c>
      <c r="AA6" s="15" t="s">
        <v>155</v>
      </c>
      <c r="AB6" s="15" t="s">
        <v>155</v>
      </c>
      <c r="AC6" s="15" t="s">
        <v>155</v>
      </c>
      <c r="AD6" s="15" t="s">
        <v>416</v>
      </c>
      <c r="AE6" s="15"/>
      <c r="AF6" s="15">
        <v>90.548946000000001</v>
      </c>
      <c r="AG6" s="15" t="s">
        <v>155</v>
      </c>
      <c r="AH6" s="15">
        <v>2099803.56</v>
      </c>
      <c r="AI6" s="15">
        <v>2099803.56</v>
      </c>
      <c r="AJ6" s="15">
        <v>2099803.56</v>
      </c>
      <c r="AK6" s="15" t="s">
        <v>435</v>
      </c>
      <c r="AL6" s="15" t="s">
        <v>435</v>
      </c>
      <c r="AM6" s="15" t="s">
        <v>435</v>
      </c>
      <c r="AN6" s="15">
        <v>190.23</v>
      </c>
      <c r="AO6" s="15">
        <v>190.23</v>
      </c>
      <c r="AP6" s="15">
        <v>190.23</v>
      </c>
      <c r="AQ6" s="15">
        <v>2208256.9900000002</v>
      </c>
      <c r="AR6" s="15" t="s">
        <v>155</v>
      </c>
      <c r="AS6" s="15">
        <v>233.781847</v>
      </c>
      <c r="AT6" s="15" t="s">
        <v>155</v>
      </c>
      <c r="AU6" s="15" t="s">
        <v>320</v>
      </c>
      <c r="AV6" s="15" t="s">
        <v>155</v>
      </c>
      <c r="AW6" s="15" t="s">
        <v>155</v>
      </c>
      <c r="AX6" s="2" t="s">
        <v>155</v>
      </c>
      <c r="AZ6" s="2" t="s">
        <v>418</v>
      </c>
      <c r="BA6" s="2" t="s">
        <v>419</v>
      </c>
      <c r="BB6" s="2" t="s">
        <v>420</v>
      </c>
      <c r="BC6" s="2" t="s">
        <v>20</v>
      </c>
    </row>
    <row r="7" spans="1:55" x14ac:dyDescent="0.3">
      <c r="A7" s="2" t="s">
        <v>480</v>
      </c>
      <c r="B7" s="2" t="s">
        <v>436</v>
      </c>
      <c r="C7" s="2" t="s">
        <v>13</v>
      </c>
      <c r="D7" s="2" t="s">
        <v>41</v>
      </c>
      <c r="E7" s="2" t="s">
        <v>52</v>
      </c>
      <c r="F7" s="2" t="s">
        <v>16</v>
      </c>
      <c r="G7" s="2" t="s">
        <v>13</v>
      </c>
      <c r="H7" s="2" t="s">
        <v>14</v>
      </c>
      <c r="I7" s="2" t="s">
        <v>437</v>
      </c>
      <c r="J7" s="2" t="s">
        <v>427</v>
      </c>
      <c r="K7" s="2" t="s">
        <v>13</v>
      </c>
      <c r="L7" s="2" t="s">
        <v>14</v>
      </c>
      <c r="M7" s="2" t="s">
        <v>29</v>
      </c>
      <c r="N7" s="2" t="s">
        <v>16</v>
      </c>
      <c r="O7" s="2" t="s">
        <v>413</v>
      </c>
      <c r="P7" s="2" t="s">
        <v>413</v>
      </c>
      <c r="Q7" s="2" t="s">
        <v>414</v>
      </c>
      <c r="R7" s="2" t="s">
        <v>423</v>
      </c>
      <c r="T7" s="2" t="s">
        <v>303</v>
      </c>
      <c r="U7" s="2" t="s">
        <v>22</v>
      </c>
      <c r="V7" s="2">
        <v>-42575.9</v>
      </c>
      <c r="W7" s="2">
        <v>42575.9</v>
      </c>
      <c r="X7" s="15">
        <v>105200</v>
      </c>
      <c r="Y7" s="15">
        <v>42575.9</v>
      </c>
      <c r="Z7" s="15" t="s">
        <v>155</v>
      </c>
      <c r="AA7" s="15" t="s">
        <v>155</v>
      </c>
      <c r="AB7" s="15" t="s">
        <v>155</v>
      </c>
      <c r="AC7" s="15" t="s">
        <v>155</v>
      </c>
      <c r="AD7" s="15" t="s">
        <v>416</v>
      </c>
      <c r="AE7" s="15"/>
      <c r="AF7" s="15">
        <v>100</v>
      </c>
      <c r="AG7" s="15" t="s">
        <v>155</v>
      </c>
      <c r="AH7" s="15">
        <v>105200</v>
      </c>
      <c r="AI7" s="15">
        <v>105200</v>
      </c>
      <c r="AJ7" s="15">
        <v>105200</v>
      </c>
      <c r="AK7" s="15" t="s">
        <v>438</v>
      </c>
      <c r="AL7" s="15" t="s">
        <v>438</v>
      </c>
      <c r="AM7" s="15" t="s">
        <v>438</v>
      </c>
      <c r="AN7" s="15">
        <v>175.33</v>
      </c>
      <c r="AO7" s="15">
        <v>175.33</v>
      </c>
      <c r="AP7" s="15">
        <v>175.33</v>
      </c>
      <c r="AQ7" s="15">
        <v>105200</v>
      </c>
      <c r="AR7" s="15" t="s">
        <v>155</v>
      </c>
      <c r="AS7" s="15">
        <v>247.08814100000001</v>
      </c>
      <c r="AT7" s="15" t="s">
        <v>155</v>
      </c>
      <c r="AU7" s="15" t="s">
        <v>348</v>
      </c>
      <c r="AV7" s="15" t="s">
        <v>155</v>
      </c>
      <c r="AW7" s="15" t="s">
        <v>155</v>
      </c>
      <c r="AX7" s="2" t="s">
        <v>155</v>
      </c>
      <c r="AZ7" s="2" t="s">
        <v>418</v>
      </c>
      <c r="BA7" s="2" t="s">
        <v>419</v>
      </c>
      <c r="BB7" s="2" t="s">
        <v>420</v>
      </c>
      <c r="BC7" s="2" t="s">
        <v>20</v>
      </c>
    </row>
    <row r="8" spans="1:55" x14ac:dyDescent="0.3">
      <c r="A8" s="2" t="s">
        <v>480</v>
      </c>
      <c r="B8" s="2" t="s">
        <v>439</v>
      </c>
      <c r="C8" s="2" t="s">
        <v>13</v>
      </c>
      <c r="D8" s="2" t="s">
        <v>41</v>
      </c>
      <c r="E8" s="2" t="s">
        <v>58</v>
      </c>
      <c r="F8" s="2" t="s">
        <v>16</v>
      </c>
      <c r="G8" s="2" t="s">
        <v>13</v>
      </c>
      <c r="H8" s="2" t="s">
        <v>14</v>
      </c>
      <c r="I8" s="2" t="s">
        <v>440</v>
      </c>
      <c r="J8" s="2" t="s">
        <v>427</v>
      </c>
      <c r="K8" s="2" t="s">
        <v>13</v>
      </c>
      <c r="L8" s="2" t="s">
        <v>14</v>
      </c>
      <c r="M8" s="2" t="s">
        <v>33</v>
      </c>
      <c r="N8" s="2" t="s">
        <v>16</v>
      </c>
      <c r="O8" s="2" t="s">
        <v>413</v>
      </c>
      <c r="P8" s="2" t="s">
        <v>413</v>
      </c>
      <c r="Q8" s="2" t="s">
        <v>414</v>
      </c>
      <c r="R8" s="2" t="s">
        <v>423</v>
      </c>
      <c r="T8" s="2" t="s">
        <v>303</v>
      </c>
      <c r="U8" s="2" t="s">
        <v>22</v>
      </c>
      <c r="V8" s="2">
        <v>-296073.15999999997</v>
      </c>
      <c r="W8" s="2">
        <v>296073.15999999997</v>
      </c>
      <c r="X8" s="15">
        <v>209000</v>
      </c>
      <c r="Y8" s="15">
        <v>296073.15999999997</v>
      </c>
      <c r="Z8" s="15" t="s">
        <v>155</v>
      </c>
      <c r="AA8" s="15" t="s">
        <v>155</v>
      </c>
      <c r="AB8" s="15" t="s">
        <v>155</v>
      </c>
      <c r="AC8" s="15" t="s">
        <v>155</v>
      </c>
      <c r="AD8" s="15" t="s">
        <v>416</v>
      </c>
      <c r="AE8" s="15"/>
      <c r="AF8" s="15">
        <v>100</v>
      </c>
      <c r="AG8" s="15" t="s">
        <v>155</v>
      </c>
      <c r="AH8" s="15">
        <v>469000</v>
      </c>
      <c r="AI8" s="15">
        <v>209000</v>
      </c>
      <c r="AJ8" s="15">
        <v>209000</v>
      </c>
      <c r="AK8" s="15" t="s">
        <v>361</v>
      </c>
      <c r="AL8" s="15" t="s">
        <v>361</v>
      </c>
      <c r="AM8" s="15" t="s">
        <v>361</v>
      </c>
      <c r="AN8" s="15">
        <v>156.33333300000001</v>
      </c>
      <c r="AO8" s="15">
        <v>69.666667000000004</v>
      </c>
      <c r="AP8" s="15">
        <v>69.666700000000006</v>
      </c>
      <c r="AQ8" s="15">
        <v>209000</v>
      </c>
      <c r="AR8" s="15" t="s">
        <v>155</v>
      </c>
      <c r="AS8" s="15">
        <v>70.590660999999997</v>
      </c>
      <c r="AT8" s="15" t="s">
        <v>155</v>
      </c>
      <c r="AU8" s="15" t="s">
        <v>361</v>
      </c>
      <c r="AV8" s="15" t="s">
        <v>155</v>
      </c>
      <c r="AW8" s="15" t="s">
        <v>155</v>
      </c>
      <c r="AX8" s="2" t="s">
        <v>155</v>
      </c>
      <c r="AZ8" s="2" t="s">
        <v>418</v>
      </c>
      <c r="BA8" s="2" t="s">
        <v>419</v>
      </c>
      <c r="BB8" s="2" t="s">
        <v>420</v>
      </c>
      <c r="BC8" s="2" t="s">
        <v>20</v>
      </c>
    </row>
    <row r="9" spans="1:55" x14ac:dyDescent="0.3">
      <c r="A9" s="2" t="s">
        <v>480</v>
      </c>
      <c r="B9" s="2" t="s">
        <v>441</v>
      </c>
      <c r="C9" s="2" t="s">
        <v>13</v>
      </c>
      <c r="D9" s="2" t="s">
        <v>41</v>
      </c>
      <c r="E9" s="2" t="s">
        <v>50</v>
      </c>
      <c r="F9" s="2" t="s">
        <v>16</v>
      </c>
      <c r="G9" s="2" t="s">
        <v>13</v>
      </c>
      <c r="H9" s="2" t="s">
        <v>14</v>
      </c>
      <c r="I9" s="2" t="s">
        <v>442</v>
      </c>
      <c r="J9" s="2" t="s">
        <v>412</v>
      </c>
      <c r="K9" s="2" t="s">
        <v>13</v>
      </c>
      <c r="L9" s="2" t="s">
        <v>14</v>
      </c>
      <c r="M9" s="2" t="s">
        <v>32</v>
      </c>
      <c r="N9" s="2" t="s">
        <v>16</v>
      </c>
      <c r="O9" s="2" t="s">
        <v>413</v>
      </c>
      <c r="P9" s="2" t="s">
        <v>413</v>
      </c>
      <c r="Q9" s="2" t="s">
        <v>414</v>
      </c>
      <c r="R9" s="2" t="s">
        <v>434</v>
      </c>
      <c r="T9" s="2" t="s">
        <v>294</v>
      </c>
      <c r="U9" s="2" t="s">
        <v>17</v>
      </c>
      <c r="V9" s="2">
        <v>-69269.740000000005</v>
      </c>
      <c r="W9" s="2">
        <v>69269.740000000005</v>
      </c>
      <c r="X9" s="15">
        <v>151000</v>
      </c>
      <c r="Y9" s="15">
        <v>69269.740000000005</v>
      </c>
      <c r="Z9" s="15" t="s">
        <v>155</v>
      </c>
      <c r="AA9" s="15" t="s">
        <v>155</v>
      </c>
      <c r="AB9" s="15" t="s">
        <v>155</v>
      </c>
      <c r="AC9" s="15" t="s">
        <v>155</v>
      </c>
      <c r="AD9" s="15" t="s">
        <v>416</v>
      </c>
      <c r="AE9" s="15"/>
      <c r="AF9" s="15">
        <v>100</v>
      </c>
      <c r="AG9" s="15" t="s">
        <v>155</v>
      </c>
      <c r="AH9" s="15">
        <v>151000</v>
      </c>
      <c r="AI9" s="15">
        <v>151000</v>
      </c>
      <c r="AJ9" s="15">
        <v>151000</v>
      </c>
      <c r="AK9" s="15" t="s">
        <v>443</v>
      </c>
      <c r="AL9" s="15" t="s">
        <v>443</v>
      </c>
      <c r="AM9" s="15" t="s">
        <v>443</v>
      </c>
      <c r="AN9" s="15">
        <v>164.13</v>
      </c>
      <c r="AO9" s="15">
        <v>164.13</v>
      </c>
      <c r="AP9" s="15">
        <v>164.13</v>
      </c>
      <c r="AQ9" s="15">
        <v>151000</v>
      </c>
      <c r="AR9" s="15" t="s">
        <v>155</v>
      </c>
      <c r="AS9" s="15">
        <v>217.98840300000001</v>
      </c>
      <c r="AT9" s="15" t="s">
        <v>155</v>
      </c>
      <c r="AU9" s="15" t="s">
        <v>320</v>
      </c>
      <c r="AV9" s="15" t="s">
        <v>155</v>
      </c>
      <c r="AW9" s="15" t="s">
        <v>155</v>
      </c>
      <c r="AX9" s="2" t="s">
        <v>155</v>
      </c>
      <c r="AZ9" s="2" t="s">
        <v>418</v>
      </c>
      <c r="BA9" s="2" t="s">
        <v>419</v>
      </c>
      <c r="BB9" s="2" t="s">
        <v>420</v>
      </c>
      <c r="BC9" s="2" t="s">
        <v>20</v>
      </c>
    </row>
    <row r="10" spans="1:55" x14ac:dyDescent="0.3">
      <c r="A10" s="2" t="s">
        <v>480</v>
      </c>
      <c r="B10" s="2" t="s">
        <v>444</v>
      </c>
      <c r="C10" s="2" t="s">
        <v>13</v>
      </c>
      <c r="D10" s="2" t="s">
        <v>41</v>
      </c>
      <c r="E10" s="2" t="s">
        <v>62</v>
      </c>
      <c r="F10" s="2" t="s">
        <v>16</v>
      </c>
      <c r="G10" s="2" t="s">
        <v>13</v>
      </c>
      <c r="H10" s="2" t="s">
        <v>14</v>
      </c>
      <c r="I10" s="2" t="s">
        <v>445</v>
      </c>
      <c r="J10" s="2" t="s">
        <v>412</v>
      </c>
      <c r="K10" s="2" t="s">
        <v>13</v>
      </c>
      <c r="L10" s="2" t="s">
        <v>14</v>
      </c>
      <c r="M10" s="2" t="s">
        <v>24</v>
      </c>
      <c r="N10" s="2" t="s">
        <v>16</v>
      </c>
      <c r="O10" s="2" t="s">
        <v>413</v>
      </c>
      <c r="P10" s="2" t="s">
        <v>413</v>
      </c>
      <c r="Q10" s="2" t="s">
        <v>414</v>
      </c>
      <c r="R10" s="2" t="s">
        <v>434</v>
      </c>
      <c r="T10" s="2" t="s">
        <v>294</v>
      </c>
      <c r="U10" s="2" t="s">
        <v>17</v>
      </c>
      <c r="V10" s="2">
        <v>-98590.64</v>
      </c>
      <c r="W10" s="2">
        <v>98590.64</v>
      </c>
      <c r="X10" s="15">
        <v>2438744</v>
      </c>
      <c r="Y10" s="15">
        <v>1043170.82</v>
      </c>
      <c r="Z10" s="15" t="s">
        <v>155</v>
      </c>
      <c r="AA10" s="15" t="s">
        <v>155</v>
      </c>
      <c r="AB10" s="15" t="s">
        <v>155</v>
      </c>
      <c r="AC10" s="15" t="s">
        <v>155</v>
      </c>
      <c r="AD10" s="15" t="s">
        <v>416</v>
      </c>
      <c r="AE10" s="15"/>
      <c r="AF10" s="15">
        <v>9.4510539999999992</v>
      </c>
      <c r="AG10" s="15" t="s">
        <v>155</v>
      </c>
      <c r="AH10" s="15">
        <v>338940.44</v>
      </c>
      <c r="AI10" s="15">
        <v>338940.44</v>
      </c>
      <c r="AJ10" s="15">
        <v>338940.44</v>
      </c>
      <c r="AK10" s="15" t="s">
        <v>435</v>
      </c>
      <c r="AL10" s="15" t="s">
        <v>435</v>
      </c>
      <c r="AM10" s="15" t="s">
        <v>435</v>
      </c>
      <c r="AN10" s="15">
        <v>155.21</v>
      </c>
      <c r="AO10" s="15">
        <v>155.21</v>
      </c>
      <c r="AP10" s="15">
        <v>155.21</v>
      </c>
      <c r="AQ10" s="15">
        <v>230487.01</v>
      </c>
      <c r="AR10" s="15" t="s">
        <v>155</v>
      </c>
      <c r="AS10" s="15">
        <v>233.78183799999999</v>
      </c>
      <c r="AT10" s="15" t="s">
        <v>155</v>
      </c>
      <c r="AU10" s="15" t="s">
        <v>320</v>
      </c>
      <c r="AV10" s="15" t="s">
        <v>155</v>
      </c>
      <c r="AW10" s="15" t="s">
        <v>155</v>
      </c>
      <c r="AX10" s="2" t="s">
        <v>155</v>
      </c>
      <c r="AZ10" s="2" t="s">
        <v>418</v>
      </c>
      <c r="BA10" s="2" t="s">
        <v>419</v>
      </c>
      <c r="BB10" s="2" t="s">
        <v>420</v>
      </c>
      <c r="BC10" s="2" t="s">
        <v>20</v>
      </c>
    </row>
    <row r="11" spans="1:55" x14ac:dyDescent="0.3">
      <c r="A11" s="2" t="s">
        <v>480</v>
      </c>
      <c r="B11" s="2" t="s">
        <v>446</v>
      </c>
      <c r="C11" s="2" t="s">
        <v>13</v>
      </c>
      <c r="D11" s="2" t="s">
        <v>41</v>
      </c>
      <c r="E11" s="2" t="s">
        <v>63</v>
      </c>
      <c r="F11" s="2" t="s">
        <v>16</v>
      </c>
      <c r="G11" s="2" t="s">
        <v>13</v>
      </c>
      <c r="H11" s="2" t="s">
        <v>14</v>
      </c>
      <c r="I11" s="2" t="s">
        <v>447</v>
      </c>
      <c r="J11" s="2" t="s">
        <v>427</v>
      </c>
      <c r="K11" s="2" t="s">
        <v>13</v>
      </c>
      <c r="L11" s="2" t="s">
        <v>14</v>
      </c>
      <c r="M11" s="2" t="s">
        <v>25</v>
      </c>
      <c r="N11" s="2" t="s">
        <v>16</v>
      </c>
      <c r="O11" s="2" t="s">
        <v>413</v>
      </c>
      <c r="P11" s="2" t="s">
        <v>413</v>
      </c>
      <c r="Q11" s="2" t="s">
        <v>414</v>
      </c>
      <c r="R11" s="2" t="s">
        <v>415</v>
      </c>
      <c r="T11" s="2" t="s">
        <v>294</v>
      </c>
      <c r="U11" s="2" t="s">
        <v>26</v>
      </c>
      <c r="V11" s="2">
        <v>-485586.28</v>
      </c>
      <c r="W11" s="2">
        <v>485586.28</v>
      </c>
      <c r="X11" s="15">
        <v>781000</v>
      </c>
      <c r="Y11" s="15">
        <v>485586.28</v>
      </c>
      <c r="Z11" s="15" t="s">
        <v>155</v>
      </c>
      <c r="AA11" s="15" t="s">
        <v>155</v>
      </c>
      <c r="AB11" s="15" t="s">
        <v>155</v>
      </c>
      <c r="AC11" s="15" t="s">
        <v>155</v>
      </c>
      <c r="AD11" s="15" t="s">
        <v>416</v>
      </c>
      <c r="AE11" s="15"/>
      <c r="AF11" s="15">
        <v>100</v>
      </c>
      <c r="AG11" s="15" t="s">
        <v>155</v>
      </c>
      <c r="AH11" s="15">
        <v>781000</v>
      </c>
      <c r="AI11" s="15">
        <v>781000</v>
      </c>
      <c r="AJ11" s="15">
        <v>781000</v>
      </c>
      <c r="AK11" s="15" t="s">
        <v>448</v>
      </c>
      <c r="AL11" s="15" t="s">
        <v>448</v>
      </c>
      <c r="AM11" s="15" t="s">
        <v>448</v>
      </c>
      <c r="AN11" s="15">
        <v>143.13999999999999</v>
      </c>
      <c r="AO11" s="15">
        <v>143.13999999999999</v>
      </c>
      <c r="AP11" s="15">
        <v>143.13999999999999</v>
      </c>
      <c r="AQ11" s="15">
        <v>781000</v>
      </c>
      <c r="AR11" s="15" t="s">
        <v>155</v>
      </c>
      <c r="AS11" s="15">
        <v>160.83650499999999</v>
      </c>
      <c r="AT11" s="15" t="s">
        <v>155</v>
      </c>
      <c r="AU11" s="15" t="s">
        <v>343</v>
      </c>
      <c r="AV11" s="15" t="s">
        <v>155</v>
      </c>
      <c r="AW11" s="15" t="s">
        <v>155</v>
      </c>
      <c r="AX11" s="2" t="s">
        <v>155</v>
      </c>
      <c r="AZ11" s="2" t="s">
        <v>418</v>
      </c>
      <c r="BA11" s="2" t="s">
        <v>419</v>
      </c>
      <c r="BB11" s="2" t="s">
        <v>420</v>
      </c>
      <c r="BC11" s="2" t="s">
        <v>20</v>
      </c>
    </row>
    <row r="12" spans="1:55" x14ac:dyDescent="0.3">
      <c r="A12" s="2" t="s">
        <v>480</v>
      </c>
      <c r="B12" s="2" t="s">
        <v>449</v>
      </c>
      <c r="C12" s="2" t="s">
        <v>13</v>
      </c>
      <c r="D12" s="2" t="s">
        <v>41</v>
      </c>
      <c r="E12" s="2" t="s">
        <v>42</v>
      </c>
      <c r="F12" s="2" t="s">
        <v>16</v>
      </c>
      <c r="G12" s="2" t="s">
        <v>13</v>
      </c>
      <c r="H12" s="2" t="s">
        <v>14</v>
      </c>
      <c r="I12" s="2" t="s">
        <v>450</v>
      </c>
      <c r="J12" s="2" t="s">
        <v>427</v>
      </c>
      <c r="K12" s="2" t="s">
        <v>13</v>
      </c>
      <c r="L12" s="2" t="s">
        <v>14</v>
      </c>
      <c r="M12" s="2" t="s">
        <v>27</v>
      </c>
      <c r="N12" s="2" t="s">
        <v>16</v>
      </c>
      <c r="O12" s="2" t="s">
        <v>413</v>
      </c>
      <c r="P12" s="2" t="s">
        <v>413</v>
      </c>
      <c r="Q12" s="2" t="s">
        <v>414</v>
      </c>
      <c r="R12" s="2" t="s">
        <v>434</v>
      </c>
      <c r="T12" s="2" t="s">
        <v>294</v>
      </c>
      <c r="U12" s="2" t="s">
        <v>17</v>
      </c>
      <c r="V12" s="2">
        <v>-387140.33</v>
      </c>
      <c r="W12" s="2">
        <v>387140.33</v>
      </c>
      <c r="X12" s="15">
        <v>1350000</v>
      </c>
      <c r="Y12" s="15">
        <v>387140.33</v>
      </c>
      <c r="Z12" s="15" t="s">
        <v>155</v>
      </c>
      <c r="AA12" s="15" t="s">
        <v>155</v>
      </c>
      <c r="AB12" s="15" t="s">
        <v>155</v>
      </c>
      <c r="AC12" s="15" t="s">
        <v>155</v>
      </c>
      <c r="AD12" s="15" t="s">
        <v>416</v>
      </c>
      <c r="AE12" s="15"/>
      <c r="AF12" s="15">
        <v>100</v>
      </c>
      <c r="AG12" s="15" t="s">
        <v>155</v>
      </c>
      <c r="AH12" s="15">
        <v>1350000</v>
      </c>
      <c r="AI12" s="15">
        <v>1350000</v>
      </c>
      <c r="AJ12" s="15">
        <v>1350000</v>
      </c>
      <c r="AK12" s="15" t="s">
        <v>451</v>
      </c>
      <c r="AL12" s="15" t="s">
        <v>451</v>
      </c>
      <c r="AM12" s="15" t="s">
        <v>451</v>
      </c>
      <c r="AN12" s="15">
        <v>225</v>
      </c>
      <c r="AO12" s="15">
        <v>225</v>
      </c>
      <c r="AP12" s="15">
        <v>225</v>
      </c>
      <c r="AQ12" s="15">
        <v>1350000</v>
      </c>
      <c r="AR12" s="15" t="s">
        <v>155</v>
      </c>
      <c r="AS12" s="15">
        <v>348.71076299999999</v>
      </c>
      <c r="AT12" s="15" t="s">
        <v>155</v>
      </c>
      <c r="AU12" s="15" t="s">
        <v>320</v>
      </c>
      <c r="AV12" s="15" t="s">
        <v>155</v>
      </c>
      <c r="AW12" s="15" t="s">
        <v>155</v>
      </c>
      <c r="AX12" s="2" t="s">
        <v>155</v>
      </c>
      <c r="AZ12" s="2" t="s">
        <v>418</v>
      </c>
      <c r="BA12" s="2" t="s">
        <v>419</v>
      </c>
      <c r="BB12" s="2" t="s">
        <v>420</v>
      </c>
      <c r="BC12" s="2" t="s">
        <v>20</v>
      </c>
    </row>
    <row r="13" spans="1:55" x14ac:dyDescent="0.3">
      <c r="A13" s="2" t="s">
        <v>480</v>
      </c>
      <c r="B13" s="2" t="s">
        <v>452</v>
      </c>
      <c r="C13" s="2" t="s">
        <v>13</v>
      </c>
      <c r="D13" s="2" t="s">
        <v>41</v>
      </c>
      <c r="E13" s="2" t="s">
        <v>46</v>
      </c>
      <c r="F13" s="2" t="s">
        <v>16</v>
      </c>
      <c r="G13" s="2" t="s">
        <v>13</v>
      </c>
      <c r="H13" s="2" t="s">
        <v>14</v>
      </c>
      <c r="I13" s="2" t="s">
        <v>453</v>
      </c>
      <c r="J13" s="2" t="s">
        <v>412</v>
      </c>
      <c r="K13" s="2" t="s">
        <v>13</v>
      </c>
      <c r="L13" s="2" t="s">
        <v>14</v>
      </c>
      <c r="M13" s="2" t="s">
        <v>30</v>
      </c>
      <c r="N13" s="2" t="s">
        <v>16</v>
      </c>
      <c r="O13" s="2" t="s">
        <v>413</v>
      </c>
      <c r="P13" s="2" t="s">
        <v>413</v>
      </c>
      <c r="Q13" s="2" t="s">
        <v>454</v>
      </c>
      <c r="R13" s="2" t="s">
        <v>423</v>
      </c>
      <c r="T13" s="2" t="s">
        <v>294</v>
      </c>
      <c r="U13" s="2" t="s">
        <v>332</v>
      </c>
      <c r="V13" s="2">
        <v>-37148388.75</v>
      </c>
      <c r="W13" s="2">
        <v>37148388.75</v>
      </c>
      <c r="X13" s="15">
        <v>74800000</v>
      </c>
      <c r="Y13" s="15">
        <v>37148388.75</v>
      </c>
      <c r="Z13" s="15" t="s">
        <v>155</v>
      </c>
      <c r="AA13" s="15" t="s">
        <v>155</v>
      </c>
      <c r="AB13" s="15" t="s">
        <v>155</v>
      </c>
      <c r="AC13" s="15" t="s">
        <v>155</v>
      </c>
      <c r="AD13" s="15" t="s">
        <v>416</v>
      </c>
      <c r="AE13" s="15"/>
      <c r="AF13" s="15">
        <v>100</v>
      </c>
      <c r="AG13" s="15" t="s">
        <v>155</v>
      </c>
      <c r="AH13" s="15">
        <v>59710000</v>
      </c>
      <c r="AI13" s="15">
        <v>59710000</v>
      </c>
      <c r="AJ13" s="15">
        <v>59710000</v>
      </c>
      <c r="AK13" s="15" t="s">
        <v>455</v>
      </c>
      <c r="AL13" s="15" t="s">
        <v>455</v>
      </c>
      <c r="AM13" s="15" t="s">
        <v>455</v>
      </c>
      <c r="AN13" s="15">
        <v>133.36000000000001</v>
      </c>
      <c r="AO13" s="15">
        <v>133.36000000000001</v>
      </c>
      <c r="AP13" s="15">
        <v>133.36000000000001</v>
      </c>
      <c r="AQ13" s="15">
        <v>74800000</v>
      </c>
      <c r="AR13" s="15" t="s">
        <v>155</v>
      </c>
      <c r="AS13" s="15">
        <v>201.35462799999999</v>
      </c>
      <c r="AT13" s="15" t="s">
        <v>155</v>
      </c>
      <c r="AU13" s="15" t="s">
        <v>334</v>
      </c>
      <c r="AV13" s="15" t="s">
        <v>155</v>
      </c>
      <c r="AW13" s="15" t="s">
        <v>155</v>
      </c>
      <c r="AX13" s="2" t="s">
        <v>155</v>
      </c>
      <c r="AZ13" s="2" t="s">
        <v>418</v>
      </c>
      <c r="BA13" s="2" t="s">
        <v>419</v>
      </c>
      <c r="BB13" s="2" t="s">
        <v>420</v>
      </c>
      <c r="BC13" s="2" t="s">
        <v>20</v>
      </c>
    </row>
    <row r="14" spans="1:55" x14ac:dyDescent="0.3">
      <c r="A14" s="2" t="s">
        <v>480</v>
      </c>
      <c r="B14" s="2" t="s">
        <v>456</v>
      </c>
      <c r="C14" s="2" t="s">
        <v>13</v>
      </c>
      <c r="D14" s="2" t="s">
        <v>41</v>
      </c>
      <c r="E14" s="2" t="s">
        <v>44</v>
      </c>
      <c r="F14" s="2" t="s">
        <v>16</v>
      </c>
      <c r="G14" s="2" t="s">
        <v>13</v>
      </c>
      <c r="H14" s="2" t="s">
        <v>14</v>
      </c>
      <c r="I14" s="2" t="s">
        <v>457</v>
      </c>
      <c r="J14" s="2" t="s">
        <v>412</v>
      </c>
      <c r="K14" s="2" t="s">
        <v>13</v>
      </c>
      <c r="L14" s="2" t="s">
        <v>14</v>
      </c>
      <c r="M14" s="2" t="s">
        <v>15</v>
      </c>
      <c r="N14" s="2" t="s">
        <v>16</v>
      </c>
      <c r="O14" s="2" t="s">
        <v>413</v>
      </c>
      <c r="P14" s="2" t="s">
        <v>413</v>
      </c>
      <c r="Q14" s="2" t="s">
        <v>414</v>
      </c>
      <c r="R14" s="2" t="s">
        <v>434</v>
      </c>
      <c r="T14" s="2" t="s">
        <v>294</v>
      </c>
      <c r="U14" s="2" t="s">
        <v>332</v>
      </c>
      <c r="V14" s="2">
        <v>-1779861.75</v>
      </c>
      <c r="W14" s="2">
        <v>1779861.75</v>
      </c>
      <c r="X14" s="15">
        <v>4365000</v>
      </c>
      <c r="Y14" s="15">
        <v>1779861.75</v>
      </c>
      <c r="Z14" s="15" t="s">
        <v>155</v>
      </c>
      <c r="AA14" s="15" t="s">
        <v>155</v>
      </c>
      <c r="AB14" s="15" t="s">
        <v>155</v>
      </c>
      <c r="AC14" s="15" t="s">
        <v>155</v>
      </c>
      <c r="AD14" s="15" t="s">
        <v>416</v>
      </c>
      <c r="AE14" s="15"/>
      <c r="AF14" s="15">
        <v>100</v>
      </c>
      <c r="AG14" s="15" t="s">
        <v>155</v>
      </c>
      <c r="AH14" s="15">
        <v>3793000</v>
      </c>
      <c r="AI14" s="15">
        <v>3793000</v>
      </c>
      <c r="AJ14" s="15">
        <v>3793000</v>
      </c>
      <c r="AK14" s="15" t="s">
        <v>458</v>
      </c>
      <c r="AL14" s="15" t="s">
        <v>458</v>
      </c>
      <c r="AM14" s="15" t="s">
        <v>458</v>
      </c>
      <c r="AN14" s="15">
        <v>164.05</v>
      </c>
      <c r="AO14" s="15">
        <v>164.05</v>
      </c>
      <c r="AP14" s="15">
        <v>164.05</v>
      </c>
      <c r="AQ14" s="15">
        <v>4365000</v>
      </c>
      <c r="AR14" s="15" t="s">
        <v>155</v>
      </c>
      <c r="AS14" s="15">
        <v>245.24376699999999</v>
      </c>
      <c r="AT14" s="15" t="s">
        <v>155</v>
      </c>
      <c r="AU14" s="15" t="s">
        <v>356</v>
      </c>
      <c r="AV14" s="15" t="s">
        <v>155</v>
      </c>
      <c r="AW14" s="15" t="s">
        <v>155</v>
      </c>
      <c r="AX14" s="2" t="s">
        <v>155</v>
      </c>
      <c r="AZ14" s="2" t="s">
        <v>418</v>
      </c>
      <c r="BA14" s="2" t="s">
        <v>419</v>
      </c>
      <c r="BB14" s="2" t="s">
        <v>420</v>
      </c>
      <c r="BC14" s="2" t="s">
        <v>20</v>
      </c>
    </row>
    <row r="15" spans="1:55" x14ac:dyDescent="0.3">
      <c r="A15" s="2" t="s">
        <v>481</v>
      </c>
      <c r="B15" s="2" t="s">
        <v>717</v>
      </c>
      <c r="C15" s="2" t="s">
        <v>13</v>
      </c>
      <c r="D15" s="2" t="s">
        <v>41</v>
      </c>
      <c r="E15" s="2" t="s">
        <v>486</v>
      </c>
      <c r="F15" s="2" t="s">
        <v>16</v>
      </c>
      <c r="G15" s="2" t="s">
        <v>13</v>
      </c>
      <c r="H15" s="2" t="s">
        <v>464</v>
      </c>
      <c r="I15" s="2" t="s">
        <v>718</v>
      </c>
      <c r="J15" s="2" t="s">
        <v>427</v>
      </c>
      <c r="K15" s="2" t="s">
        <v>13</v>
      </c>
      <c r="L15" s="2" t="s">
        <v>464</v>
      </c>
      <c r="M15" s="2" t="s">
        <v>465</v>
      </c>
      <c r="N15" s="2" t="s">
        <v>16</v>
      </c>
      <c r="O15" s="2" t="s">
        <v>413</v>
      </c>
      <c r="P15" s="2" t="s">
        <v>413</v>
      </c>
      <c r="Q15" s="2" t="s">
        <v>454</v>
      </c>
      <c r="R15" s="2" t="s">
        <v>719</v>
      </c>
      <c r="T15" s="2" t="s">
        <v>600</v>
      </c>
      <c r="U15" s="2" t="s">
        <v>22</v>
      </c>
      <c r="V15" s="2" t="s">
        <v>720</v>
      </c>
      <c r="W15" s="2" t="s">
        <v>721</v>
      </c>
      <c r="X15" s="17">
        <v>322000</v>
      </c>
      <c r="Y15" s="17">
        <v>172978.72</v>
      </c>
      <c r="Z15" s="17" t="s">
        <v>155</v>
      </c>
      <c r="AA15" s="17" t="s">
        <v>155</v>
      </c>
      <c r="AB15" s="17" t="s">
        <v>155</v>
      </c>
      <c r="AC15" s="17" t="s">
        <v>155</v>
      </c>
      <c r="AD15" s="17" t="s">
        <v>416</v>
      </c>
      <c r="AE15" s="17"/>
      <c r="AF15" s="17">
        <v>69.517989999999998</v>
      </c>
      <c r="AG15" s="17" t="s">
        <v>155</v>
      </c>
      <c r="AH15" s="17">
        <v>222857.21</v>
      </c>
      <c r="AI15" s="17">
        <v>222857.21</v>
      </c>
      <c r="AJ15" s="17">
        <v>222857.21</v>
      </c>
      <c r="AK15" s="17" t="s">
        <v>609</v>
      </c>
      <c r="AL15" s="17" t="s">
        <v>609</v>
      </c>
      <c r="AM15" s="17" t="s">
        <v>609</v>
      </c>
      <c r="AN15" s="17">
        <v>185.71434099999999</v>
      </c>
      <c r="AO15" s="17">
        <v>185.71434099999999</v>
      </c>
      <c r="AP15" s="17">
        <v>185.71434099999999</v>
      </c>
      <c r="AQ15" s="17">
        <v>223847.93</v>
      </c>
      <c r="AR15" s="17" t="s">
        <v>155</v>
      </c>
      <c r="AS15" s="17">
        <v>186.15006600000001</v>
      </c>
      <c r="AT15" s="17" t="s">
        <v>155</v>
      </c>
      <c r="AU15" s="17" t="s">
        <v>609</v>
      </c>
      <c r="AV15" s="17" t="s">
        <v>155</v>
      </c>
      <c r="AW15" s="17" t="s">
        <v>155</v>
      </c>
      <c r="AX15" s="2" t="s">
        <v>155</v>
      </c>
      <c r="AZ15" s="2" t="s">
        <v>418</v>
      </c>
      <c r="BA15" s="2" t="s">
        <v>419</v>
      </c>
      <c r="BB15" s="2" t="s">
        <v>420</v>
      </c>
      <c r="BC15" s="2" t="s">
        <v>20</v>
      </c>
    </row>
    <row r="16" spans="1:55" x14ac:dyDescent="0.3">
      <c r="A16" s="2" t="s">
        <v>481</v>
      </c>
      <c r="B16" s="2" t="s">
        <v>722</v>
      </c>
      <c r="C16" s="2" t="s">
        <v>13</v>
      </c>
      <c r="D16" s="2" t="s">
        <v>41</v>
      </c>
      <c r="E16" s="2" t="s">
        <v>484</v>
      </c>
      <c r="F16" s="2" t="s">
        <v>16</v>
      </c>
      <c r="G16" s="2" t="s">
        <v>13</v>
      </c>
      <c r="H16" s="2" t="s">
        <v>464</v>
      </c>
      <c r="I16" s="2" t="s">
        <v>723</v>
      </c>
      <c r="J16" s="2" t="s">
        <v>427</v>
      </c>
      <c r="K16" s="2" t="s">
        <v>13</v>
      </c>
      <c r="L16" s="2" t="s">
        <v>464</v>
      </c>
      <c r="M16" s="2" t="s">
        <v>465</v>
      </c>
      <c r="N16" s="2" t="s">
        <v>16</v>
      </c>
      <c r="O16" s="2" t="s">
        <v>413</v>
      </c>
      <c r="P16" s="2" t="s">
        <v>413</v>
      </c>
      <c r="Q16" s="2" t="s">
        <v>454</v>
      </c>
      <c r="R16" s="2" t="s">
        <v>719</v>
      </c>
      <c r="T16" s="2" t="s">
        <v>600</v>
      </c>
      <c r="U16" s="2" t="s">
        <v>22</v>
      </c>
      <c r="V16" s="2" t="s">
        <v>724</v>
      </c>
      <c r="W16" s="2" t="s">
        <v>725</v>
      </c>
      <c r="X16" s="17">
        <v>322000</v>
      </c>
      <c r="Y16" s="17">
        <v>172978.72</v>
      </c>
      <c r="Z16" s="17" t="s">
        <v>155</v>
      </c>
      <c r="AA16" s="17" t="s">
        <v>155</v>
      </c>
      <c r="AB16" s="17" t="s">
        <v>155</v>
      </c>
      <c r="AC16" s="17" t="s">
        <v>155</v>
      </c>
      <c r="AD16" s="17" t="s">
        <v>416</v>
      </c>
      <c r="AE16" s="17"/>
      <c r="AF16" s="17">
        <v>30.482009999999999</v>
      </c>
      <c r="AG16" s="17" t="s">
        <v>155</v>
      </c>
      <c r="AH16" s="17">
        <v>138300</v>
      </c>
      <c r="AI16" s="17">
        <v>138300</v>
      </c>
      <c r="AJ16" s="17">
        <v>138300</v>
      </c>
      <c r="AK16" s="17" t="s">
        <v>726</v>
      </c>
      <c r="AL16" s="17" t="s">
        <v>726</v>
      </c>
      <c r="AM16" s="17" t="s">
        <v>726</v>
      </c>
      <c r="AN16" s="17">
        <v>256.02586300000002</v>
      </c>
      <c r="AO16" s="17">
        <v>256.02586300000002</v>
      </c>
      <c r="AP16" s="17">
        <v>256.02586300000002</v>
      </c>
      <c r="AQ16" s="17">
        <v>98152.07</v>
      </c>
      <c r="AR16" s="17" t="s">
        <v>155</v>
      </c>
      <c r="AS16" s="17">
        <v>186.15006399999999</v>
      </c>
      <c r="AT16" s="17" t="s">
        <v>155</v>
      </c>
      <c r="AU16" s="17" t="s">
        <v>609</v>
      </c>
      <c r="AV16" s="17" t="s">
        <v>155</v>
      </c>
      <c r="AW16" s="17">
        <v>60000</v>
      </c>
      <c r="AX16" s="2" t="s">
        <v>727</v>
      </c>
      <c r="AZ16" s="2" t="s">
        <v>418</v>
      </c>
      <c r="BA16" s="2" t="s">
        <v>419</v>
      </c>
      <c r="BB16" s="2" t="s">
        <v>420</v>
      </c>
      <c r="BC16" s="2" t="s">
        <v>20</v>
      </c>
    </row>
    <row r="17" spans="1:55" x14ac:dyDescent="0.3">
      <c r="A17" s="2" t="s">
        <v>481</v>
      </c>
      <c r="B17" s="2" t="s">
        <v>728</v>
      </c>
      <c r="C17" s="2" t="s">
        <v>13</v>
      </c>
      <c r="D17" s="2" t="s">
        <v>41</v>
      </c>
      <c r="E17" s="2" t="s">
        <v>488</v>
      </c>
      <c r="F17" s="2" t="s">
        <v>16</v>
      </c>
      <c r="G17" s="2" t="s">
        <v>13</v>
      </c>
      <c r="H17" s="2" t="s">
        <v>464</v>
      </c>
      <c r="I17" s="2" t="s">
        <v>729</v>
      </c>
      <c r="J17" s="2" t="s">
        <v>427</v>
      </c>
      <c r="K17" s="2" t="s">
        <v>13</v>
      </c>
      <c r="L17" s="2" t="s">
        <v>464</v>
      </c>
      <c r="M17" s="2" t="s">
        <v>467</v>
      </c>
      <c r="N17" s="2" t="s">
        <v>16</v>
      </c>
      <c r="O17" s="2" t="s">
        <v>413</v>
      </c>
      <c r="P17" s="2" t="s">
        <v>413</v>
      </c>
      <c r="Q17" s="2" t="s">
        <v>454</v>
      </c>
      <c r="R17" s="2" t="s">
        <v>423</v>
      </c>
      <c r="T17" s="2" t="s">
        <v>600</v>
      </c>
      <c r="U17" s="2" t="s">
        <v>22</v>
      </c>
      <c r="V17" s="2" t="s">
        <v>730</v>
      </c>
      <c r="W17" s="2" t="s">
        <v>731</v>
      </c>
      <c r="X17" s="17">
        <v>316000</v>
      </c>
      <c r="Y17" s="17">
        <v>195458.64</v>
      </c>
      <c r="Z17" s="17" t="s">
        <v>155</v>
      </c>
      <c r="AA17" s="17" t="s">
        <v>155</v>
      </c>
      <c r="AB17" s="17" t="s">
        <v>155</v>
      </c>
      <c r="AC17" s="17" t="s">
        <v>155</v>
      </c>
      <c r="AD17" s="17" t="s">
        <v>416</v>
      </c>
      <c r="AE17" s="17"/>
      <c r="AF17" s="17">
        <v>100</v>
      </c>
      <c r="AG17" s="17" t="s">
        <v>155</v>
      </c>
      <c r="AH17" s="17">
        <v>316000</v>
      </c>
      <c r="AI17" s="17">
        <v>316000</v>
      </c>
      <c r="AJ17" s="17">
        <v>316000</v>
      </c>
      <c r="AK17" s="17" t="s">
        <v>732</v>
      </c>
      <c r="AL17" s="17" t="s">
        <v>732</v>
      </c>
      <c r="AM17" s="17" t="s">
        <v>732</v>
      </c>
      <c r="AN17" s="17">
        <v>158</v>
      </c>
      <c r="AO17" s="17">
        <v>158</v>
      </c>
      <c r="AP17" s="17">
        <v>158</v>
      </c>
      <c r="AQ17" s="17">
        <v>316000</v>
      </c>
      <c r="AR17" s="17" t="s">
        <v>155</v>
      </c>
      <c r="AS17" s="17">
        <v>161.671032</v>
      </c>
      <c r="AT17" s="17" t="s">
        <v>155</v>
      </c>
      <c r="AU17" s="17" t="s">
        <v>313</v>
      </c>
      <c r="AV17" s="17" t="s">
        <v>155</v>
      </c>
      <c r="AW17" s="17">
        <v>235000</v>
      </c>
      <c r="AX17" s="2" t="s">
        <v>733</v>
      </c>
      <c r="AZ17" s="2" t="s">
        <v>418</v>
      </c>
      <c r="BA17" s="2" t="s">
        <v>419</v>
      </c>
      <c r="BB17" s="2" t="s">
        <v>420</v>
      </c>
      <c r="BC17" s="2" t="s">
        <v>20</v>
      </c>
    </row>
    <row r="18" spans="1:55" x14ac:dyDescent="0.3">
      <c r="A18" s="2" t="s">
        <v>481</v>
      </c>
      <c r="B18" s="2" t="s">
        <v>734</v>
      </c>
      <c r="C18" s="2" t="s">
        <v>13</v>
      </c>
      <c r="D18" s="2" t="s">
        <v>41</v>
      </c>
      <c r="E18" s="2" t="s">
        <v>490</v>
      </c>
      <c r="F18" s="2" t="s">
        <v>16</v>
      </c>
      <c r="G18" s="2" t="s">
        <v>13</v>
      </c>
      <c r="H18" s="2" t="s">
        <v>695</v>
      </c>
      <c r="I18" s="2" t="s">
        <v>735</v>
      </c>
      <c r="J18" s="2" t="s">
        <v>433</v>
      </c>
      <c r="K18" s="2" t="s">
        <v>13</v>
      </c>
      <c r="L18" s="2" t="s">
        <v>464</v>
      </c>
      <c r="M18" s="2" t="s">
        <v>468</v>
      </c>
      <c r="N18" s="2" t="s">
        <v>16</v>
      </c>
      <c r="O18" s="2" t="s">
        <v>413</v>
      </c>
      <c r="P18" s="2" t="s">
        <v>413</v>
      </c>
      <c r="Q18" s="2" t="s">
        <v>454</v>
      </c>
      <c r="R18" s="2" t="s">
        <v>423</v>
      </c>
      <c r="T18" s="2" t="s">
        <v>600</v>
      </c>
      <c r="U18" s="2" t="s">
        <v>22</v>
      </c>
      <c r="V18" s="2" t="s">
        <v>736</v>
      </c>
      <c r="W18" s="2" t="s">
        <v>737</v>
      </c>
      <c r="X18" s="17">
        <v>359000</v>
      </c>
      <c r="Y18" s="17">
        <v>199797.92</v>
      </c>
      <c r="Z18" s="17" t="s">
        <v>155</v>
      </c>
      <c r="AA18" s="17" t="s">
        <v>155</v>
      </c>
      <c r="AB18" s="17" t="s">
        <v>155</v>
      </c>
      <c r="AC18" s="17" t="s">
        <v>155</v>
      </c>
      <c r="AD18" s="17" t="s">
        <v>416</v>
      </c>
      <c r="AE18" s="17"/>
      <c r="AF18" s="17">
        <v>62.978664000000002</v>
      </c>
      <c r="AG18" s="17" t="s">
        <v>155</v>
      </c>
      <c r="AH18" s="17">
        <v>226093.44</v>
      </c>
      <c r="AI18" s="17">
        <v>226093.44</v>
      </c>
      <c r="AJ18" s="17">
        <v>226093.44</v>
      </c>
      <c r="AK18" s="17" t="s">
        <v>738</v>
      </c>
      <c r="AL18" s="17" t="s">
        <v>738</v>
      </c>
      <c r="AM18" s="17" t="s">
        <v>738</v>
      </c>
      <c r="AN18" s="17">
        <v>166.86</v>
      </c>
      <c r="AO18" s="17">
        <v>166.86</v>
      </c>
      <c r="AP18" s="17">
        <v>166.86</v>
      </c>
      <c r="AQ18" s="17">
        <v>226093.4</v>
      </c>
      <c r="AR18" s="17" t="s">
        <v>155</v>
      </c>
      <c r="AS18" s="17">
        <v>179.68154799999999</v>
      </c>
      <c r="AT18" s="17" t="s">
        <v>155</v>
      </c>
      <c r="AU18" s="17" t="s">
        <v>348</v>
      </c>
      <c r="AV18" s="17" t="s">
        <v>155</v>
      </c>
      <c r="AW18" s="17">
        <v>235000</v>
      </c>
      <c r="AX18" s="2" t="s">
        <v>739</v>
      </c>
      <c r="AZ18" s="2" t="s">
        <v>418</v>
      </c>
      <c r="BA18" s="2" t="s">
        <v>419</v>
      </c>
      <c r="BB18" s="2" t="s">
        <v>420</v>
      </c>
      <c r="BC18" s="2" t="s">
        <v>20</v>
      </c>
    </row>
    <row r="19" spans="1:55" x14ac:dyDescent="0.3">
      <c r="A19" s="2" t="s">
        <v>481</v>
      </c>
      <c r="B19" s="2" t="s">
        <v>740</v>
      </c>
      <c r="C19" s="2" t="s">
        <v>13</v>
      </c>
      <c r="D19" s="2" t="s">
        <v>41</v>
      </c>
      <c r="E19" s="2" t="s">
        <v>492</v>
      </c>
      <c r="F19" s="2" t="s">
        <v>16</v>
      </c>
      <c r="G19" s="2" t="s">
        <v>13</v>
      </c>
      <c r="H19" s="2" t="s">
        <v>464</v>
      </c>
      <c r="I19" s="2" t="s">
        <v>741</v>
      </c>
      <c r="J19" s="2" t="s">
        <v>433</v>
      </c>
      <c r="K19" s="2" t="s">
        <v>13</v>
      </c>
      <c r="L19" s="2" t="s">
        <v>464</v>
      </c>
      <c r="M19" s="2" t="s">
        <v>468</v>
      </c>
      <c r="N19" s="2" t="s">
        <v>16</v>
      </c>
      <c r="O19" s="2" t="s">
        <v>413</v>
      </c>
      <c r="P19" s="2" t="s">
        <v>413</v>
      </c>
      <c r="Q19" s="2" t="s">
        <v>454</v>
      </c>
      <c r="R19" s="2" t="s">
        <v>423</v>
      </c>
      <c r="T19" s="2" t="s">
        <v>600</v>
      </c>
      <c r="U19" s="2" t="s">
        <v>22</v>
      </c>
      <c r="V19" s="2" t="s">
        <v>742</v>
      </c>
      <c r="W19" s="2" t="s">
        <v>743</v>
      </c>
      <c r="X19" s="17">
        <v>359000</v>
      </c>
      <c r="Y19" s="17">
        <v>199797.92</v>
      </c>
      <c r="Z19" s="17" t="s">
        <v>155</v>
      </c>
      <c r="AA19" s="17" t="s">
        <v>155</v>
      </c>
      <c r="AB19" s="17" t="s">
        <v>155</v>
      </c>
      <c r="AC19" s="17" t="s">
        <v>155</v>
      </c>
      <c r="AD19" s="17" t="s">
        <v>416</v>
      </c>
      <c r="AE19" s="17"/>
      <c r="AF19" s="17">
        <v>37.021335999999998</v>
      </c>
      <c r="AG19" s="17" t="s">
        <v>155</v>
      </c>
      <c r="AH19" s="17">
        <v>132906.56</v>
      </c>
      <c r="AI19" s="17">
        <v>132906.56</v>
      </c>
      <c r="AJ19" s="17">
        <v>132906.56</v>
      </c>
      <c r="AK19" s="17" t="s">
        <v>738</v>
      </c>
      <c r="AL19" s="17" t="s">
        <v>738</v>
      </c>
      <c r="AM19" s="17" t="s">
        <v>738</v>
      </c>
      <c r="AN19" s="17">
        <v>166.86</v>
      </c>
      <c r="AO19" s="17">
        <v>166.86</v>
      </c>
      <c r="AP19" s="17">
        <v>166.86</v>
      </c>
      <c r="AQ19" s="17">
        <v>132906.6</v>
      </c>
      <c r="AR19" s="17" t="s">
        <v>155</v>
      </c>
      <c r="AS19" s="17">
        <v>179.68155400000001</v>
      </c>
      <c r="AT19" s="17" t="s">
        <v>155</v>
      </c>
      <c r="AU19" s="17" t="s">
        <v>348</v>
      </c>
      <c r="AV19" s="17" t="s">
        <v>155</v>
      </c>
      <c r="AW19" s="17">
        <v>235000</v>
      </c>
      <c r="AX19" s="2" t="s">
        <v>739</v>
      </c>
      <c r="AZ19" s="2" t="s">
        <v>418</v>
      </c>
      <c r="BA19" s="2" t="s">
        <v>419</v>
      </c>
      <c r="BB19" s="2" t="s">
        <v>420</v>
      </c>
      <c r="BC19" s="2" t="s">
        <v>20</v>
      </c>
    </row>
    <row r="20" spans="1:55" x14ac:dyDescent="0.3">
      <c r="A20" s="2" t="s">
        <v>481</v>
      </c>
      <c r="B20" s="2" t="s">
        <v>744</v>
      </c>
      <c r="C20" s="2" t="s">
        <v>13</v>
      </c>
      <c r="D20" s="2" t="s">
        <v>41</v>
      </c>
      <c r="E20" s="2" t="s">
        <v>495</v>
      </c>
      <c r="F20" s="2" t="s">
        <v>16</v>
      </c>
      <c r="G20" s="2" t="s">
        <v>13</v>
      </c>
      <c r="H20" s="2" t="s">
        <v>464</v>
      </c>
      <c r="I20" s="2" t="s">
        <v>745</v>
      </c>
      <c r="J20" s="2" t="s">
        <v>412</v>
      </c>
      <c r="K20" s="2" t="s">
        <v>13</v>
      </c>
      <c r="L20" s="2" t="s">
        <v>464</v>
      </c>
      <c r="M20" s="2" t="s">
        <v>469</v>
      </c>
      <c r="N20" s="2" t="s">
        <v>16</v>
      </c>
      <c r="O20" s="2" t="s">
        <v>413</v>
      </c>
      <c r="P20" s="2" t="s">
        <v>413</v>
      </c>
      <c r="Q20" s="2" t="s">
        <v>454</v>
      </c>
      <c r="R20" s="2" t="s">
        <v>423</v>
      </c>
      <c r="T20" s="2" t="s">
        <v>600</v>
      </c>
      <c r="U20" s="2" t="s">
        <v>22</v>
      </c>
      <c r="V20" s="2" t="s">
        <v>746</v>
      </c>
      <c r="W20" s="2" t="s">
        <v>747</v>
      </c>
      <c r="X20" s="17">
        <v>696000</v>
      </c>
      <c r="Y20" s="17">
        <v>522766.73</v>
      </c>
      <c r="Z20" s="17" t="s">
        <v>155</v>
      </c>
      <c r="AA20" s="17" t="s">
        <v>155</v>
      </c>
      <c r="AB20" s="17" t="s">
        <v>155</v>
      </c>
      <c r="AC20" s="17" t="s">
        <v>155</v>
      </c>
      <c r="AD20" s="17" t="s">
        <v>416</v>
      </c>
      <c r="AE20" s="17"/>
      <c r="AF20" s="17">
        <v>60.669421</v>
      </c>
      <c r="AG20" s="17" t="s">
        <v>155</v>
      </c>
      <c r="AH20" s="17">
        <v>422169.95</v>
      </c>
      <c r="AI20" s="17">
        <v>422169.95</v>
      </c>
      <c r="AJ20" s="17">
        <v>422169.95</v>
      </c>
      <c r="AK20" s="17" t="s">
        <v>748</v>
      </c>
      <c r="AL20" s="17" t="s">
        <v>748</v>
      </c>
      <c r="AM20" s="17" t="s">
        <v>748</v>
      </c>
      <c r="AN20" s="17">
        <v>125</v>
      </c>
      <c r="AO20" s="17">
        <v>125</v>
      </c>
      <c r="AP20" s="17">
        <v>125</v>
      </c>
      <c r="AQ20" s="17">
        <v>422259.17</v>
      </c>
      <c r="AR20" s="17" t="s">
        <v>155</v>
      </c>
      <c r="AS20" s="17">
        <v>133.137776</v>
      </c>
      <c r="AT20" s="17" t="s">
        <v>155</v>
      </c>
      <c r="AU20" s="17" t="s">
        <v>348</v>
      </c>
      <c r="AV20" s="17" t="s">
        <v>155</v>
      </c>
      <c r="AW20" s="17">
        <v>400000</v>
      </c>
      <c r="AX20" s="2" t="s">
        <v>749</v>
      </c>
      <c r="AZ20" s="2" t="s">
        <v>418</v>
      </c>
      <c r="BA20" s="2" t="s">
        <v>419</v>
      </c>
      <c r="BB20" s="2" t="s">
        <v>420</v>
      </c>
      <c r="BC20" s="2" t="s">
        <v>20</v>
      </c>
    </row>
    <row r="21" spans="1:55" x14ac:dyDescent="0.3">
      <c r="A21" s="2" t="s">
        <v>481</v>
      </c>
      <c r="B21" s="2" t="s">
        <v>750</v>
      </c>
      <c r="C21" s="2" t="s">
        <v>13</v>
      </c>
      <c r="D21" s="2" t="s">
        <v>41</v>
      </c>
      <c r="E21" s="2" t="s">
        <v>496</v>
      </c>
      <c r="F21" s="2" t="s">
        <v>16</v>
      </c>
      <c r="G21" s="2" t="s">
        <v>13</v>
      </c>
      <c r="H21" s="2" t="s">
        <v>464</v>
      </c>
      <c r="I21" s="2" t="s">
        <v>751</v>
      </c>
      <c r="J21" s="2" t="s">
        <v>412</v>
      </c>
      <c r="K21" s="2" t="s">
        <v>13</v>
      </c>
      <c r="L21" s="2" t="s">
        <v>464</v>
      </c>
      <c r="M21" s="2" t="s">
        <v>469</v>
      </c>
      <c r="N21" s="2" t="s">
        <v>16</v>
      </c>
      <c r="O21" s="2" t="s">
        <v>413</v>
      </c>
      <c r="P21" s="2" t="s">
        <v>413</v>
      </c>
      <c r="Q21" s="2" t="s">
        <v>454</v>
      </c>
      <c r="R21" s="2" t="s">
        <v>423</v>
      </c>
      <c r="T21" s="2" t="s">
        <v>600</v>
      </c>
      <c r="U21" s="2" t="s">
        <v>22</v>
      </c>
      <c r="V21" s="2" t="s">
        <v>752</v>
      </c>
      <c r="W21" s="2" t="s">
        <v>753</v>
      </c>
      <c r="X21" s="17">
        <v>696000</v>
      </c>
      <c r="Y21" s="17">
        <v>522766.73</v>
      </c>
      <c r="Z21" s="17" t="s">
        <v>155</v>
      </c>
      <c r="AA21" s="17" t="s">
        <v>155</v>
      </c>
      <c r="AB21" s="17" t="s">
        <v>155</v>
      </c>
      <c r="AC21" s="17" t="s">
        <v>155</v>
      </c>
      <c r="AD21" s="17" t="s">
        <v>416</v>
      </c>
      <c r="AE21" s="17"/>
      <c r="AF21" s="17">
        <v>11.003038</v>
      </c>
      <c r="AG21" s="17" t="s">
        <v>155</v>
      </c>
      <c r="AH21" s="17">
        <v>76712.160000000003</v>
      </c>
      <c r="AI21" s="17">
        <v>76712.160000000003</v>
      </c>
      <c r="AJ21" s="17">
        <v>76712.160000000003</v>
      </c>
      <c r="AK21" s="17" t="s">
        <v>754</v>
      </c>
      <c r="AL21" s="17" t="s">
        <v>754</v>
      </c>
      <c r="AM21" s="17" t="s">
        <v>754</v>
      </c>
      <c r="AN21" s="17">
        <v>123.18</v>
      </c>
      <c r="AO21" s="17">
        <v>123.18</v>
      </c>
      <c r="AP21" s="17">
        <v>123.18</v>
      </c>
      <c r="AQ21" s="17">
        <v>76581.14</v>
      </c>
      <c r="AR21" s="17" t="s">
        <v>155</v>
      </c>
      <c r="AS21" s="17">
        <v>133.13777300000001</v>
      </c>
      <c r="AT21" s="17" t="s">
        <v>155</v>
      </c>
      <c r="AU21" s="17" t="s">
        <v>348</v>
      </c>
      <c r="AV21" s="17" t="s">
        <v>155</v>
      </c>
      <c r="AW21" s="17" t="s">
        <v>155</v>
      </c>
      <c r="AX21" s="2" t="s">
        <v>155</v>
      </c>
      <c r="AZ21" s="2" t="s">
        <v>418</v>
      </c>
      <c r="BA21" s="2" t="s">
        <v>419</v>
      </c>
      <c r="BB21" s="2" t="s">
        <v>420</v>
      </c>
      <c r="BC21" s="2" t="s">
        <v>20</v>
      </c>
    </row>
    <row r="22" spans="1:55" x14ac:dyDescent="0.3">
      <c r="A22" s="2" t="s">
        <v>481</v>
      </c>
      <c r="B22" s="2" t="s">
        <v>755</v>
      </c>
      <c r="C22" s="2" t="s">
        <v>13</v>
      </c>
      <c r="D22" s="2" t="s">
        <v>41</v>
      </c>
      <c r="E22" s="2" t="s">
        <v>493</v>
      </c>
      <c r="F22" s="2" t="s">
        <v>16</v>
      </c>
      <c r="G22" s="2" t="s">
        <v>13</v>
      </c>
      <c r="H22" s="2" t="s">
        <v>464</v>
      </c>
      <c r="I22" s="2" t="s">
        <v>756</v>
      </c>
      <c r="J22" s="2" t="s">
        <v>412</v>
      </c>
      <c r="K22" s="2" t="s">
        <v>13</v>
      </c>
      <c r="L22" s="2" t="s">
        <v>464</v>
      </c>
      <c r="M22" s="2" t="s">
        <v>469</v>
      </c>
      <c r="N22" s="2" t="s">
        <v>16</v>
      </c>
      <c r="O22" s="2" t="s">
        <v>413</v>
      </c>
      <c r="P22" s="2" t="s">
        <v>413</v>
      </c>
      <c r="Q22" s="2" t="s">
        <v>454</v>
      </c>
      <c r="R22" s="2" t="s">
        <v>423</v>
      </c>
      <c r="T22" s="2" t="s">
        <v>600</v>
      </c>
      <c r="U22" s="2" t="s">
        <v>22</v>
      </c>
      <c r="V22" s="2" t="s">
        <v>757</v>
      </c>
      <c r="W22" s="2" t="s">
        <v>758</v>
      </c>
      <c r="X22" s="17">
        <v>696000</v>
      </c>
      <c r="Y22" s="17">
        <v>522766.73</v>
      </c>
      <c r="Z22" s="17" t="s">
        <v>155</v>
      </c>
      <c r="AA22" s="17" t="s">
        <v>155</v>
      </c>
      <c r="AB22" s="17" t="s">
        <v>155</v>
      </c>
      <c r="AC22" s="17" t="s">
        <v>155</v>
      </c>
      <c r="AD22" s="17" t="s">
        <v>416</v>
      </c>
      <c r="AE22" s="17"/>
      <c r="AF22" s="17">
        <v>28.327541</v>
      </c>
      <c r="AG22" s="17" t="s">
        <v>155</v>
      </c>
      <c r="AH22" s="17">
        <v>197117.89</v>
      </c>
      <c r="AI22" s="17">
        <v>197117.89</v>
      </c>
      <c r="AJ22" s="17">
        <v>197117.89</v>
      </c>
      <c r="AK22" s="17" t="s">
        <v>748</v>
      </c>
      <c r="AL22" s="17" t="s">
        <v>748</v>
      </c>
      <c r="AM22" s="17" t="s">
        <v>748</v>
      </c>
      <c r="AN22" s="17">
        <v>125</v>
      </c>
      <c r="AO22" s="17">
        <v>125</v>
      </c>
      <c r="AP22" s="17">
        <v>125</v>
      </c>
      <c r="AQ22" s="17">
        <v>197159.69</v>
      </c>
      <c r="AR22" s="17" t="s">
        <v>155</v>
      </c>
      <c r="AS22" s="17">
        <v>133.13777899999999</v>
      </c>
      <c r="AT22" s="17" t="s">
        <v>155</v>
      </c>
      <c r="AU22" s="17" t="s">
        <v>348</v>
      </c>
      <c r="AV22" s="17" t="s">
        <v>155</v>
      </c>
      <c r="AW22" s="17" t="s">
        <v>155</v>
      </c>
      <c r="AX22" s="2" t="s">
        <v>155</v>
      </c>
      <c r="AZ22" s="2" t="s">
        <v>418</v>
      </c>
      <c r="BA22" s="2" t="s">
        <v>419</v>
      </c>
      <c r="BB22" s="2" t="s">
        <v>420</v>
      </c>
      <c r="BC22" s="2" t="s">
        <v>20</v>
      </c>
    </row>
    <row r="23" spans="1:55" x14ac:dyDescent="0.3">
      <c r="A23" s="2" t="s">
        <v>481</v>
      </c>
      <c r="B23" s="2" t="s">
        <v>759</v>
      </c>
      <c r="C23" s="2" t="s">
        <v>13</v>
      </c>
      <c r="D23" s="2" t="s">
        <v>41</v>
      </c>
      <c r="E23" s="2" t="s">
        <v>497</v>
      </c>
      <c r="F23" s="2" t="s">
        <v>16</v>
      </c>
      <c r="G23" s="2" t="s">
        <v>13</v>
      </c>
      <c r="H23" s="2" t="s">
        <v>464</v>
      </c>
      <c r="I23" s="2" t="s">
        <v>760</v>
      </c>
      <c r="J23" s="2" t="s">
        <v>427</v>
      </c>
      <c r="K23" s="2" t="s">
        <v>13</v>
      </c>
      <c r="L23" s="2" t="s">
        <v>464</v>
      </c>
      <c r="M23" s="2" t="s">
        <v>470</v>
      </c>
      <c r="N23" s="2" t="s">
        <v>16</v>
      </c>
      <c r="O23" s="2" t="s">
        <v>413</v>
      </c>
      <c r="P23" s="2" t="s">
        <v>413</v>
      </c>
      <c r="Q23" s="2" t="s">
        <v>454</v>
      </c>
      <c r="R23" s="2" t="s">
        <v>423</v>
      </c>
      <c r="T23" s="2" t="s">
        <v>600</v>
      </c>
      <c r="U23" s="2" t="s">
        <v>22</v>
      </c>
      <c r="V23" s="2" t="s">
        <v>761</v>
      </c>
      <c r="W23" s="2" t="s">
        <v>762</v>
      </c>
      <c r="X23" s="17">
        <v>155600</v>
      </c>
      <c r="Y23" s="17">
        <v>97016.65</v>
      </c>
      <c r="Z23" s="17" t="s">
        <v>155</v>
      </c>
      <c r="AA23" s="17" t="s">
        <v>155</v>
      </c>
      <c r="AB23" s="17" t="s">
        <v>155</v>
      </c>
      <c r="AC23" s="17" t="s">
        <v>155</v>
      </c>
      <c r="AD23" s="17" t="s">
        <v>416</v>
      </c>
      <c r="AE23" s="17"/>
      <c r="AF23" s="17">
        <v>100</v>
      </c>
      <c r="AG23" s="17" t="s">
        <v>155</v>
      </c>
      <c r="AH23" s="17">
        <v>155600</v>
      </c>
      <c r="AI23" s="17">
        <v>155600</v>
      </c>
      <c r="AJ23" s="17">
        <v>155600</v>
      </c>
      <c r="AK23" s="17" t="s">
        <v>763</v>
      </c>
      <c r="AL23" s="17" t="s">
        <v>763</v>
      </c>
      <c r="AM23" s="17" t="s">
        <v>763</v>
      </c>
      <c r="AN23" s="17">
        <v>144.07</v>
      </c>
      <c r="AO23" s="17">
        <v>144.07</v>
      </c>
      <c r="AP23" s="17">
        <v>144.07</v>
      </c>
      <c r="AQ23" s="17">
        <v>155600</v>
      </c>
      <c r="AR23" s="17" t="s">
        <v>155</v>
      </c>
      <c r="AS23" s="17">
        <v>160.38484099999999</v>
      </c>
      <c r="AT23" s="17" t="s">
        <v>155</v>
      </c>
      <c r="AU23" s="17" t="s">
        <v>348</v>
      </c>
      <c r="AV23" s="17" t="s">
        <v>155</v>
      </c>
      <c r="AW23" s="17">
        <v>120000</v>
      </c>
      <c r="AX23" s="2" t="s">
        <v>764</v>
      </c>
      <c r="AZ23" s="2" t="s">
        <v>418</v>
      </c>
      <c r="BA23" s="2" t="s">
        <v>419</v>
      </c>
      <c r="BB23" s="2" t="s">
        <v>420</v>
      </c>
      <c r="BC23" s="2" t="s">
        <v>20</v>
      </c>
    </row>
    <row r="24" spans="1:55" x14ac:dyDescent="0.3">
      <c r="A24" s="2" t="s">
        <v>481</v>
      </c>
      <c r="B24" s="2" t="s">
        <v>765</v>
      </c>
      <c r="C24" s="2" t="s">
        <v>13</v>
      </c>
      <c r="D24" s="2" t="s">
        <v>499</v>
      </c>
      <c r="E24" s="2" t="s">
        <v>500</v>
      </c>
      <c r="F24" s="2" t="s">
        <v>16</v>
      </c>
      <c r="G24" s="2" t="s">
        <v>13</v>
      </c>
      <c r="H24" s="2" t="s">
        <v>471</v>
      </c>
      <c r="I24" s="2" t="s">
        <v>766</v>
      </c>
      <c r="J24" s="2" t="s">
        <v>433</v>
      </c>
      <c r="K24" s="2" t="s">
        <v>13</v>
      </c>
      <c r="L24" s="2" t="s">
        <v>471</v>
      </c>
      <c r="M24" s="2" t="s">
        <v>472</v>
      </c>
      <c r="N24" s="2" t="s">
        <v>16</v>
      </c>
      <c r="O24" s="2" t="s">
        <v>413</v>
      </c>
      <c r="P24" s="2" t="s">
        <v>413</v>
      </c>
      <c r="Q24" s="2" t="s">
        <v>454</v>
      </c>
      <c r="R24" s="2" t="s">
        <v>423</v>
      </c>
      <c r="T24" s="2" t="s">
        <v>303</v>
      </c>
      <c r="U24" s="2" t="s">
        <v>22</v>
      </c>
      <c r="V24" s="2" t="s">
        <v>767</v>
      </c>
      <c r="W24" s="2" t="s">
        <v>768</v>
      </c>
      <c r="X24" s="17">
        <v>110000</v>
      </c>
      <c r="Y24" s="17">
        <v>91439.58</v>
      </c>
      <c r="Z24" s="17" t="s">
        <v>155</v>
      </c>
      <c r="AA24" s="17" t="s">
        <v>155</v>
      </c>
      <c r="AB24" s="17" t="s">
        <v>155</v>
      </c>
      <c r="AC24" s="17" t="s">
        <v>155</v>
      </c>
      <c r="AD24" s="17" t="s">
        <v>416</v>
      </c>
      <c r="AE24" s="17"/>
      <c r="AF24" s="17">
        <v>100</v>
      </c>
      <c r="AG24" s="17" t="s">
        <v>155</v>
      </c>
      <c r="AH24" s="17">
        <v>110000</v>
      </c>
      <c r="AI24" s="17">
        <v>110000</v>
      </c>
      <c r="AJ24" s="17">
        <v>110000</v>
      </c>
      <c r="AK24" s="17" t="s">
        <v>769</v>
      </c>
      <c r="AL24" s="17" t="s">
        <v>769</v>
      </c>
      <c r="AM24" s="17" t="s">
        <v>769</v>
      </c>
      <c r="AN24" s="17">
        <v>100</v>
      </c>
      <c r="AO24" s="17">
        <v>100</v>
      </c>
      <c r="AP24" s="17">
        <v>100</v>
      </c>
      <c r="AQ24" s="17">
        <v>110000</v>
      </c>
      <c r="AR24" s="17" t="s">
        <v>155</v>
      </c>
      <c r="AS24" s="17">
        <v>120.29801500000001</v>
      </c>
      <c r="AT24" s="17" t="s">
        <v>155</v>
      </c>
      <c r="AU24" s="17" t="s">
        <v>348</v>
      </c>
      <c r="AV24" s="17" t="s">
        <v>155</v>
      </c>
      <c r="AW24" s="17">
        <v>110000</v>
      </c>
      <c r="AX24" s="2" t="s">
        <v>770</v>
      </c>
      <c r="AZ24" s="2" t="s">
        <v>418</v>
      </c>
      <c r="BA24" s="2" t="s">
        <v>419</v>
      </c>
      <c r="BB24" s="2" t="s">
        <v>420</v>
      </c>
      <c r="BC24" s="2" t="s">
        <v>20</v>
      </c>
    </row>
    <row r="25" spans="1:55" x14ac:dyDescent="0.3">
      <c r="A25" s="2" t="s">
        <v>481</v>
      </c>
      <c r="B25" s="2" t="s">
        <v>771</v>
      </c>
      <c r="C25" s="2" t="s">
        <v>13</v>
      </c>
      <c r="D25" s="2" t="s">
        <v>41</v>
      </c>
      <c r="E25" s="2" t="s">
        <v>506</v>
      </c>
      <c r="F25" s="2" t="s">
        <v>16</v>
      </c>
      <c r="G25" s="2" t="s">
        <v>13</v>
      </c>
      <c r="H25" s="2" t="s">
        <v>695</v>
      </c>
      <c r="I25" s="2" t="s">
        <v>772</v>
      </c>
      <c r="J25" s="2" t="s">
        <v>412</v>
      </c>
      <c r="K25" s="2" t="s">
        <v>13</v>
      </c>
      <c r="L25" s="2" t="s">
        <v>471</v>
      </c>
      <c r="M25" s="2" t="s">
        <v>473</v>
      </c>
      <c r="N25" s="2" t="s">
        <v>16</v>
      </c>
      <c r="O25" s="2" t="s">
        <v>413</v>
      </c>
      <c r="P25" s="2" t="s">
        <v>413</v>
      </c>
      <c r="Q25" s="2" t="s">
        <v>454</v>
      </c>
      <c r="R25" s="2" t="s">
        <v>423</v>
      </c>
      <c r="T25" s="2" t="s">
        <v>600</v>
      </c>
      <c r="U25" s="2" t="s">
        <v>22</v>
      </c>
      <c r="V25" s="2" t="s">
        <v>773</v>
      </c>
      <c r="W25" s="2" t="s">
        <v>774</v>
      </c>
      <c r="X25" s="17">
        <v>278000</v>
      </c>
      <c r="Y25" s="17">
        <v>201958.6</v>
      </c>
      <c r="Z25" s="17" t="s">
        <v>155</v>
      </c>
      <c r="AA25" s="17" t="s">
        <v>155</v>
      </c>
      <c r="AB25" s="17" t="s">
        <v>155</v>
      </c>
      <c r="AC25" s="17" t="s">
        <v>155</v>
      </c>
      <c r="AD25" s="17" t="s">
        <v>416</v>
      </c>
      <c r="AE25" s="17"/>
      <c r="AF25" s="17">
        <v>16.029126999999999</v>
      </c>
      <c r="AG25" s="17" t="s">
        <v>155</v>
      </c>
      <c r="AH25" s="17">
        <v>44593.21</v>
      </c>
      <c r="AI25" s="17">
        <v>44593.21</v>
      </c>
      <c r="AJ25" s="17">
        <v>44593.21</v>
      </c>
      <c r="AK25" s="17" t="s">
        <v>775</v>
      </c>
      <c r="AL25" s="17" t="s">
        <v>775</v>
      </c>
      <c r="AM25" s="17" t="s">
        <v>775</v>
      </c>
      <c r="AN25" s="17">
        <v>118.36</v>
      </c>
      <c r="AO25" s="17">
        <v>118.36</v>
      </c>
      <c r="AP25" s="17">
        <v>118.36</v>
      </c>
      <c r="AQ25" s="17">
        <v>44560.97</v>
      </c>
      <c r="AR25" s="17" t="s">
        <v>155</v>
      </c>
      <c r="AS25" s="17">
        <v>137.65196700000001</v>
      </c>
      <c r="AT25" s="17" t="s">
        <v>155</v>
      </c>
      <c r="AU25" s="17" t="s">
        <v>665</v>
      </c>
      <c r="AV25" s="17" t="s">
        <v>155</v>
      </c>
      <c r="AW25" s="17" t="s">
        <v>155</v>
      </c>
      <c r="AX25" s="2" t="s">
        <v>155</v>
      </c>
      <c r="AZ25" s="2" t="s">
        <v>418</v>
      </c>
      <c r="BA25" s="2" t="s">
        <v>419</v>
      </c>
      <c r="BB25" s="2" t="s">
        <v>420</v>
      </c>
      <c r="BC25" s="2" t="s">
        <v>20</v>
      </c>
    </row>
    <row r="26" spans="1:55" x14ac:dyDescent="0.3">
      <c r="A26" s="2" t="s">
        <v>481</v>
      </c>
      <c r="B26" s="2" t="s">
        <v>776</v>
      </c>
      <c r="C26" s="2" t="s">
        <v>13</v>
      </c>
      <c r="D26" s="2" t="s">
        <v>499</v>
      </c>
      <c r="E26" s="2" t="s">
        <v>505</v>
      </c>
      <c r="F26" s="2" t="s">
        <v>16</v>
      </c>
      <c r="G26" s="2" t="s">
        <v>13</v>
      </c>
      <c r="H26" s="2" t="s">
        <v>777</v>
      </c>
      <c r="I26" s="2" t="s">
        <v>778</v>
      </c>
      <c r="J26" s="2" t="s">
        <v>779</v>
      </c>
      <c r="K26" s="2" t="s">
        <v>13</v>
      </c>
      <c r="L26" s="2" t="s">
        <v>471</v>
      </c>
      <c r="M26" s="2" t="s">
        <v>473</v>
      </c>
      <c r="N26" s="2" t="s">
        <v>16</v>
      </c>
      <c r="O26" s="2" t="s">
        <v>413</v>
      </c>
      <c r="P26" s="2" t="s">
        <v>413</v>
      </c>
      <c r="Q26" s="2" t="s">
        <v>454</v>
      </c>
      <c r="R26" s="2" t="s">
        <v>423</v>
      </c>
      <c r="T26" s="2" t="s">
        <v>600</v>
      </c>
      <c r="U26" s="2" t="s">
        <v>22</v>
      </c>
      <c r="V26" s="2" t="s">
        <v>780</v>
      </c>
      <c r="W26" s="2" t="s">
        <v>781</v>
      </c>
      <c r="X26" s="17">
        <v>278000</v>
      </c>
      <c r="Y26" s="17">
        <v>201958.6</v>
      </c>
      <c r="Z26" s="17" t="s">
        <v>155</v>
      </c>
      <c r="AA26" s="17" t="s">
        <v>155</v>
      </c>
      <c r="AB26" s="17" t="s">
        <v>155</v>
      </c>
      <c r="AC26" s="17" t="s">
        <v>155</v>
      </c>
      <c r="AD26" s="17" t="s">
        <v>416</v>
      </c>
      <c r="AE26" s="17"/>
      <c r="AF26" s="17">
        <v>15.996689</v>
      </c>
      <c r="AG26" s="17" t="s">
        <v>155</v>
      </c>
      <c r="AH26" s="17">
        <v>44219.12</v>
      </c>
      <c r="AI26" s="17">
        <v>44219.12</v>
      </c>
      <c r="AJ26" s="17">
        <v>44219.12</v>
      </c>
      <c r="AK26" s="17" t="s">
        <v>782</v>
      </c>
      <c r="AL26" s="17" t="s">
        <v>782</v>
      </c>
      <c r="AM26" s="17" t="s">
        <v>782</v>
      </c>
      <c r="AN26" s="17">
        <v>30.08</v>
      </c>
      <c r="AO26" s="17">
        <v>30.08</v>
      </c>
      <c r="AP26" s="17">
        <v>30.08</v>
      </c>
      <c r="AQ26" s="17">
        <v>44470.8</v>
      </c>
      <c r="AR26" s="17" t="s">
        <v>155</v>
      </c>
      <c r="AS26" s="17">
        <v>137.651985</v>
      </c>
      <c r="AT26" s="17" t="s">
        <v>155</v>
      </c>
      <c r="AU26" s="17" t="s">
        <v>665</v>
      </c>
      <c r="AV26" s="17" t="s">
        <v>155</v>
      </c>
      <c r="AW26" s="17" t="s">
        <v>155</v>
      </c>
      <c r="AX26" s="2" t="s">
        <v>155</v>
      </c>
      <c r="AZ26" s="2" t="s">
        <v>418</v>
      </c>
      <c r="BA26" s="2" t="s">
        <v>419</v>
      </c>
      <c r="BB26" s="2" t="s">
        <v>420</v>
      </c>
      <c r="BC26" s="2" t="s">
        <v>20</v>
      </c>
    </row>
    <row r="27" spans="1:55" x14ac:dyDescent="0.3">
      <c r="A27" s="2" t="s">
        <v>481</v>
      </c>
      <c r="B27" s="2" t="s">
        <v>783</v>
      </c>
      <c r="C27" s="2" t="s">
        <v>13</v>
      </c>
      <c r="D27" s="2" t="s">
        <v>499</v>
      </c>
      <c r="E27" s="2" t="s">
        <v>502</v>
      </c>
      <c r="F27" s="2" t="s">
        <v>16</v>
      </c>
      <c r="G27" s="2" t="s">
        <v>13</v>
      </c>
      <c r="H27" s="2" t="s">
        <v>471</v>
      </c>
      <c r="I27" s="2" t="s">
        <v>784</v>
      </c>
      <c r="J27" s="2" t="s">
        <v>433</v>
      </c>
      <c r="K27" s="2" t="s">
        <v>13</v>
      </c>
      <c r="L27" s="2" t="s">
        <v>471</v>
      </c>
      <c r="M27" s="2" t="s">
        <v>473</v>
      </c>
      <c r="N27" s="2" t="s">
        <v>16</v>
      </c>
      <c r="O27" s="2" t="s">
        <v>413</v>
      </c>
      <c r="P27" s="2" t="s">
        <v>413</v>
      </c>
      <c r="Q27" s="2" t="s">
        <v>454</v>
      </c>
      <c r="R27" s="2" t="s">
        <v>423</v>
      </c>
      <c r="T27" s="2" t="s">
        <v>600</v>
      </c>
      <c r="U27" s="2" t="s">
        <v>22</v>
      </c>
      <c r="V27" s="2" t="s">
        <v>785</v>
      </c>
      <c r="W27" s="2" t="s">
        <v>786</v>
      </c>
      <c r="X27" s="17">
        <v>278000</v>
      </c>
      <c r="Y27" s="17">
        <v>201958.6</v>
      </c>
      <c r="Z27" s="17" t="s">
        <v>155</v>
      </c>
      <c r="AA27" s="17" t="s">
        <v>155</v>
      </c>
      <c r="AB27" s="17" t="s">
        <v>155</v>
      </c>
      <c r="AC27" s="17" t="s">
        <v>155</v>
      </c>
      <c r="AD27" s="17" t="s">
        <v>416</v>
      </c>
      <c r="AE27" s="17"/>
      <c r="AF27" s="17">
        <v>26.597356999999999</v>
      </c>
      <c r="AG27" s="17" t="s">
        <v>155</v>
      </c>
      <c r="AH27" s="17">
        <v>73954.03</v>
      </c>
      <c r="AI27" s="17">
        <v>73954.03</v>
      </c>
      <c r="AJ27" s="17">
        <v>73954.03</v>
      </c>
      <c r="AK27" s="17" t="s">
        <v>782</v>
      </c>
      <c r="AL27" s="17" t="s">
        <v>782</v>
      </c>
      <c r="AM27" s="17" t="s">
        <v>782</v>
      </c>
      <c r="AN27" s="17">
        <v>71.42</v>
      </c>
      <c r="AO27" s="17">
        <v>71.42</v>
      </c>
      <c r="AP27" s="17">
        <v>71.42</v>
      </c>
      <c r="AQ27" s="17">
        <v>73940.649999999994</v>
      </c>
      <c r="AR27" s="17" t="s">
        <v>155</v>
      </c>
      <c r="AS27" s="17">
        <v>137.65196900000001</v>
      </c>
      <c r="AT27" s="17" t="s">
        <v>155</v>
      </c>
      <c r="AU27" s="17" t="s">
        <v>665</v>
      </c>
      <c r="AV27" s="17" t="s">
        <v>155</v>
      </c>
      <c r="AW27" s="17">
        <v>95000</v>
      </c>
      <c r="AX27" s="2" t="s">
        <v>787</v>
      </c>
      <c r="AZ27" s="2" t="s">
        <v>418</v>
      </c>
      <c r="BA27" s="2" t="s">
        <v>419</v>
      </c>
      <c r="BB27" s="2" t="s">
        <v>420</v>
      </c>
      <c r="BC27" s="2" t="s">
        <v>20</v>
      </c>
    </row>
    <row r="28" spans="1:55" x14ac:dyDescent="0.3">
      <c r="A28" s="2" t="s">
        <v>481</v>
      </c>
      <c r="B28" s="2" t="s">
        <v>788</v>
      </c>
      <c r="C28" s="2" t="s">
        <v>13</v>
      </c>
      <c r="D28" s="2" t="s">
        <v>499</v>
      </c>
      <c r="E28" s="2" t="s">
        <v>504</v>
      </c>
      <c r="F28" s="2" t="s">
        <v>16</v>
      </c>
      <c r="G28" s="2" t="s">
        <v>13</v>
      </c>
      <c r="H28" s="2" t="s">
        <v>777</v>
      </c>
      <c r="I28" s="2" t="s">
        <v>789</v>
      </c>
      <c r="J28" s="2" t="s">
        <v>779</v>
      </c>
      <c r="K28" s="2" t="s">
        <v>13</v>
      </c>
      <c r="L28" s="2" t="s">
        <v>471</v>
      </c>
      <c r="M28" s="2" t="s">
        <v>473</v>
      </c>
      <c r="N28" s="2" t="s">
        <v>16</v>
      </c>
      <c r="O28" s="2" t="s">
        <v>413</v>
      </c>
      <c r="P28" s="2" t="s">
        <v>413</v>
      </c>
      <c r="Q28" s="2" t="s">
        <v>454</v>
      </c>
      <c r="R28" s="2" t="s">
        <v>423</v>
      </c>
      <c r="T28" s="2" t="s">
        <v>600</v>
      </c>
      <c r="U28" s="2" t="s">
        <v>22</v>
      </c>
      <c r="V28" s="2" t="s">
        <v>790</v>
      </c>
      <c r="W28" s="2" t="s">
        <v>791</v>
      </c>
      <c r="X28" s="17">
        <v>278000</v>
      </c>
      <c r="Y28" s="17">
        <v>201958.6</v>
      </c>
      <c r="Z28" s="17" t="s">
        <v>155</v>
      </c>
      <c r="AA28" s="17" t="s">
        <v>155</v>
      </c>
      <c r="AB28" s="17" t="s">
        <v>155</v>
      </c>
      <c r="AC28" s="17" t="s">
        <v>155</v>
      </c>
      <c r="AD28" s="17" t="s">
        <v>416</v>
      </c>
      <c r="AE28" s="17"/>
      <c r="AF28" s="17">
        <v>41.376826999999999</v>
      </c>
      <c r="AG28" s="17" t="s">
        <v>155</v>
      </c>
      <c r="AH28" s="17">
        <v>115233.63</v>
      </c>
      <c r="AI28" s="17">
        <v>115233.63</v>
      </c>
      <c r="AJ28" s="17">
        <v>115233.63</v>
      </c>
      <c r="AK28" s="17" t="s">
        <v>782</v>
      </c>
      <c r="AL28" s="17" t="s">
        <v>782</v>
      </c>
      <c r="AM28" s="17" t="s">
        <v>782</v>
      </c>
      <c r="AN28" s="17">
        <v>98.5</v>
      </c>
      <c r="AO28" s="17">
        <v>98.5</v>
      </c>
      <c r="AP28" s="17">
        <v>98.5</v>
      </c>
      <c r="AQ28" s="17">
        <v>115027.58</v>
      </c>
      <c r="AR28" s="17" t="s">
        <v>155</v>
      </c>
      <c r="AS28" s="17">
        <v>137.65197599999999</v>
      </c>
      <c r="AT28" s="17" t="s">
        <v>155</v>
      </c>
      <c r="AU28" s="17" t="s">
        <v>665</v>
      </c>
      <c r="AV28" s="17" t="s">
        <v>155</v>
      </c>
      <c r="AW28" s="17" t="s">
        <v>155</v>
      </c>
      <c r="AX28" s="2" t="s">
        <v>155</v>
      </c>
      <c r="AZ28" s="2" t="s">
        <v>418</v>
      </c>
      <c r="BA28" s="2" t="s">
        <v>419</v>
      </c>
      <c r="BB28" s="2" t="s">
        <v>420</v>
      </c>
      <c r="BC28" s="2" t="s">
        <v>20</v>
      </c>
    </row>
    <row r="29" spans="1:55" x14ac:dyDescent="0.3">
      <c r="A29" s="2" t="s">
        <v>481</v>
      </c>
      <c r="B29" s="2" t="s">
        <v>792</v>
      </c>
      <c r="C29" s="2" t="s">
        <v>13</v>
      </c>
      <c r="D29" s="2" t="s">
        <v>41</v>
      </c>
      <c r="E29" s="2" t="s">
        <v>507</v>
      </c>
      <c r="F29" s="2" t="s">
        <v>16</v>
      </c>
      <c r="G29" s="2" t="s">
        <v>13</v>
      </c>
      <c r="H29" s="2" t="s">
        <v>464</v>
      </c>
      <c r="I29" s="2" t="s">
        <v>793</v>
      </c>
      <c r="J29" s="2" t="s">
        <v>779</v>
      </c>
      <c r="K29" s="2" t="s">
        <v>13</v>
      </c>
      <c r="L29" s="2" t="s">
        <v>464</v>
      </c>
      <c r="M29" s="2" t="s">
        <v>474</v>
      </c>
      <c r="N29" s="2" t="s">
        <v>16</v>
      </c>
      <c r="O29" s="2" t="s">
        <v>413</v>
      </c>
      <c r="P29" s="2" t="s">
        <v>413</v>
      </c>
      <c r="Q29" s="2" t="s">
        <v>454</v>
      </c>
      <c r="R29" s="2" t="s">
        <v>423</v>
      </c>
      <c r="T29" s="2" t="s">
        <v>600</v>
      </c>
      <c r="U29" s="2" t="s">
        <v>22</v>
      </c>
      <c r="V29" s="2" t="s">
        <v>794</v>
      </c>
      <c r="W29" s="2" t="s">
        <v>795</v>
      </c>
      <c r="X29" s="17">
        <v>260000</v>
      </c>
      <c r="Y29" s="17">
        <v>186858.92</v>
      </c>
      <c r="Z29" s="17" t="s">
        <v>155</v>
      </c>
      <c r="AA29" s="17" t="s">
        <v>155</v>
      </c>
      <c r="AB29" s="17" t="s">
        <v>155</v>
      </c>
      <c r="AC29" s="17" t="s">
        <v>155</v>
      </c>
      <c r="AD29" s="17" t="s">
        <v>416</v>
      </c>
      <c r="AE29" s="17"/>
      <c r="AF29" s="17">
        <v>100</v>
      </c>
      <c r="AG29" s="17" t="s">
        <v>155</v>
      </c>
      <c r="AH29" s="17">
        <v>260000</v>
      </c>
      <c r="AI29" s="17">
        <v>260000</v>
      </c>
      <c r="AJ29" s="17">
        <v>260000</v>
      </c>
      <c r="AK29" s="17" t="s">
        <v>796</v>
      </c>
      <c r="AL29" s="17" t="s">
        <v>796</v>
      </c>
      <c r="AM29" s="17" t="s">
        <v>796</v>
      </c>
      <c r="AN29" s="17">
        <v>130</v>
      </c>
      <c r="AO29" s="17">
        <v>130</v>
      </c>
      <c r="AP29" s="17">
        <v>130</v>
      </c>
      <c r="AQ29" s="17">
        <v>260000</v>
      </c>
      <c r="AR29" s="17" t="s">
        <v>155</v>
      </c>
      <c r="AS29" s="17">
        <v>139.14240799999999</v>
      </c>
      <c r="AT29" s="17" t="s">
        <v>155</v>
      </c>
      <c r="AU29" s="17" t="s">
        <v>348</v>
      </c>
      <c r="AV29" s="17" t="s">
        <v>155</v>
      </c>
      <c r="AW29" s="17">
        <v>200000</v>
      </c>
      <c r="AX29" s="2" t="s">
        <v>797</v>
      </c>
      <c r="AZ29" s="2" t="s">
        <v>418</v>
      </c>
      <c r="BA29" s="2" t="s">
        <v>419</v>
      </c>
      <c r="BB29" s="2" t="s">
        <v>420</v>
      </c>
      <c r="BC29" s="2" t="s">
        <v>20</v>
      </c>
    </row>
    <row r="30" spans="1:55" x14ac:dyDescent="0.3">
      <c r="A30" s="2" t="s">
        <v>481</v>
      </c>
      <c r="B30" s="2" t="s">
        <v>798</v>
      </c>
      <c r="C30" s="2" t="s">
        <v>13</v>
      </c>
      <c r="D30" s="2" t="s">
        <v>41</v>
      </c>
      <c r="E30" s="2" t="s">
        <v>511</v>
      </c>
      <c r="F30" s="2" t="s">
        <v>16</v>
      </c>
      <c r="G30" s="2" t="s">
        <v>13</v>
      </c>
      <c r="H30" s="2" t="s">
        <v>464</v>
      </c>
      <c r="I30" s="2" t="s">
        <v>799</v>
      </c>
      <c r="J30" s="2" t="s">
        <v>433</v>
      </c>
      <c r="K30" s="2" t="s">
        <v>13</v>
      </c>
      <c r="L30" s="2" t="s">
        <v>464</v>
      </c>
      <c r="M30" s="2" t="s">
        <v>475</v>
      </c>
      <c r="N30" s="2" t="s">
        <v>16</v>
      </c>
      <c r="O30" s="2" t="s">
        <v>413</v>
      </c>
      <c r="P30" s="2" t="s">
        <v>413</v>
      </c>
      <c r="Q30" s="2" t="s">
        <v>454</v>
      </c>
      <c r="R30" s="2" t="s">
        <v>423</v>
      </c>
      <c r="T30" s="2" t="s">
        <v>303</v>
      </c>
      <c r="U30" s="2" t="s">
        <v>22</v>
      </c>
      <c r="V30" s="2" t="s">
        <v>800</v>
      </c>
      <c r="W30" s="2" t="s">
        <v>801</v>
      </c>
      <c r="X30" s="17">
        <v>180250</v>
      </c>
      <c r="Y30" s="17">
        <v>139186.94</v>
      </c>
      <c r="Z30" s="17" t="s">
        <v>155</v>
      </c>
      <c r="AA30" s="17" t="s">
        <v>155</v>
      </c>
      <c r="AB30" s="17" t="s">
        <v>155</v>
      </c>
      <c r="AC30" s="17" t="s">
        <v>155</v>
      </c>
      <c r="AD30" s="17" t="s">
        <v>416</v>
      </c>
      <c r="AE30" s="17"/>
      <c r="AF30" s="17">
        <v>86.666428999999994</v>
      </c>
      <c r="AG30" s="17" t="s">
        <v>155</v>
      </c>
      <c r="AH30" s="17">
        <v>156216.4</v>
      </c>
      <c r="AI30" s="17">
        <v>156216.4</v>
      </c>
      <c r="AJ30" s="17">
        <v>156216.4</v>
      </c>
      <c r="AK30" s="17" t="s">
        <v>802</v>
      </c>
      <c r="AL30" s="17" t="s">
        <v>802</v>
      </c>
      <c r="AM30" s="17" t="s">
        <v>802</v>
      </c>
      <c r="AN30" s="17">
        <v>120.17</v>
      </c>
      <c r="AO30" s="17">
        <v>120.17</v>
      </c>
      <c r="AP30" s="17">
        <v>120.17</v>
      </c>
      <c r="AQ30" s="17">
        <v>156216.24</v>
      </c>
      <c r="AR30" s="17" t="s">
        <v>155</v>
      </c>
      <c r="AS30" s="17">
        <v>129.502095</v>
      </c>
      <c r="AT30" s="17" t="s">
        <v>155</v>
      </c>
      <c r="AU30" s="17" t="s">
        <v>348</v>
      </c>
      <c r="AV30" s="17" t="s">
        <v>155</v>
      </c>
      <c r="AW30" s="17">
        <v>130000</v>
      </c>
      <c r="AX30" s="2" t="s">
        <v>803</v>
      </c>
      <c r="AZ30" s="2" t="s">
        <v>418</v>
      </c>
      <c r="BA30" s="2" t="s">
        <v>419</v>
      </c>
      <c r="BB30" s="2" t="s">
        <v>420</v>
      </c>
      <c r="BC30" s="2" t="s">
        <v>20</v>
      </c>
    </row>
    <row r="31" spans="1:55" x14ac:dyDescent="0.3">
      <c r="A31" s="2" t="s">
        <v>481</v>
      </c>
      <c r="B31" s="2" t="s">
        <v>804</v>
      </c>
      <c r="C31" s="2" t="s">
        <v>13</v>
      </c>
      <c r="D31" s="2" t="s">
        <v>41</v>
      </c>
      <c r="E31" s="2" t="s">
        <v>509</v>
      </c>
      <c r="F31" s="2" t="s">
        <v>16</v>
      </c>
      <c r="G31" s="2" t="s">
        <v>13</v>
      </c>
      <c r="H31" s="2" t="s">
        <v>695</v>
      </c>
      <c r="I31" s="2" t="s">
        <v>805</v>
      </c>
      <c r="J31" s="2" t="s">
        <v>412</v>
      </c>
      <c r="K31" s="2" t="s">
        <v>13</v>
      </c>
      <c r="L31" s="2" t="s">
        <v>464</v>
      </c>
      <c r="M31" s="2" t="s">
        <v>475</v>
      </c>
      <c r="N31" s="2" t="s">
        <v>16</v>
      </c>
      <c r="O31" s="2" t="s">
        <v>413</v>
      </c>
      <c r="P31" s="2" t="s">
        <v>413</v>
      </c>
      <c r="Q31" s="2" t="s">
        <v>454</v>
      </c>
      <c r="R31" s="2" t="s">
        <v>423</v>
      </c>
      <c r="T31" s="2" t="s">
        <v>303</v>
      </c>
      <c r="U31" s="2" t="s">
        <v>22</v>
      </c>
      <c r="V31" s="2" t="s">
        <v>806</v>
      </c>
      <c r="W31" s="2" t="s">
        <v>807</v>
      </c>
      <c r="X31" s="17">
        <v>180250</v>
      </c>
      <c r="Y31" s="17">
        <v>139186.94</v>
      </c>
      <c r="Z31" s="17" t="s">
        <v>155</v>
      </c>
      <c r="AA31" s="17" t="s">
        <v>155</v>
      </c>
      <c r="AB31" s="17" t="s">
        <v>155</v>
      </c>
      <c r="AC31" s="17" t="s">
        <v>155</v>
      </c>
      <c r="AD31" s="17" t="s">
        <v>416</v>
      </c>
      <c r="AE31" s="17"/>
      <c r="AF31" s="17">
        <v>13.333570999999999</v>
      </c>
      <c r="AG31" s="17" t="s">
        <v>155</v>
      </c>
      <c r="AH31" s="17">
        <v>24033.599999999999</v>
      </c>
      <c r="AI31" s="17">
        <v>24033.599999999999</v>
      </c>
      <c r="AJ31" s="17">
        <v>24033.599999999999</v>
      </c>
      <c r="AK31" s="17" t="s">
        <v>808</v>
      </c>
      <c r="AL31" s="17" t="s">
        <v>808</v>
      </c>
      <c r="AM31" s="17" t="s">
        <v>808</v>
      </c>
      <c r="AN31" s="17">
        <v>120.17</v>
      </c>
      <c r="AO31" s="17">
        <v>120.17</v>
      </c>
      <c r="AP31" s="17">
        <v>120.17</v>
      </c>
      <c r="AQ31" s="17">
        <v>24033.759999999998</v>
      </c>
      <c r="AR31" s="17" t="s">
        <v>155</v>
      </c>
      <c r="AS31" s="17">
        <v>129.50208000000001</v>
      </c>
      <c r="AT31" s="17" t="s">
        <v>155</v>
      </c>
      <c r="AU31" s="17" t="s">
        <v>348</v>
      </c>
      <c r="AV31" s="17" t="s">
        <v>155</v>
      </c>
      <c r="AW31" s="17" t="s">
        <v>155</v>
      </c>
      <c r="AX31" s="2" t="s">
        <v>155</v>
      </c>
      <c r="AZ31" s="2" t="s">
        <v>418</v>
      </c>
      <c r="BA31" s="2" t="s">
        <v>419</v>
      </c>
      <c r="BB31" s="2" t="s">
        <v>420</v>
      </c>
      <c r="BC31" s="2" t="s">
        <v>20</v>
      </c>
    </row>
    <row r="32" spans="1:55" x14ac:dyDescent="0.3">
      <c r="A32" s="2" t="s">
        <v>481</v>
      </c>
      <c r="B32" s="2" t="s">
        <v>809</v>
      </c>
      <c r="C32" s="2" t="s">
        <v>13</v>
      </c>
      <c r="D32" s="2" t="s">
        <v>41</v>
      </c>
      <c r="E32" s="2" t="s">
        <v>514</v>
      </c>
      <c r="F32" s="2" t="s">
        <v>16</v>
      </c>
      <c r="G32" s="2" t="s">
        <v>13</v>
      </c>
      <c r="H32" s="2" t="s">
        <v>695</v>
      </c>
      <c r="I32" s="2" t="s">
        <v>810</v>
      </c>
      <c r="J32" s="2" t="s">
        <v>433</v>
      </c>
      <c r="K32" s="2" t="s">
        <v>13</v>
      </c>
      <c r="L32" s="2" t="s">
        <v>464</v>
      </c>
      <c r="M32" s="2" t="s">
        <v>476</v>
      </c>
      <c r="N32" s="2" t="s">
        <v>16</v>
      </c>
      <c r="O32" s="2" t="s">
        <v>413</v>
      </c>
      <c r="P32" s="2" t="s">
        <v>413</v>
      </c>
      <c r="Q32" s="2" t="s">
        <v>454</v>
      </c>
      <c r="R32" s="2" t="s">
        <v>423</v>
      </c>
      <c r="T32" s="2" t="s">
        <v>600</v>
      </c>
      <c r="U32" s="2" t="s">
        <v>22</v>
      </c>
      <c r="V32" s="2" t="s">
        <v>811</v>
      </c>
      <c r="W32" s="2" t="s">
        <v>812</v>
      </c>
      <c r="X32" s="17">
        <v>437400</v>
      </c>
      <c r="Y32" s="17">
        <v>322093.19</v>
      </c>
      <c r="Z32" s="17" t="s">
        <v>155</v>
      </c>
      <c r="AA32" s="17" t="s">
        <v>155</v>
      </c>
      <c r="AB32" s="17" t="s">
        <v>155</v>
      </c>
      <c r="AC32" s="17" t="s">
        <v>155</v>
      </c>
      <c r="AD32" s="17" t="s">
        <v>416</v>
      </c>
      <c r="AE32" s="17"/>
      <c r="AF32" s="17">
        <v>28.286009</v>
      </c>
      <c r="AG32" s="17" t="s">
        <v>155</v>
      </c>
      <c r="AH32" s="17">
        <v>121552.74</v>
      </c>
      <c r="AI32" s="17">
        <v>121552.74</v>
      </c>
      <c r="AJ32" s="17">
        <v>121552.74</v>
      </c>
      <c r="AK32" s="17" t="s">
        <v>813</v>
      </c>
      <c r="AL32" s="17" t="s">
        <v>813</v>
      </c>
      <c r="AM32" s="17" t="s">
        <v>813</v>
      </c>
      <c r="AN32" s="17">
        <v>118.48</v>
      </c>
      <c r="AO32" s="17">
        <v>118.48</v>
      </c>
      <c r="AP32" s="17">
        <v>118.48</v>
      </c>
      <c r="AQ32" s="17">
        <v>123723</v>
      </c>
      <c r="AR32" s="17" t="s">
        <v>155</v>
      </c>
      <c r="AS32" s="17">
        <v>135.79920200000001</v>
      </c>
      <c r="AT32" s="17" t="s">
        <v>155</v>
      </c>
      <c r="AU32" s="17" t="s">
        <v>348</v>
      </c>
      <c r="AV32" s="17" t="s">
        <v>155</v>
      </c>
      <c r="AW32" s="17" t="s">
        <v>155</v>
      </c>
      <c r="AX32" s="2" t="s">
        <v>155</v>
      </c>
      <c r="AZ32" s="2" t="s">
        <v>418</v>
      </c>
      <c r="BA32" s="2" t="s">
        <v>419</v>
      </c>
      <c r="BB32" s="2" t="s">
        <v>420</v>
      </c>
      <c r="BC32" s="2" t="s">
        <v>20</v>
      </c>
    </row>
    <row r="33" spans="1:55" x14ac:dyDescent="0.3">
      <c r="A33" s="2" t="s">
        <v>481</v>
      </c>
      <c r="B33" s="2" t="s">
        <v>814</v>
      </c>
      <c r="C33" s="2" t="s">
        <v>13</v>
      </c>
      <c r="D33" s="2" t="s">
        <v>41</v>
      </c>
      <c r="E33" s="2" t="s">
        <v>512</v>
      </c>
      <c r="F33" s="2" t="s">
        <v>16</v>
      </c>
      <c r="G33" s="2" t="s">
        <v>13</v>
      </c>
      <c r="H33" s="2" t="s">
        <v>464</v>
      </c>
      <c r="I33" s="2" t="s">
        <v>815</v>
      </c>
      <c r="J33" s="2" t="s">
        <v>816</v>
      </c>
      <c r="K33" s="2" t="s">
        <v>13</v>
      </c>
      <c r="L33" s="2" t="s">
        <v>464</v>
      </c>
      <c r="M33" s="2" t="s">
        <v>476</v>
      </c>
      <c r="N33" s="2" t="s">
        <v>16</v>
      </c>
      <c r="O33" s="2" t="s">
        <v>413</v>
      </c>
      <c r="P33" s="2" t="s">
        <v>413</v>
      </c>
      <c r="Q33" s="2" t="s">
        <v>454</v>
      </c>
      <c r="R33" s="2" t="s">
        <v>423</v>
      </c>
      <c r="T33" s="2" t="s">
        <v>600</v>
      </c>
      <c r="U33" s="2" t="s">
        <v>22</v>
      </c>
      <c r="V33" s="2" t="s">
        <v>817</v>
      </c>
      <c r="W33" s="2" t="s">
        <v>818</v>
      </c>
      <c r="X33" s="17">
        <v>437400</v>
      </c>
      <c r="Y33" s="17">
        <v>322093.19</v>
      </c>
      <c r="Z33" s="17" t="s">
        <v>155</v>
      </c>
      <c r="AA33" s="17" t="s">
        <v>155</v>
      </c>
      <c r="AB33" s="17" t="s">
        <v>155</v>
      </c>
      <c r="AC33" s="17" t="s">
        <v>155</v>
      </c>
      <c r="AD33" s="17" t="s">
        <v>416</v>
      </c>
      <c r="AE33" s="17"/>
      <c r="AF33" s="17">
        <v>71.713990999999993</v>
      </c>
      <c r="AG33" s="17" t="s">
        <v>155</v>
      </c>
      <c r="AH33" s="17">
        <v>315847.26</v>
      </c>
      <c r="AI33" s="17">
        <v>315847.26</v>
      </c>
      <c r="AJ33" s="17">
        <v>315847.26</v>
      </c>
      <c r="AK33" s="17" t="s">
        <v>819</v>
      </c>
      <c r="AL33" s="17" t="s">
        <v>819</v>
      </c>
      <c r="AM33" s="17" t="s">
        <v>819</v>
      </c>
      <c r="AN33" s="17">
        <v>133.57</v>
      </c>
      <c r="AO33" s="17">
        <v>133.57</v>
      </c>
      <c r="AP33" s="17">
        <v>133.57</v>
      </c>
      <c r="AQ33" s="17">
        <v>313677</v>
      </c>
      <c r="AR33" s="17" t="s">
        <v>155</v>
      </c>
      <c r="AS33" s="17">
        <v>135.79920999999999</v>
      </c>
      <c r="AT33" s="17" t="s">
        <v>155</v>
      </c>
      <c r="AU33" s="17" t="s">
        <v>348</v>
      </c>
      <c r="AV33" s="17" t="s">
        <v>155</v>
      </c>
      <c r="AW33" s="17">
        <v>315000</v>
      </c>
      <c r="AX33" s="2" t="s">
        <v>820</v>
      </c>
      <c r="AZ33" s="2" t="s">
        <v>418</v>
      </c>
      <c r="BA33" s="2" t="s">
        <v>419</v>
      </c>
      <c r="BB33" s="2" t="s">
        <v>420</v>
      </c>
      <c r="BC33" s="2" t="s">
        <v>20</v>
      </c>
    </row>
    <row r="34" spans="1:55" x14ac:dyDescent="0.3">
      <c r="A34" s="2" t="s">
        <v>481</v>
      </c>
      <c r="B34" s="2" t="s">
        <v>821</v>
      </c>
      <c r="C34" s="2" t="s">
        <v>13</v>
      </c>
      <c r="D34" s="2" t="s">
        <v>41</v>
      </c>
      <c r="E34" s="2" t="s">
        <v>518</v>
      </c>
      <c r="F34" s="2" t="s">
        <v>16</v>
      </c>
      <c r="G34" s="2" t="s">
        <v>13</v>
      </c>
      <c r="H34" s="2" t="s">
        <v>695</v>
      </c>
      <c r="I34" s="2" t="s">
        <v>822</v>
      </c>
      <c r="J34" s="2" t="s">
        <v>779</v>
      </c>
      <c r="K34" s="2" t="s">
        <v>13</v>
      </c>
      <c r="L34" s="2" t="s">
        <v>464</v>
      </c>
      <c r="M34" s="2" t="s">
        <v>477</v>
      </c>
      <c r="N34" s="2" t="s">
        <v>16</v>
      </c>
      <c r="O34" s="2" t="s">
        <v>413</v>
      </c>
      <c r="P34" s="2" t="s">
        <v>413</v>
      </c>
      <c r="Q34" s="2" t="s">
        <v>454</v>
      </c>
      <c r="R34" s="2" t="s">
        <v>423</v>
      </c>
      <c r="T34" s="2" t="s">
        <v>600</v>
      </c>
      <c r="U34" s="2" t="s">
        <v>22</v>
      </c>
      <c r="V34" s="2" t="s">
        <v>823</v>
      </c>
      <c r="W34" s="2" t="s">
        <v>824</v>
      </c>
      <c r="X34" s="17">
        <v>243900</v>
      </c>
      <c r="Y34" s="17">
        <v>193641.95</v>
      </c>
      <c r="Z34" s="17" t="s">
        <v>155</v>
      </c>
      <c r="AA34" s="17" t="s">
        <v>155</v>
      </c>
      <c r="AB34" s="17" t="s">
        <v>155</v>
      </c>
      <c r="AC34" s="17" t="s">
        <v>155</v>
      </c>
      <c r="AD34" s="17" t="s">
        <v>416</v>
      </c>
      <c r="AE34" s="17"/>
      <c r="AF34" s="17">
        <v>9.1590740000000004</v>
      </c>
      <c r="AG34" s="17" t="s">
        <v>155</v>
      </c>
      <c r="AH34" s="17">
        <v>21852.17</v>
      </c>
      <c r="AI34" s="17">
        <v>21852.17</v>
      </c>
      <c r="AJ34" s="17">
        <v>21852.17</v>
      </c>
      <c r="AK34" s="17" t="s">
        <v>825</v>
      </c>
      <c r="AL34" s="17" t="s">
        <v>825</v>
      </c>
      <c r="AM34" s="17" t="s">
        <v>825</v>
      </c>
      <c r="AN34" s="17">
        <v>110.3</v>
      </c>
      <c r="AO34" s="17">
        <v>110.3</v>
      </c>
      <c r="AP34" s="17">
        <v>110.3</v>
      </c>
      <c r="AQ34" s="17">
        <v>22338.98</v>
      </c>
      <c r="AR34" s="17" t="s">
        <v>155</v>
      </c>
      <c r="AS34" s="17">
        <v>125.95410099999999</v>
      </c>
      <c r="AT34" s="17" t="s">
        <v>155</v>
      </c>
      <c r="AU34" s="17" t="s">
        <v>348</v>
      </c>
      <c r="AV34" s="17" t="s">
        <v>155</v>
      </c>
      <c r="AW34" s="17" t="s">
        <v>155</v>
      </c>
      <c r="AX34" s="2" t="s">
        <v>155</v>
      </c>
      <c r="AZ34" s="2" t="s">
        <v>418</v>
      </c>
      <c r="BA34" s="2" t="s">
        <v>419</v>
      </c>
      <c r="BB34" s="2" t="s">
        <v>420</v>
      </c>
      <c r="BC34" s="2" t="s">
        <v>20</v>
      </c>
    </row>
    <row r="35" spans="1:55" x14ac:dyDescent="0.3">
      <c r="A35" s="2" t="s">
        <v>481</v>
      </c>
      <c r="B35" s="2" t="s">
        <v>826</v>
      </c>
      <c r="C35" s="2" t="s">
        <v>13</v>
      </c>
      <c r="D35" s="2" t="s">
        <v>41</v>
      </c>
      <c r="E35" s="2" t="s">
        <v>517</v>
      </c>
      <c r="F35" s="2" t="s">
        <v>16</v>
      </c>
      <c r="G35" s="2" t="s">
        <v>13</v>
      </c>
      <c r="H35" s="2" t="s">
        <v>695</v>
      </c>
      <c r="I35" s="2" t="s">
        <v>827</v>
      </c>
      <c r="J35" s="2" t="s">
        <v>828</v>
      </c>
      <c r="K35" s="2" t="s">
        <v>13</v>
      </c>
      <c r="L35" s="2" t="s">
        <v>464</v>
      </c>
      <c r="M35" s="2" t="s">
        <v>477</v>
      </c>
      <c r="N35" s="2" t="s">
        <v>16</v>
      </c>
      <c r="O35" s="2" t="s">
        <v>413</v>
      </c>
      <c r="P35" s="2" t="s">
        <v>413</v>
      </c>
      <c r="Q35" s="2" t="s">
        <v>454</v>
      </c>
      <c r="R35" s="2" t="s">
        <v>423</v>
      </c>
      <c r="T35" s="2" t="s">
        <v>600</v>
      </c>
      <c r="U35" s="2" t="s">
        <v>22</v>
      </c>
      <c r="V35" s="2" t="s">
        <v>829</v>
      </c>
      <c r="W35" s="2" t="s">
        <v>830</v>
      </c>
      <c r="X35" s="17">
        <v>243900</v>
      </c>
      <c r="Y35" s="17">
        <v>193641.95</v>
      </c>
      <c r="Z35" s="17" t="s">
        <v>155</v>
      </c>
      <c r="AA35" s="17" t="s">
        <v>155</v>
      </c>
      <c r="AB35" s="17" t="s">
        <v>155</v>
      </c>
      <c r="AC35" s="17" t="s">
        <v>155</v>
      </c>
      <c r="AD35" s="17" t="s">
        <v>416</v>
      </c>
      <c r="AE35" s="17"/>
      <c r="AF35" s="17">
        <v>60.70729</v>
      </c>
      <c r="AG35" s="17" t="s">
        <v>155</v>
      </c>
      <c r="AH35" s="17">
        <v>148511.25</v>
      </c>
      <c r="AI35" s="17">
        <v>148511.25</v>
      </c>
      <c r="AJ35" s="17">
        <v>148511.25</v>
      </c>
      <c r="AK35" s="17" t="s">
        <v>831</v>
      </c>
      <c r="AL35" s="17" t="s">
        <v>831</v>
      </c>
      <c r="AM35" s="17" t="s">
        <v>831</v>
      </c>
      <c r="AN35" s="17">
        <v>119.62</v>
      </c>
      <c r="AO35" s="17">
        <v>119.62</v>
      </c>
      <c r="AP35" s="17">
        <v>119.62</v>
      </c>
      <c r="AQ35" s="17">
        <v>148065.07999999999</v>
      </c>
      <c r="AR35" s="17" t="s">
        <v>155</v>
      </c>
      <c r="AS35" s="17">
        <v>125.95411300000001</v>
      </c>
      <c r="AT35" s="17" t="s">
        <v>155</v>
      </c>
      <c r="AU35" s="17" t="s">
        <v>348</v>
      </c>
      <c r="AV35" s="17" t="s">
        <v>155</v>
      </c>
      <c r="AW35" s="17">
        <v>146392</v>
      </c>
      <c r="AX35" s="2" t="s">
        <v>832</v>
      </c>
      <c r="AZ35" s="2" t="s">
        <v>418</v>
      </c>
      <c r="BA35" s="2" t="s">
        <v>419</v>
      </c>
      <c r="BB35" s="2" t="s">
        <v>420</v>
      </c>
      <c r="BC35" s="2" t="s">
        <v>20</v>
      </c>
    </row>
    <row r="36" spans="1:55" x14ac:dyDescent="0.3">
      <c r="A36" s="2" t="s">
        <v>481</v>
      </c>
      <c r="B36" s="2" t="s">
        <v>833</v>
      </c>
      <c r="C36" s="2" t="s">
        <v>13</v>
      </c>
      <c r="D36" s="2" t="s">
        <v>41</v>
      </c>
      <c r="E36" s="2" t="s">
        <v>515</v>
      </c>
      <c r="F36" s="2" t="s">
        <v>16</v>
      </c>
      <c r="G36" s="2" t="s">
        <v>13</v>
      </c>
      <c r="H36" s="2" t="s">
        <v>464</v>
      </c>
      <c r="I36" s="2" t="s">
        <v>834</v>
      </c>
      <c r="J36" s="2" t="s">
        <v>828</v>
      </c>
      <c r="K36" s="2" t="s">
        <v>13</v>
      </c>
      <c r="L36" s="2" t="s">
        <v>464</v>
      </c>
      <c r="M36" s="2" t="s">
        <v>477</v>
      </c>
      <c r="N36" s="2" t="s">
        <v>16</v>
      </c>
      <c r="O36" s="2" t="s">
        <v>413</v>
      </c>
      <c r="P36" s="2" t="s">
        <v>413</v>
      </c>
      <c r="Q36" s="2" t="s">
        <v>454</v>
      </c>
      <c r="R36" s="2" t="s">
        <v>423</v>
      </c>
      <c r="T36" s="2" t="s">
        <v>600</v>
      </c>
      <c r="U36" s="2" t="s">
        <v>22</v>
      </c>
      <c r="V36" s="2" t="s">
        <v>835</v>
      </c>
      <c r="W36" s="2" t="s">
        <v>836</v>
      </c>
      <c r="X36" s="17">
        <v>243900</v>
      </c>
      <c r="Y36" s="17">
        <v>193641.95</v>
      </c>
      <c r="Z36" s="17" t="s">
        <v>155</v>
      </c>
      <c r="AA36" s="17" t="s">
        <v>155</v>
      </c>
      <c r="AB36" s="17" t="s">
        <v>155</v>
      </c>
      <c r="AC36" s="17" t="s">
        <v>155</v>
      </c>
      <c r="AD36" s="17" t="s">
        <v>416</v>
      </c>
      <c r="AE36" s="17"/>
      <c r="AF36" s="17">
        <v>30.133635999999999</v>
      </c>
      <c r="AG36" s="17" t="s">
        <v>155</v>
      </c>
      <c r="AH36" s="17">
        <v>73536.570000000007</v>
      </c>
      <c r="AI36" s="17">
        <v>73536.570000000007</v>
      </c>
      <c r="AJ36" s="17">
        <v>73536.570000000007</v>
      </c>
      <c r="AK36" s="17" t="s">
        <v>831</v>
      </c>
      <c r="AL36" s="17" t="s">
        <v>831</v>
      </c>
      <c r="AM36" s="17" t="s">
        <v>831</v>
      </c>
      <c r="AN36" s="17">
        <v>119.62</v>
      </c>
      <c r="AO36" s="17">
        <v>119.62</v>
      </c>
      <c r="AP36" s="17">
        <v>119.62</v>
      </c>
      <c r="AQ36" s="17">
        <v>73495.94</v>
      </c>
      <c r="AR36" s="17" t="s">
        <v>155</v>
      </c>
      <c r="AS36" s="17">
        <v>125.954117</v>
      </c>
      <c r="AT36" s="17" t="s">
        <v>155</v>
      </c>
      <c r="AU36" s="17" t="s">
        <v>348</v>
      </c>
      <c r="AV36" s="17" t="s">
        <v>155</v>
      </c>
      <c r="AW36" s="17" t="s">
        <v>155</v>
      </c>
      <c r="AX36" s="2" t="s">
        <v>155</v>
      </c>
      <c r="AZ36" s="2" t="s">
        <v>418</v>
      </c>
      <c r="BA36" s="2" t="s">
        <v>419</v>
      </c>
      <c r="BB36" s="2" t="s">
        <v>420</v>
      </c>
      <c r="BC36" s="2" t="s">
        <v>20</v>
      </c>
    </row>
    <row r="37" spans="1:55" x14ac:dyDescent="0.3">
      <c r="A37" s="2" t="s">
        <v>481</v>
      </c>
      <c r="B37" s="2" t="s">
        <v>837</v>
      </c>
      <c r="C37" s="2" t="s">
        <v>13</v>
      </c>
      <c r="D37" s="2" t="s">
        <v>478</v>
      </c>
      <c r="E37" s="2" t="s">
        <v>521</v>
      </c>
      <c r="F37" s="2" t="s">
        <v>16</v>
      </c>
      <c r="G37" s="2" t="s">
        <v>13</v>
      </c>
      <c r="H37" s="2" t="s">
        <v>655</v>
      </c>
      <c r="I37" s="2" t="s">
        <v>521</v>
      </c>
      <c r="J37" s="2" t="s">
        <v>816</v>
      </c>
      <c r="K37" s="2" t="s">
        <v>13</v>
      </c>
      <c r="L37" s="2" t="s">
        <v>478</v>
      </c>
      <c r="M37" s="2" t="s">
        <v>479</v>
      </c>
      <c r="N37" s="2" t="s">
        <v>16</v>
      </c>
      <c r="O37" s="2" t="s">
        <v>413</v>
      </c>
      <c r="P37" s="2" t="s">
        <v>413</v>
      </c>
      <c r="Q37" s="2" t="s">
        <v>454</v>
      </c>
      <c r="R37" s="2" t="s">
        <v>423</v>
      </c>
      <c r="T37" s="2" t="s">
        <v>303</v>
      </c>
      <c r="U37" s="2" t="s">
        <v>22</v>
      </c>
      <c r="V37" s="2" t="s">
        <v>838</v>
      </c>
      <c r="W37" s="2" t="s">
        <v>839</v>
      </c>
      <c r="X37" s="17">
        <v>144000</v>
      </c>
      <c r="Y37" s="17">
        <v>82073.95</v>
      </c>
      <c r="Z37" s="17" t="s">
        <v>155</v>
      </c>
      <c r="AA37" s="17" t="s">
        <v>155</v>
      </c>
      <c r="AB37" s="17" t="s">
        <v>155</v>
      </c>
      <c r="AC37" s="17" t="s">
        <v>155</v>
      </c>
      <c r="AD37" s="17" t="s">
        <v>416</v>
      </c>
      <c r="AE37" s="17"/>
      <c r="AF37" s="17">
        <v>27.978171</v>
      </c>
      <c r="AG37" s="17" t="s">
        <v>155</v>
      </c>
      <c r="AH37" s="17">
        <v>40060.31</v>
      </c>
      <c r="AI37" s="17">
        <v>40060.31</v>
      </c>
      <c r="AJ37" s="17">
        <v>40060.31</v>
      </c>
      <c r="AK37" s="17" t="s">
        <v>840</v>
      </c>
      <c r="AL37" s="17" t="s">
        <v>840</v>
      </c>
      <c r="AM37" s="17" t="s">
        <v>840</v>
      </c>
      <c r="AN37" s="17">
        <v>200</v>
      </c>
      <c r="AO37" s="17">
        <v>200</v>
      </c>
      <c r="AP37" s="17">
        <v>200</v>
      </c>
      <c r="AQ37" s="17">
        <v>40288.57</v>
      </c>
      <c r="AR37" s="17" t="s">
        <v>155</v>
      </c>
      <c r="AS37" s="17">
        <v>175.45154600000001</v>
      </c>
      <c r="AT37" s="17" t="s">
        <v>155</v>
      </c>
      <c r="AU37" s="17" t="s">
        <v>348</v>
      </c>
      <c r="AV37" s="17" t="s">
        <v>155</v>
      </c>
      <c r="AW37" s="17">
        <v>49879.79</v>
      </c>
      <c r="AX37" s="2" t="s">
        <v>841</v>
      </c>
      <c r="AZ37" s="2" t="s">
        <v>418</v>
      </c>
      <c r="BA37" s="2" t="s">
        <v>419</v>
      </c>
      <c r="BB37" s="2" t="s">
        <v>420</v>
      </c>
      <c r="BC37" s="2" t="s">
        <v>20</v>
      </c>
    </row>
    <row r="38" spans="1:55" x14ac:dyDescent="0.3">
      <c r="A38" s="2" t="s">
        <v>481</v>
      </c>
      <c r="B38" s="2" t="s">
        <v>842</v>
      </c>
      <c r="C38" s="2" t="s">
        <v>13</v>
      </c>
      <c r="D38" s="2" t="s">
        <v>41</v>
      </c>
      <c r="E38" s="2" t="s">
        <v>522</v>
      </c>
      <c r="F38" s="2" t="s">
        <v>16</v>
      </c>
      <c r="G38" s="2" t="s">
        <v>13</v>
      </c>
      <c r="H38" s="2" t="s">
        <v>695</v>
      </c>
      <c r="I38" s="2" t="s">
        <v>843</v>
      </c>
      <c r="J38" s="2" t="s">
        <v>412</v>
      </c>
      <c r="K38" s="2" t="s">
        <v>13</v>
      </c>
      <c r="L38" s="2" t="s">
        <v>478</v>
      </c>
      <c r="M38" s="2" t="s">
        <v>479</v>
      </c>
      <c r="N38" s="2" t="s">
        <v>16</v>
      </c>
      <c r="O38" s="2" t="s">
        <v>413</v>
      </c>
      <c r="P38" s="2" t="s">
        <v>413</v>
      </c>
      <c r="Q38" s="2" t="s">
        <v>454</v>
      </c>
      <c r="R38" s="2" t="s">
        <v>423</v>
      </c>
      <c r="T38" s="2" t="s">
        <v>303</v>
      </c>
      <c r="U38" s="2" t="s">
        <v>22</v>
      </c>
      <c r="V38" s="2" t="s">
        <v>844</v>
      </c>
      <c r="W38" s="2" t="s">
        <v>845</v>
      </c>
      <c r="X38" s="17">
        <v>144000</v>
      </c>
      <c r="Y38" s="17">
        <v>82073.95</v>
      </c>
      <c r="Z38" s="17" t="s">
        <v>155</v>
      </c>
      <c r="AA38" s="17" t="s">
        <v>155</v>
      </c>
      <c r="AB38" s="17" t="s">
        <v>155</v>
      </c>
      <c r="AC38" s="17" t="s">
        <v>155</v>
      </c>
      <c r="AD38" s="17" t="s">
        <v>416</v>
      </c>
      <c r="AE38" s="17"/>
      <c r="AF38" s="17">
        <v>34.051437999999997</v>
      </c>
      <c r="AG38" s="17" t="s">
        <v>155</v>
      </c>
      <c r="AH38" s="17">
        <v>50860.23</v>
      </c>
      <c r="AI38" s="17">
        <v>50860.23</v>
      </c>
      <c r="AJ38" s="17">
        <v>50860.23</v>
      </c>
      <c r="AK38" s="17" t="s">
        <v>846</v>
      </c>
      <c r="AL38" s="17" t="s">
        <v>846</v>
      </c>
      <c r="AM38" s="17" t="s">
        <v>846</v>
      </c>
      <c r="AN38" s="17">
        <v>131.37</v>
      </c>
      <c r="AO38" s="17">
        <v>131.37</v>
      </c>
      <c r="AP38" s="17">
        <v>131.37</v>
      </c>
      <c r="AQ38" s="17">
        <v>49034.07</v>
      </c>
      <c r="AR38" s="17" t="s">
        <v>155</v>
      </c>
      <c r="AS38" s="17">
        <v>175.451527</v>
      </c>
      <c r="AT38" s="17" t="s">
        <v>155</v>
      </c>
      <c r="AU38" s="17" t="s">
        <v>348</v>
      </c>
      <c r="AV38" s="17" t="s">
        <v>155</v>
      </c>
      <c r="AW38" s="17" t="s">
        <v>155</v>
      </c>
      <c r="AX38" s="2" t="s">
        <v>155</v>
      </c>
      <c r="AZ38" s="2" t="s">
        <v>418</v>
      </c>
      <c r="BA38" s="2" t="s">
        <v>419</v>
      </c>
      <c r="BB38" s="2" t="s">
        <v>420</v>
      </c>
      <c r="BC38" s="2" t="s">
        <v>20</v>
      </c>
    </row>
    <row r="39" spans="1:55" x14ac:dyDescent="0.3">
      <c r="A39" s="2" t="s">
        <v>481</v>
      </c>
      <c r="B39" s="2" t="s">
        <v>847</v>
      </c>
      <c r="C39" s="2" t="s">
        <v>13</v>
      </c>
      <c r="D39" s="2" t="s">
        <v>41</v>
      </c>
      <c r="E39" s="2" t="s">
        <v>519</v>
      </c>
      <c r="F39" s="2" t="s">
        <v>16</v>
      </c>
      <c r="G39" s="2" t="s">
        <v>13</v>
      </c>
      <c r="H39" s="2" t="s">
        <v>695</v>
      </c>
      <c r="I39" s="2" t="s">
        <v>848</v>
      </c>
      <c r="J39" s="2" t="s">
        <v>816</v>
      </c>
      <c r="K39" s="2" t="s">
        <v>13</v>
      </c>
      <c r="L39" s="2" t="s">
        <v>478</v>
      </c>
      <c r="M39" s="2" t="s">
        <v>479</v>
      </c>
      <c r="N39" s="2" t="s">
        <v>16</v>
      </c>
      <c r="O39" s="2" t="s">
        <v>413</v>
      </c>
      <c r="P39" s="2" t="s">
        <v>413</v>
      </c>
      <c r="Q39" s="2" t="s">
        <v>454</v>
      </c>
      <c r="R39" s="2" t="s">
        <v>423</v>
      </c>
      <c r="T39" s="2" t="s">
        <v>303</v>
      </c>
      <c r="U39" s="2" t="s">
        <v>22</v>
      </c>
      <c r="V39" s="2" t="s">
        <v>849</v>
      </c>
      <c r="W39" s="2" t="s">
        <v>850</v>
      </c>
      <c r="X39" s="17">
        <v>144000</v>
      </c>
      <c r="Y39" s="17">
        <v>82073.95</v>
      </c>
      <c r="Z39" s="17" t="s">
        <v>155</v>
      </c>
      <c r="AA39" s="17" t="s">
        <v>155</v>
      </c>
      <c r="AB39" s="17" t="s">
        <v>155</v>
      </c>
      <c r="AC39" s="17" t="s">
        <v>155</v>
      </c>
      <c r="AD39" s="17" t="s">
        <v>416</v>
      </c>
      <c r="AE39" s="17"/>
      <c r="AF39" s="17">
        <v>37.970390999999999</v>
      </c>
      <c r="AG39" s="17" t="s">
        <v>155</v>
      </c>
      <c r="AH39" s="17">
        <v>53079.47</v>
      </c>
      <c r="AI39" s="17">
        <v>53079.47</v>
      </c>
      <c r="AJ39" s="17">
        <v>53079.47</v>
      </c>
      <c r="AK39" s="17" t="s">
        <v>851</v>
      </c>
      <c r="AL39" s="17" t="s">
        <v>851</v>
      </c>
      <c r="AM39" s="17" t="s">
        <v>851</v>
      </c>
      <c r="AN39" s="17">
        <v>172.13</v>
      </c>
      <c r="AO39" s="17">
        <v>172.13</v>
      </c>
      <c r="AP39" s="17">
        <v>172.13</v>
      </c>
      <c r="AQ39" s="17">
        <v>54677.36</v>
      </c>
      <c r="AR39" s="17" t="s">
        <v>155</v>
      </c>
      <c r="AS39" s="17">
        <v>175.451517</v>
      </c>
      <c r="AT39" s="17" t="s">
        <v>155</v>
      </c>
      <c r="AU39" s="17" t="s">
        <v>348</v>
      </c>
      <c r="AV39" s="17" t="s">
        <v>155</v>
      </c>
      <c r="AW39" s="17" t="s">
        <v>155</v>
      </c>
      <c r="AX39" s="2" t="s">
        <v>155</v>
      </c>
      <c r="AZ39" s="2" t="s">
        <v>418</v>
      </c>
      <c r="BA39" s="2" t="s">
        <v>419</v>
      </c>
      <c r="BB39" s="2" t="s">
        <v>420</v>
      </c>
      <c r="BC39" s="2" t="s">
        <v>20</v>
      </c>
    </row>
  </sheetData>
  <autoFilter ref="A1:AW39" xr:uid="{B6B76981-EE44-4445-BAC3-268F1640B3A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4621-8B23-46DE-A37E-428E80F922C7}">
  <dimension ref="A1:I115"/>
  <sheetViews>
    <sheetView showGridLines="0" workbookViewId="0"/>
  </sheetViews>
  <sheetFormatPr defaultRowHeight="14.4" x14ac:dyDescent="0.3"/>
  <cols>
    <col min="2" max="2" width="9.109375" style="2" bestFit="1" customWidth="1"/>
    <col min="3" max="3" width="7.44140625" style="2" bestFit="1" customWidth="1"/>
    <col min="4" max="4" width="12" style="2" bestFit="1" customWidth="1"/>
    <col min="5" max="5" width="16.109375" style="2" bestFit="1" customWidth="1"/>
    <col min="6" max="6" width="19.77734375" style="2" bestFit="1" customWidth="1"/>
    <col min="7" max="7" width="65" style="2" bestFit="1" customWidth="1"/>
    <col min="8" max="8" width="20.5546875" style="2" bestFit="1" customWidth="1"/>
    <col min="9" max="16384" width="8.88671875" style="2"/>
  </cols>
  <sheetData>
    <row r="1" spans="1:8" x14ac:dyDescent="0.3">
      <c r="A1" s="1" t="s">
        <v>482</v>
      </c>
      <c r="B1" s="13" t="s">
        <v>34</v>
      </c>
      <c r="C1" s="13" t="s">
        <v>35</v>
      </c>
      <c r="D1" s="13" t="s">
        <v>36</v>
      </c>
      <c r="E1" s="13" t="s">
        <v>37</v>
      </c>
      <c r="F1" s="14" t="s">
        <v>863</v>
      </c>
      <c r="G1" s="14" t="s">
        <v>864</v>
      </c>
      <c r="H1" s="14" t="s">
        <v>1061</v>
      </c>
    </row>
    <row r="2" spans="1:8" x14ac:dyDescent="0.3">
      <c r="A2" s="28" t="s">
        <v>480</v>
      </c>
      <c r="B2" s="29" t="s">
        <v>13</v>
      </c>
      <c r="C2" s="29" t="s">
        <v>41</v>
      </c>
      <c r="D2" s="29" t="s">
        <v>52</v>
      </c>
      <c r="E2" s="29" t="s">
        <v>16</v>
      </c>
      <c r="F2" s="29" t="s">
        <v>877</v>
      </c>
      <c r="G2" s="29" t="s">
        <v>865</v>
      </c>
      <c r="H2" s="30">
        <v>-42575.9</v>
      </c>
    </row>
    <row r="3" spans="1:8" x14ac:dyDescent="0.3">
      <c r="A3" s="28" t="s">
        <v>480</v>
      </c>
      <c r="B3" s="29" t="s">
        <v>13</v>
      </c>
      <c r="C3" s="29" t="s">
        <v>41</v>
      </c>
      <c r="D3" s="29" t="s">
        <v>63</v>
      </c>
      <c r="E3" s="29" t="s">
        <v>16</v>
      </c>
      <c r="F3" s="29" t="s">
        <v>878</v>
      </c>
      <c r="G3" s="29" t="s">
        <v>867</v>
      </c>
      <c r="H3" s="30">
        <v>-485586.28</v>
      </c>
    </row>
    <row r="4" spans="1:8" x14ac:dyDescent="0.3">
      <c r="A4" s="28" t="s">
        <v>480</v>
      </c>
      <c r="B4" s="29" t="s">
        <v>13</v>
      </c>
      <c r="C4" s="29" t="s">
        <v>41</v>
      </c>
      <c r="D4" s="29" t="s">
        <v>50</v>
      </c>
      <c r="E4" s="29" t="s">
        <v>16</v>
      </c>
      <c r="F4" s="29" t="s">
        <v>878</v>
      </c>
      <c r="G4" s="29" t="s">
        <v>867</v>
      </c>
      <c r="H4" s="30">
        <v>-69269.740000000005</v>
      </c>
    </row>
    <row r="5" spans="1:8" x14ac:dyDescent="0.3">
      <c r="A5" s="28" t="s">
        <v>480</v>
      </c>
      <c r="B5" s="29" t="s">
        <v>13</v>
      </c>
      <c r="C5" s="29" t="s">
        <v>41</v>
      </c>
      <c r="D5" s="29" t="s">
        <v>48</v>
      </c>
      <c r="E5" s="29" t="s">
        <v>16</v>
      </c>
      <c r="F5" s="29" t="s">
        <v>878</v>
      </c>
      <c r="G5" s="29" t="s">
        <v>867</v>
      </c>
      <c r="H5" s="30">
        <v>-133758.17000000001</v>
      </c>
    </row>
    <row r="6" spans="1:8" x14ac:dyDescent="0.3">
      <c r="A6" t="s">
        <v>480</v>
      </c>
      <c r="B6" s="2" t="s">
        <v>13</v>
      </c>
      <c r="C6" s="2" t="s">
        <v>41</v>
      </c>
      <c r="D6" s="2" t="s">
        <v>56</v>
      </c>
      <c r="E6" s="2" t="s">
        <v>16</v>
      </c>
      <c r="F6" s="2" t="s">
        <v>879</v>
      </c>
      <c r="G6" s="2" t="s">
        <v>868</v>
      </c>
      <c r="H6" s="15">
        <v>5104.57</v>
      </c>
    </row>
    <row r="7" spans="1:8" x14ac:dyDescent="0.3">
      <c r="A7" s="28" t="s">
        <v>480</v>
      </c>
      <c r="B7" s="29" t="s">
        <v>13</v>
      </c>
      <c r="C7" s="29" t="s">
        <v>41</v>
      </c>
      <c r="D7" s="29" t="s">
        <v>44</v>
      </c>
      <c r="E7" s="29" t="s">
        <v>16</v>
      </c>
      <c r="F7" s="29" t="s">
        <v>877</v>
      </c>
      <c r="G7" s="29" t="s">
        <v>865</v>
      </c>
      <c r="H7" s="30">
        <v>-1779861.75</v>
      </c>
    </row>
    <row r="8" spans="1:8" x14ac:dyDescent="0.3">
      <c r="A8" t="s">
        <v>480</v>
      </c>
      <c r="B8" s="2" t="s">
        <v>13</v>
      </c>
      <c r="C8" s="2" t="s">
        <v>41</v>
      </c>
      <c r="D8" s="2" t="s">
        <v>63</v>
      </c>
      <c r="E8" s="2" t="s">
        <v>16</v>
      </c>
      <c r="F8" s="2" t="s">
        <v>880</v>
      </c>
      <c r="H8" s="15">
        <v>-545622</v>
      </c>
    </row>
    <row r="9" spans="1:8" x14ac:dyDescent="0.3">
      <c r="A9" t="s">
        <v>480</v>
      </c>
      <c r="B9" s="2" t="s">
        <v>13</v>
      </c>
      <c r="C9" s="2" t="s">
        <v>41</v>
      </c>
      <c r="D9" s="2" t="s">
        <v>56</v>
      </c>
      <c r="E9" s="2" t="s">
        <v>16</v>
      </c>
      <c r="F9" s="2" t="s">
        <v>880</v>
      </c>
      <c r="H9" s="15">
        <v>-160000</v>
      </c>
    </row>
    <row r="10" spans="1:8" x14ac:dyDescent="0.3">
      <c r="A10" t="s">
        <v>480</v>
      </c>
      <c r="B10" s="2" t="s">
        <v>13</v>
      </c>
      <c r="C10" s="2" t="s">
        <v>41</v>
      </c>
      <c r="D10" s="2" t="s">
        <v>48</v>
      </c>
      <c r="E10" s="2" t="s">
        <v>16</v>
      </c>
      <c r="F10" s="2" t="s">
        <v>881</v>
      </c>
      <c r="G10" s="2" t="s">
        <v>866</v>
      </c>
      <c r="H10" s="15">
        <v>410.53</v>
      </c>
    </row>
    <row r="11" spans="1:8" x14ac:dyDescent="0.3">
      <c r="A11" s="28" t="s">
        <v>480</v>
      </c>
      <c r="B11" s="29" t="s">
        <v>13</v>
      </c>
      <c r="C11" s="29" t="s">
        <v>41</v>
      </c>
      <c r="D11" s="29" t="s">
        <v>65</v>
      </c>
      <c r="E11" s="29" t="s">
        <v>16</v>
      </c>
      <c r="F11" s="29" t="s">
        <v>878</v>
      </c>
      <c r="G11" s="29" t="s">
        <v>867</v>
      </c>
      <c r="H11" s="30">
        <v>-1879589.61</v>
      </c>
    </row>
    <row r="12" spans="1:8" x14ac:dyDescent="0.3">
      <c r="A12" t="s">
        <v>480</v>
      </c>
      <c r="B12" s="2" t="s">
        <v>13</v>
      </c>
      <c r="C12" s="2" t="s">
        <v>41</v>
      </c>
      <c r="D12" s="2" t="s">
        <v>48</v>
      </c>
      <c r="E12" s="2" t="s">
        <v>16</v>
      </c>
      <c r="F12" s="2" t="s">
        <v>880</v>
      </c>
      <c r="H12" s="15">
        <v>-243549.96</v>
      </c>
    </row>
    <row r="13" spans="1:8" x14ac:dyDescent="0.3">
      <c r="A13" t="s">
        <v>480</v>
      </c>
      <c r="B13" s="2" t="s">
        <v>13</v>
      </c>
      <c r="C13" s="2" t="s">
        <v>41</v>
      </c>
      <c r="D13" s="2" t="s">
        <v>62</v>
      </c>
      <c r="E13" s="2" t="s">
        <v>16</v>
      </c>
      <c r="F13" s="2" t="s">
        <v>880</v>
      </c>
      <c r="H13" s="15">
        <v>-300000</v>
      </c>
    </row>
    <row r="14" spans="1:8" x14ac:dyDescent="0.3">
      <c r="A14" s="28" t="s">
        <v>480</v>
      </c>
      <c r="B14" s="29" t="s">
        <v>13</v>
      </c>
      <c r="C14" s="29" t="s">
        <v>41</v>
      </c>
      <c r="D14" s="29" t="s">
        <v>58</v>
      </c>
      <c r="E14" s="29" t="s">
        <v>16</v>
      </c>
      <c r="F14" s="29" t="s">
        <v>878</v>
      </c>
      <c r="G14" s="29" t="s">
        <v>867</v>
      </c>
      <c r="H14" s="30">
        <v>-296073.15999999997</v>
      </c>
    </row>
    <row r="15" spans="1:8" x14ac:dyDescent="0.3">
      <c r="A15" t="s">
        <v>480</v>
      </c>
      <c r="B15" s="2" t="s">
        <v>13</v>
      </c>
      <c r="C15" s="2" t="s">
        <v>41</v>
      </c>
      <c r="D15" s="2" t="s">
        <v>46</v>
      </c>
      <c r="E15" s="2" t="s">
        <v>16</v>
      </c>
      <c r="F15" s="2" t="s">
        <v>881</v>
      </c>
      <c r="G15" s="2" t="s">
        <v>866</v>
      </c>
      <c r="H15" s="15">
        <v>34100.53</v>
      </c>
    </row>
    <row r="16" spans="1:8" x14ac:dyDescent="0.3">
      <c r="A16" t="s">
        <v>480</v>
      </c>
      <c r="B16" s="2" t="s">
        <v>13</v>
      </c>
      <c r="C16" s="2" t="s">
        <v>41</v>
      </c>
      <c r="D16" s="2" t="s">
        <v>60</v>
      </c>
      <c r="E16" s="2" t="s">
        <v>16</v>
      </c>
      <c r="F16" s="2" t="s">
        <v>880</v>
      </c>
      <c r="H16" s="15">
        <v>-1340107.04</v>
      </c>
    </row>
    <row r="17" spans="1:8" x14ac:dyDescent="0.3">
      <c r="A17" t="s">
        <v>480</v>
      </c>
      <c r="B17" s="2" t="s">
        <v>13</v>
      </c>
      <c r="C17" s="2" t="s">
        <v>41</v>
      </c>
      <c r="D17" s="2" t="s">
        <v>50</v>
      </c>
      <c r="E17" s="2" t="s">
        <v>16</v>
      </c>
      <c r="F17" s="2" t="s">
        <v>880</v>
      </c>
      <c r="H17" s="15">
        <v>-92000</v>
      </c>
    </row>
    <row r="18" spans="1:8" x14ac:dyDescent="0.3">
      <c r="A18" t="s">
        <v>480</v>
      </c>
      <c r="B18" s="2" t="s">
        <v>13</v>
      </c>
      <c r="C18" s="2" t="s">
        <v>41</v>
      </c>
      <c r="D18" s="2" t="s">
        <v>58</v>
      </c>
      <c r="E18" s="2" t="s">
        <v>16</v>
      </c>
      <c r="F18" s="2" t="s">
        <v>881</v>
      </c>
      <c r="G18" s="2" t="s">
        <v>866</v>
      </c>
      <c r="H18" s="15">
        <v>539.48</v>
      </c>
    </row>
    <row r="19" spans="1:8" x14ac:dyDescent="0.3">
      <c r="A19" s="28" t="s">
        <v>480</v>
      </c>
      <c r="B19" s="29" t="s">
        <v>13</v>
      </c>
      <c r="C19" s="29" t="s">
        <v>41</v>
      </c>
      <c r="D19" s="29" t="s">
        <v>62</v>
      </c>
      <c r="E19" s="29" t="s">
        <v>16</v>
      </c>
      <c r="F19" s="29" t="s">
        <v>878</v>
      </c>
      <c r="G19" s="29" t="s">
        <v>867</v>
      </c>
      <c r="H19" s="30">
        <v>-98590.64</v>
      </c>
    </row>
    <row r="20" spans="1:8" x14ac:dyDescent="0.3">
      <c r="A20" t="s">
        <v>480</v>
      </c>
      <c r="B20" s="2" t="s">
        <v>13</v>
      </c>
      <c r="C20" s="2" t="s">
        <v>41</v>
      </c>
      <c r="D20" s="2" t="s">
        <v>44</v>
      </c>
      <c r="E20" s="2" t="s">
        <v>16</v>
      </c>
      <c r="F20" s="2" t="s">
        <v>880</v>
      </c>
      <c r="H20" s="15">
        <v>-2200000</v>
      </c>
    </row>
    <row r="21" spans="1:8" x14ac:dyDescent="0.3">
      <c r="A21" t="s">
        <v>480</v>
      </c>
      <c r="B21" s="2" t="s">
        <v>13</v>
      </c>
      <c r="C21" s="2" t="s">
        <v>41</v>
      </c>
      <c r="D21" s="2" t="s">
        <v>52</v>
      </c>
      <c r="E21" s="2" t="s">
        <v>16</v>
      </c>
      <c r="F21" s="2" t="s">
        <v>880</v>
      </c>
      <c r="H21" s="15">
        <v>-60000</v>
      </c>
    </row>
    <row r="22" spans="1:8" x14ac:dyDescent="0.3">
      <c r="A22" t="s">
        <v>480</v>
      </c>
      <c r="B22" s="2" t="s">
        <v>13</v>
      </c>
      <c r="C22" s="2" t="s">
        <v>41</v>
      </c>
      <c r="D22" s="2" t="s">
        <v>58</v>
      </c>
      <c r="E22" s="2" t="s">
        <v>16</v>
      </c>
      <c r="F22" s="2" t="s">
        <v>880</v>
      </c>
      <c r="H22" s="15">
        <v>-300000</v>
      </c>
    </row>
    <row r="23" spans="1:8" x14ac:dyDescent="0.3">
      <c r="A23" t="s">
        <v>480</v>
      </c>
      <c r="B23" s="2" t="s">
        <v>13</v>
      </c>
      <c r="C23" s="2" t="s">
        <v>41</v>
      </c>
      <c r="D23" s="2" t="s">
        <v>50</v>
      </c>
      <c r="E23" s="2" t="s">
        <v>16</v>
      </c>
      <c r="F23" s="2" t="s">
        <v>881</v>
      </c>
      <c r="G23" s="2" t="s">
        <v>866</v>
      </c>
      <c r="H23" s="15">
        <v>213.76</v>
      </c>
    </row>
    <row r="24" spans="1:8" x14ac:dyDescent="0.3">
      <c r="A24" t="s">
        <v>480</v>
      </c>
      <c r="B24" s="2" t="s">
        <v>13</v>
      </c>
      <c r="C24" s="2" t="s">
        <v>41</v>
      </c>
      <c r="D24" s="2" t="s">
        <v>42</v>
      </c>
      <c r="E24" s="2" t="s">
        <v>16</v>
      </c>
      <c r="F24" s="2" t="s">
        <v>880</v>
      </c>
      <c r="H24" s="15">
        <v>-600000</v>
      </c>
    </row>
    <row r="25" spans="1:8" x14ac:dyDescent="0.3">
      <c r="A25" s="28" t="s">
        <v>480</v>
      </c>
      <c r="B25" s="29" t="s">
        <v>13</v>
      </c>
      <c r="C25" s="29" t="s">
        <v>41</v>
      </c>
      <c r="D25" s="29" t="s">
        <v>42</v>
      </c>
      <c r="E25" s="29" t="s">
        <v>16</v>
      </c>
      <c r="F25" s="29" t="s">
        <v>878</v>
      </c>
      <c r="G25" s="29" t="s">
        <v>867</v>
      </c>
      <c r="H25" s="30">
        <v>-387140.33</v>
      </c>
    </row>
    <row r="26" spans="1:8" x14ac:dyDescent="0.3">
      <c r="A26" t="s">
        <v>480</v>
      </c>
      <c r="B26" s="2" t="s">
        <v>13</v>
      </c>
      <c r="C26" s="2" t="s">
        <v>41</v>
      </c>
      <c r="D26" s="2" t="s">
        <v>44</v>
      </c>
      <c r="E26" s="2" t="s">
        <v>16</v>
      </c>
      <c r="F26" s="2" t="s">
        <v>879</v>
      </c>
      <c r="G26" s="2" t="s">
        <v>868</v>
      </c>
      <c r="H26" s="15">
        <v>112253.46</v>
      </c>
    </row>
    <row r="27" spans="1:8" x14ac:dyDescent="0.3">
      <c r="A27" s="28" t="s">
        <v>480</v>
      </c>
      <c r="B27" s="29" t="s">
        <v>13</v>
      </c>
      <c r="C27" s="29" t="s">
        <v>41</v>
      </c>
      <c r="D27" s="29" t="s">
        <v>56</v>
      </c>
      <c r="E27" s="29" t="s">
        <v>16</v>
      </c>
      <c r="F27" s="29" t="s">
        <v>877</v>
      </c>
      <c r="G27" s="29" t="s">
        <v>865</v>
      </c>
      <c r="H27" s="30">
        <v>-156050.71</v>
      </c>
    </row>
    <row r="28" spans="1:8" x14ac:dyDescent="0.3">
      <c r="A28" t="s">
        <v>480</v>
      </c>
      <c r="B28" s="2" t="s">
        <v>13</v>
      </c>
      <c r="C28" s="2" t="s">
        <v>41</v>
      </c>
      <c r="D28" s="2" t="s">
        <v>42</v>
      </c>
      <c r="E28" s="2" t="s">
        <v>16</v>
      </c>
      <c r="F28" s="2" t="s">
        <v>881</v>
      </c>
      <c r="G28" s="2" t="s">
        <v>866</v>
      </c>
      <c r="H28" s="15">
        <v>701.15</v>
      </c>
    </row>
    <row r="29" spans="1:8" x14ac:dyDescent="0.3">
      <c r="A29" t="s">
        <v>480</v>
      </c>
      <c r="B29" s="2" t="s">
        <v>13</v>
      </c>
      <c r="C29" s="2" t="s">
        <v>41</v>
      </c>
      <c r="D29" s="2" t="s">
        <v>63</v>
      </c>
      <c r="E29" s="2" t="s">
        <v>16</v>
      </c>
      <c r="F29" s="2" t="s">
        <v>881</v>
      </c>
      <c r="G29" s="2" t="s">
        <v>866</v>
      </c>
      <c r="H29" s="15">
        <v>878.71</v>
      </c>
    </row>
    <row r="30" spans="1:8" x14ac:dyDescent="0.3">
      <c r="A30" s="28" t="s">
        <v>480</v>
      </c>
      <c r="B30" s="29" t="s">
        <v>13</v>
      </c>
      <c r="C30" s="29" t="s">
        <v>41</v>
      </c>
      <c r="D30" s="29" t="s">
        <v>54</v>
      </c>
      <c r="E30" s="29" t="s">
        <v>16</v>
      </c>
      <c r="F30" s="29" t="s">
        <v>878</v>
      </c>
      <c r="G30" s="29" t="s">
        <v>867</v>
      </c>
      <c r="H30" s="30">
        <v>-1191155.27</v>
      </c>
    </row>
    <row r="31" spans="1:8" x14ac:dyDescent="0.3">
      <c r="A31" t="s">
        <v>480</v>
      </c>
      <c r="B31" s="2" t="s">
        <v>13</v>
      </c>
      <c r="C31" s="2" t="s">
        <v>41</v>
      </c>
      <c r="D31" s="2" t="s">
        <v>65</v>
      </c>
      <c r="E31" s="2" t="s">
        <v>16</v>
      </c>
      <c r="F31" s="2" t="s">
        <v>881</v>
      </c>
      <c r="G31" s="2" t="s">
        <v>866</v>
      </c>
      <c r="H31" s="15">
        <v>1077.01</v>
      </c>
    </row>
    <row r="32" spans="1:8" x14ac:dyDescent="0.3">
      <c r="A32" t="s">
        <v>480</v>
      </c>
      <c r="B32" s="2" t="s">
        <v>13</v>
      </c>
      <c r="C32" s="2" t="s">
        <v>41</v>
      </c>
      <c r="D32" s="2" t="s">
        <v>52</v>
      </c>
      <c r="E32" s="2" t="s">
        <v>16</v>
      </c>
      <c r="F32" s="2" t="s">
        <v>879</v>
      </c>
      <c r="G32" s="2" t="s">
        <v>868</v>
      </c>
      <c r="H32" s="15">
        <v>1584.87</v>
      </c>
    </row>
    <row r="33" spans="1:8" x14ac:dyDescent="0.3">
      <c r="A33" s="28" t="s">
        <v>480</v>
      </c>
      <c r="B33" s="29" t="s">
        <v>13</v>
      </c>
      <c r="C33" s="29" t="s">
        <v>41</v>
      </c>
      <c r="D33" s="29" t="s">
        <v>60</v>
      </c>
      <c r="E33" s="29" t="s">
        <v>16</v>
      </c>
      <c r="F33" s="29" t="s">
        <v>878</v>
      </c>
      <c r="G33" s="29" t="s">
        <v>867</v>
      </c>
      <c r="H33" s="30">
        <v>-944580.18</v>
      </c>
    </row>
    <row r="34" spans="1:8" x14ac:dyDescent="0.3">
      <c r="A34" t="s">
        <v>480</v>
      </c>
      <c r="B34" s="2" t="s">
        <v>13</v>
      </c>
      <c r="C34" s="2" t="s">
        <v>41</v>
      </c>
      <c r="D34" s="2" t="s">
        <v>54</v>
      </c>
      <c r="E34" s="2" t="s">
        <v>16</v>
      </c>
      <c r="F34" s="2" t="s">
        <v>881</v>
      </c>
      <c r="G34" s="2" t="s">
        <v>866</v>
      </c>
      <c r="H34" s="15">
        <v>675.64</v>
      </c>
    </row>
    <row r="35" spans="1:8" x14ac:dyDescent="0.3">
      <c r="A35" t="s">
        <v>480</v>
      </c>
      <c r="B35" s="2" t="s">
        <v>13</v>
      </c>
      <c r="C35" s="2" t="s">
        <v>41</v>
      </c>
      <c r="D35" s="2" t="s">
        <v>65</v>
      </c>
      <c r="E35" s="2" t="s">
        <v>16</v>
      </c>
      <c r="F35" s="2" t="s">
        <v>880</v>
      </c>
      <c r="H35" s="15">
        <v>-2000000</v>
      </c>
    </row>
    <row r="36" spans="1:8" x14ac:dyDescent="0.3">
      <c r="A36" t="s">
        <v>480</v>
      </c>
      <c r="B36" s="2" t="s">
        <v>13</v>
      </c>
      <c r="C36" s="2" t="s">
        <v>41</v>
      </c>
      <c r="D36" s="2" t="s">
        <v>62</v>
      </c>
      <c r="E36" s="2" t="s">
        <v>16</v>
      </c>
      <c r="F36" s="2" t="s">
        <v>881</v>
      </c>
      <c r="G36" s="2" t="s">
        <v>866</v>
      </c>
      <c r="H36" s="15">
        <v>415.86</v>
      </c>
    </row>
    <row r="37" spans="1:8" x14ac:dyDescent="0.3">
      <c r="A37" s="28" t="s">
        <v>480</v>
      </c>
      <c r="B37" s="29" t="s">
        <v>13</v>
      </c>
      <c r="C37" s="29" t="s">
        <v>41</v>
      </c>
      <c r="D37" s="29" t="s">
        <v>46</v>
      </c>
      <c r="E37" s="29" t="s">
        <v>16</v>
      </c>
      <c r="F37" s="29" t="s">
        <v>878</v>
      </c>
      <c r="G37" s="29" t="s">
        <v>867</v>
      </c>
      <c r="H37" s="30">
        <v>-32955627.449999999</v>
      </c>
    </row>
    <row r="38" spans="1:8" x14ac:dyDescent="0.3">
      <c r="A38" t="s">
        <v>480</v>
      </c>
      <c r="B38" s="2" t="s">
        <v>13</v>
      </c>
      <c r="C38" s="2" t="s">
        <v>41</v>
      </c>
      <c r="D38" s="2" t="s">
        <v>60</v>
      </c>
      <c r="E38" s="2" t="s">
        <v>16</v>
      </c>
      <c r="F38" s="2" t="s">
        <v>881</v>
      </c>
      <c r="G38" s="2" t="s">
        <v>866</v>
      </c>
      <c r="H38" s="15">
        <v>3991.36</v>
      </c>
    </row>
    <row r="39" spans="1:8" x14ac:dyDescent="0.3">
      <c r="A39" t="s">
        <v>481</v>
      </c>
      <c r="B39" s="2" t="s">
        <v>13</v>
      </c>
      <c r="C39" s="2" t="s">
        <v>41</v>
      </c>
      <c r="D39" s="2" t="s">
        <v>509</v>
      </c>
      <c r="E39" s="2" t="s">
        <v>16</v>
      </c>
      <c r="F39" s="2" t="s">
        <v>881</v>
      </c>
      <c r="G39" s="2" t="s">
        <v>870</v>
      </c>
      <c r="H39" s="15">
        <v>8.11</v>
      </c>
    </row>
    <row r="40" spans="1:8" x14ac:dyDescent="0.3">
      <c r="A40" s="28" t="s">
        <v>481</v>
      </c>
      <c r="B40" s="29" t="s">
        <v>13</v>
      </c>
      <c r="C40" s="29" t="s">
        <v>499</v>
      </c>
      <c r="D40" s="29" t="s">
        <v>505</v>
      </c>
      <c r="E40" s="29" t="s">
        <v>16</v>
      </c>
      <c r="F40" s="29" t="s">
        <v>878</v>
      </c>
      <c r="G40" s="29" t="s">
        <v>869</v>
      </c>
      <c r="H40" s="30">
        <v>-32306.69</v>
      </c>
    </row>
    <row r="41" spans="1:8" x14ac:dyDescent="0.3">
      <c r="A41" s="28" t="s">
        <v>481</v>
      </c>
      <c r="B41" s="29" t="s">
        <v>13</v>
      </c>
      <c r="C41" s="29" t="s">
        <v>499</v>
      </c>
      <c r="D41" s="29" t="s">
        <v>500</v>
      </c>
      <c r="E41" s="29" t="s">
        <v>16</v>
      </c>
      <c r="F41" s="29" t="s">
        <v>878</v>
      </c>
      <c r="G41" s="29" t="s">
        <v>869</v>
      </c>
      <c r="H41" s="30">
        <v>-91439.58</v>
      </c>
    </row>
    <row r="42" spans="1:8" x14ac:dyDescent="0.3">
      <c r="A42" s="28" t="s">
        <v>481</v>
      </c>
      <c r="B42" s="29" t="s">
        <v>13</v>
      </c>
      <c r="C42" s="29" t="s">
        <v>41</v>
      </c>
      <c r="D42" s="29" t="s">
        <v>484</v>
      </c>
      <c r="E42" s="29" t="s">
        <v>16</v>
      </c>
      <c r="F42" s="29" t="s">
        <v>878</v>
      </c>
      <c r="G42" s="29" t="s">
        <v>869</v>
      </c>
      <c r="H42" s="30">
        <v>-52727.39</v>
      </c>
    </row>
    <row r="43" spans="1:8" x14ac:dyDescent="0.3">
      <c r="A43" t="s">
        <v>481</v>
      </c>
      <c r="B43" s="2" t="s">
        <v>13</v>
      </c>
      <c r="C43" s="2" t="s">
        <v>41</v>
      </c>
      <c r="D43" s="2" t="s">
        <v>492</v>
      </c>
      <c r="E43" s="2" t="s">
        <v>16</v>
      </c>
      <c r="F43" s="2" t="s">
        <v>881</v>
      </c>
      <c r="G43" s="2" t="s">
        <v>870</v>
      </c>
      <c r="H43" s="15">
        <v>7.95</v>
      </c>
    </row>
    <row r="44" spans="1:8" x14ac:dyDescent="0.3">
      <c r="A44" t="s">
        <v>481</v>
      </c>
      <c r="B44" s="2" t="s">
        <v>13</v>
      </c>
      <c r="C44" s="2" t="s">
        <v>41</v>
      </c>
      <c r="D44" s="2" t="s">
        <v>495</v>
      </c>
      <c r="E44" s="2" t="s">
        <v>16</v>
      </c>
      <c r="F44" s="2" t="s">
        <v>880</v>
      </c>
      <c r="H44" s="15">
        <v>-482400</v>
      </c>
    </row>
    <row r="45" spans="1:8" x14ac:dyDescent="0.3">
      <c r="A45" s="28" t="s">
        <v>481</v>
      </c>
      <c r="B45" s="29" t="s">
        <v>13</v>
      </c>
      <c r="C45" s="29" t="s">
        <v>41</v>
      </c>
      <c r="D45" s="29" t="s">
        <v>490</v>
      </c>
      <c r="E45" s="29" t="s">
        <v>16</v>
      </c>
      <c r="F45" s="29" t="s">
        <v>878</v>
      </c>
      <c r="G45" s="29" t="s">
        <v>869</v>
      </c>
      <c r="H45" s="30">
        <v>-125830.06</v>
      </c>
    </row>
    <row r="46" spans="1:8" x14ac:dyDescent="0.3">
      <c r="A46" t="s">
        <v>481</v>
      </c>
      <c r="B46" s="2" t="s">
        <v>13</v>
      </c>
      <c r="C46" s="2" t="s">
        <v>41</v>
      </c>
      <c r="D46" s="2" t="s">
        <v>514</v>
      </c>
      <c r="E46" s="2" t="s">
        <v>16</v>
      </c>
      <c r="F46" s="2" t="s">
        <v>880</v>
      </c>
      <c r="H46" s="15">
        <v>-100000</v>
      </c>
    </row>
    <row r="47" spans="1:8" x14ac:dyDescent="0.3">
      <c r="A47" t="s">
        <v>481</v>
      </c>
      <c r="B47" s="2" t="s">
        <v>13</v>
      </c>
      <c r="C47" s="2" t="s">
        <v>41</v>
      </c>
      <c r="D47" s="2" t="s">
        <v>511</v>
      </c>
      <c r="E47" s="2" t="s">
        <v>16</v>
      </c>
      <c r="F47" s="2" t="s">
        <v>881</v>
      </c>
      <c r="G47" s="2" t="s">
        <v>870</v>
      </c>
      <c r="H47" s="15">
        <v>43.72</v>
      </c>
    </row>
    <row r="48" spans="1:8" x14ac:dyDescent="0.3">
      <c r="A48" t="s">
        <v>481</v>
      </c>
      <c r="B48" s="2" t="s">
        <v>13</v>
      </c>
      <c r="C48" s="2" t="s">
        <v>499</v>
      </c>
      <c r="D48" s="2" t="s">
        <v>504</v>
      </c>
      <c r="E48" s="2" t="s">
        <v>16</v>
      </c>
      <c r="F48" s="2" t="s">
        <v>880</v>
      </c>
      <c r="H48" s="15">
        <v>-131000</v>
      </c>
    </row>
    <row r="49" spans="1:8" x14ac:dyDescent="0.3">
      <c r="A49" t="s">
        <v>481</v>
      </c>
      <c r="B49" s="2" t="s">
        <v>13</v>
      </c>
      <c r="C49" s="2" t="s">
        <v>41</v>
      </c>
      <c r="D49" s="2" t="s">
        <v>486</v>
      </c>
      <c r="E49" s="2" t="s">
        <v>16</v>
      </c>
      <c r="F49" s="2" t="s">
        <v>881</v>
      </c>
      <c r="G49" s="2" t="s">
        <v>870</v>
      </c>
      <c r="H49" s="15">
        <v>8.69</v>
      </c>
    </row>
    <row r="50" spans="1:8" x14ac:dyDescent="0.3">
      <c r="A50" s="28" t="s">
        <v>481</v>
      </c>
      <c r="B50" s="29" t="s">
        <v>13</v>
      </c>
      <c r="C50" s="29" t="s">
        <v>41</v>
      </c>
      <c r="D50" s="29" t="s">
        <v>522</v>
      </c>
      <c r="E50" s="29" t="s">
        <v>16</v>
      </c>
      <c r="F50" s="29" t="s">
        <v>877</v>
      </c>
      <c r="G50" s="29" t="s">
        <v>871</v>
      </c>
      <c r="H50" s="30">
        <v>-27947.360000000001</v>
      </c>
    </row>
    <row r="51" spans="1:8" x14ac:dyDescent="0.3">
      <c r="A51" t="s">
        <v>481</v>
      </c>
      <c r="B51" s="2" t="s">
        <v>13</v>
      </c>
      <c r="C51" s="2" t="s">
        <v>41</v>
      </c>
      <c r="D51" s="2" t="s">
        <v>507</v>
      </c>
      <c r="E51" s="2" t="s">
        <v>16</v>
      </c>
      <c r="F51" s="2" t="s">
        <v>880</v>
      </c>
      <c r="H51" s="15">
        <v>-268000</v>
      </c>
    </row>
    <row r="52" spans="1:8" x14ac:dyDescent="0.3">
      <c r="A52" s="28" t="s">
        <v>481</v>
      </c>
      <c r="B52" s="29" t="s">
        <v>13</v>
      </c>
      <c r="C52" s="29" t="s">
        <v>41</v>
      </c>
      <c r="D52" s="29" t="s">
        <v>518</v>
      </c>
      <c r="E52" s="29" t="s">
        <v>16</v>
      </c>
      <c r="F52" s="29" t="s">
        <v>882</v>
      </c>
      <c r="G52" s="29" t="s">
        <v>872</v>
      </c>
      <c r="H52" s="30">
        <v>-17735.810000000001</v>
      </c>
    </row>
    <row r="53" spans="1:8" x14ac:dyDescent="0.3">
      <c r="A53" t="s">
        <v>481</v>
      </c>
      <c r="B53" s="2" t="s">
        <v>13</v>
      </c>
      <c r="C53" s="2" t="s">
        <v>41</v>
      </c>
      <c r="D53" s="2" t="s">
        <v>515</v>
      </c>
      <c r="E53" s="2" t="s">
        <v>16</v>
      </c>
      <c r="F53" s="2" t="s">
        <v>880</v>
      </c>
      <c r="H53" s="15">
        <v>-101681.4</v>
      </c>
    </row>
    <row r="54" spans="1:8" x14ac:dyDescent="0.3">
      <c r="A54" t="s">
        <v>481</v>
      </c>
      <c r="B54" s="2" t="s">
        <v>13</v>
      </c>
      <c r="C54" s="2" t="s">
        <v>41</v>
      </c>
      <c r="D54" s="2" t="s">
        <v>509</v>
      </c>
      <c r="E54" s="2" t="s">
        <v>16</v>
      </c>
      <c r="F54" s="2" t="s">
        <v>880</v>
      </c>
      <c r="H54" s="15">
        <v>-20428.52</v>
      </c>
    </row>
    <row r="55" spans="1:8" x14ac:dyDescent="0.3">
      <c r="A55" s="28" t="s">
        <v>481</v>
      </c>
      <c r="B55" s="29" t="s">
        <v>13</v>
      </c>
      <c r="C55" s="29" t="s">
        <v>41</v>
      </c>
      <c r="D55" s="29" t="s">
        <v>512</v>
      </c>
      <c r="E55" s="29" t="s">
        <v>16</v>
      </c>
      <c r="F55" s="29" t="s">
        <v>878</v>
      </c>
      <c r="G55" s="29" t="s">
        <v>869</v>
      </c>
      <c r="H55" s="30">
        <v>-230985.88</v>
      </c>
    </row>
    <row r="56" spans="1:8" x14ac:dyDescent="0.3">
      <c r="A56" s="28" t="s">
        <v>481</v>
      </c>
      <c r="B56" s="29" t="s">
        <v>13</v>
      </c>
      <c r="C56" s="29" t="s">
        <v>41</v>
      </c>
      <c r="D56" s="29" t="s">
        <v>514</v>
      </c>
      <c r="E56" s="29" t="s">
        <v>16</v>
      </c>
      <c r="F56" s="29" t="s">
        <v>878</v>
      </c>
      <c r="G56" s="29" t="s">
        <v>869</v>
      </c>
      <c r="H56" s="30">
        <v>-91107.31</v>
      </c>
    </row>
    <row r="57" spans="1:8" x14ac:dyDescent="0.3">
      <c r="A57" s="28" t="s">
        <v>481</v>
      </c>
      <c r="B57" s="29" t="s">
        <v>13</v>
      </c>
      <c r="C57" s="29" t="s">
        <v>41</v>
      </c>
      <c r="D57" s="29" t="s">
        <v>507</v>
      </c>
      <c r="E57" s="29" t="s">
        <v>16</v>
      </c>
      <c r="F57" s="29" t="s">
        <v>877</v>
      </c>
      <c r="G57" s="29" t="s">
        <v>871</v>
      </c>
      <c r="H57" s="30">
        <v>-186858.92</v>
      </c>
    </row>
    <row r="58" spans="1:8" x14ac:dyDescent="0.3">
      <c r="A58" t="s">
        <v>481</v>
      </c>
      <c r="B58" s="2" t="s">
        <v>13</v>
      </c>
      <c r="C58" s="2" t="s">
        <v>41</v>
      </c>
      <c r="D58" s="2" t="s">
        <v>490</v>
      </c>
      <c r="E58" s="2" t="s">
        <v>16</v>
      </c>
      <c r="F58" s="2" t="s">
        <v>881</v>
      </c>
      <c r="G58" s="2" t="s">
        <v>870</v>
      </c>
      <c r="H58" s="15">
        <v>13.53</v>
      </c>
    </row>
    <row r="59" spans="1:8" x14ac:dyDescent="0.3">
      <c r="A59" t="s">
        <v>481</v>
      </c>
      <c r="B59" s="2" t="s">
        <v>13</v>
      </c>
      <c r="C59" s="2" t="s">
        <v>41</v>
      </c>
      <c r="D59" s="2" t="s">
        <v>511</v>
      </c>
      <c r="E59" s="2" t="s">
        <v>16</v>
      </c>
      <c r="F59" s="2" t="s">
        <v>880</v>
      </c>
      <c r="H59" s="15">
        <v>-174200</v>
      </c>
    </row>
    <row r="60" spans="1:8" x14ac:dyDescent="0.3">
      <c r="A60" t="s">
        <v>481</v>
      </c>
      <c r="B60" s="2" t="s">
        <v>13</v>
      </c>
      <c r="C60" s="2" t="s">
        <v>41</v>
      </c>
      <c r="D60" s="2" t="s">
        <v>512</v>
      </c>
      <c r="E60" s="2" t="s">
        <v>16</v>
      </c>
      <c r="F60" s="2" t="s">
        <v>881</v>
      </c>
      <c r="G60" s="2" t="s">
        <v>870</v>
      </c>
      <c r="H60" s="15">
        <v>24.68</v>
      </c>
    </row>
    <row r="61" spans="1:8" x14ac:dyDescent="0.3">
      <c r="A61" t="s">
        <v>481</v>
      </c>
      <c r="B61" s="2" t="s">
        <v>13</v>
      </c>
      <c r="C61" s="2" t="s">
        <v>41</v>
      </c>
      <c r="D61" s="2" t="s">
        <v>519</v>
      </c>
      <c r="E61" s="2" t="s">
        <v>16</v>
      </c>
      <c r="F61" s="2" t="s">
        <v>881</v>
      </c>
      <c r="G61" s="2" t="s">
        <v>870</v>
      </c>
      <c r="H61" s="15">
        <v>214.34</v>
      </c>
    </row>
    <row r="62" spans="1:8" x14ac:dyDescent="0.3">
      <c r="A62" t="s">
        <v>481</v>
      </c>
      <c r="B62" s="2" t="s">
        <v>13</v>
      </c>
      <c r="C62" s="2" t="s">
        <v>478</v>
      </c>
      <c r="D62" s="2" t="s">
        <v>521</v>
      </c>
      <c r="E62" s="2" t="s">
        <v>16</v>
      </c>
      <c r="F62" s="2" t="s">
        <v>881</v>
      </c>
      <c r="G62" s="2" t="s">
        <v>870</v>
      </c>
      <c r="H62" s="15">
        <v>49.72</v>
      </c>
    </row>
    <row r="63" spans="1:8" x14ac:dyDescent="0.3">
      <c r="A63" t="s">
        <v>481</v>
      </c>
      <c r="B63" s="2" t="s">
        <v>13</v>
      </c>
      <c r="C63" s="2" t="s">
        <v>478</v>
      </c>
      <c r="D63" s="2" t="s">
        <v>521</v>
      </c>
      <c r="E63" s="2" t="s">
        <v>16</v>
      </c>
      <c r="F63" s="2" t="s">
        <v>880</v>
      </c>
      <c r="H63" s="15">
        <v>-64594.33</v>
      </c>
    </row>
    <row r="64" spans="1:8" x14ac:dyDescent="0.3">
      <c r="A64" t="s">
        <v>481</v>
      </c>
      <c r="B64" s="2" t="s">
        <v>13</v>
      </c>
      <c r="C64" s="2" t="s">
        <v>41</v>
      </c>
      <c r="D64" s="2" t="s">
        <v>519</v>
      </c>
      <c r="E64" s="2" t="s">
        <v>16</v>
      </c>
      <c r="F64" s="2" t="s">
        <v>880</v>
      </c>
      <c r="H64" s="15">
        <v>-50000</v>
      </c>
    </row>
    <row r="65" spans="1:8" x14ac:dyDescent="0.3">
      <c r="A65" s="28" t="s">
        <v>481</v>
      </c>
      <c r="B65" s="29" t="s">
        <v>13</v>
      </c>
      <c r="C65" s="29" t="s">
        <v>41</v>
      </c>
      <c r="D65" s="29" t="s">
        <v>486</v>
      </c>
      <c r="E65" s="29" t="s">
        <v>16</v>
      </c>
      <c r="F65" s="29" t="s">
        <v>878</v>
      </c>
      <c r="G65" s="29" t="s">
        <v>869</v>
      </c>
      <c r="H65" s="30">
        <v>-96251.33</v>
      </c>
    </row>
    <row r="66" spans="1:8" x14ac:dyDescent="0.3">
      <c r="A66" t="s">
        <v>481</v>
      </c>
      <c r="B66" s="2" t="s">
        <v>13</v>
      </c>
      <c r="C66" s="2" t="s">
        <v>41</v>
      </c>
      <c r="D66" s="2" t="s">
        <v>484</v>
      </c>
      <c r="E66" s="2" t="s">
        <v>16</v>
      </c>
      <c r="F66" s="2" t="s">
        <v>880</v>
      </c>
      <c r="H66" s="15">
        <v>-72360</v>
      </c>
    </row>
    <row r="67" spans="1:8" x14ac:dyDescent="0.3">
      <c r="A67" s="28" t="s">
        <v>481</v>
      </c>
      <c r="B67" s="29" t="s">
        <v>13</v>
      </c>
      <c r="C67" s="29" t="s">
        <v>41</v>
      </c>
      <c r="D67" s="29" t="s">
        <v>488</v>
      </c>
      <c r="E67" s="29" t="s">
        <v>16</v>
      </c>
      <c r="F67" s="29" t="s">
        <v>878</v>
      </c>
      <c r="G67" s="29" t="s">
        <v>869</v>
      </c>
      <c r="H67" s="30">
        <v>-195458.64</v>
      </c>
    </row>
    <row r="68" spans="1:8" x14ac:dyDescent="0.3">
      <c r="A68" t="s">
        <v>481</v>
      </c>
      <c r="B68" s="2" t="s">
        <v>13</v>
      </c>
      <c r="C68" s="2" t="s">
        <v>41</v>
      </c>
      <c r="D68" s="2" t="s">
        <v>517</v>
      </c>
      <c r="E68" s="2" t="s">
        <v>16</v>
      </c>
      <c r="F68" s="2" t="s">
        <v>883</v>
      </c>
      <c r="G68" s="2" t="s">
        <v>874</v>
      </c>
      <c r="H68" s="15">
        <v>34317.94</v>
      </c>
    </row>
    <row r="69" spans="1:8" x14ac:dyDescent="0.3">
      <c r="A69" s="28" t="s">
        <v>481</v>
      </c>
      <c r="B69" s="29" t="s">
        <v>13</v>
      </c>
      <c r="C69" s="29" t="s">
        <v>41</v>
      </c>
      <c r="D69" s="29" t="s">
        <v>495</v>
      </c>
      <c r="E69" s="29" t="s">
        <v>16</v>
      </c>
      <c r="F69" s="29" t="s">
        <v>878</v>
      </c>
      <c r="G69" s="29" t="s">
        <v>869</v>
      </c>
      <c r="H69" s="30">
        <v>-317159.55</v>
      </c>
    </row>
    <row r="70" spans="1:8" x14ac:dyDescent="0.3">
      <c r="A70" t="s">
        <v>481</v>
      </c>
      <c r="B70" s="2" t="s">
        <v>13</v>
      </c>
      <c r="C70" s="2" t="s">
        <v>41</v>
      </c>
      <c r="D70" s="2" t="s">
        <v>497</v>
      </c>
      <c r="E70" s="2" t="s">
        <v>16</v>
      </c>
      <c r="F70" s="2" t="s">
        <v>880</v>
      </c>
      <c r="H70" s="15">
        <v>-144720</v>
      </c>
    </row>
    <row r="71" spans="1:8" x14ac:dyDescent="0.3">
      <c r="A71" t="s">
        <v>481</v>
      </c>
      <c r="B71" s="2" t="s">
        <v>13</v>
      </c>
      <c r="C71" s="2" t="s">
        <v>41</v>
      </c>
      <c r="D71" s="2" t="s">
        <v>518</v>
      </c>
      <c r="E71" s="2" t="s">
        <v>16</v>
      </c>
      <c r="F71" s="2" t="s">
        <v>880</v>
      </c>
      <c r="H71" s="15">
        <v>-20000</v>
      </c>
    </row>
    <row r="72" spans="1:8" x14ac:dyDescent="0.3">
      <c r="A72" t="s">
        <v>481</v>
      </c>
      <c r="B72" s="2" t="s">
        <v>13</v>
      </c>
      <c r="C72" s="2" t="s">
        <v>41</v>
      </c>
      <c r="D72" s="2" t="s">
        <v>488</v>
      </c>
      <c r="E72" s="2" t="s">
        <v>16</v>
      </c>
      <c r="F72" s="2" t="s">
        <v>881</v>
      </c>
      <c r="G72" s="2" t="s">
        <v>870</v>
      </c>
      <c r="H72" s="15">
        <v>20.97</v>
      </c>
    </row>
    <row r="73" spans="1:8" x14ac:dyDescent="0.3">
      <c r="A73" t="s">
        <v>481</v>
      </c>
      <c r="B73" s="2" t="s">
        <v>13</v>
      </c>
      <c r="C73" s="2" t="s">
        <v>499</v>
      </c>
      <c r="D73" s="2" t="s">
        <v>504</v>
      </c>
      <c r="E73" s="2" t="s">
        <v>16</v>
      </c>
      <c r="F73" s="2" t="s">
        <v>881</v>
      </c>
      <c r="G73" s="2" t="s">
        <v>870</v>
      </c>
      <c r="H73" s="15">
        <v>30.45</v>
      </c>
    </row>
    <row r="74" spans="1:8" x14ac:dyDescent="0.3">
      <c r="A74" s="28" t="s">
        <v>481</v>
      </c>
      <c r="B74" s="29" t="s">
        <v>13</v>
      </c>
      <c r="C74" s="29" t="s">
        <v>41</v>
      </c>
      <c r="D74" s="29" t="s">
        <v>515</v>
      </c>
      <c r="E74" s="29" t="s">
        <v>16</v>
      </c>
      <c r="F74" s="29" t="s">
        <v>882</v>
      </c>
      <c r="G74" s="29" t="s">
        <v>872</v>
      </c>
      <c r="H74" s="30">
        <v>-58351.360000000001</v>
      </c>
    </row>
    <row r="75" spans="1:8" x14ac:dyDescent="0.3">
      <c r="A75" s="28" t="s">
        <v>481</v>
      </c>
      <c r="B75" s="29" t="s">
        <v>13</v>
      </c>
      <c r="C75" s="29" t="s">
        <v>41</v>
      </c>
      <c r="D75" s="29" t="s">
        <v>511</v>
      </c>
      <c r="E75" s="29" t="s">
        <v>16</v>
      </c>
      <c r="F75" s="29" t="s">
        <v>878</v>
      </c>
      <c r="G75" s="29" t="s">
        <v>869</v>
      </c>
      <c r="H75" s="30">
        <v>-120628.35</v>
      </c>
    </row>
    <row r="76" spans="1:8" x14ac:dyDescent="0.3">
      <c r="A76" t="s">
        <v>481</v>
      </c>
      <c r="B76" s="2" t="s">
        <v>13</v>
      </c>
      <c r="C76" s="2" t="s">
        <v>41</v>
      </c>
      <c r="D76" s="2" t="s">
        <v>496</v>
      </c>
      <c r="E76" s="2" t="s">
        <v>16</v>
      </c>
      <c r="F76" s="2" t="s">
        <v>881</v>
      </c>
      <c r="G76" s="2" t="s">
        <v>870</v>
      </c>
      <c r="H76" s="15">
        <v>6.19</v>
      </c>
    </row>
    <row r="77" spans="1:8" x14ac:dyDescent="0.3">
      <c r="A77" t="s">
        <v>481</v>
      </c>
      <c r="B77" s="2" t="s">
        <v>13</v>
      </c>
      <c r="C77" s="2" t="s">
        <v>41</v>
      </c>
      <c r="D77" s="2" t="s">
        <v>506</v>
      </c>
      <c r="E77" s="2" t="s">
        <v>16</v>
      </c>
      <c r="F77" s="2" t="s">
        <v>881</v>
      </c>
      <c r="G77" s="2" t="s">
        <v>870</v>
      </c>
      <c r="H77" s="15">
        <v>14.05</v>
      </c>
    </row>
    <row r="78" spans="1:8" x14ac:dyDescent="0.3">
      <c r="A78" s="28" t="s">
        <v>481</v>
      </c>
      <c r="B78" s="29" t="s">
        <v>13</v>
      </c>
      <c r="C78" s="29" t="s">
        <v>41</v>
      </c>
      <c r="D78" s="29" t="s">
        <v>509</v>
      </c>
      <c r="E78" s="29" t="s">
        <v>16</v>
      </c>
      <c r="F78" s="29" t="s">
        <v>878</v>
      </c>
      <c r="G78" s="29" t="s">
        <v>869</v>
      </c>
      <c r="H78" s="30">
        <v>-18558.59</v>
      </c>
    </row>
    <row r="79" spans="1:8" x14ac:dyDescent="0.3">
      <c r="A79" t="s">
        <v>481</v>
      </c>
      <c r="B79" s="2" t="s">
        <v>13</v>
      </c>
      <c r="C79" s="2" t="s">
        <v>499</v>
      </c>
      <c r="D79" s="2" t="s">
        <v>505</v>
      </c>
      <c r="E79" s="2" t="s">
        <v>16</v>
      </c>
      <c r="F79" s="2" t="s">
        <v>881</v>
      </c>
      <c r="G79" s="2" t="s">
        <v>870</v>
      </c>
      <c r="H79" s="15">
        <v>13.89</v>
      </c>
    </row>
    <row r="80" spans="1:8" x14ac:dyDescent="0.3">
      <c r="A80" t="s">
        <v>481</v>
      </c>
      <c r="B80" s="2" t="s">
        <v>13</v>
      </c>
      <c r="C80" s="2" t="s">
        <v>41</v>
      </c>
      <c r="D80" s="2" t="s">
        <v>493</v>
      </c>
      <c r="E80" s="2" t="s">
        <v>16</v>
      </c>
      <c r="F80" s="2" t="s">
        <v>881</v>
      </c>
      <c r="G80" s="2" t="s">
        <v>870</v>
      </c>
      <c r="H80" s="15">
        <v>15.89</v>
      </c>
    </row>
    <row r="81" spans="1:8" x14ac:dyDescent="0.3">
      <c r="A81" t="s">
        <v>481</v>
      </c>
      <c r="B81" s="2" t="s">
        <v>13</v>
      </c>
      <c r="C81" s="2" t="s">
        <v>499</v>
      </c>
      <c r="D81" s="2" t="s">
        <v>505</v>
      </c>
      <c r="E81" s="2" t="s">
        <v>16</v>
      </c>
      <c r="F81" s="2" t="s">
        <v>880</v>
      </c>
      <c r="H81" s="15">
        <v>-40000</v>
      </c>
    </row>
    <row r="82" spans="1:8" x14ac:dyDescent="0.3">
      <c r="A82" t="s">
        <v>481</v>
      </c>
      <c r="B82" s="2" t="s">
        <v>13</v>
      </c>
      <c r="C82" s="2" t="s">
        <v>41</v>
      </c>
      <c r="D82" s="2" t="s">
        <v>495</v>
      </c>
      <c r="E82" s="2" t="s">
        <v>16</v>
      </c>
      <c r="F82" s="2" t="s">
        <v>881</v>
      </c>
      <c r="G82" s="2" t="s">
        <v>870</v>
      </c>
      <c r="H82" s="15">
        <v>34.04</v>
      </c>
    </row>
    <row r="83" spans="1:8" x14ac:dyDescent="0.3">
      <c r="A83" t="s">
        <v>481</v>
      </c>
      <c r="B83" s="2" t="s">
        <v>13</v>
      </c>
      <c r="C83" s="2" t="s">
        <v>41</v>
      </c>
      <c r="D83" s="2" t="s">
        <v>486</v>
      </c>
      <c r="E83" s="2" t="s">
        <v>16</v>
      </c>
      <c r="F83" s="2" t="s">
        <v>884</v>
      </c>
      <c r="G83" s="2" t="s">
        <v>873</v>
      </c>
      <c r="H83" s="15">
        <v>-24000</v>
      </c>
    </row>
    <row r="84" spans="1:8" x14ac:dyDescent="0.3">
      <c r="A84" t="s">
        <v>481</v>
      </c>
      <c r="B84" s="2" t="s">
        <v>13</v>
      </c>
      <c r="C84" s="2" t="s">
        <v>41</v>
      </c>
      <c r="D84" s="2" t="s">
        <v>515</v>
      </c>
      <c r="E84" s="2" t="s">
        <v>16</v>
      </c>
      <c r="F84" s="2" t="s">
        <v>883</v>
      </c>
      <c r="G84" s="2" t="s">
        <v>874</v>
      </c>
      <c r="H84" s="15">
        <v>8268.86</v>
      </c>
    </row>
    <row r="85" spans="1:8" x14ac:dyDescent="0.3">
      <c r="A85" t="s">
        <v>481</v>
      </c>
      <c r="B85" s="2" t="s">
        <v>13</v>
      </c>
      <c r="C85" s="2" t="s">
        <v>41</v>
      </c>
      <c r="D85" s="2" t="s">
        <v>522</v>
      </c>
      <c r="E85" s="2" t="s">
        <v>16</v>
      </c>
      <c r="F85" s="2" t="s">
        <v>879</v>
      </c>
      <c r="G85" s="2" t="s">
        <v>875</v>
      </c>
      <c r="H85" s="15">
        <v>134.25</v>
      </c>
    </row>
    <row r="86" spans="1:8" x14ac:dyDescent="0.3">
      <c r="A86" t="s">
        <v>481</v>
      </c>
      <c r="B86" s="2" t="s">
        <v>13</v>
      </c>
      <c r="C86" s="2" t="s">
        <v>41</v>
      </c>
      <c r="D86" s="2" t="s">
        <v>492</v>
      </c>
      <c r="E86" s="2" t="s">
        <v>16</v>
      </c>
      <c r="F86" s="2" t="s">
        <v>880</v>
      </c>
      <c r="H86" s="15">
        <v>-106920.8</v>
      </c>
    </row>
    <row r="87" spans="1:8" x14ac:dyDescent="0.3">
      <c r="A87" t="s">
        <v>481</v>
      </c>
      <c r="B87" s="2" t="s">
        <v>13</v>
      </c>
      <c r="C87" s="2" t="s">
        <v>41</v>
      </c>
      <c r="D87" s="2" t="s">
        <v>518</v>
      </c>
      <c r="E87" s="2" t="s">
        <v>16</v>
      </c>
      <c r="F87" s="2" t="s">
        <v>883</v>
      </c>
      <c r="G87" s="2" t="s">
        <v>874</v>
      </c>
      <c r="H87" s="15">
        <v>2735.68</v>
      </c>
    </row>
    <row r="88" spans="1:8" x14ac:dyDescent="0.3">
      <c r="A88" s="28" t="s">
        <v>481</v>
      </c>
      <c r="B88" s="29" t="s">
        <v>13</v>
      </c>
      <c r="C88" s="29" t="s">
        <v>41</v>
      </c>
      <c r="D88" s="29" t="s">
        <v>517</v>
      </c>
      <c r="E88" s="29" t="s">
        <v>16</v>
      </c>
      <c r="F88" s="29" t="s">
        <v>882</v>
      </c>
      <c r="G88" s="29" t="s">
        <v>872</v>
      </c>
      <c r="H88" s="30">
        <v>-117554.78</v>
      </c>
    </row>
    <row r="89" spans="1:8" x14ac:dyDescent="0.3">
      <c r="A89" s="28" t="s">
        <v>481</v>
      </c>
      <c r="B89" s="29" t="s">
        <v>13</v>
      </c>
      <c r="C89" s="29" t="s">
        <v>41</v>
      </c>
      <c r="D89" s="29" t="s">
        <v>519</v>
      </c>
      <c r="E89" s="29" t="s">
        <v>16</v>
      </c>
      <c r="F89" s="29" t="s">
        <v>878</v>
      </c>
      <c r="G89" s="29" t="s">
        <v>869</v>
      </c>
      <c r="H89" s="30">
        <v>-31163.8</v>
      </c>
    </row>
    <row r="90" spans="1:8" x14ac:dyDescent="0.3">
      <c r="A90" t="s">
        <v>481</v>
      </c>
      <c r="B90" s="2" t="s">
        <v>13</v>
      </c>
      <c r="C90" s="2" t="s">
        <v>41</v>
      </c>
      <c r="D90" s="2" t="s">
        <v>493</v>
      </c>
      <c r="E90" s="2" t="s">
        <v>16</v>
      </c>
      <c r="F90" s="2" t="s">
        <v>880</v>
      </c>
      <c r="H90" s="15">
        <v>-214400</v>
      </c>
    </row>
    <row r="91" spans="1:8" x14ac:dyDescent="0.3">
      <c r="A91" s="28" t="s">
        <v>481</v>
      </c>
      <c r="B91" s="29" t="s">
        <v>13</v>
      </c>
      <c r="C91" s="29" t="s">
        <v>41</v>
      </c>
      <c r="D91" s="29" t="s">
        <v>496</v>
      </c>
      <c r="E91" s="29" t="s">
        <v>16</v>
      </c>
      <c r="F91" s="29" t="s">
        <v>878</v>
      </c>
      <c r="G91" s="29" t="s">
        <v>869</v>
      </c>
      <c r="H91" s="30">
        <v>-57520.22</v>
      </c>
    </row>
    <row r="92" spans="1:8" x14ac:dyDescent="0.3">
      <c r="A92" t="s">
        <v>481</v>
      </c>
      <c r="B92" s="2" t="s">
        <v>13</v>
      </c>
      <c r="C92" s="2" t="s">
        <v>499</v>
      </c>
      <c r="D92" s="2" t="s">
        <v>500</v>
      </c>
      <c r="E92" s="2" t="s">
        <v>16</v>
      </c>
      <c r="F92" s="2" t="s">
        <v>881</v>
      </c>
      <c r="G92" s="2" t="s">
        <v>870</v>
      </c>
      <c r="H92" s="15">
        <v>12.47</v>
      </c>
    </row>
    <row r="93" spans="1:8" x14ac:dyDescent="0.3">
      <c r="A93" t="s">
        <v>481</v>
      </c>
      <c r="B93" s="2" t="s">
        <v>13</v>
      </c>
      <c r="C93" s="2" t="s">
        <v>41</v>
      </c>
      <c r="D93" s="2" t="s">
        <v>486</v>
      </c>
      <c r="E93" s="2" t="s">
        <v>16</v>
      </c>
      <c r="F93" s="2" t="s">
        <v>880</v>
      </c>
      <c r="H93" s="15">
        <v>-160800</v>
      </c>
    </row>
    <row r="94" spans="1:8" x14ac:dyDescent="0.3">
      <c r="A94" t="s">
        <v>481</v>
      </c>
      <c r="B94" s="2" t="s">
        <v>13</v>
      </c>
      <c r="C94" s="2" t="s">
        <v>499</v>
      </c>
      <c r="D94" s="2" t="s">
        <v>502</v>
      </c>
      <c r="E94" s="2" t="s">
        <v>16</v>
      </c>
      <c r="F94" s="2" t="s">
        <v>880</v>
      </c>
      <c r="H94" s="15">
        <v>-95000</v>
      </c>
    </row>
    <row r="95" spans="1:8" x14ac:dyDescent="0.3">
      <c r="A95" t="s">
        <v>481</v>
      </c>
      <c r="B95" s="2" t="s">
        <v>13</v>
      </c>
      <c r="C95" s="2" t="s">
        <v>41</v>
      </c>
      <c r="D95" s="2" t="s">
        <v>507</v>
      </c>
      <c r="E95" s="2" t="s">
        <v>16</v>
      </c>
      <c r="F95" s="2" t="s">
        <v>879</v>
      </c>
      <c r="G95" s="2" t="s">
        <v>875</v>
      </c>
      <c r="H95" s="15">
        <v>6028.31</v>
      </c>
    </row>
    <row r="96" spans="1:8" x14ac:dyDescent="0.3">
      <c r="A96" t="s">
        <v>481</v>
      </c>
      <c r="B96" s="2" t="s">
        <v>13</v>
      </c>
      <c r="C96" s="2" t="s">
        <v>41</v>
      </c>
      <c r="D96" s="2" t="s">
        <v>490</v>
      </c>
      <c r="E96" s="2" t="s">
        <v>16</v>
      </c>
      <c r="F96" s="2" t="s">
        <v>880</v>
      </c>
      <c r="H96" s="15">
        <v>-135500</v>
      </c>
    </row>
    <row r="97" spans="1:8" x14ac:dyDescent="0.3">
      <c r="A97" s="28" t="s">
        <v>481</v>
      </c>
      <c r="B97" s="29" t="s">
        <v>13</v>
      </c>
      <c r="C97" s="29" t="s">
        <v>41</v>
      </c>
      <c r="D97" s="29" t="s">
        <v>506</v>
      </c>
      <c r="E97" s="29" t="s">
        <v>16</v>
      </c>
      <c r="F97" s="29" t="s">
        <v>878</v>
      </c>
      <c r="G97" s="29" t="s">
        <v>869</v>
      </c>
      <c r="H97" s="30">
        <v>-32372.2</v>
      </c>
    </row>
    <row r="98" spans="1:8" x14ac:dyDescent="0.3">
      <c r="A98" t="s">
        <v>481</v>
      </c>
      <c r="B98" s="2" t="s">
        <v>13</v>
      </c>
      <c r="C98" s="2" t="s">
        <v>41</v>
      </c>
      <c r="D98" s="2" t="s">
        <v>488</v>
      </c>
      <c r="E98" s="2" t="s">
        <v>16</v>
      </c>
      <c r="F98" s="2" t="s">
        <v>880</v>
      </c>
      <c r="H98" s="15">
        <v>-268000</v>
      </c>
    </row>
    <row r="99" spans="1:8" x14ac:dyDescent="0.3">
      <c r="A99" s="28" t="s">
        <v>481</v>
      </c>
      <c r="B99" s="29" t="s">
        <v>13</v>
      </c>
      <c r="C99" s="29" t="s">
        <v>478</v>
      </c>
      <c r="D99" s="29" t="s">
        <v>521</v>
      </c>
      <c r="E99" s="29" t="s">
        <v>16</v>
      </c>
      <c r="F99" s="29" t="s">
        <v>878</v>
      </c>
      <c r="G99" s="29" t="s">
        <v>869</v>
      </c>
      <c r="H99" s="30">
        <v>-22962.79</v>
      </c>
    </row>
    <row r="100" spans="1:8" x14ac:dyDescent="0.3">
      <c r="A100" t="s">
        <v>481</v>
      </c>
      <c r="B100" s="2" t="s">
        <v>13</v>
      </c>
      <c r="C100" s="2" t="s">
        <v>41</v>
      </c>
      <c r="D100" s="2" t="s">
        <v>496</v>
      </c>
      <c r="E100" s="2" t="s">
        <v>16</v>
      </c>
      <c r="F100" s="2" t="s">
        <v>880</v>
      </c>
      <c r="H100" s="15">
        <v>-80400</v>
      </c>
    </row>
    <row r="101" spans="1:8" x14ac:dyDescent="0.3">
      <c r="A101" t="s">
        <v>481</v>
      </c>
      <c r="B101" s="2" t="s">
        <v>13</v>
      </c>
      <c r="C101" s="2" t="s">
        <v>41</v>
      </c>
      <c r="D101" s="2" t="s">
        <v>522</v>
      </c>
      <c r="E101" s="2" t="s">
        <v>16</v>
      </c>
      <c r="F101" s="2" t="s">
        <v>880</v>
      </c>
      <c r="H101" s="15">
        <v>-40000</v>
      </c>
    </row>
    <row r="102" spans="1:8" x14ac:dyDescent="0.3">
      <c r="A102" s="28" t="s">
        <v>481</v>
      </c>
      <c r="B102" s="29" t="s">
        <v>13</v>
      </c>
      <c r="C102" s="29" t="s">
        <v>41</v>
      </c>
      <c r="D102" s="29" t="s">
        <v>493</v>
      </c>
      <c r="E102" s="29" t="s">
        <v>16</v>
      </c>
      <c r="F102" s="29" t="s">
        <v>878</v>
      </c>
      <c r="G102" s="29" t="s">
        <v>869</v>
      </c>
      <c r="H102" s="30">
        <v>-148086.96</v>
      </c>
    </row>
    <row r="103" spans="1:8" x14ac:dyDescent="0.3">
      <c r="A103" t="s">
        <v>481</v>
      </c>
      <c r="B103" s="2" t="s">
        <v>13</v>
      </c>
      <c r="C103" s="2" t="s">
        <v>499</v>
      </c>
      <c r="D103" s="2" t="s">
        <v>500</v>
      </c>
      <c r="E103" s="2" t="s">
        <v>16</v>
      </c>
      <c r="F103" s="2" t="s">
        <v>880</v>
      </c>
      <c r="H103" s="15">
        <v>-110000</v>
      </c>
    </row>
    <row r="104" spans="1:8" x14ac:dyDescent="0.3">
      <c r="A104" t="s">
        <v>481</v>
      </c>
      <c r="B104" s="2" t="s">
        <v>13</v>
      </c>
      <c r="C104" s="2" t="s">
        <v>41</v>
      </c>
      <c r="D104" s="2" t="s">
        <v>512</v>
      </c>
      <c r="E104" s="2" t="s">
        <v>16</v>
      </c>
      <c r="F104" s="2" t="s">
        <v>880</v>
      </c>
      <c r="H104" s="15">
        <v>-402000</v>
      </c>
    </row>
    <row r="105" spans="1:8" x14ac:dyDescent="0.3">
      <c r="A105" t="s">
        <v>481</v>
      </c>
      <c r="B105" s="2" t="s">
        <v>13</v>
      </c>
      <c r="C105" s="2" t="s">
        <v>499</v>
      </c>
      <c r="D105" s="2" t="s">
        <v>502</v>
      </c>
      <c r="E105" s="2" t="s">
        <v>16</v>
      </c>
      <c r="F105" s="2" t="s">
        <v>881</v>
      </c>
      <c r="G105" s="2" t="s">
        <v>870</v>
      </c>
      <c r="H105" s="15">
        <v>19.5</v>
      </c>
    </row>
    <row r="106" spans="1:8" x14ac:dyDescent="0.3">
      <c r="A106" s="28" t="s">
        <v>481</v>
      </c>
      <c r="B106" s="29" t="s">
        <v>13</v>
      </c>
      <c r="C106" s="29" t="s">
        <v>41</v>
      </c>
      <c r="D106" s="29" t="s">
        <v>497</v>
      </c>
      <c r="E106" s="29" t="s">
        <v>16</v>
      </c>
      <c r="F106" s="29" t="s">
        <v>877</v>
      </c>
      <c r="G106" s="29" t="s">
        <v>871</v>
      </c>
      <c r="H106" s="30">
        <v>-97016.65</v>
      </c>
    </row>
    <row r="107" spans="1:8" x14ac:dyDescent="0.3">
      <c r="A107" s="28" t="s">
        <v>481</v>
      </c>
      <c r="B107" s="29" t="s">
        <v>13</v>
      </c>
      <c r="C107" s="29" t="s">
        <v>499</v>
      </c>
      <c r="D107" s="29" t="s">
        <v>502</v>
      </c>
      <c r="E107" s="29" t="s">
        <v>16</v>
      </c>
      <c r="F107" s="29" t="s">
        <v>878</v>
      </c>
      <c r="G107" s="29" t="s">
        <v>869</v>
      </c>
      <c r="H107" s="30">
        <v>-53715.65</v>
      </c>
    </row>
    <row r="108" spans="1:8" x14ac:dyDescent="0.3">
      <c r="A108" t="s">
        <v>481</v>
      </c>
      <c r="B108" s="2" t="s">
        <v>13</v>
      </c>
      <c r="C108" s="2" t="s">
        <v>41</v>
      </c>
      <c r="D108" s="2" t="s">
        <v>514</v>
      </c>
      <c r="E108" s="2" t="s">
        <v>16</v>
      </c>
      <c r="F108" s="2" t="s">
        <v>881</v>
      </c>
      <c r="G108" s="2" t="s">
        <v>870</v>
      </c>
      <c r="H108" s="15">
        <v>9.75</v>
      </c>
    </row>
    <row r="109" spans="1:8" x14ac:dyDescent="0.3">
      <c r="A109" t="s">
        <v>481</v>
      </c>
      <c r="B109" s="2" t="s">
        <v>13</v>
      </c>
      <c r="C109" s="2" t="s">
        <v>41</v>
      </c>
      <c r="D109" s="2" t="s">
        <v>506</v>
      </c>
      <c r="E109" s="2" t="s">
        <v>16</v>
      </c>
      <c r="F109" s="2" t="s">
        <v>880</v>
      </c>
      <c r="H109" s="15">
        <v>-37422</v>
      </c>
    </row>
    <row r="110" spans="1:8" x14ac:dyDescent="0.3">
      <c r="A110" t="s">
        <v>481</v>
      </c>
      <c r="B110" s="2" t="s">
        <v>13</v>
      </c>
      <c r="C110" s="2" t="s">
        <v>41</v>
      </c>
      <c r="D110" s="2" t="s">
        <v>517</v>
      </c>
      <c r="E110" s="2" t="s">
        <v>16</v>
      </c>
      <c r="F110" s="2" t="s">
        <v>880</v>
      </c>
      <c r="H110" s="15">
        <v>-146392</v>
      </c>
    </row>
    <row r="111" spans="1:8" x14ac:dyDescent="0.3">
      <c r="A111" t="s">
        <v>481</v>
      </c>
      <c r="B111" s="2" t="s">
        <v>13</v>
      </c>
      <c r="C111" s="2" t="s">
        <v>41</v>
      </c>
      <c r="D111" s="2" t="s">
        <v>484</v>
      </c>
      <c r="E111" s="2" t="s">
        <v>16</v>
      </c>
      <c r="F111" s="2" t="s">
        <v>881</v>
      </c>
      <c r="G111" s="2" t="s">
        <v>870</v>
      </c>
      <c r="H111" s="15">
        <v>4.74</v>
      </c>
    </row>
    <row r="112" spans="1:8" x14ac:dyDescent="0.3">
      <c r="A112" s="28" t="s">
        <v>481</v>
      </c>
      <c r="B112" s="29" t="s">
        <v>13</v>
      </c>
      <c r="C112" s="29" t="s">
        <v>499</v>
      </c>
      <c r="D112" s="29" t="s">
        <v>504</v>
      </c>
      <c r="E112" s="29" t="s">
        <v>16</v>
      </c>
      <c r="F112" s="29" t="s">
        <v>878</v>
      </c>
      <c r="G112" s="29" t="s">
        <v>869</v>
      </c>
      <c r="H112" s="30">
        <v>-83564.06</v>
      </c>
    </row>
    <row r="113" spans="1:8" x14ac:dyDescent="0.3">
      <c r="A113" t="s">
        <v>481</v>
      </c>
      <c r="B113" s="2" t="s">
        <v>13</v>
      </c>
      <c r="C113" s="2" t="s">
        <v>41</v>
      </c>
      <c r="D113" s="2" t="s">
        <v>497</v>
      </c>
      <c r="E113" s="2" t="s">
        <v>16</v>
      </c>
      <c r="F113" s="2" t="s">
        <v>879</v>
      </c>
      <c r="G113" s="2" t="s">
        <v>875</v>
      </c>
      <c r="H113" s="15">
        <v>967</v>
      </c>
    </row>
    <row r="114" spans="1:8" x14ac:dyDescent="0.3">
      <c r="A114" t="s">
        <v>481</v>
      </c>
      <c r="B114" s="2" t="s">
        <v>13</v>
      </c>
      <c r="C114" s="2" t="s">
        <v>41</v>
      </c>
      <c r="D114" s="2" t="s">
        <v>486</v>
      </c>
      <c r="E114" s="2" t="s">
        <v>16</v>
      </c>
      <c r="F114" s="2" t="s">
        <v>885</v>
      </c>
      <c r="G114" s="2" t="s">
        <v>876</v>
      </c>
      <c r="H114" s="15">
        <v>2.17</v>
      </c>
    </row>
    <row r="115" spans="1:8" x14ac:dyDescent="0.3">
      <c r="A115" s="28" t="s">
        <v>481</v>
      </c>
      <c r="B115" s="29" t="s">
        <v>13</v>
      </c>
      <c r="C115" s="29" t="s">
        <v>41</v>
      </c>
      <c r="D115" s="29" t="s">
        <v>492</v>
      </c>
      <c r="E115" s="29" t="s">
        <v>16</v>
      </c>
      <c r="F115" s="29" t="s">
        <v>878</v>
      </c>
      <c r="G115" s="29" t="s">
        <v>869</v>
      </c>
      <c r="H115" s="30">
        <v>-73967.86</v>
      </c>
    </row>
  </sheetData>
  <autoFilter ref="A1:H115" xr:uid="{51A24621-8B23-46DE-A37E-428E80F922C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F2BD-06F1-47AF-BCF2-4D43FE465B97}">
  <dimension ref="A1:E23"/>
  <sheetViews>
    <sheetView showGridLines="0" tabSelected="1" workbookViewId="0">
      <selection activeCell="D31" sqref="D31"/>
    </sheetView>
  </sheetViews>
  <sheetFormatPr defaultRowHeight="14.4" x14ac:dyDescent="0.3"/>
  <cols>
    <col min="1" max="1" width="8.88671875" style="2" bestFit="1" customWidth="1"/>
    <col min="2" max="2" width="19.77734375" style="2" bestFit="1" customWidth="1"/>
    <col min="3" max="3" width="65" style="2" bestFit="1" customWidth="1"/>
    <col min="4" max="4" width="17.44140625" style="2" bestFit="1" customWidth="1"/>
    <col min="5" max="5" width="16.5546875" style="24" bestFit="1" customWidth="1"/>
    <col min="6" max="16384" width="8.88671875" style="2"/>
  </cols>
  <sheetData>
    <row r="1" spans="1:5" x14ac:dyDescent="0.3">
      <c r="A1" s="3" t="s">
        <v>1080</v>
      </c>
      <c r="B1" s="3" t="s">
        <v>863</v>
      </c>
      <c r="C1" s="3" t="s">
        <v>864</v>
      </c>
      <c r="D1" s="3" t="s">
        <v>1061</v>
      </c>
      <c r="E1" s="2"/>
    </row>
    <row r="2" spans="1:5" x14ac:dyDescent="0.3">
      <c r="A2" s="2" t="s">
        <v>480</v>
      </c>
      <c r="B2" s="2" t="s">
        <v>1062</v>
      </c>
      <c r="C2" s="2" t="s">
        <v>1063</v>
      </c>
      <c r="D2" s="15">
        <v>-400260.68</v>
      </c>
      <c r="E2" s="31"/>
    </row>
    <row r="3" spans="1:5" x14ac:dyDescent="0.3">
      <c r="A3" s="2" t="s">
        <v>480</v>
      </c>
      <c r="B3" s="2" t="s">
        <v>1064</v>
      </c>
      <c r="C3" s="2" t="s">
        <v>1065</v>
      </c>
      <c r="D3" s="15">
        <v>-8126253.7000000002</v>
      </c>
      <c r="E3" s="31"/>
    </row>
    <row r="4" spans="1:5" x14ac:dyDescent="0.3">
      <c r="A4" s="2" t="s">
        <v>480</v>
      </c>
      <c r="B4" s="2" t="s">
        <v>1066</v>
      </c>
      <c r="C4" s="2" t="s">
        <v>1067</v>
      </c>
      <c r="D4" s="15">
        <v>-92710692.480000004</v>
      </c>
    </row>
    <row r="5" spans="1:5" x14ac:dyDescent="0.3">
      <c r="A5" s="2" t="s">
        <v>480</v>
      </c>
      <c r="B5" s="2" t="s">
        <v>882</v>
      </c>
      <c r="C5" s="2" t="s">
        <v>1068</v>
      </c>
      <c r="D5" s="15">
        <v>-76861637.909999996</v>
      </c>
    </row>
    <row r="6" spans="1:5" x14ac:dyDescent="0.3">
      <c r="A6" s="2" t="s">
        <v>480</v>
      </c>
      <c r="B6" s="2" t="s">
        <v>1069</v>
      </c>
      <c r="C6" s="2" t="s">
        <v>1070</v>
      </c>
      <c r="D6" s="15">
        <v>-95837.26</v>
      </c>
    </row>
    <row r="7" spans="1:5" x14ac:dyDescent="0.3">
      <c r="A7" s="2" t="s">
        <v>480</v>
      </c>
      <c r="B7" s="2" t="s">
        <v>882</v>
      </c>
      <c r="C7" s="2" t="s">
        <v>1071</v>
      </c>
      <c r="D7" s="15">
        <v>-47822902.759999998</v>
      </c>
    </row>
    <row r="8" spans="1:5" x14ac:dyDescent="0.3">
      <c r="A8" s="2" t="s">
        <v>480</v>
      </c>
      <c r="B8" s="2" t="s">
        <v>877</v>
      </c>
      <c r="C8" s="2" t="s">
        <v>865</v>
      </c>
      <c r="D8" s="15">
        <v>-102564558.52</v>
      </c>
    </row>
    <row r="9" spans="1:5" x14ac:dyDescent="0.3">
      <c r="A9" s="2" t="s">
        <v>480</v>
      </c>
      <c r="B9" s="2" t="s">
        <v>878</v>
      </c>
      <c r="C9" s="2" t="s">
        <v>867</v>
      </c>
      <c r="D9" s="15">
        <v>-886448065.71000004</v>
      </c>
    </row>
    <row r="10" spans="1:5" x14ac:dyDescent="0.3">
      <c r="A10" s="2" t="s">
        <v>480</v>
      </c>
      <c r="B10" s="2" t="s">
        <v>1069</v>
      </c>
      <c r="C10" s="2" t="s">
        <v>1072</v>
      </c>
      <c r="D10" s="15">
        <v>-23989487.940000001</v>
      </c>
    </row>
    <row r="11" spans="1:5" x14ac:dyDescent="0.3">
      <c r="A11" s="2" t="s">
        <v>480</v>
      </c>
      <c r="B11" s="2" t="s">
        <v>1073</v>
      </c>
      <c r="C11" s="2" t="s">
        <v>1074</v>
      </c>
      <c r="D11" s="15">
        <v>-157.52000000000001</v>
      </c>
    </row>
    <row r="12" spans="1:5" x14ac:dyDescent="0.3">
      <c r="A12" s="2" t="s">
        <v>480</v>
      </c>
      <c r="B12" s="2" t="s">
        <v>1075</v>
      </c>
      <c r="C12" s="2" t="s">
        <v>1076</v>
      </c>
      <c r="D12" s="15">
        <v>-2654274.5099999998</v>
      </c>
    </row>
    <row r="13" spans="1:5" x14ac:dyDescent="0.3">
      <c r="A13" s="2" t="s">
        <v>480</v>
      </c>
      <c r="B13" s="2" t="s">
        <v>1075</v>
      </c>
      <c r="C13" s="2" t="s">
        <v>1077</v>
      </c>
      <c r="D13" s="15">
        <v>-141663.65</v>
      </c>
    </row>
    <row r="14" spans="1:5" x14ac:dyDescent="0.3">
      <c r="A14" s="2" t="s">
        <v>480</v>
      </c>
      <c r="B14" s="2" t="s">
        <v>878</v>
      </c>
      <c r="C14" s="2" t="s">
        <v>1078</v>
      </c>
      <c r="D14" s="15">
        <v>-26642473.120000001</v>
      </c>
    </row>
    <row r="15" spans="1:5" x14ac:dyDescent="0.3">
      <c r="A15" s="2" t="s">
        <v>480</v>
      </c>
      <c r="B15" s="2" t="s">
        <v>1066</v>
      </c>
      <c r="C15" s="2" t="s">
        <v>1079</v>
      </c>
      <c r="D15" s="15">
        <v>-1137700.1399999999</v>
      </c>
    </row>
    <row r="16" spans="1:5" x14ac:dyDescent="0.3">
      <c r="A16" s="2" t="s">
        <v>481</v>
      </c>
      <c r="B16" s="2" t="s">
        <v>882</v>
      </c>
      <c r="C16" s="2" t="s">
        <v>1081</v>
      </c>
      <c r="D16" s="15">
        <v>-1783492.81</v>
      </c>
    </row>
    <row r="17" spans="1:4" x14ac:dyDescent="0.3">
      <c r="A17" s="2" t="s">
        <v>481</v>
      </c>
      <c r="B17" s="2" t="s">
        <v>1069</v>
      </c>
      <c r="C17" s="2" t="s">
        <v>1082</v>
      </c>
      <c r="D17" s="15">
        <v>-8242581.3399999999</v>
      </c>
    </row>
    <row r="18" spans="1:4" x14ac:dyDescent="0.3">
      <c r="A18" s="2" t="s">
        <v>481</v>
      </c>
      <c r="B18" s="2" t="s">
        <v>1075</v>
      </c>
      <c r="C18" s="2" t="s">
        <v>1083</v>
      </c>
      <c r="D18" s="15">
        <v>-2210225.36</v>
      </c>
    </row>
    <row r="19" spans="1:4" x14ac:dyDescent="0.3">
      <c r="A19" s="2" t="s">
        <v>481</v>
      </c>
      <c r="B19" s="2" t="s">
        <v>1066</v>
      </c>
      <c r="C19" s="2" t="s">
        <v>1084</v>
      </c>
      <c r="D19" s="15">
        <v>-37908252.030000001</v>
      </c>
    </row>
    <row r="20" spans="1:4" x14ac:dyDescent="0.3">
      <c r="A20" s="2" t="s">
        <v>481</v>
      </c>
      <c r="B20" s="2" t="s">
        <v>882</v>
      </c>
      <c r="C20" s="2" t="s">
        <v>872</v>
      </c>
      <c r="D20" s="15">
        <v>-233748379.62</v>
      </c>
    </row>
    <row r="21" spans="1:4" x14ac:dyDescent="0.3">
      <c r="A21" s="2" t="s">
        <v>481</v>
      </c>
      <c r="B21" s="2" t="s">
        <v>878</v>
      </c>
      <c r="C21" s="2" t="s">
        <v>869</v>
      </c>
      <c r="D21" s="15">
        <v>-21599825539.759701</v>
      </c>
    </row>
    <row r="22" spans="1:4" x14ac:dyDescent="0.3">
      <c r="A22" s="2" t="s">
        <v>481</v>
      </c>
      <c r="B22" s="2" t="s">
        <v>877</v>
      </c>
      <c r="C22" s="2" t="s">
        <v>1085</v>
      </c>
      <c r="D22" s="15">
        <v>-4784084.43</v>
      </c>
    </row>
    <row r="23" spans="1:4" x14ac:dyDescent="0.3">
      <c r="A23" s="2" t="s">
        <v>481</v>
      </c>
      <c r="B23" s="2" t="s">
        <v>877</v>
      </c>
      <c r="C23" s="2" t="s">
        <v>871</v>
      </c>
      <c r="D23" s="15">
        <v>-1417484024.6300001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D16C-A18F-4D26-8667-6922D3BE4573}">
  <dimension ref="A1:AT17"/>
  <sheetViews>
    <sheetView showGridLines="0" workbookViewId="0">
      <selection activeCell="C13" sqref="C13"/>
    </sheetView>
  </sheetViews>
  <sheetFormatPr defaultRowHeight="14.4" x14ac:dyDescent="0.3"/>
  <cols>
    <col min="1" max="1" width="10.44140625" style="2" bestFit="1" customWidth="1"/>
    <col min="2" max="2" width="16.21875" style="2" bestFit="1" customWidth="1"/>
    <col min="3" max="3" width="20.5546875" style="2" bestFit="1" customWidth="1"/>
    <col min="4" max="4" width="19.109375" style="2" bestFit="1" customWidth="1"/>
    <col min="5" max="5" width="22.77734375" style="2" bestFit="1" customWidth="1"/>
    <col min="6" max="6" width="69.33203125" style="2" bestFit="1" customWidth="1"/>
    <col min="7" max="7" width="13.6640625" style="2" bestFit="1" customWidth="1"/>
    <col min="8" max="8" width="15.88671875" style="2" bestFit="1" customWidth="1"/>
    <col min="9" max="9" width="14.44140625" style="2" bestFit="1" customWidth="1"/>
    <col min="10" max="10" width="21" style="2" bestFit="1" customWidth="1"/>
    <col min="11" max="11" width="15.44140625" style="2" bestFit="1" customWidth="1"/>
    <col min="12" max="12" width="75.5546875" style="2" bestFit="1" customWidth="1"/>
    <col min="13" max="13" width="16.109375" style="2" bestFit="1" customWidth="1"/>
    <col min="14" max="14" width="7.77734375" style="2" bestFit="1" customWidth="1"/>
    <col min="15" max="15" width="15.5546875" style="2" bestFit="1" customWidth="1"/>
    <col min="16" max="16" width="24.33203125" style="2" bestFit="1" customWidth="1"/>
    <col min="17" max="17" width="11.109375" style="2" bestFit="1" customWidth="1"/>
    <col min="18" max="18" width="4.21875" style="2" bestFit="1" customWidth="1"/>
    <col min="19" max="19" width="11.77734375" style="2" bestFit="1" customWidth="1"/>
    <col min="20" max="20" width="8.44140625" style="2" bestFit="1" customWidth="1"/>
    <col min="21" max="21" width="14" style="2" bestFit="1" customWidth="1"/>
    <col min="22" max="22" width="7.44140625" style="2" bestFit="1" customWidth="1"/>
    <col min="23" max="23" width="9" style="2" bestFit="1" customWidth="1"/>
    <col min="24" max="24" width="12.77734375" style="2" bestFit="1" customWidth="1"/>
    <col min="25" max="25" width="15.88671875" style="2" bestFit="1" customWidth="1"/>
    <col min="26" max="26" width="14.6640625" style="2" bestFit="1" customWidth="1"/>
    <col min="27" max="27" width="16.5546875" style="2" bestFit="1" customWidth="1"/>
    <col min="28" max="28" width="22.88671875" style="2" bestFit="1" customWidth="1"/>
    <col min="29" max="29" width="16.5546875" style="2" bestFit="1" customWidth="1"/>
    <col min="30" max="30" width="14.77734375" style="2" bestFit="1" customWidth="1"/>
    <col min="31" max="31" width="30.21875" style="2" bestFit="1" customWidth="1"/>
    <col min="32" max="32" width="18.5546875" style="2" bestFit="1" customWidth="1"/>
    <col min="33" max="33" width="16.6640625" style="2" bestFit="1" customWidth="1"/>
    <col min="34" max="34" width="20" style="2" bestFit="1" customWidth="1"/>
    <col min="35" max="35" width="19.21875" style="2" bestFit="1" customWidth="1"/>
    <col min="36" max="36" width="17.21875" style="2" bestFit="1" customWidth="1"/>
    <col min="37" max="37" width="14.21875" style="2" bestFit="1" customWidth="1"/>
    <col min="38" max="38" width="10.6640625" style="2" bestFit="1" customWidth="1"/>
    <col min="39" max="39" width="10.77734375" style="2" bestFit="1" customWidth="1"/>
    <col min="40" max="41" width="12.6640625" style="2" bestFit="1" customWidth="1"/>
    <col min="42" max="42" width="15.77734375" style="2" bestFit="1" customWidth="1"/>
    <col min="43" max="43" width="10.109375" style="2" bestFit="1" customWidth="1"/>
    <col min="44" max="44" width="9.5546875" style="2" bestFit="1" customWidth="1"/>
    <col min="45" max="45" width="27.88671875" style="2" bestFit="1" customWidth="1"/>
    <col min="46" max="46" width="10.33203125" style="2" bestFit="1" customWidth="1"/>
    <col min="47" max="16384" width="8.88671875" style="2"/>
  </cols>
  <sheetData>
    <row r="1" spans="1:46" x14ac:dyDescent="0.3">
      <c r="A1" s="14" t="s">
        <v>886</v>
      </c>
      <c r="B1" s="13" t="s">
        <v>67</v>
      </c>
      <c r="C1" s="13" t="s">
        <v>68</v>
      </c>
      <c r="D1" s="13" t="s">
        <v>69</v>
      </c>
      <c r="E1" s="13" t="s">
        <v>70</v>
      </c>
      <c r="F1" s="14" t="s">
        <v>887</v>
      </c>
      <c r="G1" s="14" t="s">
        <v>888</v>
      </c>
      <c r="H1" s="14" t="s">
        <v>889</v>
      </c>
      <c r="I1" s="14" t="s">
        <v>890</v>
      </c>
      <c r="J1" s="14" t="s">
        <v>891</v>
      </c>
      <c r="K1" s="14" t="s">
        <v>892</v>
      </c>
      <c r="L1" s="14" t="s">
        <v>893</v>
      </c>
      <c r="M1" s="14" t="s">
        <v>894</v>
      </c>
      <c r="N1" s="14" t="s">
        <v>895</v>
      </c>
      <c r="O1" s="14" t="s">
        <v>896</v>
      </c>
      <c r="P1" s="14" t="s">
        <v>897</v>
      </c>
      <c r="Q1" s="14" t="s">
        <v>898</v>
      </c>
      <c r="R1" s="14" t="s">
        <v>899</v>
      </c>
      <c r="S1" s="14" t="s">
        <v>900</v>
      </c>
      <c r="T1" s="14" t="s">
        <v>901</v>
      </c>
      <c r="U1" s="14" t="s">
        <v>902</v>
      </c>
      <c r="V1" s="14" t="s">
        <v>903</v>
      </c>
      <c r="W1" s="14" t="s">
        <v>904</v>
      </c>
      <c r="X1" s="14" t="s">
        <v>905</v>
      </c>
      <c r="Y1" s="14" t="s">
        <v>906</v>
      </c>
      <c r="Z1" s="14" t="s">
        <v>907</v>
      </c>
      <c r="AA1" s="14" t="s">
        <v>908</v>
      </c>
      <c r="AB1" s="14" t="s">
        <v>909</v>
      </c>
      <c r="AC1" s="14" t="s">
        <v>910</v>
      </c>
      <c r="AD1" s="14" t="s">
        <v>911</v>
      </c>
      <c r="AE1" s="14" t="s">
        <v>912</v>
      </c>
      <c r="AF1" s="14" t="s">
        <v>913</v>
      </c>
      <c r="AG1" s="14" t="s">
        <v>914</v>
      </c>
      <c r="AH1" s="14" t="s">
        <v>915</v>
      </c>
      <c r="AI1" s="14" t="s">
        <v>916</v>
      </c>
      <c r="AJ1" s="14" t="s">
        <v>917</v>
      </c>
      <c r="AK1" s="14" t="s">
        <v>4</v>
      </c>
      <c r="AL1" s="14" t="s">
        <v>918</v>
      </c>
      <c r="AM1" s="14" t="s">
        <v>919</v>
      </c>
      <c r="AN1" s="14" t="s">
        <v>920</v>
      </c>
      <c r="AO1" s="14" t="s">
        <v>921</v>
      </c>
      <c r="AP1" s="14" t="s">
        <v>922</v>
      </c>
      <c r="AQ1" s="14" t="s">
        <v>923</v>
      </c>
      <c r="AR1" s="14" t="s">
        <v>924</v>
      </c>
      <c r="AS1" s="14" t="s">
        <v>925</v>
      </c>
      <c r="AT1" s="14" t="s">
        <v>12</v>
      </c>
    </row>
    <row r="2" spans="1:46" x14ac:dyDescent="0.3">
      <c r="A2" s="2" t="s">
        <v>945</v>
      </c>
      <c r="B2" s="2" t="s">
        <v>13</v>
      </c>
      <c r="C2" s="2" t="s">
        <v>478</v>
      </c>
      <c r="D2" s="2" t="s">
        <v>479</v>
      </c>
      <c r="E2" s="2" t="s">
        <v>16</v>
      </c>
      <c r="F2" s="2" t="s">
        <v>966</v>
      </c>
      <c r="G2" s="2" t="s">
        <v>967</v>
      </c>
      <c r="H2" s="2" t="s">
        <v>968</v>
      </c>
      <c r="I2" s="2" t="s">
        <v>969</v>
      </c>
      <c r="J2" s="2" t="s">
        <v>970</v>
      </c>
      <c r="K2" s="2" t="s">
        <v>707</v>
      </c>
      <c r="L2" s="2" t="s">
        <v>971</v>
      </c>
      <c r="M2" s="2" t="s">
        <v>708</v>
      </c>
      <c r="N2" s="2" t="s">
        <v>22</v>
      </c>
      <c r="O2" s="2" t="s">
        <v>932</v>
      </c>
      <c r="P2" s="2" t="s">
        <v>708</v>
      </c>
      <c r="Q2" s="2" t="s">
        <v>709</v>
      </c>
      <c r="T2" s="2" t="s">
        <v>932</v>
      </c>
      <c r="U2" s="2" t="s">
        <v>710</v>
      </c>
      <c r="X2" s="2" t="s">
        <v>972</v>
      </c>
      <c r="Y2" s="2" t="s">
        <v>973</v>
      </c>
      <c r="Z2" s="2" t="s">
        <v>974</v>
      </c>
      <c r="AA2" s="2" t="s">
        <v>716</v>
      </c>
      <c r="AB2" s="2" t="s">
        <v>936</v>
      </c>
      <c r="AC2" s="2" t="s">
        <v>936</v>
      </c>
      <c r="AD2" s="2" t="s">
        <v>656</v>
      </c>
      <c r="AE2" s="2" t="s">
        <v>656</v>
      </c>
      <c r="AI2" s="2" t="s">
        <v>711</v>
      </c>
      <c r="AK2" s="2" t="s">
        <v>975</v>
      </c>
      <c r="AM2" s="2" t="s">
        <v>150</v>
      </c>
      <c r="AN2" s="2" t="s">
        <v>164</v>
      </c>
      <c r="AO2" s="2" t="s">
        <v>164</v>
      </c>
      <c r="AP2" s="2" t="s">
        <v>150</v>
      </c>
      <c r="AQ2" s="2" t="s">
        <v>598</v>
      </c>
      <c r="AR2" s="2" t="s">
        <v>599</v>
      </c>
      <c r="AS2" s="2" t="s">
        <v>976</v>
      </c>
      <c r="AT2" s="2" t="s">
        <v>945</v>
      </c>
    </row>
    <row r="3" spans="1:46" x14ac:dyDescent="0.3">
      <c r="A3" s="2" t="s">
        <v>945</v>
      </c>
      <c r="B3" s="2" t="s">
        <v>13</v>
      </c>
      <c r="C3" s="2" t="s">
        <v>464</v>
      </c>
      <c r="D3" s="2" t="s">
        <v>477</v>
      </c>
      <c r="E3" s="2" t="s">
        <v>16</v>
      </c>
      <c r="F3" s="2" t="s">
        <v>1000</v>
      </c>
      <c r="G3" s="2" t="s">
        <v>1001</v>
      </c>
      <c r="H3" s="2" t="s">
        <v>1002</v>
      </c>
      <c r="I3" s="2" t="s">
        <v>1003</v>
      </c>
      <c r="J3" s="2" t="s">
        <v>1004</v>
      </c>
      <c r="K3" s="2" t="s">
        <v>1005</v>
      </c>
      <c r="L3" s="2" t="s">
        <v>1004</v>
      </c>
      <c r="M3" s="2" t="s">
        <v>1004</v>
      </c>
      <c r="N3" s="2" t="s">
        <v>332</v>
      </c>
      <c r="O3" s="2" t="s">
        <v>1006</v>
      </c>
      <c r="P3" s="2" t="s">
        <v>699</v>
      </c>
      <c r="Q3" s="2" t="s">
        <v>700</v>
      </c>
      <c r="R3" s="2" t="s">
        <v>700</v>
      </c>
      <c r="T3" s="2" t="s">
        <v>1006</v>
      </c>
      <c r="X3" s="2" t="s">
        <v>1007</v>
      </c>
      <c r="Z3" s="2" t="s">
        <v>1008</v>
      </c>
      <c r="AA3" s="2" t="s">
        <v>706</v>
      </c>
      <c r="AB3" s="2" t="s">
        <v>936</v>
      </c>
      <c r="AC3" s="2" t="s">
        <v>656</v>
      </c>
      <c r="AD3" s="2" t="s">
        <v>936</v>
      </c>
      <c r="AE3" s="2" t="s">
        <v>656</v>
      </c>
      <c r="AI3" s="2" t="s">
        <v>701</v>
      </c>
      <c r="AK3" s="2" t="s">
        <v>975</v>
      </c>
      <c r="AM3" s="2" t="s">
        <v>150</v>
      </c>
      <c r="AN3" s="2" t="s">
        <v>955</v>
      </c>
      <c r="AO3" s="2" t="s">
        <v>164</v>
      </c>
      <c r="AP3" s="2" t="s">
        <v>150</v>
      </c>
      <c r="AQ3" s="2" t="s">
        <v>596</v>
      </c>
      <c r="AR3" s="2" t="s">
        <v>597</v>
      </c>
      <c r="AS3" s="2" t="s">
        <v>1009</v>
      </c>
      <c r="AT3" s="2" t="s">
        <v>945</v>
      </c>
    </row>
    <row r="4" spans="1:46" x14ac:dyDescent="0.3">
      <c r="A4" s="2" t="s">
        <v>945</v>
      </c>
      <c r="B4" s="2" t="s">
        <v>13</v>
      </c>
      <c r="C4" s="2" t="s">
        <v>464</v>
      </c>
      <c r="D4" s="2" t="s">
        <v>474</v>
      </c>
      <c r="E4" s="2" t="s">
        <v>16</v>
      </c>
      <c r="F4" s="2" t="s">
        <v>977</v>
      </c>
      <c r="G4" s="2" t="s">
        <v>967</v>
      </c>
      <c r="H4" s="2" t="s">
        <v>968</v>
      </c>
      <c r="I4" s="2" t="s">
        <v>978</v>
      </c>
      <c r="J4" s="2" t="s">
        <v>668</v>
      </c>
      <c r="K4" s="2" t="s">
        <v>667</v>
      </c>
      <c r="L4" s="2" t="s">
        <v>668</v>
      </c>
      <c r="M4" s="2" t="s">
        <v>668</v>
      </c>
      <c r="N4" s="2" t="s">
        <v>17</v>
      </c>
      <c r="O4" s="2" t="s">
        <v>979</v>
      </c>
      <c r="P4" s="2" t="s">
        <v>669</v>
      </c>
      <c r="Q4" s="2" t="s">
        <v>670</v>
      </c>
      <c r="T4" s="2" t="s">
        <v>979</v>
      </c>
      <c r="X4" s="2" t="s">
        <v>980</v>
      </c>
      <c r="Y4" s="2" t="s">
        <v>981</v>
      </c>
      <c r="Z4" s="2" t="s">
        <v>982</v>
      </c>
      <c r="AA4" s="2" t="s">
        <v>677</v>
      </c>
      <c r="AB4" s="2" t="s">
        <v>936</v>
      </c>
      <c r="AC4" s="2" t="s">
        <v>656</v>
      </c>
      <c r="AD4" s="2" t="s">
        <v>936</v>
      </c>
      <c r="AE4" s="2" t="s">
        <v>656</v>
      </c>
      <c r="AI4" s="2" t="s">
        <v>672</v>
      </c>
      <c r="AK4" s="2" t="s">
        <v>975</v>
      </c>
      <c r="AM4" s="2" t="s">
        <v>193</v>
      </c>
      <c r="AN4" s="2" t="s">
        <v>164</v>
      </c>
      <c r="AO4" s="2" t="s">
        <v>164</v>
      </c>
      <c r="AP4" s="2" t="s">
        <v>193</v>
      </c>
      <c r="AQ4" s="2" t="s">
        <v>578</v>
      </c>
      <c r="AR4" s="2" t="s">
        <v>579</v>
      </c>
      <c r="AS4" s="2" t="s">
        <v>983</v>
      </c>
      <c r="AT4" s="2" t="s">
        <v>945</v>
      </c>
    </row>
    <row r="5" spans="1:46" x14ac:dyDescent="0.3">
      <c r="A5" s="2" t="s">
        <v>945</v>
      </c>
      <c r="B5" s="2" t="s">
        <v>13</v>
      </c>
      <c r="C5" s="2" t="s">
        <v>14</v>
      </c>
      <c r="D5" s="2" t="s">
        <v>28</v>
      </c>
      <c r="E5" s="2" t="s">
        <v>16</v>
      </c>
      <c r="F5" s="2" t="s">
        <v>1023</v>
      </c>
      <c r="G5" s="2" t="s">
        <v>967</v>
      </c>
      <c r="H5" s="2" t="s">
        <v>968</v>
      </c>
      <c r="I5" s="2" t="s">
        <v>1024</v>
      </c>
      <c r="J5" s="2" t="s">
        <v>1025</v>
      </c>
      <c r="K5" s="2" t="s">
        <v>309</v>
      </c>
      <c r="L5" s="2" t="s">
        <v>1026</v>
      </c>
      <c r="M5" s="2" t="s">
        <v>261</v>
      </c>
      <c r="N5" s="2" t="s">
        <v>22</v>
      </c>
      <c r="O5" s="2" t="s">
        <v>932</v>
      </c>
      <c r="P5" s="2" t="s">
        <v>262</v>
      </c>
      <c r="Q5" s="2" t="s">
        <v>310</v>
      </c>
      <c r="T5" s="2" t="s">
        <v>932</v>
      </c>
      <c r="X5" s="2" t="s">
        <v>1027</v>
      </c>
      <c r="Y5" s="2" t="s">
        <v>1028</v>
      </c>
      <c r="Z5" s="2" t="s">
        <v>1029</v>
      </c>
      <c r="AB5" s="2" t="s">
        <v>656</v>
      </c>
      <c r="AC5" s="2" t="s">
        <v>656</v>
      </c>
      <c r="AD5" s="2" t="s">
        <v>656</v>
      </c>
      <c r="AE5" s="2" t="s">
        <v>936</v>
      </c>
      <c r="AI5" s="2" t="s">
        <v>311</v>
      </c>
      <c r="AK5" s="2" t="s">
        <v>937</v>
      </c>
      <c r="AM5" s="2" t="s">
        <v>193</v>
      </c>
      <c r="AN5" s="2" t="s">
        <v>955</v>
      </c>
      <c r="AO5" s="2" t="s">
        <v>164</v>
      </c>
      <c r="AP5" s="2" t="s">
        <v>193</v>
      </c>
      <c r="AQ5" s="2" t="s">
        <v>208</v>
      </c>
      <c r="AR5" s="2" t="s">
        <v>209</v>
      </c>
      <c r="AS5" s="2" t="s">
        <v>1022</v>
      </c>
      <c r="AT5" s="2" t="s">
        <v>945</v>
      </c>
    </row>
    <row r="6" spans="1:46" x14ac:dyDescent="0.3">
      <c r="A6" s="2" t="s">
        <v>945</v>
      </c>
      <c r="B6" s="2" t="s">
        <v>13</v>
      </c>
      <c r="C6" s="2" t="s">
        <v>471</v>
      </c>
      <c r="D6" s="2" t="s">
        <v>473</v>
      </c>
      <c r="E6" s="2" t="s">
        <v>16</v>
      </c>
      <c r="F6" s="2" t="s">
        <v>1030</v>
      </c>
      <c r="G6" s="2" t="s">
        <v>1001</v>
      </c>
      <c r="H6" s="2" t="s">
        <v>1002</v>
      </c>
      <c r="I6" s="2" t="s">
        <v>1031</v>
      </c>
      <c r="J6" s="2" t="s">
        <v>1032</v>
      </c>
      <c r="K6" s="2" t="s">
        <v>658</v>
      </c>
      <c r="L6" s="2" t="s">
        <v>1033</v>
      </c>
      <c r="M6" s="2" t="s">
        <v>659</v>
      </c>
      <c r="N6" s="2" t="s">
        <v>22</v>
      </c>
      <c r="O6" s="2" t="s">
        <v>932</v>
      </c>
      <c r="P6" s="2" t="s">
        <v>1034</v>
      </c>
      <c r="Q6" s="2" t="s">
        <v>1035</v>
      </c>
      <c r="T6" s="2" t="s">
        <v>932</v>
      </c>
      <c r="X6" s="2" t="s">
        <v>1036</v>
      </c>
      <c r="Y6" s="2" t="s">
        <v>1037</v>
      </c>
      <c r="Z6" s="2" t="s">
        <v>1038</v>
      </c>
      <c r="AA6" s="2" t="s">
        <v>353</v>
      </c>
      <c r="AB6" s="2" t="s">
        <v>936</v>
      </c>
      <c r="AC6" s="2" t="s">
        <v>656</v>
      </c>
      <c r="AD6" s="2" t="s">
        <v>936</v>
      </c>
      <c r="AE6" s="2" t="s">
        <v>656</v>
      </c>
      <c r="AI6" s="2" t="s">
        <v>662</v>
      </c>
      <c r="AK6" s="2" t="s">
        <v>975</v>
      </c>
      <c r="AM6" s="2" t="s">
        <v>150</v>
      </c>
      <c r="AN6" s="2" t="s">
        <v>1019</v>
      </c>
      <c r="AO6" s="2" t="s">
        <v>164</v>
      </c>
      <c r="AP6" s="2" t="s">
        <v>168</v>
      </c>
      <c r="AQ6" s="2" t="s">
        <v>576</v>
      </c>
      <c r="AR6" s="2" t="s">
        <v>577</v>
      </c>
      <c r="AS6" s="2" t="s">
        <v>1039</v>
      </c>
      <c r="AT6" s="2" t="s">
        <v>945</v>
      </c>
    </row>
    <row r="7" spans="1:46" x14ac:dyDescent="0.3">
      <c r="A7" s="2" t="s">
        <v>945</v>
      </c>
      <c r="B7" s="2" t="s">
        <v>13</v>
      </c>
      <c r="C7" s="2" t="s">
        <v>471</v>
      </c>
      <c r="D7" s="2" t="s">
        <v>472</v>
      </c>
      <c r="E7" s="2" t="s">
        <v>16</v>
      </c>
      <c r="F7" s="2" t="s">
        <v>994</v>
      </c>
      <c r="G7" s="2" t="s">
        <v>947</v>
      </c>
      <c r="H7" s="2" t="s">
        <v>948</v>
      </c>
      <c r="I7" s="2" t="s">
        <v>995</v>
      </c>
      <c r="J7" s="2" t="s">
        <v>649</v>
      </c>
      <c r="K7" s="2" t="s">
        <v>648</v>
      </c>
      <c r="L7" s="2" t="s">
        <v>996</v>
      </c>
      <c r="M7" s="2" t="s">
        <v>649</v>
      </c>
      <c r="N7" s="2" t="s">
        <v>22</v>
      </c>
      <c r="O7" s="2" t="s">
        <v>932</v>
      </c>
      <c r="P7" s="2" t="s">
        <v>650</v>
      </c>
      <c r="Q7" s="2" t="s">
        <v>651</v>
      </c>
      <c r="T7" s="2" t="s">
        <v>932</v>
      </c>
      <c r="X7" s="2" t="s">
        <v>997</v>
      </c>
      <c r="Y7" s="2" t="s">
        <v>998</v>
      </c>
      <c r="Z7" s="2" t="s">
        <v>999</v>
      </c>
      <c r="AA7" s="2" t="s">
        <v>657</v>
      </c>
      <c r="AB7" s="2" t="s">
        <v>936</v>
      </c>
      <c r="AC7" s="2" t="s">
        <v>936</v>
      </c>
      <c r="AD7" s="2" t="s">
        <v>656</v>
      </c>
      <c r="AE7" s="2" t="s">
        <v>656</v>
      </c>
      <c r="AI7" s="2" t="s">
        <v>652</v>
      </c>
      <c r="AK7" s="2" t="s">
        <v>975</v>
      </c>
      <c r="AM7" s="2" t="s">
        <v>168</v>
      </c>
      <c r="AN7" s="2" t="s">
        <v>164</v>
      </c>
      <c r="AO7" s="2" t="s">
        <v>164</v>
      </c>
      <c r="AP7" s="2" t="s">
        <v>150</v>
      </c>
      <c r="AQ7" s="2" t="s">
        <v>574</v>
      </c>
      <c r="AR7" s="2" t="s">
        <v>575</v>
      </c>
      <c r="AS7" s="2" t="s">
        <v>993</v>
      </c>
      <c r="AT7" s="2" t="s">
        <v>945</v>
      </c>
    </row>
    <row r="8" spans="1:46" x14ac:dyDescent="0.3">
      <c r="B8" s="2" t="s">
        <v>13</v>
      </c>
      <c r="C8" s="2" t="s">
        <v>14</v>
      </c>
      <c r="D8" s="2" t="s">
        <v>27</v>
      </c>
      <c r="E8" s="2" t="s">
        <v>16</v>
      </c>
      <c r="F8" s="2" t="s">
        <v>942</v>
      </c>
      <c r="AO8" s="2" t="s">
        <v>164</v>
      </c>
      <c r="AP8" s="2" t="s">
        <v>168</v>
      </c>
      <c r="AQ8" s="2" t="s">
        <v>204</v>
      </c>
      <c r="AR8" s="2" t="s">
        <v>205</v>
      </c>
      <c r="AS8" s="2" t="s">
        <v>943</v>
      </c>
      <c r="AT8" s="2" t="s">
        <v>944</v>
      </c>
    </row>
    <row r="9" spans="1:46" x14ac:dyDescent="0.3">
      <c r="B9" s="2" t="s">
        <v>13</v>
      </c>
      <c r="C9" s="2" t="s">
        <v>14</v>
      </c>
      <c r="D9" s="2" t="s">
        <v>27</v>
      </c>
      <c r="E9" s="2" t="s">
        <v>16</v>
      </c>
      <c r="F9" s="2" t="s">
        <v>942</v>
      </c>
      <c r="AO9" s="2" t="s">
        <v>164</v>
      </c>
      <c r="AP9" s="2" t="s">
        <v>168</v>
      </c>
      <c r="AQ9" s="2" t="s">
        <v>204</v>
      </c>
      <c r="AR9" s="2" t="s">
        <v>205</v>
      </c>
      <c r="AS9" s="2" t="s">
        <v>984</v>
      </c>
      <c r="AT9" s="2" t="s">
        <v>985</v>
      </c>
    </row>
    <row r="10" spans="1:46" x14ac:dyDescent="0.3">
      <c r="A10" s="2" t="s">
        <v>945</v>
      </c>
      <c r="B10" s="2" t="s">
        <v>13</v>
      </c>
      <c r="C10" s="2" t="s">
        <v>14</v>
      </c>
      <c r="D10" s="2" t="s">
        <v>27</v>
      </c>
      <c r="E10" s="2" t="s">
        <v>16</v>
      </c>
      <c r="F10" s="2" t="s">
        <v>942</v>
      </c>
      <c r="G10" s="2" t="s">
        <v>1010</v>
      </c>
      <c r="H10" s="2" t="s">
        <v>1011</v>
      </c>
      <c r="I10" s="2" t="s">
        <v>1012</v>
      </c>
      <c r="J10" s="2" t="s">
        <v>264</v>
      </c>
      <c r="K10" s="2" t="s">
        <v>316</v>
      </c>
      <c r="L10" s="2" t="s">
        <v>1013</v>
      </c>
      <c r="M10" s="2" t="s">
        <v>264</v>
      </c>
      <c r="N10" s="2" t="s">
        <v>22</v>
      </c>
      <c r="O10" s="2" t="s">
        <v>932</v>
      </c>
      <c r="P10" s="2" t="s">
        <v>265</v>
      </c>
      <c r="Q10" s="2" t="s">
        <v>1014</v>
      </c>
      <c r="T10" s="2" t="s">
        <v>932</v>
      </c>
      <c r="U10" s="2" t="s">
        <v>1015</v>
      </c>
      <c r="X10" s="2" t="s">
        <v>1016</v>
      </c>
      <c r="Y10" s="2" t="s">
        <v>1017</v>
      </c>
      <c r="Z10" s="2" t="s">
        <v>1018</v>
      </c>
      <c r="AA10" s="2" t="s">
        <v>322</v>
      </c>
      <c r="AB10" s="2" t="s">
        <v>656</v>
      </c>
      <c r="AC10" s="2" t="s">
        <v>656</v>
      </c>
      <c r="AD10" s="2" t="s">
        <v>656</v>
      </c>
      <c r="AE10" s="2" t="s">
        <v>936</v>
      </c>
      <c r="AI10" s="2" t="s">
        <v>318</v>
      </c>
      <c r="AK10" s="2" t="s">
        <v>953</v>
      </c>
      <c r="AM10" s="2" t="s">
        <v>168</v>
      </c>
      <c r="AN10" s="2" t="s">
        <v>955</v>
      </c>
      <c r="AO10" s="2" t="s">
        <v>1019</v>
      </c>
      <c r="AP10" s="2" t="s">
        <v>168</v>
      </c>
      <c r="AQ10" s="2" t="s">
        <v>1020</v>
      </c>
      <c r="AR10" s="2" t="s">
        <v>1021</v>
      </c>
      <c r="AS10" s="2" t="s">
        <v>1022</v>
      </c>
      <c r="AT10" s="2" t="s">
        <v>945</v>
      </c>
    </row>
    <row r="11" spans="1:46" x14ac:dyDescent="0.3">
      <c r="A11" s="2" t="s">
        <v>945</v>
      </c>
      <c r="B11" s="2" t="s">
        <v>13</v>
      </c>
      <c r="C11" s="2" t="s">
        <v>14</v>
      </c>
      <c r="D11" s="2" t="s">
        <v>32</v>
      </c>
      <c r="E11" s="2" t="s">
        <v>16</v>
      </c>
      <c r="F11" s="2" t="s">
        <v>946</v>
      </c>
      <c r="G11" s="2" t="s">
        <v>947</v>
      </c>
      <c r="H11" s="2" t="s">
        <v>948</v>
      </c>
      <c r="I11" s="2" t="s">
        <v>949</v>
      </c>
      <c r="J11" s="2" t="s">
        <v>273</v>
      </c>
      <c r="K11" s="2" t="s">
        <v>336</v>
      </c>
      <c r="L11" s="2" t="s">
        <v>273</v>
      </c>
      <c r="M11" s="2" t="s">
        <v>273</v>
      </c>
      <c r="N11" s="2" t="s">
        <v>22</v>
      </c>
      <c r="O11" s="2" t="s">
        <v>932</v>
      </c>
      <c r="P11" s="2" t="s">
        <v>274</v>
      </c>
      <c r="Q11" s="2" t="s">
        <v>337</v>
      </c>
      <c r="T11" s="2" t="s">
        <v>932</v>
      </c>
      <c r="X11" s="2" t="s">
        <v>950</v>
      </c>
      <c r="Y11" s="2" t="s">
        <v>670</v>
      </c>
      <c r="Z11" s="2" t="s">
        <v>951</v>
      </c>
      <c r="AB11" s="2" t="s">
        <v>656</v>
      </c>
      <c r="AC11" s="2" t="s">
        <v>656</v>
      </c>
      <c r="AD11" s="2" t="s">
        <v>656</v>
      </c>
      <c r="AE11" s="2" t="s">
        <v>936</v>
      </c>
      <c r="AI11" s="2" t="s">
        <v>952</v>
      </c>
      <c r="AK11" s="2" t="s">
        <v>953</v>
      </c>
      <c r="AM11" s="2" t="s">
        <v>954</v>
      </c>
      <c r="AN11" s="2" t="s">
        <v>955</v>
      </c>
      <c r="AO11" s="2" t="s">
        <v>164</v>
      </c>
      <c r="AP11" s="2" t="s">
        <v>168</v>
      </c>
      <c r="AQ11" s="2" t="s">
        <v>169</v>
      </c>
      <c r="AR11" s="2" t="s">
        <v>170</v>
      </c>
      <c r="AS11" s="2" t="s">
        <v>956</v>
      </c>
      <c r="AT11" s="2" t="s">
        <v>945</v>
      </c>
    </row>
    <row r="12" spans="1:46" x14ac:dyDescent="0.3">
      <c r="A12" s="2" t="s">
        <v>945</v>
      </c>
      <c r="B12" s="2" t="s">
        <v>13</v>
      </c>
      <c r="C12" s="2" t="s">
        <v>14</v>
      </c>
      <c r="D12" s="2" t="s">
        <v>30</v>
      </c>
      <c r="E12" s="2" t="s">
        <v>16</v>
      </c>
      <c r="F12" s="2" t="s">
        <v>1040</v>
      </c>
      <c r="G12" s="2" t="s">
        <v>1041</v>
      </c>
      <c r="H12" s="2" t="s">
        <v>145</v>
      </c>
      <c r="I12" s="2" t="s">
        <v>1042</v>
      </c>
      <c r="J12" s="2" t="s">
        <v>145</v>
      </c>
      <c r="K12" s="2" t="s">
        <v>328</v>
      </c>
      <c r="L12" s="2" t="s">
        <v>1043</v>
      </c>
      <c r="M12" s="2" t="s">
        <v>145</v>
      </c>
      <c r="N12" s="2" t="s">
        <v>22</v>
      </c>
      <c r="O12" s="2" t="s">
        <v>932</v>
      </c>
      <c r="P12" s="2" t="s">
        <v>271</v>
      </c>
      <c r="Q12" s="2" t="s">
        <v>329</v>
      </c>
      <c r="T12" s="2" t="s">
        <v>932</v>
      </c>
      <c r="X12" s="2" t="s">
        <v>1044</v>
      </c>
      <c r="Y12" s="2" t="s">
        <v>1045</v>
      </c>
      <c r="Z12" s="2" t="s">
        <v>1046</v>
      </c>
      <c r="AB12" s="2" t="s">
        <v>656</v>
      </c>
      <c r="AC12" s="2" t="s">
        <v>656</v>
      </c>
      <c r="AD12" s="2" t="s">
        <v>656</v>
      </c>
      <c r="AE12" s="2" t="s">
        <v>656</v>
      </c>
      <c r="AI12" s="2" t="s">
        <v>331</v>
      </c>
      <c r="AK12" s="2" t="s">
        <v>1047</v>
      </c>
      <c r="AM12" s="2" t="s">
        <v>150</v>
      </c>
      <c r="AN12" s="2" t="s">
        <v>955</v>
      </c>
      <c r="AO12" s="2" t="s">
        <v>164</v>
      </c>
      <c r="AP12" s="2" t="s">
        <v>150</v>
      </c>
      <c r="AQ12" s="2" t="s">
        <v>206</v>
      </c>
      <c r="AR12" s="2" t="s">
        <v>207</v>
      </c>
      <c r="AS12" s="2" t="s">
        <v>1039</v>
      </c>
      <c r="AT12" s="2" t="s">
        <v>945</v>
      </c>
    </row>
    <row r="13" spans="1:46" x14ac:dyDescent="0.3">
      <c r="A13" s="2" t="s">
        <v>945</v>
      </c>
      <c r="B13" s="2" t="s">
        <v>13</v>
      </c>
      <c r="C13" s="2" t="s">
        <v>464</v>
      </c>
      <c r="D13" s="2" t="s">
        <v>468</v>
      </c>
      <c r="E13" s="2" t="s">
        <v>16</v>
      </c>
      <c r="F13" s="2" t="s">
        <v>1048</v>
      </c>
      <c r="G13" s="2" t="s">
        <v>1049</v>
      </c>
      <c r="H13" s="2" t="s">
        <v>1050</v>
      </c>
      <c r="I13" s="2" t="s">
        <v>1051</v>
      </c>
      <c r="J13" s="2" t="s">
        <v>1052</v>
      </c>
      <c r="K13" s="2" t="s">
        <v>1053</v>
      </c>
      <c r="M13" s="2" t="s">
        <v>625</v>
      </c>
      <c r="N13" s="2" t="s">
        <v>22</v>
      </c>
      <c r="O13" s="2" t="s">
        <v>932</v>
      </c>
      <c r="P13" s="2" t="s">
        <v>626</v>
      </c>
      <c r="Q13" s="2" t="s">
        <v>627</v>
      </c>
      <c r="T13" s="2" t="s">
        <v>932</v>
      </c>
      <c r="X13" s="2" t="s">
        <v>1054</v>
      </c>
      <c r="Z13" s="2" t="s">
        <v>1055</v>
      </c>
      <c r="AA13" s="2" t="s">
        <v>633</v>
      </c>
      <c r="AB13" s="2" t="s">
        <v>936</v>
      </c>
      <c r="AC13" s="2" t="s">
        <v>656</v>
      </c>
      <c r="AD13" s="2" t="s">
        <v>936</v>
      </c>
      <c r="AE13" s="2" t="s">
        <v>656</v>
      </c>
      <c r="AI13" s="2" t="s">
        <v>628</v>
      </c>
      <c r="AK13" s="2" t="s">
        <v>975</v>
      </c>
      <c r="AM13" s="2" t="s">
        <v>193</v>
      </c>
      <c r="AN13" s="2" t="s">
        <v>164</v>
      </c>
      <c r="AO13" s="2" t="s">
        <v>164</v>
      </c>
      <c r="AP13" s="2" t="s">
        <v>193</v>
      </c>
      <c r="AQ13" s="2" t="s">
        <v>562</v>
      </c>
      <c r="AR13" s="2" t="s">
        <v>563</v>
      </c>
      <c r="AS13" s="2" t="s">
        <v>1056</v>
      </c>
      <c r="AT13" s="2" t="s">
        <v>945</v>
      </c>
    </row>
    <row r="14" spans="1:46" x14ac:dyDescent="0.3">
      <c r="A14" s="2" t="s">
        <v>945</v>
      </c>
      <c r="B14" s="2" t="s">
        <v>13</v>
      </c>
      <c r="C14" s="2" t="s">
        <v>14</v>
      </c>
      <c r="D14" s="2" t="s">
        <v>29</v>
      </c>
      <c r="E14" s="2" t="s">
        <v>16</v>
      </c>
      <c r="F14" s="2" t="s">
        <v>986</v>
      </c>
      <c r="G14" s="2" t="s">
        <v>947</v>
      </c>
      <c r="H14" s="2" t="s">
        <v>948</v>
      </c>
      <c r="I14" s="2" t="s">
        <v>987</v>
      </c>
      <c r="J14" s="2" t="s">
        <v>988</v>
      </c>
      <c r="K14" s="2" t="s">
        <v>345</v>
      </c>
      <c r="L14" s="2" t="s">
        <v>281</v>
      </c>
      <c r="M14" s="2" t="s">
        <v>281</v>
      </c>
      <c r="N14" s="2" t="s">
        <v>22</v>
      </c>
      <c r="O14" s="2" t="s">
        <v>932</v>
      </c>
      <c r="P14" s="2" t="s">
        <v>282</v>
      </c>
      <c r="Q14" s="2" t="s">
        <v>346</v>
      </c>
      <c r="T14" s="2" t="s">
        <v>932</v>
      </c>
      <c r="U14" s="2" t="s">
        <v>283</v>
      </c>
      <c r="X14" s="2" t="s">
        <v>989</v>
      </c>
      <c r="Y14" s="2" t="s">
        <v>990</v>
      </c>
      <c r="Z14" s="2" t="s">
        <v>991</v>
      </c>
      <c r="AB14" s="2" t="s">
        <v>936</v>
      </c>
      <c r="AC14" s="2" t="s">
        <v>936</v>
      </c>
      <c r="AD14" s="2" t="s">
        <v>656</v>
      </c>
      <c r="AE14" s="2" t="s">
        <v>656</v>
      </c>
      <c r="AK14" s="2" t="s">
        <v>975</v>
      </c>
      <c r="AM14" s="2" t="s">
        <v>529</v>
      </c>
      <c r="AN14" s="2" t="s">
        <v>992</v>
      </c>
      <c r="AO14" s="2" t="s">
        <v>164</v>
      </c>
      <c r="AP14" s="2" t="s">
        <v>168</v>
      </c>
      <c r="AQ14" s="2" t="s">
        <v>172</v>
      </c>
      <c r="AR14" s="2" t="s">
        <v>173</v>
      </c>
      <c r="AS14" s="2" t="s">
        <v>993</v>
      </c>
      <c r="AT14" s="2" t="s">
        <v>945</v>
      </c>
    </row>
    <row r="15" spans="1:46" x14ac:dyDescent="0.3">
      <c r="A15" s="2" t="s">
        <v>926</v>
      </c>
      <c r="B15" s="2" t="s">
        <v>13</v>
      </c>
      <c r="C15" s="2" t="s">
        <v>14</v>
      </c>
      <c r="D15" s="2" t="s">
        <v>25</v>
      </c>
      <c r="E15" s="2" t="s">
        <v>16</v>
      </c>
      <c r="F15" s="2" t="s">
        <v>927</v>
      </c>
      <c r="G15" s="2" t="s">
        <v>928</v>
      </c>
      <c r="H15" s="2" t="s">
        <v>929</v>
      </c>
      <c r="I15" s="2" t="s">
        <v>930</v>
      </c>
      <c r="J15" s="2" t="s">
        <v>931</v>
      </c>
      <c r="K15" s="2" t="s">
        <v>340</v>
      </c>
      <c r="L15" s="2" t="s">
        <v>931</v>
      </c>
      <c r="M15" s="2" t="s">
        <v>278</v>
      </c>
      <c r="N15" s="2" t="s">
        <v>22</v>
      </c>
      <c r="O15" s="2" t="s">
        <v>932</v>
      </c>
      <c r="P15" s="2" t="s">
        <v>279</v>
      </c>
      <c r="Q15" s="2" t="s">
        <v>330</v>
      </c>
      <c r="T15" s="2" t="s">
        <v>932</v>
      </c>
      <c r="X15" s="2" t="s">
        <v>933</v>
      </c>
      <c r="Y15" s="2" t="s">
        <v>934</v>
      </c>
      <c r="Z15" s="2" t="s">
        <v>935</v>
      </c>
      <c r="AB15" s="2" t="s">
        <v>656</v>
      </c>
      <c r="AC15" s="2" t="s">
        <v>656</v>
      </c>
      <c r="AD15" s="2" t="s">
        <v>656</v>
      </c>
      <c r="AE15" s="2" t="s">
        <v>936</v>
      </c>
      <c r="AI15" s="2" t="s">
        <v>341</v>
      </c>
      <c r="AK15" s="2" t="s">
        <v>937</v>
      </c>
      <c r="AO15" s="2" t="s">
        <v>164</v>
      </c>
      <c r="AP15" s="2" t="s">
        <v>168</v>
      </c>
      <c r="AQ15" s="2" t="s">
        <v>227</v>
      </c>
      <c r="AR15" s="2" t="s">
        <v>228</v>
      </c>
      <c r="AS15" s="2" t="s">
        <v>938</v>
      </c>
      <c r="AT15" s="2" t="s">
        <v>926</v>
      </c>
    </row>
    <row r="16" spans="1:46" x14ac:dyDescent="0.3">
      <c r="B16" s="2" t="s">
        <v>13</v>
      </c>
      <c r="C16" s="2" t="s">
        <v>14</v>
      </c>
      <c r="D16" s="2" t="s">
        <v>31</v>
      </c>
      <c r="E16" s="2" t="s">
        <v>16</v>
      </c>
      <c r="F16" s="2" t="s">
        <v>939</v>
      </c>
      <c r="AO16" s="2" t="s">
        <v>164</v>
      </c>
      <c r="AP16" s="2" t="s">
        <v>168</v>
      </c>
      <c r="AQ16" s="2" t="s">
        <v>218</v>
      </c>
      <c r="AR16" s="2" t="s">
        <v>219</v>
      </c>
      <c r="AS16" s="2" t="s">
        <v>940</v>
      </c>
      <c r="AT16" s="2" t="s">
        <v>941</v>
      </c>
    </row>
    <row r="17" spans="1:46" x14ac:dyDescent="0.3">
      <c r="A17" s="2" t="s">
        <v>944</v>
      </c>
      <c r="B17" s="2" t="s">
        <v>13</v>
      </c>
      <c r="C17" s="2" t="s">
        <v>14</v>
      </c>
      <c r="D17" s="2" t="s">
        <v>31</v>
      </c>
      <c r="E17" s="2" t="s">
        <v>16</v>
      </c>
      <c r="F17" s="2" t="s">
        <v>939</v>
      </c>
      <c r="G17" s="2" t="s">
        <v>947</v>
      </c>
      <c r="H17" s="2" t="s">
        <v>948</v>
      </c>
      <c r="I17" s="2" t="s">
        <v>957</v>
      </c>
      <c r="J17" s="2" t="s">
        <v>948</v>
      </c>
      <c r="K17" s="2" t="s">
        <v>295</v>
      </c>
      <c r="L17" s="2" t="s">
        <v>958</v>
      </c>
      <c r="M17" s="2" t="s">
        <v>248</v>
      </c>
      <c r="N17" s="2" t="s">
        <v>22</v>
      </c>
      <c r="O17" s="2" t="s">
        <v>932</v>
      </c>
      <c r="P17" s="2" t="s">
        <v>249</v>
      </c>
      <c r="Q17" s="2" t="s">
        <v>296</v>
      </c>
      <c r="T17" s="2" t="s">
        <v>932</v>
      </c>
      <c r="U17" s="2" t="s">
        <v>250</v>
      </c>
      <c r="X17" s="2" t="s">
        <v>959</v>
      </c>
      <c r="Y17" s="2" t="s">
        <v>960</v>
      </c>
      <c r="Z17" s="2" t="s">
        <v>961</v>
      </c>
      <c r="AA17" s="2" t="s">
        <v>302</v>
      </c>
      <c r="AB17" s="2" t="s">
        <v>656</v>
      </c>
      <c r="AC17" s="2" t="s">
        <v>656</v>
      </c>
      <c r="AD17" s="2" t="s">
        <v>656</v>
      </c>
      <c r="AE17" s="2" t="s">
        <v>936</v>
      </c>
      <c r="AK17" s="2" t="s">
        <v>937</v>
      </c>
      <c r="AO17" s="2" t="s">
        <v>962</v>
      </c>
      <c r="AP17" s="2" t="s">
        <v>168</v>
      </c>
      <c r="AQ17" s="2" t="s">
        <v>963</v>
      </c>
      <c r="AR17" s="2" t="s">
        <v>964</v>
      </c>
      <c r="AS17" s="2" t="s">
        <v>965</v>
      </c>
      <c r="AT17" s="2" t="s">
        <v>944</v>
      </c>
    </row>
  </sheetData>
  <autoFilter ref="A1:AT17" xr:uid="{4B8AD16C-A18F-4D26-8667-6922D3BE4573}">
    <sortState xmlns:xlrd2="http://schemas.microsoft.com/office/spreadsheetml/2017/richdata2" ref="A2:AT17">
      <sortCondition ref="D1:D17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80CE-E55C-4492-916C-02AF21CF72DD}">
  <dimension ref="A1:L25"/>
  <sheetViews>
    <sheetView showGridLines="0" workbookViewId="0">
      <selection activeCell="A2" sqref="A2"/>
    </sheetView>
  </sheetViews>
  <sheetFormatPr defaultRowHeight="14.4" x14ac:dyDescent="0.3"/>
  <cols>
    <col min="1" max="1" width="10.21875" style="2" bestFit="1" customWidth="1"/>
    <col min="2" max="2" width="11.6640625" style="2" bestFit="1" customWidth="1"/>
    <col min="3" max="3" width="11.44140625" style="2" bestFit="1" customWidth="1"/>
    <col min="4" max="4" width="12" style="2" bestFit="1" customWidth="1"/>
    <col min="5" max="5" width="16.109375" style="2" bestFit="1" customWidth="1"/>
    <col min="6" max="7" width="12.21875" style="2" bestFit="1" customWidth="1"/>
    <col min="8" max="9" width="29.44140625" style="2" bestFit="1" customWidth="1"/>
    <col min="10" max="11" width="19.21875" style="2" bestFit="1" customWidth="1"/>
    <col min="12" max="12" width="10.33203125" style="2" bestFit="1" customWidth="1"/>
    <col min="13" max="16384" width="8.88671875" style="2"/>
  </cols>
  <sheetData>
    <row r="1" spans="1:12" x14ac:dyDescent="0.3">
      <c r="A1" s="3" t="s">
        <v>482</v>
      </c>
      <c r="B1" s="7" t="s">
        <v>0</v>
      </c>
      <c r="C1" s="7" t="s">
        <v>1</v>
      </c>
      <c r="D1" s="7" t="s">
        <v>2</v>
      </c>
      <c r="E1" s="7" t="s">
        <v>3</v>
      </c>
      <c r="F1" s="3" t="s">
        <v>459</v>
      </c>
      <c r="G1" s="3" t="s">
        <v>460</v>
      </c>
      <c r="H1" s="3" t="s">
        <v>461</v>
      </c>
      <c r="I1" s="3" t="s">
        <v>462</v>
      </c>
      <c r="J1" s="3" t="s">
        <v>10</v>
      </c>
      <c r="K1" s="3" t="s">
        <v>11</v>
      </c>
      <c r="L1" s="3" t="s">
        <v>12</v>
      </c>
    </row>
    <row r="2" spans="1:12" x14ac:dyDescent="0.3">
      <c r="A2" s="2" t="s">
        <v>480</v>
      </c>
      <c r="B2" s="2" t="s">
        <v>13</v>
      </c>
      <c r="C2" s="2" t="s">
        <v>14</v>
      </c>
      <c r="D2" s="2" t="s">
        <v>25</v>
      </c>
      <c r="E2" s="2" t="s">
        <v>16</v>
      </c>
      <c r="F2" s="18">
        <v>11.801473921084501</v>
      </c>
      <c r="G2" s="18">
        <v>33.210126078915302</v>
      </c>
      <c r="H2" s="18" t="s">
        <v>463</v>
      </c>
      <c r="I2" s="18" t="s">
        <v>463</v>
      </c>
      <c r="J2" s="18" t="s">
        <v>19</v>
      </c>
      <c r="K2" s="18" t="s">
        <v>19</v>
      </c>
      <c r="L2" s="18" t="s">
        <v>20</v>
      </c>
    </row>
    <row r="3" spans="1:12" x14ac:dyDescent="0.3">
      <c r="A3" s="2" t="s">
        <v>480</v>
      </c>
      <c r="B3" s="2" t="s">
        <v>13</v>
      </c>
      <c r="C3" s="2" t="s">
        <v>14</v>
      </c>
      <c r="D3" s="2" t="s">
        <v>28</v>
      </c>
      <c r="E3" s="2" t="s">
        <v>16</v>
      </c>
      <c r="F3" s="18">
        <v>7.9201566753486699</v>
      </c>
      <c r="G3" s="18">
        <v>22.287843324651298</v>
      </c>
      <c r="H3" s="18" t="s">
        <v>463</v>
      </c>
      <c r="I3" s="18" t="s">
        <v>463</v>
      </c>
      <c r="J3" s="18" t="s">
        <v>19</v>
      </c>
      <c r="K3" s="18" t="s">
        <v>19</v>
      </c>
      <c r="L3" s="18" t="s">
        <v>20</v>
      </c>
    </row>
    <row r="4" spans="1:12" x14ac:dyDescent="0.3">
      <c r="A4" s="2" t="s">
        <v>480</v>
      </c>
      <c r="B4" s="2" t="s">
        <v>13</v>
      </c>
      <c r="C4" s="2" t="s">
        <v>14</v>
      </c>
      <c r="D4" s="2" t="s">
        <v>15</v>
      </c>
      <c r="E4" s="2" t="s">
        <v>16</v>
      </c>
      <c r="F4" s="18">
        <v>9.63722189207461</v>
      </c>
      <c r="G4" s="18">
        <v>27.119778107925399</v>
      </c>
      <c r="H4" s="18" t="s">
        <v>463</v>
      </c>
      <c r="I4" s="18" t="s">
        <v>463</v>
      </c>
      <c r="J4" s="18" t="s">
        <v>19</v>
      </c>
      <c r="K4" s="18" t="s">
        <v>19</v>
      </c>
      <c r="L4" s="18" t="s">
        <v>20</v>
      </c>
    </row>
    <row r="5" spans="1:12" x14ac:dyDescent="0.3">
      <c r="A5" s="2" t="s">
        <v>480</v>
      </c>
      <c r="B5" s="2" t="s">
        <v>13</v>
      </c>
      <c r="C5" s="2" t="s">
        <v>14</v>
      </c>
      <c r="D5" s="2" t="s">
        <v>27</v>
      </c>
      <c r="E5" s="2" t="s">
        <v>16</v>
      </c>
      <c r="F5" s="18">
        <v>7.8383017722089496</v>
      </c>
      <c r="G5" s="18">
        <v>22.057498227791001</v>
      </c>
      <c r="H5" s="18" t="s">
        <v>463</v>
      </c>
      <c r="I5" s="18" t="s">
        <v>463</v>
      </c>
      <c r="J5" s="18" t="s">
        <v>19</v>
      </c>
      <c r="K5" s="18" t="s">
        <v>19</v>
      </c>
      <c r="L5" s="18" t="s">
        <v>20</v>
      </c>
    </row>
    <row r="6" spans="1:12" x14ac:dyDescent="0.3">
      <c r="A6" s="2" t="s">
        <v>480</v>
      </c>
      <c r="B6" s="2" t="s">
        <v>13</v>
      </c>
      <c r="C6" s="2" t="s">
        <v>14</v>
      </c>
      <c r="D6" s="2" t="s">
        <v>24</v>
      </c>
      <c r="E6" s="2" t="s">
        <v>16</v>
      </c>
      <c r="F6" s="18">
        <v>3.0859455796098199</v>
      </c>
      <c r="G6" s="18">
        <v>8.6840544203901899</v>
      </c>
      <c r="H6" s="18" t="s">
        <v>463</v>
      </c>
      <c r="I6" s="18" t="s">
        <v>463</v>
      </c>
      <c r="J6" s="18" t="s">
        <v>19</v>
      </c>
      <c r="K6" s="18" t="s">
        <v>19</v>
      </c>
      <c r="L6" s="18" t="s">
        <v>20</v>
      </c>
    </row>
    <row r="7" spans="1:12" x14ac:dyDescent="0.3">
      <c r="A7" s="2" t="s">
        <v>480</v>
      </c>
      <c r="B7" s="2" t="s">
        <v>13</v>
      </c>
      <c r="C7" s="2" t="s">
        <v>14</v>
      </c>
      <c r="D7" s="2" t="s">
        <v>23</v>
      </c>
      <c r="E7" s="2" t="s">
        <v>16</v>
      </c>
      <c r="F7" s="18">
        <v>0.25729069950084399</v>
      </c>
      <c r="G7" s="18">
        <v>0.459509300499155</v>
      </c>
      <c r="H7" s="18" t="s">
        <v>463</v>
      </c>
      <c r="I7" s="18" t="s">
        <v>463</v>
      </c>
      <c r="J7" s="18" t="s">
        <v>19</v>
      </c>
      <c r="K7" s="18" t="s">
        <v>19</v>
      </c>
      <c r="L7" s="18" t="s">
        <v>20</v>
      </c>
    </row>
    <row r="8" spans="1:12" x14ac:dyDescent="0.3">
      <c r="A8" s="2" t="s">
        <v>480</v>
      </c>
      <c r="B8" s="2" t="s">
        <v>13</v>
      </c>
      <c r="C8" s="2" t="s">
        <v>14</v>
      </c>
      <c r="D8" s="2" t="s">
        <v>33</v>
      </c>
      <c r="E8" s="2" t="s">
        <v>16</v>
      </c>
      <c r="F8" s="18">
        <v>0.408334123538171</v>
      </c>
      <c r="G8" s="18">
        <v>0.72926587646182806</v>
      </c>
      <c r="H8" s="18" t="s">
        <v>463</v>
      </c>
      <c r="I8" s="18" t="s">
        <v>463</v>
      </c>
      <c r="J8" s="18" t="s">
        <v>19</v>
      </c>
      <c r="K8" s="18" t="s">
        <v>19</v>
      </c>
      <c r="L8" s="18" t="s">
        <v>20</v>
      </c>
    </row>
    <row r="9" spans="1:12" x14ac:dyDescent="0.3">
      <c r="A9" s="2" t="s">
        <v>480</v>
      </c>
      <c r="B9" s="2" t="s">
        <v>13</v>
      </c>
      <c r="C9" s="2" t="s">
        <v>14</v>
      </c>
      <c r="D9" s="2" t="s">
        <v>31</v>
      </c>
      <c r="E9" s="2" t="s">
        <v>16</v>
      </c>
      <c r="F9" s="18">
        <v>1.23647573096346</v>
      </c>
      <c r="G9" s="18">
        <v>3.47952426903653</v>
      </c>
      <c r="H9" s="18" t="s">
        <v>463</v>
      </c>
      <c r="I9" s="18" t="s">
        <v>463</v>
      </c>
      <c r="J9" s="18" t="s">
        <v>19</v>
      </c>
      <c r="K9" s="18" t="s">
        <v>19</v>
      </c>
      <c r="L9" s="18" t="s">
        <v>20</v>
      </c>
    </row>
    <row r="10" spans="1:12" x14ac:dyDescent="0.3">
      <c r="A10" s="2" t="s">
        <v>480</v>
      </c>
      <c r="B10" s="2" t="s">
        <v>13</v>
      </c>
      <c r="C10" s="2" t="s">
        <v>14</v>
      </c>
      <c r="D10" s="2" t="s">
        <v>32</v>
      </c>
      <c r="E10" s="2" t="s">
        <v>16</v>
      </c>
      <c r="F10" s="18">
        <v>0.68593464956458905</v>
      </c>
      <c r="G10" s="18">
        <v>1.9302653504353999</v>
      </c>
      <c r="H10" s="18" t="s">
        <v>463</v>
      </c>
      <c r="I10" s="18" t="s">
        <v>463</v>
      </c>
      <c r="J10" s="18" t="s">
        <v>19</v>
      </c>
      <c r="K10" s="18" t="s">
        <v>19</v>
      </c>
      <c r="L10" s="18" t="s">
        <v>20</v>
      </c>
    </row>
    <row r="11" spans="1:12" x14ac:dyDescent="0.3">
      <c r="A11" s="2" t="s">
        <v>480</v>
      </c>
      <c r="B11" s="2" t="s">
        <v>13</v>
      </c>
      <c r="C11" s="2" t="s">
        <v>14</v>
      </c>
      <c r="D11" s="2" t="s">
        <v>21</v>
      </c>
      <c r="E11" s="2" t="s">
        <v>16</v>
      </c>
      <c r="F11" s="18">
        <v>1.93772058061573</v>
      </c>
      <c r="G11" s="18">
        <v>3.46067941938426</v>
      </c>
      <c r="H11" s="18" t="s">
        <v>463</v>
      </c>
      <c r="I11" s="18" t="s">
        <v>463</v>
      </c>
      <c r="J11" s="18" t="s">
        <v>19</v>
      </c>
      <c r="K11" s="18" t="s">
        <v>19</v>
      </c>
      <c r="L11" s="18" t="s">
        <v>20</v>
      </c>
    </row>
    <row r="12" spans="1:12" x14ac:dyDescent="0.3">
      <c r="A12" s="2" t="s">
        <v>480</v>
      </c>
      <c r="B12" s="2" t="s">
        <v>13</v>
      </c>
      <c r="C12" s="2" t="s">
        <v>14</v>
      </c>
      <c r="D12" s="2" t="s">
        <v>30</v>
      </c>
      <c r="E12" s="2" t="s">
        <v>16</v>
      </c>
      <c r="F12" s="18">
        <v>71.317765767890407</v>
      </c>
      <c r="G12" s="18">
        <v>127.370234232109</v>
      </c>
      <c r="H12" s="18" t="s">
        <v>463</v>
      </c>
      <c r="I12" s="18" t="s">
        <v>463</v>
      </c>
      <c r="J12" s="18" t="s">
        <v>19</v>
      </c>
      <c r="K12" s="18" t="s">
        <v>19</v>
      </c>
      <c r="L12" s="18" t="s">
        <v>20</v>
      </c>
    </row>
    <row r="13" spans="1:12" x14ac:dyDescent="0.3">
      <c r="A13" s="2" t="s">
        <v>480</v>
      </c>
      <c r="B13" s="2" t="s">
        <v>13</v>
      </c>
      <c r="C13" s="2" t="s">
        <v>14</v>
      </c>
      <c r="D13" s="2" t="s">
        <v>29</v>
      </c>
      <c r="E13" s="2" t="s">
        <v>16</v>
      </c>
      <c r="F13" s="18">
        <v>0.31874182639055498</v>
      </c>
      <c r="G13" s="18">
        <v>0.56925817360944397</v>
      </c>
      <c r="H13" s="18" t="s">
        <v>463</v>
      </c>
      <c r="I13" s="18" t="s">
        <v>463</v>
      </c>
      <c r="J13" s="18" t="s">
        <v>19</v>
      </c>
      <c r="K13" s="18" t="s">
        <v>19</v>
      </c>
      <c r="L13" s="18" t="s">
        <v>20</v>
      </c>
    </row>
    <row r="14" spans="1:12" x14ac:dyDescent="0.3">
      <c r="A14" s="2" t="s">
        <v>481</v>
      </c>
      <c r="B14" s="2" t="s">
        <v>13</v>
      </c>
      <c r="C14" s="2" t="s">
        <v>464</v>
      </c>
      <c r="D14" s="2" t="s">
        <v>465</v>
      </c>
      <c r="E14" s="2" t="s">
        <v>16</v>
      </c>
      <c r="F14" s="19">
        <v>1.3176097931469</v>
      </c>
      <c r="G14" s="19">
        <v>2.3531902068530801</v>
      </c>
      <c r="H14" s="18" t="s">
        <v>463</v>
      </c>
      <c r="I14" s="18" t="s">
        <v>463</v>
      </c>
      <c r="J14" s="18" t="s">
        <v>19</v>
      </c>
      <c r="K14" s="18" t="s">
        <v>19</v>
      </c>
      <c r="L14" s="18" t="s">
        <v>20</v>
      </c>
    </row>
    <row r="15" spans="1:12" x14ac:dyDescent="0.3">
      <c r="A15" s="2" t="s">
        <v>481</v>
      </c>
      <c r="B15" s="2" t="s">
        <v>13</v>
      </c>
      <c r="C15" s="2" t="s">
        <v>464</v>
      </c>
      <c r="D15" s="2" t="s">
        <v>467</v>
      </c>
      <c r="E15" s="2" t="s">
        <v>16</v>
      </c>
      <c r="F15" s="19">
        <v>1.7573873671263001</v>
      </c>
      <c r="G15" s="19">
        <v>3.1386126328736901</v>
      </c>
      <c r="H15" s="18" t="s">
        <v>463</v>
      </c>
      <c r="I15" s="18" t="s">
        <v>463</v>
      </c>
      <c r="J15" s="18" t="s">
        <v>19</v>
      </c>
      <c r="K15" s="18" t="s">
        <v>19</v>
      </c>
      <c r="L15" s="18" t="s">
        <v>20</v>
      </c>
    </row>
    <row r="16" spans="1:12" x14ac:dyDescent="0.3">
      <c r="A16" s="2" t="s">
        <v>481</v>
      </c>
      <c r="B16" s="2" t="s">
        <v>13</v>
      </c>
      <c r="C16" s="2" t="s">
        <v>464</v>
      </c>
      <c r="D16" s="2" t="s">
        <v>468</v>
      </c>
      <c r="E16" s="2" t="s">
        <v>16</v>
      </c>
      <c r="F16" s="19">
        <v>1.85559430823042</v>
      </c>
      <c r="G16" s="19">
        <v>3.3140056917695699</v>
      </c>
      <c r="H16" s="18" t="s">
        <v>463</v>
      </c>
      <c r="I16" s="18" t="s">
        <v>463</v>
      </c>
      <c r="J16" s="18" t="s">
        <v>19</v>
      </c>
      <c r="K16" s="18" t="s">
        <v>19</v>
      </c>
      <c r="L16" s="18" t="s">
        <v>20</v>
      </c>
    </row>
    <row r="17" spans="1:12" x14ac:dyDescent="0.3">
      <c r="A17" s="2" t="s">
        <v>481</v>
      </c>
      <c r="B17" s="2" t="s">
        <v>13</v>
      </c>
      <c r="C17" s="2" t="s">
        <v>464</v>
      </c>
      <c r="D17" s="2" t="s">
        <v>469</v>
      </c>
      <c r="E17" s="2" t="s">
        <v>16</v>
      </c>
      <c r="F17" s="19">
        <v>1.0854451385191899</v>
      </c>
      <c r="G17" s="19">
        <v>1.9385548614807999</v>
      </c>
      <c r="H17" s="18" t="s">
        <v>463</v>
      </c>
      <c r="I17" s="18" t="s">
        <v>463</v>
      </c>
      <c r="J17" s="18" t="s">
        <v>19</v>
      </c>
      <c r="K17" s="18" t="s">
        <v>19</v>
      </c>
      <c r="L17" s="18" t="s">
        <v>20</v>
      </c>
    </row>
    <row r="18" spans="1:12" x14ac:dyDescent="0.3">
      <c r="A18" s="2" t="s">
        <v>481</v>
      </c>
      <c r="B18" s="2" t="s">
        <v>13</v>
      </c>
      <c r="C18" s="2" t="s">
        <v>464</v>
      </c>
      <c r="D18" s="2" t="s">
        <v>470</v>
      </c>
      <c r="E18" s="2" t="s">
        <v>16</v>
      </c>
      <c r="F18" s="19">
        <v>1.6470122414336299</v>
      </c>
      <c r="G18" s="19">
        <v>2.9414877585663501</v>
      </c>
      <c r="H18" s="18" t="s">
        <v>463</v>
      </c>
      <c r="I18" s="18" t="s">
        <v>463</v>
      </c>
      <c r="J18" s="18" t="s">
        <v>19</v>
      </c>
      <c r="K18" s="18" t="s">
        <v>19</v>
      </c>
      <c r="L18" s="18" t="s">
        <v>20</v>
      </c>
    </row>
    <row r="19" spans="1:12" x14ac:dyDescent="0.3">
      <c r="A19" s="2" t="s">
        <v>481</v>
      </c>
      <c r="B19" s="2" t="s">
        <v>13</v>
      </c>
      <c r="C19" s="2" t="s">
        <v>471</v>
      </c>
      <c r="D19" s="2" t="s">
        <v>472</v>
      </c>
      <c r="E19" s="2" t="s">
        <v>16</v>
      </c>
      <c r="F19" s="19">
        <v>2.2110919488353802</v>
      </c>
      <c r="G19" s="19">
        <v>3.9489080511646102</v>
      </c>
      <c r="H19" s="18" t="s">
        <v>463</v>
      </c>
      <c r="I19" s="18" t="s">
        <v>463</v>
      </c>
      <c r="J19" s="18" t="s">
        <v>19</v>
      </c>
      <c r="K19" s="18" t="s">
        <v>19</v>
      </c>
      <c r="L19" s="18" t="s">
        <v>20</v>
      </c>
    </row>
    <row r="20" spans="1:12" x14ac:dyDescent="0.3">
      <c r="A20" s="2" t="s">
        <v>481</v>
      </c>
      <c r="B20" s="2" t="s">
        <v>13</v>
      </c>
      <c r="C20" s="2" t="s">
        <v>471</v>
      </c>
      <c r="D20" s="2" t="s">
        <v>473</v>
      </c>
      <c r="E20" s="2" t="s">
        <v>16</v>
      </c>
      <c r="F20" s="19">
        <v>0.59441043299860297</v>
      </c>
      <c r="G20" s="19">
        <v>1.06158956700139</v>
      </c>
      <c r="H20" s="18" t="s">
        <v>463</v>
      </c>
      <c r="I20" s="18" t="s">
        <v>463</v>
      </c>
      <c r="J20" s="18" t="s">
        <v>19</v>
      </c>
      <c r="K20" s="18" t="s">
        <v>19</v>
      </c>
      <c r="L20" s="18" t="s">
        <v>20</v>
      </c>
    </row>
    <row r="21" spans="1:12" x14ac:dyDescent="0.3">
      <c r="A21" s="2" t="s">
        <v>481</v>
      </c>
      <c r="B21" s="2" t="s">
        <v>13</v>
      </c>
      <c r="C21" s="2" t="s">
        <v>464</v>
      </c>
      <c r="D21" s="2" t="s">
        <v>474</v>
      </c>
      <c r="E21" s="2" t="s">
        <v>16</v>
      </c>
      <c r="F21" s="19">
        <v>1.4214162528227501</v>
      </c>
      <c r="G21" s="19">
        <v>2.5385837471772401</v>
      </c>
      <c r="H21" s="18" t="s">
        <v>463</v>
      </c>
      <c r="I21" s="18" t="s">
        <v>463</v>
      </c>
      <c r="J21" s="18" t="s">
        <v>19</v>
      </c>
      <c r="K21" s="18" t="s">
        <v>19</v>
      </c>
      <c r="L21" s="18" t="s">
        <v>20</v>
      </c>
    </row>
    <row r="22" spans="1:12" x14ac:dyDescent="0.3">
      <c r="A22" s="2" t="s">
        <v>481</v>
      </c>
      <c r="B22" s="2" t="s">
        <v>13</v>
      </c>
      <c r="C22" s="2" t="s">
        <v>464</v>
      </c>
      <c r="D22" s="2" t="s">
        <v>475</v>
      </c>
      <c r="E22" s="2" t="s">
        <v>16</v>
      </c>
      <c r="F22" s="19">
        <v>1.3291677737885399</v>
      </c>
      <c r="G22" s="19">
        <v>2.37383222621144</v>
      </c>
      <c r="H22" s="18" t="s">
        <v>463</v>
      </c>
      <c r="I22" s="18" t="s">
        <v>463</v>
      </c>
      <c r="J22" s="18" t="s">
        <v>19</v>
      </c>
      <c r="K22" s="18" t="s">
        <v>19</v>
      </c>
      <c r="L22" s="18" t="s">
        <v>20</v>
      </c>
    </row>
    <row r="23" spans="1:12" x14ac:dyDescent="0.3">
      <c r="A23" s="2" t="s">
        <v>481</v>
      </c>
      <c r="B23" s="2" t="s">
        <v>13</v>
      </c>
      <c r="C23" s="2" t="s">
        <v>464</v>
      </c>
      <c r="D23" s="2" t="s">
        <v>476</v>
      </c>
      <c r="E23" s="2" t="s">
        <v>16</v>
      </c>
      <c r="F23" s="19">
        <v>1.1326821028806699</v>
      </c>
      <c r="G23" s="19">
        <v>2.02291789711931</v>
      </c>
      <c r="H23" s="18" t="s">
        <v>463</v>
      </c>
      <c r="I23" s="18" t="s">
        <v>463</v>
      </c>
      <c r="J23" s="18" t="s">
        <v>19</v>
      </c>
      <c r="K23" s="18" t="s">
        <v>19</v>
      </c>
      <c r="L23" s="18" t="s">
        <v>20</v>
      </c>
    </row>
    <row r="24" spans="1:12" x14ac:dyDescent="0.3">
      <c r="A24" s="2" t="s">
        <v>481</v>
      </c>
      <c r="B24" s="2" t="s">
        <v>13</v>
      </c>
      <c r="C24" s="2" t="s">
        <v>464</v>
      </c>
      <c r="D24" s="2" t="s">
        <v>477</v>
      </c>
      <c r="E24" s="2" t="s">
        <v>16</v>
      </c>
      <c r="F24" s="19">
        <v>1.0894653056988799</v>
      </c>
      <c r="G24" s="19">
        <v>1.94573469430111</v>
      </c>
      <c r="H24" s="18" t="s">
        <v>463</v>
      </c>
      <c r="I24" s="18" t="s">
        <v>463</v>
      </c>
      <c r="J24" s="18" t="s">
        <v>19</v>
      </c>
      <c r="K24" s="18" t="s">
        <v>19</v>
      </c>
      <c r="L24" s="18" t="s">
        <v>20</v>
      </c>
    </row>
    <row r="25" spans="1:12" x14ac:dyDescent="0.3">
      <c r="A25" s="2" t="s">
        <v>481</v>
      </c>
      <c r="B25" s="2" t="s">
        <v>13</v>
      </c>
      <c r="C25" s="2" t="s">
        <v>478</v>
      </c>
      <c r="D25" s="2" t="s">
        <v>479</v>
      </c>
      <c r="E25" s="2" t="s">
        <v>16</v>
      </c>
      <c r="F25" s="19">
        <v>0.687448587728819</v>
      </c>
      <c r="G25" s="19">
        <v>1.2277514122711799</v>
      </c>
      <c r="H25" s="18" t="s">
        <v>463</v>
      </c>
      <c r="I25" s="18" t="s">
        <v>463</v>
      </c>
      <c r="J25" s="18" t="s">
        <v>19</v>
      </c>
      <c r="K25" s="18" t="s">
        <v>19</v>
      </c>
      <c r="L25" s="18" t="s">
        <v>20</v>
      </c>
    </row>
  </sheetData>
  <autoFilter ref="A1:L25" xr:uid="{80CB80CE-E55C-4492-916C-02AF21CF72D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6c79f40babdab5462f9a670aa0617a8b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40b18d380c9a8276a1ad71929ba07d0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792F93-C709-4AAA-BE79-575106A70FC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775C17-553F-442F-8347-3DEBF6F05CA6}"/>
</file>

<file path=customXml/itemProps3.xml><?xml version="1.0" encoding="utf-8"?>
<ds:datastoreItem xmlns:ds="http://schemas.openxmlformats.org/officeDocument/2006/customXml" ds:itemID="{6255991D-2949-49C8-B12D-F444BAD315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pa_out_emss_fncd_re</vt:lpstr>
      <vt:lpstr>pa_out_emss_fncd</vt:lpstr>
      <vt:lpstr>property_energy_certificate</vt:lpstr>
      <vt:lpstr>property</vt:lpstr>
      <vt:lpstr>gt018_rateio_aval</vt:lpstr>
      <vt:lpstr>ct001_univ_saldo</vt:lpstr>
      <vt:lpstr>ct001_univ_saldo-Saldo Cateira</vt:lpstr>
      <vt:lpstr>energy_certificate_est_input</vt:lpstr>
      <vt:lpstr>pa_out_bens_imoveis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Marta Rafaela Teixeira Nunes</cp:lastModifiedBy>
  <cp:revision/>
  <dcterms:created xsi:type="dcterms:W3CDTF">2026-01-25T04:05:49Z</dcterms:created>
  <dcterms:modified xsi:type="dcterms:W3CDTF">2026-01-30T17:32:02Z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2026-01-30T14:13:59Z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df0e47ae-63b4-4ef2-9070-48ef1dd0622b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</Properties>
</file>