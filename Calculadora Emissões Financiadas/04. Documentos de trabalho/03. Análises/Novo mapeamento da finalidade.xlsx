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3. Análises/"/>
    </mc:Choice>
  </mc:AlternateContent>
  <xr:revisionPtr revIDLastSave="66" documentId="8_{5A443E41-5D00-47CE-90BE-A80296213173}" xr6:coauthVersionLast="47" xr6:coauthVersionMax="47" xr10:uidLastSave="{4E6FFCB1-D75B-4A74-B288-27775BB14B6A}"/>
  <bookViews>
    <workbookView xWindow="-120" yWindow="-120" windowWidth="29040" windowHeight="15720" activeTab="1" xr2:uid="{00000000-000D-0000-FFFF-FFFF00000000}"/>
  </bookViews>
  <sheets>
    <sheet name="0. Mapeamento Atual" sheetId="2" r:id="rId1"/>
    <sheet name="1. cgarant_bem" sheetId="1" r:id="rId2"/>
    <sheet name="Relações Dez25" sheetId="3" r:id="rId3"/>
  </sheets>
  <definedNames>
    <definedName name="_xlnm._FilterDatabase" localSheetId="0" hidden="1">'0. Mapeamento Atual'!$A$1:$H$31</definedName>
    <definedName name="_xlnm._FilterDatabase" localSheetId="1" hidden="1">'1. cgarant_bem'!$A$1:$C$73</definedName>
    <definedName name="_xlnm._FilterDatabase" localSheetId="2" hidden="1">'Relações Dez25'!$A$1:$C$60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28" i="1"/>
  <c r="H28" i="1" s="1"/>
  <c r="F27" i="1"/>
  <c r="H27" i="1" s="1"/>
  <c r="F26" i="1"/>
  <c r="H26" i="1" s="1"/>
  <c r="F25" i="1"/>
  <c r="H25" i="1" s="1"/>
  <c r="F24" i="1"/>
  <c r="H24" i="1" s="1"/>
  <c r="F23" i="1"/>
  <c r="H23" i="1" s="1"/>
  <c r="F22" i="1"/>
  <c r="H22" i="1" s="1"/>
  <c r="F21" i="1"/>
  <c r="H21" i="1" s="1"/>
  <c r="F20" i="1"/>
  <c r="H20" i="1" s="1"/>
  <c r="F19" i="1"/>
  <c r="H19" i="1" s="1"/>
  <c r="F18" i="1"/>
  <c r="H18" i="1" s="1"/>
  <c r="F17" i="1"/>
  <c r="H17" i="1" s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10" i="1"/>
  <c r="H10" i="1" s="1"/>
  <c r="F9" i="1"/>
  <c r="H9" i="1" s="1"/>
  <c r="F8" i="1"/>
  <c r="H8" i="1" s="1"/>
  <c r="F7" i="1"/>
  <c r="H7" i="1" s="1"/>
  <c r="F6" i="1"/>
  <c r="H6" i="1" s="1"/>
  <c r="F5" i="1"/>
  <c r="H5" i="1" s="1"/>
  <c r="F4" i="1"/>
  <c r="H4" i="1" s="1"/>
  <c r="F3" i="1"/>
  <c r="H3" i="1" s="1"/>
  <c r="F2" i="1"/>
  <c r="H2" i="1" s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<sst xmlns="http://schemas.openxmlformats.org/spreadsheetml/2006/main" count="557" uniqueCount="279">
  <si>
    <t>cgarant_bem</t>
  </si>
  <si>
    <t>descritivo</t>
  </si>
  <si>
    <t>7514</t>
  </si>
  <si>
    <t>Leasing mobiliário - Equipamento - Energia éolica</t>
  </si>
  <si>
    <t>5204</t>
  </si>
  <si>
    <t>Imóvel p/ Escritório - em construção</t>
  </si>
  <si>
    <t>7505</t>
  </si>
  <si>
    <t>Leasing mobiliário - Equipamento - Construção</t>
  </si>
  <si>
    <t>7504</t>
  </si>
  <si>
    <t>Leasing mobiliário - Equipamento - Energia Hidráulica</t>
  </si>
  <si>
    <t>7501</t>
  </si>
  <si>
    <t>Leasing mobiliário - Equipamento - Agricultura</t>
  </si>
  <si>
    <t>5101</t>
  </si>
  <si>
    <t>Imóvel ou Fração p/ Habitação</t>
  </si>
  <si>
    <t>7500</t>
  </si>
  <si>
    <t>Leasing mobiliário - Equipamento - Indefinido</t>
  </si>
  <si>
    <t>7502</t>
  </si>
  <si>
    <t>Leasing mobiliário - Equipamento - Indústria</t>
  </si>
  <si>
    <t>6300</t>
  </si>
  <si>
    <t>Fundos de Investimento</t>
  </si>
  <si>
    <t>7104</t>
  </si>
  <si>
    <t>Leasing mobiliário - Viatura - Pesado mercadorias</t>
  </si>
  <si>
    <t>7515</t>
  </si>
  <si>
    <t>Leasing mobiliário - Equipamento - Outras E. Renováveis</t>
  </si>
  <si>
    <t>7503</t>
  </si>
  <si>
    <t>Leasing mobiliário - Equipamento - Pecuária</t>
  </si>
  <si>
    <t>6201</t>
  </si>
  <si>
    <t>Depósitos à Ordem no Banco</t>
  </si>
  <si>
    <t>7509</t>
  </si>
  <si>
    <t>Leasing mobiliário - Equipamento - Escritório</t>
  </si>
  <si>
    <t>6407</t>
  </si>
  <si>
    <t>Título de Dívida Emitido por Terceiros (FC) - Não Cotado</t>
  </si>
  <si>
    <t>7111</t>
  </si>
  <si>
    <t>Leasing mobiliário - Viatura - Ferroviário</t>
  </si>
  <si>
    <t>6403</t>
  </si>
  <si>
    <t>Título de Dívida Emitido pelo Grupo Santander (FC) - Não Cotado</t>
  </si>
  <si>
    <t>6101</t>
  </si>
  <si>
    <t>Seguros financeiros - Totta Seguros</t>
  </si>
  <si>
    <t>5216</t>
  </si>
  <si>
    <t>Imóvel p/ Saúde  - em construção</t>
  </si>
  <si>
    <t>5104</t>
  </si>
  <si>
    <t>Imóvel ou Fração p/ Estacionamento em Imo. Residencial  - em construção</t>
  </si>
  <si>
    <t>7107</t>
  </si>
  <si>
    <t>Leasing mobiliário - Viatura - Construção</t>
  </si>
  <si>
    <t>5000</t>
  </si>
  <si>
    <t>Imóveis com finalidade indefinida</t>
  </si>
  <si>
    <t>7103</t>
  </si>
  <si>
    <t>Leasing mobiliário - Viatura - Pesado passageiros</t>
  </si>
  <si>
    <t>7511</t>
  </si>
  <si>
    <t>Leasing mobiliário - Equipamento - Transporte</t>
  </si>
  <si>
    <t>5302</t>
  </si>
  <si>
    <t>Terreno p/ Habitação</t>
  </si>
  <si>
    <t>5210</t>
  </si>
  <si>
    <t>Imóvel ou Fração p/ Estacionamento ligados à exploração  - em construção</t>
  </si>
  <si>
    <t>7109</t>
  </si>
  <si>
    <t>Leasing mobiliário - Viatura - Aeronave</t>
  </si>
  <si>
    <t>7510</t>
  </si>
  <si>
    <t>Leasing mobiliário - Equipamento - Saúde</t>
  </si>
  <si>
    <t>7100</t>
  </si>
  <si>
    <t>Leasing mobiliário - Viatura - Indefinido</t>
  </si>
  <si>
    <t>5102</t>
  </si>
  <si>
    <t>Imóvel ou Fração p/ Habitação - em construção</t>
  </si>
  <si>
    <t>7513</t>
  </si>
  <si>
    <t>Leasing mobiliário - Equipamento - Fotovoltaico</t>
  </si>
  <si>
    <t>7110</t>
  </si>
  <si>
    <t>Leasing mobiliário - Viatura - Reboque</t>
  </si>
  <si>
    <t>6501</t>
  </si>
  <si>
    <t>Ações e Outras Participações Emitidas pelo Grupo - Cotado</t>
  </si>
  <si>
    <t>5212</t>
  </si>
  <si>
    <t>Imóvel p/ Hotel - em construção</t>
  </si>
  <si>
    <t>5203</t>
  </si>
  <si>
    <t>Imóvel p/ Escritório</t>
  </si>
  <si>
    <t>5213</t>
  </si>
  <si>
    <t>Imóvel p/ Educação</t>
  </si>
  <si>
    <t>5217</t>
  </si>
  <si>
    <t>Imóvel p/ Lazer</t>
  </si>
  <si>
    <t>5214</t>
  </si>
  <si>
    <t>Imóvel p/ Educação  - em construção</t>
  </si>
  <si>
    <t>5205</t>
  </si>
  <si>
    <t>Imóvel p/ Armazém</t>
  </si>
  <si>
    <t>5215</t>
  </si>
  <si>
    <t>Imóvel p/ Saúde</t>
  </si>
  <si>
    <t>7102</t>
  </si>
  <si>
    <t>Leasing mobiliário - Viatura - Ligeiro mercadorias</t>
  </si>
  <si>
    <t>6401</t>
  </si>
  <si>
    <t>Título de Dívida Emitido pelo Grupo Santander (FC) - Cotado</t>
  </si>
  <si>
    <t>6502</t>
  </si>
  <si>
    <t>Ações e Outras Participações Emitidas por Terceiros - Cotado</t>
  </si>
  <si>
    <t>7512</t>
  </si>
  <si>
    <t>Leasing mobiliário - Equipamento - Lazer</t>
  </si>
  <si>
    <t>5218</t>
  </si>
  <si>
    <t>Imóvel p/ Lazer  - em construção</t>
  </si>
  <si>
    <t>6406</t>
  </si>
  <si>
    <t>Título de Dívida Emitido por Terceiros (NFC) - Cotado</t>
  </si>
  <si>
    <t>5207</t>
  </si>
  <si>
    <t>Imóvel p/ Indústria</t>
  </si>
  <si>
    <t>5206</t>
  </si>
  <si>
    <t>Imóvel p/ Armazém - em construção</t>
  </si>
  <si>
    <t>6503</t>
  </si>
  <si>
    <t>Ações e Outras Participações Emitidas pelo Grupo - Não Cotado</t>
  </si>
  <si>
    <t>6202</t>
  </si>
  <si>
    <t>Depósitos a Prazo no Banco</t>
  </si>
  <si>
    <t>7105</t>
  </si>
  <si>
    <t>Leasing mobiliário - Viatura - Motociclo</t>
  </si>
  <si>
    <t>5300</t>
  </si>
  <si>
    <t>Terreno com finalidade indefinida</t>
  </si>
  <si>
    <t>5301</t>
  </si>
  <si>
    <t>Terreno p/ Comércio</t>
  </si>
  <si>
    <t>6404</t>
  </si>
  <si>
    <t>Título de Dívida Emitido pelo Grupo Santander (NFC) - Não Cotado</t>
  </si>
  <si>
    <t>5211</t>
  </si>
  <si>
    <t>Imóvel p/ Hotel</t>
  </si>
  <si>
    <t>7106</t>
  </si>
  <si>
    <t>Leasing mobiliário - Viatura - Agricultura</t>
  </si>
  <si>
    <t>6408</t>
  </si>
  <si>
    <t>Título de Dívida Emitido por Terceiros (NFC) - Não Cotado</t>
  </si>
  <si>
    <t>6504</t>
  </si>
  <si>
    <t>Ações e Outras Participações Emitido por Terceiros - Não Cotado</t>
  </si>
  <si>
    <t>7508</t>
  </si>
  <si>
    <t>Leasing mobiliário - Equipamento - Hotelaria</t>
  </si>
  <si>
    <t>7101</t>
  </si>
  <si>
    <t>Leasing mobiliário - Viatura - Ligeiro passageiros</t>
  </si>
  <si>
    <t>6102</t>
  </si>
  <si>
    <t>Seguros financeiros - Totta Seguros - sobre Fundos de Investimento</t>
  </si>
  <si>
    <t>7507</t>
  </si>
  <si>
    <t>Leasing mobiliário - Equipamento - Restauracão</t>
  </si>
  <si>
    <t>5103</t>
  </si>
  <si>
    <t>Imóvel ou Fração p/ Estacionamento em Imo. Residencial</t>
  </si>
  <si>
    <t>6402</t>
  </si>
  <si>
    <t>Título de Dívida Emitido pelo Grupo Santander (NFC) - Cotado</t>
  </si>
  <si>
    <t>5303</t>
  </si>
  <si>
    <t>Terreno p/ Agricultura</t>
  </si>
  <si>
    <t>7506</t>
  </si>
  <si>
    <t>Leasing mobiliário - Equipamento - Comércio</t>
  </si>
  <si>
    <t>7108</t>
  </si>
  <si>
    <t>Leasing mobiliário - Viatura - Embarcação</t>
  </si>
  <si>
    <t>6405</t>
  </si>
  <si>
    <t>Título de Dívida Emitido por Terceiros (FC) - Cotado</t>
  </si>
  <si>
    <t>5201</t>
  </si>
  <si>
    <t>Imóvel p/ Comércio</t>
  </si>
  <si>
    <t>5209</t>
  </si>
  <si>
    <t>Imóvel ou Fração p/ Estacionamento ligados à exploração</t>
  </si>
  <si>
    <t>5202</t>
  </si>
  <si>
    <t>Imóvel p/ Comercio - em construção</t>
  </si>
  <si>
    <t>5208</t>
  </si>
  <si>
    <t>Imóvel p/ Indústria - em construção</t>
  </si>
  <si>
    <t>dimensao</t>
  </si>
  <si>
    <t>valor_original</t>
  </si>
  <si>
    <t>valor_mv</t>
  </si>
  <si>
    <t>descritivo_mv</t>
  </si>
  <si>
    <t>ckutulmo</t>
  </si>
  <si>
    <t>htimest</t>
  </si>
  <si>
    <t>ref_date</t>
  </si>
  <si>
    <t>cod_visao</t>
  </si>
  <si>
    <t>tipo_finalidade_bem</t>
  </si>
  <si>
    <t>0_</t>
  </si>
  <si>
    <t>Non-residential buildings</t>
  </si>
  <si>
    <t>Não Residencial</t>
  </si>
  <si>
    <t>SERVDLAKEP</t>
  </si>
  <si>
    <t>2025-12-31 17:36:08.641</t>
  </si>
  <si>
    <t>0_07</t>
  </si>
  <si>
    <t>Not applicable</t>
  </si>
  <si>
    <t>Não Aplicável</t>
  </si>
  <si>
    <t>0_06</t>
  </si>
  <si>
    <t>0_11</t>
  </si>
  <si>
    <t>Healthcare</t>
  </si>
  <si>
    <t>Saúde</t>
  </si>
  <si>
    <t>0_09</t>
  </si>
  <si>
    <t>Hotel</t>
  </si>
  <si>
    <t>0_12</t>
  </si>
  <si>
    <t>Lodge/Leisure</t>
  </si>
  <si>
    <t>Lazer</t>
  </si>
  <si>
    <t>0_14</t>
  </si>
  <si>
    <t>Shopping Center</t>
  </si>
  <si>
    <t>Centro Comercial</t>
  </si>
  <si>
    <t>0_10</t>
  </si>
  <si>
    <t>0_13</t>
  </si>
  <si>
    <t>1_13</t>
  </si>
  <si>
    <t>Non-residential total</t>
  </si>
  <si>
    <t>0_01</t>
  </si>
  <si>
    <t>Residential Total</t>
  </si>
  <si>
    <t>Residencial</t>
  </si>
  <si>
    <t>0_03</t>
  </si>
  <si>
    <t>Office</t>
  </si>
  <si>
    <t>Escritório</t>
  </si>
  <si>
    <t>0_05</t>
  </si>
  <si>
    <t>0_02</t>
  </si>
  <si>
    <t>Retail High-street</t>
  </si>
  <si>
    <t>Comércio</t>
  </si>
  <si>
    <t>0_04</t>
  </si>
  <si>
    <t>Retail Warehouse</t>
  </si>
  <si>
    <t>Armazém</t>
  </si>
  <si>
    <t>0_08</t>
  </si>
  <si>
    <t>1_07</t>
  </si>
  <si>
    <t>1_06</t>
  </si>
  <si>
    <t>1_11</t>
  </si>
  <si>
    <t>1_09</t>
  </si>
  <si>
    <t>1_12</t>
  </si>
  <si>
    <t>Leisure/Lodging</t>
  </si>
  <si>
    <t>1_14</t>
  </si>
  <si>
    <t>Retail - shopping center</t>
  </si>
  <si>
    <t>1_10</t>
  </si>
  <si>
    <t>1_01</t>
  </si>
  <si>
    <t>1_03</t>
  </si>
  <si>
    <t>1_05</t>
  </si>
  <si>
    <t>1_02</t>
  </si>
  <si>
    <t>Retail - high street</t>
  </si>
  <si>
    <t>1_04</t>
  </si>
  <si>
    <t>Retail - warehouse</t>
  </si>
  <si>
    <t>1_08</t>
  </si>
  <si>
    <t>1_</t>
  </si>
  <si>
    <t>property_purpose_code</t>
  </si>
  <si>
    <t>count(*)</t>
  </si>
  <si>
    <t>NULL</t>
  </si>
  <si>
    <t>01</t>
  </si>
  <si>
    <t>2</t>
  </si>
  <si>
    <t xml:space="preserve">01  </t>
  </si>
  <si>
    <t>1038</t>
  </si>
  <si>
    <t xml:space="preserve">08  </t>
  </si>
  <si>
    <t>126</t>
  </si>
  <si>
    <t>14</t>
  </si>
  <si>
    <t>9</t>
  </si>
  <si>
    <t>12</t>
  </si>
  <si>
    <t>1</t>
  </si>
  <si>
    <t xml:space="preserve">03  </t>
  </si>
  <si>
    <t>10</t>
  </si>
  <si>
    <t>12418</t>
  </si>
  <si>
    <t>02</t>
  </si>
  <si>
    <t>2513</t>
  </si>
  <si>
    <t>07</t>
  </si>
  <si>
    <t>122</t>
  </si>
  <si>
    <t>08</t>
  </si>
  <si>
    <t>1425</t>
  </si>
  <si>
    <t>04</t>
  </si>
  <si>
    <t>35</t>
  </si>
  <si>
    <t>663</t>
  </si>
  <si>
    <t>64</t>
  </si>
  <si>
    <t>20</t>
  </si>
  <si>
    <t>09</t>
  </si>
  <si>
    <t>42</t>
  </si>
  <si>
    <t>48</t>
  </si>
  <si>
    <t>05</t>
  </si>
  <si>
    <t>5</t>
  </si>
  <si>
    <t>17</t>
  </si>
  <si>
    <t>06</t>
  </si>
  <si>
    <t>154</t>
  </si>
  <si>
    <t>70</t>
  </si>
  <si>
    <t>1390</t>
  </si>
  <si>
    <t>252860</t>
  </si>
  <si>
    <t>172</t>
  </si>
  <si>
    <t>03</t>
  </si>
  <si>
    <t>8</t>
  </si>
  <si>
    <t>24</t>
  </si>
  <si>
    <t>95</t>
  </si>
  <si>
    <t>11</t>
  </si>
  <si>
    <t>13</t>
  </si>
  <si>
    <t>258</t>
  </si>
  <si>
    <t>499</t>
  </si>
  <si>
    <t>124</t>
  </si>
  <si>
    <t xml:space="preserve">04  </t>
  </si>
  <si>
    <t>57</t>
  </si>
  <si>
    <t xml:space="preserve">02  </t>
  </si>
  <si>
    <t>45</t>
  </si>
  <si>
    <t>19</t>
  </si>
  <si>
    <t>47</t>
  </si>
  <si>
    <t>4</t>
  </si>
  <si>
    <t>3</t>
  </si>
  <si>
    <t xml:space="preserve">11  </t>
  </si>
  <si>
    <t xml:space="preserve">13  </t>
  </si>
  <si>
    <t>7</t>
  </si>
  <si>
    <t>179</t>
  </si>
  <si>
    <t>662</t>
  </si>
  <si>
    <t xml:space="preserve">10  </t>
  </si>
  <si>
    <t>432</t>
  </si>
  <si>
    <t xml:space="preserve">05  </t>
  </si>
  <si>
    <t>15</t>
  </si>
  <si>
    <t xml:space="preserve">07  </t>
  </si>
  <si>
    <t>COM EPC</t>
  </si>
  <si>
    <t>SEM EPC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</si>
</sst>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15</xdr:col>
      <xdr:colOff>66286</xdr:colOff>
      <xdr:row>25</xdr:row>
      <xdr:rowOff>85167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4E27F2-1F91-4DD6-A2BE-EC39D50B6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5225" y="381000"/>
          <a:ext cx="3114286" cy="44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12</xdr:col>
      <xdr:colOff>66286</xdr:colOff>
      <xdr:row>82</xdr:row>
      <xdr:rowOff>85167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789A22-8A82-30AF-C6FA-F0E0196C9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3114286" cy="44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4ED9-E39C-4CFC-8F5C-7D06B1B3CC26}">
  <dimension ref="A1:S31"/>
  <sheetViews>
    <sheetView showGridLines="0" workbookViewId="0">
      <selection activeCell="A2" sqref="A2"/>
    </sheetView>
  </sheetViews>
  <sheetFormatPr defaultRowHeight="15" x14ac:dyDescent="0.25"/>
  <cols>
    <col min="1" max="1" width="19.85546875" bestFit="1" customWidth="1"/>
    <col min="2" max="2" width="15.5703125" bestFit="1" customWidth="1"/>
    <col min="3" max="3" width="24" bestFit="1" customWidth="1"/>
    <col min="4" max="4" width="16.42578125" bestFit="1" customWidth="1"/>
    <col min="5" max="5" width="12.140625" bestFit="1" customWidth="1"/>
    <col min="6" max="6" width="22" bestFit="1" customWidth="1"/>
    <col min="7" max="7" width="10.85546875" bestFit="1" customWidth="1"/>
    <col min="8" max="8" width="12" bestFit="1" customWidth="1"/>
    <col min="18" max="18" width="24" bestFit="1" customWidth="1"/>
    <col min="19" max="19" width="19.85546875" bestFit="1" customWidth="1"/>
  </cols>
  <sheetData>
    <row r="1" spans="1:19" x14ac:dyDescent="0.2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R1" t="s">
        <v>278</v>
      </c>
      <c r="S1" t="s">
        <v>277</v>
      </c>
    </row>
    <row r="2" spans="1:19" x14ac:dyDescent="0.25">
      <c r="A2" t="s">
        <v>154</v>
      </c>
      <c r="B2" t="s">
        <v>155</v>
      </c>
      <c r="C2" t="s">
        <v>156</v>
      </c>
      <c r="D2" t="s">
        <v>157</v>
      </c>
      <c r="E2" t="s">
        <v>158</v>
      </c>
      <c r="F2" t="s">
        <v>159</v>
      </c>
      <c r="G2" s="2">
        <v>46022</v>
      </c>
      <c r="H2">
        <v>1</v>
      </c>
      <c r="I2" t="b">
        <f>+C2=C17</f>
        <v>0</v>
      </c>
      <c r="R2" t="s">
        <v>156</v>
      </c>
      <c r="S2" t="s">
        <v>178</v>
      </c>
    </row>
    <row r="3" spans="1:19" x14ac:dyDescent="0.25">
      <c r="A3" t="s">
        <v>154</v>
      </c>
      <c r="B3" t="s">
        <v>179</v>
      </c>
      <c r="C3" t="s">
        <v>180</v>
      </c>
      <c r="D3" t="s">
        <v>181</v>
      </c>
      <c r="E3" t="s">
        <v>158</v>
      </c>
      <c r="F3" t="s">
        <v>159</v>
      </c>
      <c r="G3" s="2">
        <v>46022</v>
      </c>
      <c r="H3">
        <v>1</v>
      </c>
      <c r="I3" t="b">
        <f t="shared" ref="I3:I16" si="0">+C3=C18</f>
        <v>1</v>
      </c>
      <c r="R3" t="s">
        <v>180</v>
      </c>
      <c r="S3" t="s">
        <v>180</v>
      </c>
    </row>
    <row r="4" spans="1:19" x14ac:dyDescent="0.25">
      <c r="A4" t="s">
        <v>154</v>
      </c>
      <c r="B4" t="s">
        <v>186</v>
      </c>
      <c r="C4" t="s">
        <v>187</v>
      </c>
      <c r="D4" t="s">
        <v>188</v>
      </c>
      <c r="E4" t="s">
        <v>158</v>
      </c>
      <c r="F4" t="s">
        <v>159</v>
      </c>
      <c r="G4" s="2">
        <v>46022</v>
      </c>
      <c r="H4">
        <v>1</v>
      </c>
      <c r="I4" t="b">
        <f t="shared" si="0"/>
        <v>0</v>
      </c>
      <c r="R4" t="s">
        <v>161</v>
      </c>
      <c r="S4" t="s">
        <v>161</v>
      </c>
    </row>
    <row r="5" spans="1:19" x14ac:dyDescent="0.25">
      <c r="A5" t="s">
        <v>154</v>
      </c>
      <c r="B5" t="s">
        <v>182</v>
      </c>
      <c r="C5" t="s">
        <v>183</v>
      </c>
      <c r="D5" t="s">
        <v>184</v>
      </c>
      <c r="E5" t="s">
        <v>158</v>
      </c>
      <c r="F5" t="s">
        <v>159</v>
      </c>
      <c r="G5" s="2">
        <v>46022</v>
      </c>
      <c r="H5">
        <v>1</v>
      </c>
      <c r="I5" t="b">
        <f t="shared" si="0"/>
        <v>1</v>
      </c>
      <c r="R5" t="s">
        <v>187</v>
      </c>
      <c r="S5" t="s">
        <v>206</v>
      </c>
    </row>
    <row r="6" spans="1:19" x14ac:dyDescent="0.25">
      <c r="A6" t="s">
        <v>154</v>
      </c>
      <c r="B6" t="s">
        <v>189</v>
      </c>
      <c r="C6" t="s">
        <v>190</v>
      </c>
      <c r="D6" t="s">
        <v>191</v>
      </c>
      <c r="E6" t="s">
        <v>158</v>
      </c>
      <c r="F6" t="s">
        <v>159</v>
      </c>
      <c r="G6" s="2">
        <v>46022</v>
      </c>
      <c r="H6">
        <v>1</v>
      </c>
      <c r="I6" t="b">
        <f t="shared" si="0"/>
        <v>0</v>
      </c>
      <c r="R6" t="s">
        <v>183</v>
      </c>
      <c r="S6" t="s">
        <v>183</v>
      </c>
    </row>
    <row r="7" spans="1:19" x14ac:dyDescent="0.25">
      <c r="A7" t="s">
        <v>154</v>
      </c>
      <c r="B7" t="s">
        <v>185</v>
      </c>
      <c r="C7" t="s">
        <v>156</v>
      </c>
      <c r="D7" t="s">
        <v>157</v>
      </c>
      <c r="E7" t="s">
        <v>158</v>
      </c>
      <c r="F7" t="s">
        <v>159</v>
      </c>
      <c r="G7" s="2">
        <v>46022</v>
      </c>
      <c r="H7">
        <v>1</v>
      </c>
      <c r="I7" t="b">
        <f t="shared" si="0"/>
        <v>0</v>
      </c>
      <c r="R7" t="s">
        <v>190</v>
      </c>
      <c r="S7" t="s">
        <v>208</v>
      </c>
    </row>
    <row r="8" spans="1:19" x14ac:dyDescent="0.25">
      <c r="A8" t="s">
        <v>154</v>
      </c>
      <c r="B8" t="s">
        <v>163</v>
      </c>
      <c r="C8" t="s">
        <v>161</v>
      </c>
      <c r="D8" t="s">
        <v>162</v>
      </c>
      <c r="E8" t="s">
        <v>158</v>
      </c>
      <c r="F8" t="s">
        <v>159</v>
      </c>
      <c r="G8" s="2">
        <v>46022</v>
      </c>
      <c r="H8">
        <v>1</v>
      </c>
      <c r="I8" t="b">
        <f t="shared" si="0"/>
        <v>1</v>
      </c>
      <c r="R8" t="s">
        <v>168</v>
      </c>
      <c r="S8" t="s">
        <v>168</v>
      </c>
    </row>
    <row r="9" spans="1:19" x14ac:dyDescent="0.25">
      <c r="A9" t="s">
        <v>154</v>
      </c>
      <c r="B9" t="s">
        <v>160</v>
      </c>
      <c r="C9" t="s">
        <v>161</v>
      </c>
      <c r="D9" t="s">
        <v>162</v>
      </c>
      <c r="E9" t="s">
        <v>158</v>
      </c>
      <c r="F9" t="s">
        <v>159</v>
      </c>
      <c r="G9" s="2">
        <v>46022</v>
      </c>
      <c r="H9">
        <v>1</v>
      </c>
      <c r="I9" t="b">
        <f t="shared" si="0"/>
        <v>1</v>
      </c>
      <c r="R9" t="s">
        <v>165</v>
      </c>
      <c r="S9" t="s">
        <v>165</v>
      </c>
    </row>
    <row r="10" spans="1:19" x14ac:dyDescent="0.25">
      <c r="A10" t="s">
        <v>154</v>
      </c>
      <c r="B10" t="s">
        <v>192</v>
      </c>
      <c r="C10" t="s">
        <v>156</v>
      </c>
      <c r="D10" t="s">
        <v>157</v>
      </c>
      <c r="E10" t="s">
        <v>158</v>
      </c>
      <c r="F10" t="s">
        <v>159</v>
      </c>
      <c r="G10" s="2">
        <v>46022</v>
      </c>
      <c r="H10">
        <v>1</v>
      </c>
      <c r="I10" t="b">
        <f t="shared" si="0"/>
        <v>0</v>
      </c>
      <c r="R10" t="s">
        <v>170</v>
      </c>
      <c r="S10" t="s">
        <v>198</v>
      </c>
    </row>
    <row r="11" spans="1:19" x14ac:dyDescent="0.25">
      <c r="A11" t="s">
        <v>154</v>
      </c>
      <c r="B11" t="s">
        <v>167</v>
      </c>
      <c r="C11" t="s">
        <v>168</v>
      </c>
      <c r="D11" t="s">
        <v>168</v>
      </c>
      <c r="E11" t="s">
        <v>158</v>
      </c>
      <c r="F11" t="s">
        <v>159</v>
      </c>
      <c r="G11" s="2">
        <v>46022</v>
      </c>
      <c r="H11">
        <v>1</v>
      </c>
      <c r="I11" t="b">
        <f t="shared" si="0"/>
        <v>1</v>
      </c>
    </row>
    <row r="12" spans="1:19" x14ac:dyDescent="0.25">
      <c r="A12" t="s">
        <v>154</v>
      </c>
      <c r="B12" t="s">
        <v>175</v>
      </c>
      <c r="C12" t="s">
        <v>156</v>
      </c>
      <c r="D12" t="s">
        <v>157</v>
      </c>
      <c r="E12" t="s">
        <v>158</v>
      </c>
      <c r="F12" t="s">
        <v>159</v>
      </c>
      <c r="G12" s="2">
        <v>46022</v>
      </c>
      <c r="H12">
        <v>1</v>
      </c>
      <c r="I12" t="b">
        <f t="shared" si="0"/>
        <v>0</v>
      </c>
    </row>
    <row r="13" spans="1:19" x14ac:dyDescent="0.25">
      <c r="A13" t="s">
        <v>154</v>
      </c>
      <c r="B13" t="s">
        <v>164</v>
      </c>
      <c r="C13" t="s">
        <v>165</v>
      </c>
      <c r="D13" t="s">
        <v>166</v>
      </c>
      <c r="E13" t="s">
        <v>158</v>
      </c>
      <c r="F13" t="s">
        <v>159</v>
      </c>
      <c r="G13" s="2">
        <v>46022</v>
      </c>
      <c r="H13">
        <v>1</v>
      </c>
      <c r="I13" t="b">
        <f t="shared" si="0"/>
        <v>1</v>
      </c>
    </row>
    <row r="14" spans="1:19" x14ac:dyDescent="0.25">
      <c r="A14" t="s">
        <v>154</v>
      </c>
      <c r="B14" t="s">
        <v>169</v>
      </c>
      <c r="C14" t="s">
        <v>170</v>
      </c>
      <c r="D14" t="s">
        <v>171</v>
      </c>
      <c r="E14" t="s">
        <v>158</v>
      </c>
      <c r="F14" t="s">
        <v>159</v>
      </c>
      <c r="G14" s="2">
        <v>46022</v>
      </c>
      <c r="H14">
        <v>1</v>
      </c>
      <c r="I14" t="b">
        <f t="shared" si="0"/>
        <v>0</v>
      </c>
    </row>
    <row r="15" spans="1:19" x14ac:dyDescent="0.25">
      <c r="A15" t="s">
        <v>154</v>
      </c>
      <c r="B15" t="s">
        <v>176</v>
      </c>
      <c r="C15" t="s">
        <v>156</v>
      </c>
      <c r="D15" t="s">
        <v>157</v>
      </c>
      <c r="E15" t="s">
        <v>158</v>
      </c>
      <c r="F15" t="s">
        <v>159</v>
      </c>
      <c r="G15" s="2">
        <v>46022</v>
      </c>
      <c r="H15">
        <v>1</v>
      </c>
      <c r="I15" t="b">
        <f t="shared" si="0"/>
        <v>0</v>
      </c>
    </row>
    <row r="16" spans="1:19" x14ac:dyDescent="0.25">
      <c r="A16" t="s">
        <v>154</v>
      </c>
      <c r="B16" t="s">
        <v>172</v>
      </c>
      <c r="C16" t="s">
        <v>173</v>
      </c>
      <c r="D16" t="s">
        <v>174</v>
      </c>
      <c r="E16" t="s">
        <v>158</v>
      </c>
      <c r="F16" t="s">
        <v>159</v>
      </c>
      <c r="G16" s="2">
        <v>46022</v>
      </c>
      <c r="H16">
        <v>1</v>
      </c>
      <c r="I16" t="b">
        <f t="shared" si="0"/>
        <v>0</v>
      </c>
    </row>
    <row r="17" spans="1:8" x14ac:dyDescent="0.25">
      <c r="A17" t="s">
        <v>154</v>
      </c>
      <c r="B17" t="s">
        <v>210</v>
      </c>
      <c r="C17" t="s">
        <v>178</v>
      </c>
      <c r="D17" t="s">
        <v>157</v>
      </c>
      <c r="E17" t="s">
        <v>158</v>
      </c>
      <c r="F17" t="s">
        <v>159</v>
      </c>
      <c r="G17" s="2">
        <v>46022</v>
      </c>
      <c r="H17">
        <v>1</v>
      </c>
    </row>
    <row r="18" spans="1:8" x14ac:dyDescent="0.25">
      <c r="A18" t="s">
        <v>154</v>
      </c>
      <c r="B18" t="s">
        <v>202</v>
      </c>
      <c r="C18" t="s">
        <v>180</v>
      </c>
      <c r="D18" t="s">
        <v>181</v>
      </c>
      <c r="E18" t="s">
        <v>158</v>
      </c>
      <c r="F18" t="s">
        <v>159</v>
      </c>
      <c r="G18" s="2">
        <v>46022</v>
      </c>
      <c r="H18">
        <v>1</v>
      </c>
    </row>
    <row r="19" spans="1:8" x14ac:dyDescent="0.25">
      <c r="A19" t="s">
        <v>154</v>
      </c>
      <c r="B19" t="s">
        <v>205</v>
      </c>
      <c r="C19" t="s">
        <v>206</v>
      </c>
      <c r="D19" t="s">
        <v>188</v>
      </c>
      <c r="E19" t="s">
        <v>158</v>
      </c>
      <c r="F19" t="s">
        <v>159</v>
      </c>
      <c r="G19" s="2">
        <v>46022</v>
      </c>
      <c r="H19">
        <v>1</v>
      </c>
    </row>
    <row r="20" spans="1:8" x14ac:dyDescent="0.25">
      <c r="A20" t="s">
        <v>154</v>
      </c>
      <c r="B20" t="s">
        <v>203</v>
      </c>
      <c r="C20" t="s">
        <v>183</v>
      </c>
      <c r="D20" t="s">
        <v>184</v>
      </c>
      <c r="E20" t="s">
        <v>158</v>
      </c>
      <c r="F20" t="s">
        <v>159</v>
      </c>
      <c r="G20" s="2">
        <v>46022</v>
      </c>
      <c r="H20">
        <v>1</v>
      </c>
    </row>
    <row r="21" spans="1:8" x14ac:dyDescent="0.25">
      <c r="A21" t="s">
        <v>154</v>
      </c>
      <c r="B21" t="s">
        <v>207</v>
      </c>
      <c r="C21" t="s">
        <v>208</v>
      </c>
      <c r="D21" t="s">
        <v>191</v>
      </c>
      <c r="E21" t="s">
        <v>158</v>
      </c>
      <c r="F21" t="s">
        <v>159</v>
      </c>
      <c r="G21" s="2">
        <v>46022</v>
      </c>
      <c r="H21">
        <v>1</v>
      </c>
    </row>
    <row r="22" spans="1:8" x14ac:dyDescent="0.25">
      <c r="A22" t="s">
        <v>154</v>
      </c>
      <c r="B22" t="s">
        <v>204</v>
      </c>
      <c r="C22" t="s">
        <v>178</v>
      </c>
      <c r="D22" t="s">
        <v>157</v>
      </c>
      <c r="E22" t="s">
        <v>158</v>
      </c>
      <c r="F22" t="s">
        <v>159</v>
      </c>
      <c r="G22" s="2">
        <v>46022</v>
      </c>
      <c r="H22">
        <v>1</v>
      </c>
    </row>
    <row r="23" spans="1:8" x14ac:dyDescent="0.25">
      <c r="A23" t="s">
        <v>154</v>
      </c>
      <c r="B23" t="s">
        <v>194</v>
      </c>
      <c r="C23" t="s">
        <v>161</v>
      </c>
      <c r="D23" t="s">
        <v>162</v>
      </c>
      <c r="E23" t="s">
        <v>158</v>
      </c>
      <c r="F23" t="s">
        <v>159</v>
      </c>
      <c r="G23" s="2">
        <v>46022</v>
      </c>
      <c r="H23">
        <v>1</v>
      </c>
    </row>
    <row r="24" spans="1:8" x14ac:dyDescent="0.25">
      <c r="A24" t="s">
        <v>154</v>
      </c>
      <c r="B24" t="s">
        <v>193</v>
      </c>
      <c r="C24" t="s">
        <v>161</v>
      </c>
      <c r="D24" t="s">
        <v>162</v>
      </c>
      <c r="E24" t="s">
        <v>158</v>
      </c>
      <c r="F24" t="s">
        <v>159</v>
      </c>
      <c r="G24" s="2">
        <v>46022</v>
      </c>
      <c r="H24">
        <v>1</v>
      </c>
    </row>
    <row r="25" spans="1:8" x14ac:dyDescent="0.25">
      <c r="A25" t="s">
        <v>154</v>
      </c>
      <c r="B25" t="s">
        <v>209</v>
      </c>
      <c r="C25" t="s">
        <v>178</v>
      </c>
      <c r="D25" t="s">
        <v>157</v>
      </c>
      <c r="E25" t="s">
        <v>158</v>
      </c>
      <c r="F25" t="s">
        <v>159</v>
      </c>
      <c r="G25" s="2">
        <v>46022</v>
      </c>
      <c r="H25">
        <v>1</v>
      </c>
    </row>
    <row r="26" spans="1:8" x14ac:dyDescent="0.25">
      <c r="A26" t="s">
        <v>154</v>
      </c>
      <c r="B26" t="s">
        <v>196</v>
      </c>
      <c r="C26" t="s">
        <v>168</v>
      </c>
      <c r="D26" t="s">
        <v>168</v>
      </c>
      <c r="E26" t="s">
        <v>158</v>
      </c>
      <c r="F26" t="s">
        <v>159</v>
      </c>
      <c r="G26" s="2">
        <v>46022</v>
      </c>
      <c r="H26">
        <v>1</v>
      </c>
    </row>
    <row r="27" spans="1:8" x14ac:dyDescent="0.25">
      <c r="A27" t="s">
        <v>154</v>
      </c>
      <c r="B27" t="s">
        <v>201</v>
      </c>
      <c r="C27" t="s">
        <v>178</v>
      </c>
      <c r="D27" t="s">
        <v>157</v>
      </c>
      <c r="E27" t="s">
        <v>158</v>
      </c>
      <c r="F27" t="s">
        <v>159</v>
      </c>
      <c r="G27" s="2">
        <v>46022</v>
      </c>
      <c r="H27">
        <v>1</v>
      </c>
    </row>
    <row r="28" spans="1:8" x14ac:dyDescent="0.25">
      <c r="A28" t="s">
        <v>154</v>
      </c>
      <c r="B28" t="s">
        <v>195</v>
      </c>
      <c r="C28" t="s">
        <v>165</v>
      </c>
      <c r="D28" t="s">
        <v>166</v>
      </c>
      <c r="E28" t="s">
        <v>158</v>
      </c>
      <c r="F28" t="s">
        <v>159</v>
      </c>
      <c r="G28" s="2">
        <v>46022</v>
      </c>
      <c r="H28">
        <v>1</v>
      </c>
    </row>
    <row r="29" spans="1:8" x14ac:dyDescent="0.25">
      <c r="A29" t="s">
        <v>154</v>
      </c>
      <c r="B29" t="s">
        <v>197</v>
      </c>
      <c r="C29" t="s">
        <v>198</v>
      </c>
      <c r="D29" t="s">
        <v>171</v>
      </c>
      <c r="E29" t="s">
        <v>158</v>
      </c>
      <c r="F29" t="s">
        <v>159</v>
      </c>
      <c r="G29" s="2">
        <v>46022</v>
      </c>
      <c r="H29">
        <v>1</v>
      </c>
    </row>
    <row r="30" spans="1:8" x14ac:dyDescent="0.25">
      <c r="A30" t="s">
        <v>154</v>
      </c>
      <c r="B30" t="s">
        <v>177</v>
      </c>
      <c r="C30" t="s">
        <v>178</v>
      </c>
      <c r="D30" t="s">
        <v>157</v>
      </c>
      <c r="E30" t="s">
        <v>158</v>
      </c>
      <c r="F30" t="s">
        <v>159</v>
      </c>
      <c r="G30" s="2">
        <v>46022</v>
      </c>
      <c r="H30">
        <v>1</v>
      </c>
    </row>
    <row r="31" spans="1:8" x14ac:dyDescent="0.25">
      <c r="A31" t="s">
        <v>154</v>
      </c>
      <c r="B31" t="s">
        <v>199</v>
      </c>
      <c r="C31" t="s">
        <v>200</v>
      </c>
      <c r="D31" t="s">
        <v>174</v>
      </c>
      <c r="E31" t="s">
        <v>158</v>
      </c>
      <c r="F31" t="s">
        <v>159</v>
      </c>
      <c r="G31" s="2">
        <v>46022</v>
      </c>
      <c r="H31">
        <v>1</v>
      </c>
    </row>
  </sheetData>
  <autoFilter ref="A1:H31" xr:uid="{35F54ED9-E39C-4CFC-8F5C-7D06B1B3CC26}">
    <sortState xmlns:xlrd2="http://schemas.microsoft.com/office/spreadsheetml/2017/richdata2" ref="A2:H31">
      <sortCondition ref="B1:B31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showGridLines="0" tabSelected="1" workbookViewId="0">
      <selection activeCell="C1" sqref="C1"/>
    </sheetView>
  </sheetViews>
  <sheetFormatPr defaultColWidth="11.42578125" defaultRowHeight="15" x14ac:dyDescent="0.25"/>
  <cols>
    <col min="1" max="1" width="12.42578125" bestFit="1" customWidth="1"/>
    <col min="2" max="2" width="68.140625" bestFit="1" customWidth="1"/>
    <col min="3" max="3" width="24" bestFit="1" customWidth="1"/>
    <col min="5" max="5" width="8.42578125" bestFit="1" customWidth="1"/>
    <col min="6" max="6" width="24" bestFit="1" customWidth="1"/>
    <col min="7" max="7" width="9" bestFit="1" customWidth="1"/>
    <col min="8" max="8" width="19.85546875" bestFit="1" customWidth="1"/>
  </cols>
  <sheetData>
    <row r="1" spans="1:8" x14ac:dyDescent="0.25">
      <c r="A1" t="s">
        <v>0</v>
      </c>
      <c r="B1" t="s">
        <v>1</v>
      </c>
      <c r="E1" t="s">
        <v>278</v>
      </c>
      <c r="F1" t="s">
        <v>278</v>
      </c>
      <c r="G1" t="s">
        <v>277</v>
      </c>
      <c r="H1" t="s">
        <v>277</v>
      </c>
    </row>
    <row r="2" spans="1:8" x14ac:dyDescent="0.25">
      <c r="A2" s="1" t="s">
        <v>44</v>
      </c>
      <c r="B2" s="1" t="s">
        <v>45</v>
      </c>
      <c r="C2" t="s">
        <v>156</v>
      </c>
      <c r="E2" t="str">
        <f>+"0_"&amp;A2</f>
        <v>0_5000</v>
      </c>
      <c r="F2" t="str">
        <f>+C2</f>
        <v>Non-residential buildings</v>
      </c>
      <c r="G2" t="str">
        <f>+"1_"&amp;A2</f>
        <v>1_5000</v>
      </c>
      <c r="H2" t="str">
        <f>+VLOOKUP(F2,'0. Mapeamento Atual'!R:S,2,FALSE)</f>
        <v>Non-residential total</v>
      </c>
    </row>
    <row r="3" spans="1:8" x14ac:dyDescent="0.25">
      <c r="A3" s="1" t="s">
        <v>12</v>
      </c>
      <c r="B3" s="1" t="s">
        <v>13</v>
      </c>
      <c r="C3" t="s">
        <v>180</v>
      </c>
      <c r="E3" t="str">
        <f t="shared" ref="E3:E28" si="0">+"0_"&amp;A3</f>
        <v>0_5101</v>
      </c>
      <c r="F3" t="str">
        <f t="shared" ref="F3:F28" si="1">+C3</f>
        <v>Residential Total</v>
      </c>
      <c r="G3" t="str">
        <f t="shared" ref="G3:G28" si="2">+"1_"&amp;A3</f>
        <v>1_5101</v>
      </c>
      <c r="H3" t="str">
        <f>+VLOOKUP(F3,'0. Mapeamento Atual'!R:S,2,FALSE)</f>
        <v>Residential Total</v>
      </c>
    </row>
    <row r="4" spans="1:8" x14ac:dyDescent="0.25">
      <c r="A4" s="1" t="s">
        <v>60</v>
      </c>
      <c r="B4" s="1" t="s">
        <v>61</v>
      </c>
      <c r="C4" t="s">
        <v>180</v>
      </c>
      <c r="E4" t="str">
        <f t="shared" si="0"/>
        <v>0_5102</v>
      </c>
      <c r="F4" t="str">
        <f t="shared" si="1"/>
        <v>Residential Total</v>
      </c>
      <c r="G4" t="str">
        <f t="shared" si="2"/>
        <v>1_5102</v>
      </c>
      <c r="H4" t="str">
        <f>+VLOOKUP(F4,'0. Mapeamento Atual'!R:S,2,FALSE)</f>
        <v>Residential Total</v>
      </c>
    </row>
    <row r="5" spans="1:8" x14ac:dyDescent="0.25">
      <c r="A5" s="1" t="s">
        <v>126</v>
      </c>
      <c r="B5" s="1" t="s">
        <v>127</v>
      </c>
      <c r="C5" t="s">
        <v>161</v>
      </c>
      <c r="E5" t="str">
        <f t="shared" si="0"/>
        <v>0_5103</v>
      </c>
      <c r="F5" t="str">
        <f t="shared" si="1"/>
        <v>Not applicable</v>
      </c>
      <c r="G5" t="str">
        <f t="shared" si="2"/>
        <v>1_5103</v>
      </c>
      <c r="H5" t="str">
        <f>+VLOOKUP(F5,'0. Mapeamento Atual'!R:S,2,FALSE)</f>
        <v>Not applicable</v>
      </c>
    </row>
    <row r="6" spans="1:8" x14ac:dyDescent="0.25">
      <c r="A6" s="1" t="s">
        <v>40</v>
      </c>
      <c r="B6" s="1" t="s">
        <v>41</v>
      </c>
      <c r="C6" t="s">
        <v>161</v>
      </c>
      <c r="E6" t="str">
        <f t="shared" si="0"/>
        <v>0_5104</v>
      </c>
      <c r="F6" t="str">
        <f t="shared" si="1"/>
        <v>Not applicable</v>
      </c>
      <c r="G6" t="str">
        <f t="shared" si="2"/>
        <v>1_5104</v>
      </c>
      <c r="H6" t="str">
        <f>+VLOOKUP(F6,'0. Mapeamento Atual'!R:S,2,FALSE)</f>
        <v>Not applicable</v>
      </c>
    </row>
    <row r="7" spans="1:8" x14ac:dyDescent="0.25">
      <c r="A7" s="1" t="s">
        <v>138</v>
      </c>
      <c r="B7" s="1" t="s">
        <v>139</v>
      </c>
      <c r="C7" t="s">
        <v>187</v>
      </c>
      <c r="E7" t="str">
        <f t="shared" si="0"/>
        <v>0_5201</v>
      </c>
      <c r="F7" t="str">
        <f t="shared" si="1"/>
        <v>Retail High-street</v>
      </c>
      <c r="G7" t="str">
        <f t="shared" si="2"/>
        <v>1_5201</v>
      </c>
      <c r="H7" t="str">
        <f>+VLOOKUP(F7,'0. Mapeamento Atual'!R:S,2,FALSE)</f>
        <v>Retail - high street</v>
      </c>
    </row>
    <row r="8" spans="1:8" x14ac:dyDescent="0.25">
      <c r="A8" s="1" t="s">
        <v>142</v>
      </c>
      <c r="B8" s="1" t="s">
        <v>143</v>
      </c>
      <c r="C8" t="s">
        <v>187</v>
      </c>
      <c r="E8" t="str">
        <f t="shared" si="0"/>
        <v>0_5202</v>
      </c>
      <c r="F8" t="str">
        <f t="shared" si="1"/>
        <v>Retail High-street</v>
      </c>
      <c r="G8" t="str">
        <f t="shared" si="2"/>
        <v>1_5202</v>
      </c>
      <c r="H8" t="str">
        <f>+VLOOKUP(F8,'0. Mapeamento Atual'!R:S,2,FALSE)</f>
        <v>Retail - high street</v>
      </c>
    </row>
    <row r="9" spans="1:8" x14ac:dyDescent="0.25">
      <c r="A9" s="1" t="s">
        <v>70</v>
      </c>
      <c r="B9" s="1" t="s">
        <v>71</v>
      </c>
      <c r="C9" t="s">
        <v>183</v>
      </c>
      <c r="E9" t="str">
        <f t="shared" si="0"/>
        <v>0_5203</v>
      </c>
      <c r="F9" t="str">
        <f t="shared" si="1"/>
        <v>Office</v>
      </c>
      <c r="G9" t="str">
        <f t="shared" si="2"/>
        <v>1_5203</v>
      </c>
      <c r="H9" t="str">
        <f>+VLOOKUP(F9,'0. Mapeamento Atual'!R:S,2,FALSE)</f>
        <v>Office</v>
      </c>
    </row>
    <row r="10" spans="1:8" x14ac:dyDescent="0.25">
      <c r="A10" s="1" t="s">
        <v>4</v>
      </c>
      <c r="B10" s="1" t="s">
        <v>5</v>
      </c>
      <c r="C10" t="s">
        <v>183</v>
      </c>
      <c r="E10" t="str">
        <f t="shared" si="0"/>
        <v>0_5204</v>
      </c>
      <c r="F10" t="str">
        <f t="shared" si="1"/>
        <v>Office</v>
      </c>
      <c r="G10" t="str">
        <f t="shared" si="2"/>
        <v>1_5204</v>
      </c>
      <c r="H10" t="str">
        <f>+VLOOKUP(F10,'0. Mapeamento Atual'!R:S,2,FALSE)</f>
        <v>Office</v>
      </c>
    </row>
    <row r="11" spans="1:8" x14ac:dyDescent="0.25">
      <c r="A11" s="1" t="s">
        <v>78</v>
      </c>
      <c r="B11" s="1" t="s">
        <v>79</v>
      </c>
      <c r="C11" t="s">
        <v>190</v>
      </c>
      <c r="E11" t="str">
        <f t="shared" si="0"/>
        <v>0_5205</v>
      </c>
      <c r="F11" t="str">
        <f t="shared" si="1"/>
        <v>Retail Warehouse</v>
      </c>
      <c r="G11" t="str">
        <f t="shared" si="2"/>
        <v>1_5205</v>
      </c>
      <c r="H11" t="str">
        <f>+VLOOKUP(F11,'0. Mapeamento Atual'!R:S,2,FALSE)</f>
        <v>Retail - warehouse</v>
      </c>
    </row>
    <row r="12" spans="1:8" x14ac:dyDescent="0.25">
      <c r="A12" s="1" t="s">
        <v>96</v>
      </c>
      <c r="B12" s="1" t="s">
        <v>97</v>
      </c>
      <c r="C12" t="s">
        <v>190</v>
      </c>
      <c r="E12" t="str">
        <f t="shared" si="0"/>
        <v>0_5206</v>
      </c>
      <c r="F12" t="str">
        <f t="shared" si="1"/>
        <v>Retail Warehouse</v>
      </c>
      <c r="G12" t="str">
        <f t="shared" si="2"/>
        <v>1_5206</v>
      </c>
      <c r="H12" t="str">
        <f>+VLOOKUP(F12,'0. Mapeamento Atual'!R:S,2,FALSE)</f>
        <v>Retail - warehouse</v>
      </c>
    </row>
    <row r="13" spans="1:8" x14ac:dyDescent="0.25">
      <c r="A13" s="1" t="s">
        <v>94</v>
      </c>
      <c r="B13" s="1" t="s">
        <v>95</v>
      </c>
      <c r="C13" t="s">
        <v>156</v>
      </c>
      <c r="E13" t="str">
        <f t="shared" si="0"/>
        <v>0_5207</v>
      </c>
      <c r="F13" t="str">
        <f t="shared" si="1"/>
        <v>Non-residential buildings</v>
      </c>
      <c r="G13" t="str">
        <f t="shared" si="2"/>
        <v>1_5207</v>
      </c>
      <c r="H13" t="str">
        <f>+VLOOKUP(F13,'0. Mapeamento Atual'!R:S,2,FALSE)</f>
        <v>Non-residential total</v>
      </c>
    </row>
    <row r="14" spans="1:8" x14ac:dyDescent="0.25">
      <c r="A14" s="1" t="s">
        <v>144</v>
      </c>
      <c r="B14" s="1" t="s">
        <v>145</v>
      </c>
      <c r="C14" t="s">
        <v>156</v>
      </c>
      <c r="E14" t="str">
        <f t="shared" si="0"/>
        <v>0_5208</v>
      </c>
      <c r="F14" t="str">
        <f t="shared" si="1"/>
        <v>Non-residential buildings</v>
      </c>
      <c r="G14" t="str">
        <f t="shared" si="2"/>
        <v>1_5208</v>
      </c>
      <c r="H14" t="str">
        <f>+VLOOKUP(F14,'0. Mapeamento Atual'!R:S,2,FALSE)</f>
        <v>Non-residential total</v>
      </c>
    </row>
    <row r="15" spans="1:8" x14ac:dyDescent="0.25">
      <c r="A15" s="1" t="s">
        <v>140</v>
      </c>
      <c r="B15" s="1" t="s">
        <v>141</v>
      </c>
      <c r="C15" t="s">
        <v>161</v>
      </c>
      <c r="E15" t="str">
        <f t="shared" si="0"/>
        <v>0_5209</v>
      </c>
      <c r="F15" t="str">
        <f t="shared" si="1"/>
        <v>Not applicable</v>
      </c>
      <c r="G15" t="str">
        <f t="shared" si="2"/>
        <v>1_5209</v>
      </c>
      <c r="H15" t="str">
        <f>+VLOOKUP(F15,'0. Mapeamento Atual'!R:S,2,FALSE)</f>
        <v>Not applicable</v>
      </c>
    </row>
    <row r="16" spans="1:8" x14ac:dyDescent="0.25">
      <c r="A16" s="1" t="s">
        <v>52</v>
      </c>
      <c r="B16" s="1" t="s">
        <v>53</v>
      </c>
      <c r="C16" t="s">
        <v>161</v>
      </c>
      <c r="E16" t="str">
        <f t="shared" si="0"/>
        <v>0_5210</v>
      </c>
      <c r="F16" t="str">
        <f t="shared" si="1"/>
        <v>Not applicable</v>
      </c>
      <c r="G16" t="str">
        <f t="shared" si="2"/>
        <v>1_5210</v>
      </c>
      <c r="H16" t="str">
        <f>+VLOOKUP(F16,'0. Mapeamento Atual'!R:S,2,FALSE)</f>
        <v>Not applicable</v>
      </c>
    </row>
    <row r="17" spans="1:8" x14ac:dyDescent="0.25">
      <c r="A17" s="1" t="s">
        <v>110</v>
      </c>
      <c r="B17" s="1" t="s">
        <v>111</v>
      </c>
      <c r="C17" t="s">
        <v>168</v>
      </c>
      <c r="E17" t="str">
        <f t="shared" si="0"/>
        <v>0_5211</v>
      </c>
      <c r="F17" t="str">
        <f t="shared" si="1"/>
        <v>Hotel</v>
      </c>
      <c r="G17" t="str">
        <f t="shared" si="2"/>
        <v>1_5211</v>
      </c>
      <c r="H17" t="str">
        <f>+VLOOKUP(F17,'0. Mapeamento Atual'!R:S,2,FALSE)</f>
        <v>Hotel</v>
      </c>
    </row>
    <row r="18" spans="1:8" x14ac:dyDescent="0.25">
      <c r="A18" s="1" t="s">
        <v>68</v>
      </c>
      <c r="B18" s="1" t="s">
        <v>69</v>
      </c>
      <c r="C18" t="s">
        <v>168</v>
      </c>
      <c r="E18" t="str">
        <f t="shared" si="0"/>
        <v>0_5212</v>
      </c>
      <c r="F18" t="str">
        <f t="shared" si="1"/>
        <v>Hotel</v>
      </c>
      <c r="G18" t="str">
        <f t="shared" si="2"/>
        <v>1_5212</v>
      </c>
      <c r="H18" t="str">
        <f>+VLOOKUP(F18,'0. Mapeamento Atual'!R:S,2,FALSE)</f>
        <v>Hotel</v>
      </c>
    </row>
    <row r="19" spans="1:8" x14ac:dyDescent="0.25">
      <c r="A19" s="1" t="s">
        <v>72</v>
      </c>
      <c r="B19" s="1" t="s">
        <v>73</v>
      </c>
      <c r="C19" t="s">
        <v>156</v>
      </c>
      <c r="E19" t="str">
        <f t="shared" si="0"/>
        <v>0_5213</v>
      </c>
      <c r="F19" t="str">
        <f t="shared" si="1"/>
        <v>Non-residential buildings</v>
      </c>
      <c r="G19" t="str">
        <f t="shared" si="2"/>
        <v>1_5213</v>
      </c>
      <c r="H19" t="str">
        <f>+VLOOKUP(F19,'0. Mapeamento Atual'!R:S,2,FALSE)</f>
        <v>Non-residential total</v>
      </c>
    </row>
    <row r="20" spans="1:8" x14ac:dyDescent="0.25">
      <c r="A20" s="1" t="s">
        <v>76</v>
      </c>
      <c r="B20" s="1" t="s">
        <v>77</v>
      </c>
      <c r="C20" t="s">
        <v>156</v>
      </c>
      <c r="E20" t="str">
        <f t="shared" si="0"/>
        <v>0_5214</v>
      </c>
      <c r="F20" t="str">
        <f t="shared" si="1"/>
        <v>Non-residential buildings</v>
      </c>
      <c r="G20" t="str">
        <f t="shared" si="2"/>
        <v>1_5214</v>
      </c>
      <c r="H20" t="str">
        <f>+VLOOKUP(F20,'0. Mapeamento Atual'!R:S,2,FALSE)</f>
        <v>Non-residential total</v>
      </c>
    </row>
    <row r="21" spans="1:8" x14ac:dyDescent="0.25">
      <c r="A21" s="1" t="s">
        <v>80</v>
      </c>
      <c r="B21" s="1" t="s">
        <v>81</v>
      </c>
      <c r="C21" t="s">
        <v>165</v>
      </c>
      <c r="E21" t="str">
        <f t="shared" si="0"/>
        <v>0_5215</v>
      </c>
      <c r="F21" t="str">
        <f t="shared" si="1"/>
        <v>Healthcare</v>
      </c>
      <c r="G21" t="str">
        <f t="shared" si="2"/>
        <v>1_5215</v>
      </c>
      <c r="H21" t="str">
        <f>+VLOOKUP(F21,'0. Mapeamento Atual'!R:S,2,FALSE)</f>
        <v>Healthcare</v>
      </c>
    </row>
    <row r="22" spans="1:8" x14ac:dyDescent="0.25">
      <c r="A22" s="1" t="s">
        <v>38</v>
      </c>
      <c r="B22" s="1" t="s">
        <v>39</v>
      </c>
      <c r="C22" t="s">
        <v>165</v>
      </c>
      <c r="E22" t="str">
        <f t="shared" si="0"/>
        <v>0_5216</v>
      </c>
      <c r="F22" t="str">
        <f t="shared" si="1"/>
        <v>Healthcare</v>
      </c>
      <c r="G22" t="str">
        <f t="shared" si="2"/>
        <v>1_5216</v>
      </c>
      <c r="H22" t="str">
        <f>+VLOOKUP(F22,'0. Mapeamento Atual'!R:S,2,FALSE)</f>
        <v>Healthcare</v>
      </c>
    </row>
    <row r="23" spans="1:8" x14ac:dyDescent="0.25">
      <c r="A23" s="1" t="s">
        <v>74</v>
      </c>
      <c r="B23" s="1" t="s">
        <v>75</v>
      </c>
      <c r="C23" t="s">
        <v>170</v>
      </c>
      <c r="E23" t="str">
        <f t="shared" si="0"/>
        <v>0_5217</v>
      </c>
      <c r="F23" t="str">
        <f t="shared" si="1"/>
        <v>Lodge/Leisure</v>
      </c>
      <c r="G23" t="str">
        <f t="shared" si="2"/>
        <v>1_5217</v>
      </c>
      <c r="H23" t="str">
        <f>+VLOOKUP(F23,'0. Mapeamento Atual'!R:S,2,FALSE)</f>
        <v>Leisure/Lodging</v>
      </c>
    </row>
    <row r="24" spans="1:8" x14ac:dyDescent="0.25">
      <c r="A24" s="1" t="s">
        <v>90</v>
      </c>
      <c r="B24" s="1" t="s">
        <v>91</v>
      </c>
      <c r="C24" t="s">
        <v>170</v>
      </c>
      <c r="E24" t="str">
        <f t="shared" si="0"/>
        <v>0_5218</v>
      </c>
      <c r="F24" t="str">
        <f t="shared" si="1"/>
        <v>Lodge/Leisure</v>
      </c>
      <c r="G24" t="str">
        <f t="shared" si="2"/>
        <v>1_5218</v>
      </c>
      <c r="H24" t="str">
        <f>+VLOOKUP(F24,'0. Mapeamento Atual'!R:S,2,FALSE)</f>
        <v>Leisure/Lodging</v>
      </c>
    </row>
    <row r="25" spans="1:8" x14ac:dyDescent="0.25">
      <c r="A25" s="1" t="s">
        <v>104</v>
      </c>
      <c r="B25" s="1" t="s">
        <v>105</v>
      </c>
      <c r="C25" t="s">
        <v>161</v>
      </c>
      <c r="E25" t="str">
        <f t="shared" si="0"/>
        <v>0_5300</v>
      </c>
      <c r="F25" t="str">
        <f t="shared" si="1"/>
        <v>Not applicable</v>
      </c>
      <c r="G25" t="str">
        <f t="shared" si="2"/>
        <v>1_5300</v>
      </c>
      <c r="H25" t="str">
        <f>+VLOOKUP(F25,'0. Mapeamento Atual'!R:S,2,FALSE)</f>
        <v>Not applicable</v>
      </c>
    </row>
    <row r="26" spans="1:8" x14ac:dyDescent="0.25">
      <c r="A26" s="1" t="s">
        <v>106</v>
      </c>
      <c r="B26" s="1" t="s">
        <v>107</v>
      </c>
      <c r="C26" t="s">
        <v>161</v>
      </c>
      <c r="E26" t="str">
        <f t="shared" si="0"/>
        <v>0_5301</v>
      </c>
      <c r="F26" t="str">
        <f t="shared" si="1"/>
        <v>Not applicable</v>
      </c>
      <c r="G26" t="str">
        <f t="shared" si="2"/>
        <v>1_5301</v>
      </c>
      <c r="H26" t="str">
        <f>+VLOOKUP(F26,'0. Mapeamento Atual'!R:S,2,FALSE)</f>
        <v>Not applicable</v>
      </c>
    </row>
    <row r="27" spans="1:8" x14ac:dyDescent="0.25">
      <c r="A27" s="1" t="s">
        <v>50</v>
      </c>
      <c r="B27" s="1" t="s">
        <v>51</v>
      </c>
      <c r="C27" t="s">
        <v>161</v>
      </c>
      <c r="E27" t="str">
        <f t="shared" si="0"/>
        <v>0_5302</v>
      </c>
      <c r="F27" t="str">
        <f t="shared" si="1"/>
        <v>Not applicable</v>
      </c>
      <c r="G27" t="str">
        <f t="shared" si="2"/>
        <v>1_5302</v>
      </c>
      <c r="H27" t="str">
        <f>+VLOOKUP(F27,'0. Mapeamento Atual'!R:S,2,FALSE)</f>
        <v>Not applicable</v>
      </c>
    </row>
    <row r="28" spans="1:8" x14ac:dyDescent="0.25">
      <c r="A28" s="1" t="s">
        <v>130</v>
      </c>
      <c r="B28" s="1" t="s">
        <v>131</v>
      </c>
      <c r="C28" t="s">
        <v>161</v>
      </c>
      <c r="E28" t="str">
        <f t="shared" si="0"/>
        <v>0_5303</v>
      </c>
      <c r="F28" t="str">
        <f t="shared" si="1"/>
        <v>Not applicable</v>
      </c>
      <c r="G28" t="str">
        <f t="shared" si="2"/>
        <v>1_5303</v>
      </c>
      <c r="H28" t="str">
        <f>+VLOOKUP(F28,'0. Mapeamento Atual'!R:S,2,FALSE)</f>
        <v>Not applicable</v>
      </c>
    </row>
    <row r="29" spans="1:8" x14ac:dyDescent="0.25">
      <c r="A29" t="s">
        <v>36</v>
      </c>
      <c r="B29" t="s">
        <v>37</v>
      </c>
    </row>
    <row r="30" spans="1:8" x14ac:dyDescent="0.25">
      <c r="A30" t="s">
        <v>122</v>
      </c>
      <c r="B30" t="s">
        <v>123</v>
      </c>
    </row>
    <row r="31" spans="1:8" x14ac:dyDescent="0.25">
      <c r="A31" t="s">
        <v>26</v>
      </c>
      <c r="B31" t="s">
        <v>27</v>
      </c>
    </row>
    <row r="32" spans="1:8" x14ac:dyDescent="0.25">
      <c r="A32" t="s">
        <v>100</v>
      </c>
      <c r="B32" t="s">
        <v>101</v>
      </c>
    </row>
    <row r="33" spans="1:2" x14ac:dyDescent="0.25">
      <c r="A33" t="s">
        <v>18</v>
      </c>
      <c r="B33" t="s">
        <v>19</v>
      </c>
    </row>
    <row r="34" spans="1:2" x14ac:dyDescent="0.25">
      <c r="A34" t="s">
        <v>84</v>
      </c>
      <c r="B34" t="s">
        <v>85</v>
      </c>
    </row>
    <row r="35" spans="1:2" x14ac:dyDescent="0.25">
      <c r="A35" t="s">
        <v>128</v>
      </c>
      <c r="B35" t="s">
        <v>129</v>
      </c>
    </row>
    <row r="36" spans="1:2" x14ac:dyDescent="0.25">
      <c r="A36" t="s">
        <v>34</v>
      </c>
      <c r="B36" t="s">
        <v>35</v>
      </c>
    </row>
    <row r="37" spans="1:2" x14ac:dyDescent="0.25">
      <c r="A37" t="s">
        <v>108</v>
      </c>
      <c r="B37" t="s">
        <v>109</v>
      </c>
    </row>
    <row r="38" spans="1:2" x14ac:dyDescent="0.25">
      <c r="A38" t="s">
        <v>136</v>
      </c>
      <c r="B38" t="s">
        <v>137</v>
      </c>
    </row>
    <row r="39" spans="1:2" x14ac:dyDescent="0.25">
      <c r="A39" t="s">
        <v>92</v>
      </c>
      <c r="B39" t="s">
        <v>93</v>
      </c>
    </row>
    <row r="40" spans="1:2" x14ac:dyDescent="0.25">
      <c r="A40" t="s">
        <v>30</v>
      </c>
      <c r="B40" t="s">
        <v>31</v>
      </c>
    </row>
    <row r="41" spans="1:2" x14ac:dyDescent="0.25">
      <c r="A41" t="s">
        <v>114</v>
      </c>
      <c r="B41" t="s">
        <v>115</v>
      </c>
    </row>
    <row r="42" spans="1:2" x14ac:dyDescent="0.25">
      <c r="A42" t="s">
        <v>66</v>
      </c>
      <c r="B42" t="s">
        <v>67</v>
      </c>
    </row>
    <row r="43" spans="1:2" x14ac:dyDescent="0.25">
      <c r="A43" t="s">
        <v>86</v>
      </c>
      <c r="B43" t="s">
        <v>87</v>
      </c>
    </row>
    <row r="44" spans="1:2" x14ac:dyDescent="0.25">
      <c r="A44" t="s">
        <v>98</v>
      </c>
      <c r="B44" t="s">
        <v>99</v>
      </c>
    </row>
    <row r="45" spans="1:2" x14ac:dyDescent="0.25">
      <c r="A45" t="s">
        <v>116</v>
      </c>
      <c r="B45" t="s">
        <v>117</v>
      </c>
    </row>
    <row r="46" spans="1:2" x14ac:dyDescent="0.25">
      <c r="A46" t="s">
        <v>58</v>
      </c>
      <c r="B46" t="s">
        <v>59</v>
      </c>
    </row>
    <row r="47" spans="1:2" x14ac:dyDescent="0.25">
      <c r="A47" t="s">
        <v>120</v>
      </c>
      <c r="B47" t="s">
        <v>121</v>
      </c>
    </row>
    <row r="48" spans="1:2" x14ac:dyDescent="0.25">
      <c r="A48" t="s">
        <v>82</v>
      </c>
      <c r="B48" t="s">
        <v>83</v>
      </c>
    </row>
    <row r="49" spans="1:2" x14ac:dyDescent="0.25">
      <c r="A49" t="s">
        <v>46</v>
      </c>
      <c r="B49" t="s">
        <v>47</v>
      </c>
    </row>
    <row r="50" spans="1:2" x14ac:dyDescent="0.25">
      <c r="A50" t="s">
        <v>20</v>
      </c>
      <c r="B50" t="s">
        <v>21</v>
      </c>
    </row>
    <row r="51" spans="1:2" x14ac:dyDescent="0.25">
      <c r="A51" t="s">
        <v>102</v>
      </c>
      <c r="B51" t="s">
        <v>103</v>
      </c>
    </row>
    <row r="52" spans="1:2" x14ac:dyDescent="0.25">
      <c r="A52" t="s">
        <v>112</v>
      </c>
      <c r="B52" t="s">
        <v>113</v>
      </c>
    </row>
    <row r="53" spans="1:2" x14ac:dyDescent="0.25">
      <c r="A53" t="s">
        <v>42</v>
      </c>
      <c r="B53" t="s">
        <v>43</v>
      </c>
    </row>
    <row r="54" spans="1:2" x14ac:dyDescent="0.25">
      <c r="A54" t="s">
        <v>134</v>
      </c>
      <c r="B54" t="s">
        <v>135</v>
      </c>
    </row>
    <row r="55" spans="1:2" x14ac:dyDescent="0.25">
      <c r="A55" t="s">
        <v>54</v>
      </c>
      <c r="B55" t="s">
        <v>55</v>
      </c>
    </row>
    <row r="56" spans="1:2" x14ac:dyDescent="0.25">
      <c r="A56" t="s">
        <v>64</v>
      </c>
      <c r="B56" t="s">
        <v>65</v>
      </c>
    </row>
    <row r="57" spans="1:2" x14ac:dyDescent="0.25">
      <c r="A57" t="s">
        <v>32</v>
      </c>
      <c r="B57" t="s">
        <v>33</v>
      </c>
    </row>
    <row r="58" spans="1:2" x14ac:dyDescent="0.25">
      <c r="A58" t="s">
        <v>14</v>
      </c>
      <c r="B58" t="s">
        <v>15</v>
      </c>
    </row>
    <row r="59" spans="1:2" x14ac:dyDescent="0.25">
      <c r="A59" t="s">
        <v>10</v>
      </c>
      <c r="B59" t="s">
        <v>11</v>
      </c>
    </row>
    <row r="60" spans="1:2" x14ac:dyDescent="0.25">
      <c r="A60" t="s">
        <v>16</v>
      </c>
      <c r="B60" t="s">
        <v>17</v>
      </c>
    </row>
    <row r="61" spans="1:2" x14ac:dyDescent="0.25">
      <c r="A61" t="s">
        <v>24</v>
      </c>
      <c r="B61" t="s">
        <v>25</v>
      </c>
    </row>
    <row r="62" spans="1:2" x14ac:dyDescent="0.25">
      <c r="A62" t="s">
        <v>8</v>
      </c>
      <c r="B62" t="s">
        <v>9</v>
      </c>
    </row>
    <row r="63" spans="1:2" x14ac:dyDescent="0.25">
      <c r="A63" t="s">
        <v>6</v>
      </c>
      <c r="B63" t="s">
        <v>7</v>
      </c>
    </row>
    <row r="64" spans="1:2" x14ac:dyDescent="0.25">
      <c r="A64" t="s">
        <v>132</v>
      </c>
      <c r="B64" t="s">
        <v>133</v>
      </c>
    </row>
    <row r="65" spans="1:2" x14ac:dyDescent="0.25">
      <c r="A65" t="s">
        <v>124</v>
      </c>
      <c r="B65" t="s">
        <v>125</v>
      </c>
    </row>
    <row r="66" spans="1:2" x14ac:dyDescent="0.25">
      <c r="A66" t="s">
        <v>118</v>
      </c>
      <c r="B66" t="s">
        <v>119</v>
      </c>
    </row>
    <row r="67" spans="1:2" x14ac:dyDescent="0.25">
      <c r="A67" t="s">
        <v>28</v>
      </c>
      <c r="B67" t="s">
        <v>29</v>
      </c>
    </row>
    <row r="68" spans="1:2" x14ac:dyDescent="0.25">
      <c r="A68" t="s">
        <v>56</v>
      </c>
      <c r="B68" t="s">
        <v>57</v>
      </c>
    </row>
    <row r="69" spans="1:2" x14ac:dyDescent="0.25">
      <c r="A69" t="s">
        <v>48</v>
      </c>
      <c r="B69" t="s">
        <v>49</v>
      </c>
    </row>
    <row r="70" spans="1:2" x14ac:dyDescent="0.25">
      <c r="A70" t="s">
        <v>88</v>
      </c>
      <c r="B70" t="s">
        <v>89</v>
      </c>
    </row>
    <row r="71" spans="1:2" x14ac:dyDescent="0.25">
      <c r="A71" t="s">
        <v>62</v>
      </c>
      <c r="B71" t="s">
        <v>63</v>
      </c>
    </row>
    <row r="72" spans="1:2" x14ac:dyDescent="0.25">
      <c r="A72" t="s">
        <v>2</v>
      </c>
      <c r="B72" t="s">
        <v>3</v>
      </c>
    </row>
    <row r="73" spans="1:2" x14ac:dyDescent="0.25">
      <c r="A73" t="s">
        <v>22</v>
      </c>
      <c r="B73" t="s">
        <v>23</v>
      </c>
    </row>
  </sheetData>
  <autoFilter ref="A1:C73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E320-B214-4826-899C-0D2D2EB4B953}">
  <sheetPr filterMode="1"/>
  <dimension ref="A1:C60"/>
  <sheetViews>
    <sheetView showGridLines="0" workbookViewId="0">
      <selection activeCell="C52" sqref="C52"/>
    </sheetView>
  </sheetViews>
  <sheetFormatPr defaultRowHeight="15" x14ac:dyDescent="0.25"/>
  <cols>
    <col min="1" max="3" width="9.140625" style="3"/>
  </cols>
  <sheetData>
    <row r="1" spans="1:3" x14ac:dyDescent="0.25">
      <c r="A1" s="3" t="s">
        <v>211</v>
      </c>
      <c r="B1" s="3" t="s">
        <v>0</v>
      </c>
      <c r="C1" s="3" t="s">
        <v>212</v>
      </c>
    </row>
    <row r="2" spans="1:3" hidden="1" x14ac:dyDescent="0.25">
      <c r="A2" s="3" t="s">
        <v>214</v>
      </c>
      <c r="B2" s="3" t="s">
        <v>44</v>
      </c>
      <c r="C2" s="3" t="s">
        <v>215</v>
      </c>
    </row>
    <row r="3" spans="1:3" hidden="1" x14ac:dyDescent="0.25">
      <c r="A3" s="3" t="s">
        <v>214</v>
      </c>
      <c r="B3" s="3" t="s">
        <v>60</v>
      </c>
      <c r="C3" s="3" t="s">
        <v>226</v>
      </c>
    </row>
    <row r="4" spans="1:3" hidden="1" x14ac:dyDescent="0.25">
      <c r="A4" s="3" t="s">
        <v>214</v>
      </c>
      <c r="B4" s="3" t="s">
        <v>12</v>
      </c>
      <c r="C4" s="3" t="s">
        <v>248</v>
      </c>
    </row>
    <row r="5" spans="1:3" hidden="1" x14ac:dyDescent="0.25">
      <c r="A5" s="3" t="s">
        <v>214</v>
      </c>
      <c r="B5" s="3" t="s">
        <v>213</v>
      </c>
      <c r="C5" s="3" t="s">
        <v>271</v>
      </c>
    </row>
    <row r="6" spans="1:3" hidden="1" x14ac:dyDescent="0.25">
      <c r="A6" s="3" t="s">
        <v>216</v>
      </c>
      <c r="B6" s="3" t="s">
        <v>213</v>
      </c>
      <c r="C6" s="3" t="s">
        <v>217</v>
      </c>
    </row>
    <row r="7" spans="1:3" hidden="1" x14ac:dyDescent="0.25">
      <c r="A7" s="3" t="s">
        <v>227</v>
      </c>
      <c r="B7" s="3" t="s">
        <v>138</v>
      </c>
      <c r="C7" s="3" t="s">
        <v>228</v>
      </c>
    </row>
    <row r="8" spans="1:3" hidden="1" x14ac:dyDescent="0.25">
      <c r="A8" s="3" t="s">
        <v>227</v>
      </c>
      <c r="B8" s="3" t="s">
        <v>142</v>
      </c>
      <c r="C8" s="3" t="s">
        <v>243</v>
      </c>
    </row>
    <row r="9" spans="1:3" hidden="1" x14ac:dyDescent="0.25">
      <c r="A9" s="3" t="s">
        <v>227</v>
      </c>
      <c r="B9" s="3" t="s">
        <v>213</v>
      </c>
      <c r="C9" s="3" t="s">
        <v>264</v>
      </c>
    </row>
    <row r="10" spans="1:3" hidden="1" x14ac:dyDescent="0.25">
      <c r="A10" s="3" t="s">
        <v>261</v>
      </c>
      <c r="B10" s="3" t="s">
        <v>213</v>
      </c>
      <c r="C10" s="3" t="s">
        <v>262</v>
      </c>
    </row>
    <row r="11" spans="1:3" hidden="1" x14ac:dyDescent="0.25">
      <c r="A11" s="3" t="s">
        <v>250</v>
      </c>
      <c r="B11" s="3" t="s">
        <v>213</v>
      </c>
      <c r="C11" s="3" t="s">
        <v>251</v>
      </c>
    </row>
    <row r="12" spans="1:3" hidden="1" x14ac:dyDescent="0.25">
      <c r="A12" s="3" t="s">
        <v>250</v>
      </c>
      <c r="B12" s="3" t="s">
        <v>70</v>
      </c>
      <c r="C12" s="3" t="s">
        <v>257</v>
      </c>
    </row>
    <row r="13" spans="1:3" hidden="1" x14ac:dyDescent="0.25">
      <c r="A13" s="3" t="s">
        <v>250</v>
      </c>
      <c r="B13" s="3" t="s">
        <v>4</v>
      </c>
      <c r="C13" s="3" t="s">
        <v>242</v>
      </c>
    </row>
    <row r="14" spans="1:3" hidden="1" x14ac:dyDescent="0.25">
      <c r="A14" s="3" t="s">
        <v>224</v>
      </c>
      <c r="B14" s="3" t="s">
        <v>213</v>
      </c>
      <c r="C14" s="3" t="s">
        <v>225</v>
      </c>
    </row>
    <row r="15" spans="1:3" hidden="1" x14ac:dyDescent="0.25">
      <c r="A15" s="3" t="s">
        <v>233</v>
      </c>
      <c r="B15" s="3" t="s">
        <v>213</v>
      </c>
      <c r="C15" s="3" t="s">
        <v>234</v>
      </c>
    </row>
    <row r="16" spans="1:3" hidden="1" x14ac:dyDescent="0.25">
      <c r="A16" s="3" t="s">
        <v>233</v>
      </c>
      <c r="B16" s="3" t="s">
        <v>96</v>
      </c>
      <c r="C16" s="3" t="s">
        <v>237</v>
      </c>
    </row>
    <row r="17" spans="1:3" hidden="1" x14ac:dyDescent="0.25">
      <c r="A17" s="3" t="s">
        <v>233</v>
      </c>
      <c r="B17" s="3" t="s">
        <v>78</v>
      </c>
      <c r="C17" s="3" t="s">
        <v>247</v>
      </c>
    </row>
    <row r="18" spans="1:3" hidden="1" x14ac:dyDescent="0.25">
      <c r="A18" s="3" t="s">
        <v>259</v>
      </c>
      <c r="B18" s="3" t="s">
        <v>213</v>
      </c>
      <c r="C18" s="3" t="s">
        <v>260</v>
      </c>
    </row>
    <row r="19" spans="1:3" hidden="1" x14ac:dyDescent="0.25">
      <c r="A19" s="3" t="s">
        <v>241</v>
      </c>
      <c r="B19" s="3" t="s">
        <v>213</v>
      </c>
      <c r="C19" s="3" t="s">
        <v>242</v>
      </c>
    </row>
    <row r="20" spans="1:3" hidden="1" x14ac:dyDescent="0.25">
      <c r="A20" s="3" t="s">
        <v>241</v>
      </c>
      <c r="B20" s="3" t="s">
        <v>144</v>
      </c>
      <c r="C20" s="3" t="s">
        <v>215</v>
      </c>
    </row>
    <row r="21" spans="1:3" hidden="1" x14ac:dyDescent="0.25">
      <c r="A21" s="3" t="s">
        <v>241</v>
      </c>
      <c r="B21" s="3" t="s">
        <v>94</v>
      </c>
      <c r="C21" s="3" t="s">
        <v>258</v>
      </c>
    </row>
    <row r="22" spans="1:3" hidden="1" x14ac:dyDescent="0.25">
      <c r="A22" s="3" t="s">
        <v>274</v>
      </c>
      <c r="B22" s="3" t="s">
        <v>213</v>
      </c>
      <c r="C22" s="3" t="s">
        <v>243</v>
      </c>
    </row>
    <row r="23" spans="1:3" hidden="1" x14ac:dyDescent="0.25">
      <c r="A23" s="3" t="s">
        <v>244</v>
      </c>
      <c r="B23" s="3" t="s">
        <v>140</v>
      </c>
      <c r="C23" s="3" t="s">
        <v>245</v>
      </c>
    </row>
    <row r="24" spans="1:3" hidden="1" x14ac:dyDescent="0.25">
      <c r="A24" s="3" t="s">
        <v>244</v>
      </c>
      <c r="B24" s="3" t="s">
        <v>213</v>
      </c>
      <c r="C24" s="3" t="s">
        <v>215</v>
      </c>
    </row>
    <row r="25" spans="1:3" hidden="1" x14ac:dyDescent="0.25">
      <c r="A25" s="3" t="s">
        <v>244</v>
      </c>
      <c r="B25" s="3" t="s">
        <v>126</v>
      </c>
      <c r="C25" s="3" t="s">
        <v>270</v>
      </c>
    </row>
    <row r="26" spans="1:3" hidden="1" x14ac:dyDescent="0.25">
      <c r="A26" s="3" t="s">
        <v>229</v>
      </c>
      <c r="B26" s="3" t="s">
        <v>140</v>
      </c>
      <c r="C26" s="3" t="s">
        <v>230</v>
      </c>
    </row>
    <row r="27" spans="1:3" hidden="1" x14ac:dyDescent="0.25">
      <c r="A27" s="3" t="s">
        <v>229</v>
      </c>
      <c r="B27" s="3" t="s">
        <v>44</v>
      </c>
      <c r="C27" s="3" t="s">
        <v>223</v>
      </c>
    </row>
    <row r="28" spans="1:3" hidden="1" x14ac:dyDescent="0.25">
      <c r="A28" s="3" t="s">
        <v>229</v>
      </c>
      <c r="B28" s="3" t="s">
        <v>126</v>
      </c>
      <c r="C28" s="3" t="s">
        <v>256</v>
      </c>
    </row>
    <row r="29" spans="1:3" hidden="1" x14ac:dyDescent="0.25">
      <c r="A29" s="3" t="s">
        <v>229</v>
      </c>
      <c r="B29" s="3" t="s">
        <v>40</v>
      </c>
      <c r="C29" s="3" t="s">
        <v>223</v>
      </c>
    </row>
    <row r="30" spans="1:3" hidden="1" x14ac:dyDescent="0.25">
      <c r="A30" s="3" t="s">
        <v>229</v>
      </c>
      <c r="B30" s="3" t="s">
        <v>213</v>
      </c>
      <c r="C30" s="3" t="s">
        <v>265</v>
      </c>
    </row>
    <row r="31" spans="1:3" hidden="1" x14ac:dyDescent="0.25">
      <c r="A31" s="3" t="s">
        <v>276</v>
      </c>
      <c r="B31" s="3" t="s">
        <v>213</v>
      </c>
      <c r="C31" s="3" t="s">
        <v>221</v>
      </c>
    </row>
    <row r="32" spans="1:3" hidden="1" x14ac:dyDescent="0.25">
      <c r="A32" s="3" t="s">
        <v>231</v>
      </c>
      <c r="B32" s="3" t="s">
        <v>12</v>
      </c>
      <c r="C32" s="3" t="s">
        <v>232</v>
      </c>
    </row>
    <row r="33" spans="1:3" hidden="1" x14ac:dyDescent="0.25">
      <c r="A33" s="3" t="s">
        <v>231</v>
      </c>
      <c r="B33" s="3" t="s">
        <v>138</v>
      </c>
      <c r="C33" s="3" t="s">
        <v>235</v>
      </c>
    </row>
    <row r="34" spans="1:3" hidden="1" x14ac:dyDescent="0.25">
      <c r="A34" s="3" t="s">
        <v>231</v>
      </c>
      <c r="B34" s="3" t="s">
        <v>142</v>
      </c>
      <c r="C34" s="3" t="s">
        <v>240</v>
      </c>
    </row>
    <row r="35" spans="1:3" hidden="1" x14ac:dyDescent="0.25">
      <c r="A35" s="3" t="s">
        <v>231</v>
      </c>
      <c r="B35" s="3" t="s">
        <v>60</v>
      </c>
      <c r="C35" s="3" t="s">
        <v>246</v>
      </c>
    </row>
    <row r="36" spans="1:3" hidden="1" x14ac:dyDescent="0.25">
      <c r="A36" s="3" t="s">
        <v>231</v>
      </c>
      <c r="B36" s="3" t="s">
        <v>80</v>
      </c>
      <c r="C36" s="3" t="s">
        <v>223</v>
      </c>
    </row>
    <row r="37" spans="1:3" hidden="1" x14ac:dyDescent="0.25">
      <c r="A37" s="3" t="s">
        <v>231</v>
      </c>
      <c r="B37" s="3" t="s">
        <v>104</v>
      </c>
      <c r="C37" s="3" t="s">
        <v>249</v>
      </c>
    </row>
    <row r="38" spans="1:3" hidden="1" x14ac:dyDescent="0.25">
      <c r="A38" s="3" t="s">
        <v>231</v>
      </c>
      <c r="B38" s="3" t="s">
        <v>213</v>
      </c>
      <c r="C38" s="3" t="s">
        <v>253</v>
      </c>
    </row>
    <row r="39" spans="1:3" hidden="1" x14ac:dyDescent="0.25">
      <c r="A39" s="3" t="s">
        <v>231</v>
      </c>
      <c r="B39" s="3" t="s">
        <v>44</v>
      </c>
      <c r="C39" s="3" t="s">
        <v>243</v>
      </c>
    </row>
    <row r="40" spans="1:3" hidden="1" x14ac:dyDescent="0.25">
      <c r="A40" s="3" t="s">
        <v>218</v>
      </c>
      <c r="B40" s="3" t="s">
        <v>213</v>
      </c>
      <c r="C40" s="3" t="s">
        <v>219</v>
      </c>
    </row>
    <row r="41" spans="1:3" hidden="1" x14ac:dyDescent="0.25">
      <c r="A41" s="3" t="s">
        <v>238</v>
      </c>
      <c r="B41" s="3" t="s">
        <v>110</v>
      </c>
      <c r="C41" s="3" t="s">
        <v>239</v>
      </c>
    </row>
    <row r="42" spans="1:3" hidden="1" x14ac:dyDescent="0.25">
      <c r="A42" s="3" t="s">
        <v>238</v>
      </c>
      <c r="B42" s="3" t="s">
        <v>68</v>
      </c>
      <c r="C42" s="3" t="s">
        <v>221</v>
      </c>
    </row>
    <row r="43" spans="1:3" hidden="1" x14ac:dyDescent="0.25">
      <c r="A43" s="3" t="s">
        <v>225</v>
      </c>
      <c r="B43" s="3" t="s">
        <v>76</v>
      </c>
      <c r="C43" s="3" t="s">
        <v>215</v>
      </c>
    </row>
    <row r="44" spans="1:3" hidden="1" x14ac:dyDescent="0.25">
      <c r="A44" s="3" t="s">
        <v>225</v>
      </c>
      <c r="B44" s="3" t="s">
        <v>72</v>
      </c>
      <c r="C44" s="3" t="s">
        <v>269</v>
      </c>
    </row>
    <row r="45" spans="1:3" hidden="1" x14ac:dyDescent="0.25">
      <c r="A45" s="3" t="s">
        <v>272</v>
      </c>
      <c r="B45" s="3" t="s">
        <v>213</v>
      </c>
      <c r="C45" s="3" t="s">
        <v>223</v>
      </c>
    </row>
    <row r="46" spans="1:3" hidden="1" x14ac:dyDescent="0.25">
      <c r="A46" s="3" t="s">
        <v>254</v>
      </c>
      <c r="B46" s="3" t="s">
        <v>80</v>
      </c>
      <c r="C46" s="3" t="s">
        <v>255</v>
      </c>
    </row>
    <row r="47" spans="1:3" hidden="1" x14ac:dyDescent="0.25">
      <c r="A47" s="3" t="s">
        <v>254</v>
      </c>
      <c r="B47" s="3" t="s">
        <v>38</v>
      </c>
      <c r="C47" s="3" t="s">
        <v>223</v>
      </c>
    </row>
    <row r="48" spans="1:3" hidden="1" x14ac:dyDescent="0.25">
      <c r="A48" s="3" t="s">
        <v>267</v>
      </c>
      <c r="B48" s="3" t="s">
        <v>213</v>
      </c>
      <c r="C48" s="3" t="s">
        <v>223</v>
      </c>
    </row>
    <row r="49" spans="1:3" hidden="1" x14ac:dyDescent="0.25">
      <c r="A49" s="3" t="s">
        <v>222</v>
      </c>
      <c r="B49" s="3" t="s">
        <v>74</v>
      </c>
      <c r="C49" s="3" t="s">
        <v>223</v>
      </c>
    </row>
    <row r="50" spans="1:3" hidden="1" x14ac:dyDescent="0.25">
      <c r="A50" s="3" t="s">
        <v>255</v>
      </c>
      <c r="B50" s="3" t="s">
        <v>130</v>
      </c>
      <c r="C50" s="3" t="s">
        <v>275</v>
      </c>
    </row>
    <row r="51" spans="1:3" hidden="1" x14ac:dyDescent="0.25">
      <c r="A51" s="3" t="s">
        <v>268</v>
      </c>
      <c r="B51" s="3" t="s">
        <v>213</v>
      </c>
      <c r="C51" s="3" t="s">
        <v>223</v>
      </c>
    </row>
    <row r="52" spans="1:3" x14ac:dyDescent="0.25">
      <c r="A52" s="3" t="s">
        <v>220</v>
      </c>
      <c r="B52" s="3" t="s">
        <v>138</v>
      </c>
      <c r="C52" s="3" t="s">
        <v>221</v>
      </c>
    </row>
    <row r="53" spans="1:3" hidden="1" x14ac:dyDescent="0.25">
      <c r="B53" s="3" t="s">
        <v>138</v>
      </c>
      <c r="C53" s="3" t="s">
        <v>236</v>
      </c>
    </row>
    <row r="54" spans="1:3" hidden="1" x14ac:dyDescent="0.25">
      <c r="B54" s="3" t="s">
        <v>104</v>
      </c>
      <c r="C54" s="3" t="s">
        <v>243</v>
      </c>
    </row>
    <row r="55" spans="1:3" hidden="1" x14ac:dyDescent="0.25">
      <c r="B55" s="3" t="s">
        <v>78</v>
      </c>
      <c r="C55" s="3" t="s">
        <v>252</v>
      </c>
    </row>
    <row r="56" spans="1:3" hidden="1" x14ac:dyDescent="0.25">
      <c r="B56" s="3" t="s">
        <v>12</v>
      </c>
      <c r="C56" s="3" t="s">
        <v>263</v>
      </c>
    </row>
    <row r="57" spans="1:3" hidden="1" x14ac:dyDescent="0.25">
      <c r="B57" s="3" t="s">
        <v>140</v>
      </c>
      <c r="C57" s="3" t="s">
        <v>242</v>
      </c>
    </row>
    <row r="58" spans="1:3" hidden="1" x14ac:dyDescent="0.25">
      <c r="B58" s="3" t="s">
        <v>44</v>
      </c>
      <c r="C58" s="3" t="s">
        <v>266</v>
      </c>
    </row>
    <row r="59" spans="1:3" hidden="1" x14ac:dyDescent="0.25">
      <c r="B59" s="3" t="s">
        <v>213</v>
      </c>
      <c r="C59" s="3" t="s">
        <v>273</v>
      </c>
    </row>
    <row r="60" spans="1:3" hidden="1" x14ac:dyDescent="0.25">
      <c r="B60" s="3" t="s">
        <v>70</v>
      </c>
      <c r="C60" s="3" t="s">
        <v>222</v>
      </c>
    </row>
  </sheetData>
  <autoFilter ref="A1:C60" xr:uid="{A983E320-B214-4826-899C-0D2D2EB4B953}">
    <filterColumn colId="0">
      <filters>
        <filter val="14"/>
      </filters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82e290e31c8d659f4a68e5aed5c7644d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1e97f0fd3c28a1fe33e5c36ac3c428d3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34E8ED-3749-42E9-A92C-5C2F3584E6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31A62C-2263-49AB-BB19-91A160CC967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219DDBA-8DA4-4BA9-8E6E-33EBFF8637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0. Mapeamento Atual</vt:lpstr>
      <vt:lpstr>1. cgarant_bem</vt:lpstr>
      <vt:lpstr>Relações Dez25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Hélder Filipe Felicidade Fernandes</cp:lastModifiedBy>
  <cp:revision/>
  <dcterms:created xsi:type="dcterms:W3CDTF">2025-11-23T03:46:26Z</dcterms:created>
  <dcterms:modified xsi:type="dcterms:W3CDTF">2026-01-30T10:32:13Z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2026-01-19T23:34:39Z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8c056f12-d504-407e-94cf-18ba3dd5b973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  <property fmtid="{D5CDD505-2E9C-101B-9397-08002B2CF9AE}" pid="12" name="ContentTypeId">
    <vt:lpwstr>0x01010085891D558BC6CE45BCCE0C5A666FB0F3</vt:lpwstr>
  </property>
</Properties>
</file>