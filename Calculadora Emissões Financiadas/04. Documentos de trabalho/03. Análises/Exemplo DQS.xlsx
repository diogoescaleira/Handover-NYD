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Análises/"/>
    </mc:Choice>
  </mc:AlternateContent>
  <xr:revisionPtr revIDLastSave="577" documentId="13_ncr:1_{3FC3DCC2-5DAC-490C-AA96-8C2A44A4881F}" xr6:coauthVersionLast="47" xr6:coauthVersionMax="47" xr10:uidLastSave="{300CC040-7C85-42BF-9121-AF1369B53EA5}"/>
  <bookViews>
    <workbookView xWindow="-105" yWindow="0" windowWidth="14610" windowHeight="15585" activeTab="5" xr2:uid="{162E5184-D8A6-4A85-AF67-91ED86A4C768}"/>
  </bookViews>
  <sheets>
    <sheet name="1. DQS " sheetId="1" r:id="rId1"/>
    <sheet name="2. DQS  AGRE" sheetId="2" r:id="rId2"/>
    <sheet name="3. DQS  AGRE CARTEIRA" sheetId="7" r:id="rId3"/>
    <sheet name="ANL" sheetId="6" r:id="rId4"/>
    <sheet name="Sheet1" sheetId="8" r:id="rId5"/>
    <sheet name="AUX" sheetId="3" r:id="rId6"/>
  </sheets>
  <definedNames>
    <definedName name="_xlnm._FilterDatabase" localSheetId="0" hidden="1">'1. DQS '!#REF!</definedName>
    <definedName name="_xlnm._FilterDatabase" localSheetId="1" hidden="1">'2. DQS  AGRE'!#REF!</definedName>
    <definedName name="_xlnm._FilterDatabase" localSheetId="2" hidden="1">'3. DQS  AGRE CARTEIRA'!#REF!</definedName>
    <definedName name="_xlnm._FilterDatabase" localSheetId="5" hidden="1">AUX!$A$2:$F$40</definedName>
    <definedName name="_xlnm._FilterDatabase" localSheetId="4" hidden="1">Sheet1!$A$1:$G$40</definedName>
    <definedName name="Ambiente">#REF!</definedName>
    <definedName name="Estado">#REF!</definedName>
    <definedName name="Metas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G16" i="7"/>
  <c r="G15" i="7"/>
  <c r="G14" i="7"/>
  <c r="D20" i="7"/>
  <c r="K37" i="6"/>
  <c r="H23" i="6"/>
  <c r="H22" i="6"/>
  <c r="E36" i="7"/>
  <c r="D36" i="7"/>
  <c r="G27" i="7"/>
  <c r="G26" i="7"/>
  <c r="G25" i="7"/>
  <c r="G28" i="7"/>
  <c r="F27" i="7"/>
  <c r="F26" i="7"/>
  <c r="F25" i="7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E34" i="7"/>
  <c r="G33" i="7"/>
  <c r="G32" i="7"/>
  <c r="G31" i="7"/>
  <c r="G30" i="7"/>
  <c r="E18" i="7"/>
  <c r="G12" i="7"/>
  <c r="F18" i="7"/>
  <c r="G41" i="6"/>
  <c r="G40" i="6"/>
  <c r="G38" i="6"/>
  <c r="G37" i="6"/>
  <c r="F27" i="6"/>
  <c r="F26" i="6"/>
  <c r="G26" i="6" s="1"/>
  <c r="C27" i="6"/>
  <c r="C26" i="6"/>
  <c r="G23" i="6"/>
  <c r="G22" i="6"/>
  <c r="C25" i="6"/>
  <c r="C28" i="6" s="1"/>
  <c r="F1" i="3"/>
  <c r="E1" i="3"/>
  <c r="E19" i="2"/>
  <c r="D19" i="2"/>
  <c r="G16" i="2"/>
  <c r="G17" i="2"/>
  <c r="E17" i="2"/>
  <c r="G14" i="2"/>
  <c r="G13" i="2"/>
  <c r="F14" i="2"/>
  <c r="F13" i="2"/>
  <c r="F11" i="2"/>
  <c r="G11" i="2" s="1"/>
  <c r="F10" i="2"/>
  <c r="F17" i="2" s="1"/>
  <c r="F11" i="1"/>
  <c r="G11" i="1" s="1"/>
  <c r="F10" i="1"/>
  <c r="G10" i="1" s="1"/>
  <c r="E13" i="1"/>
  <c r="F34" i="7" l="1"/>
  <c r="G11" i="7"/>
  <c r="E20" i="7" s="1"/>
  <c r="G27" i="6"/>
  <c r="F25" i="6"/>
  <c r="F28" i="6" s="1"/>
  <c r="G10" i="2"/>
  <c r="G13" i="1"/>
  <c r="D15" i="1" s="1"/>
  <c r="F13" i="1"/>
  <c r="G34" i="7" l="1"/>
  <c r="G18" i="7"/>
</calcChain>
</file>

<file path=xl/sharedStrings.xml><?xml version="1.0" encoding="utf-8"?>
<sst xmlns="http://schemas.openxmlformats.org/spreadsheetml/2006/main" count="601" uniqueCount="60">
  <si>
    <t>Exposição</t>
  </si>
  <si>
    <t>A</t>
  </si>
  <si>
    <t>DQS</t>
  </si>
  <si>
    <t>Operação</t>
  </si>
  <si>
    <t>Imóvel</t>
  </si>
  <si>
    <t>A1</t>
  </si>
  <si>
    <t>A2</t>
  </si>
  <si>
    <t>Ponderador</t>
  </si>
  <si>
    <t>Distribuição da Exposição</t>
  </si>
  <si>
    <t>-</t>
  </si>
  <si>
    <t>Data Quality Score</t>
  </si>
  <si>
    <r>
      <t xml:space="preserve">Proposta de cálculo do </t>
    </r>
    <r>
      <rPr>
        <b/>
        <i/>
        <sz val="11"/>
        <color theme="1"/>
        <rFont val="Calibri"/>
        <family val="2"/>
        <scheme val="minor"/>
      </rPr>
      <t>data quality score</t>
    </r>
    <r>
      <rPr>
        <b/>
        <sz val="11"/>
        <color theme="1"/>
        <rFont val="Calibri"/>
        <family val="2"/>
        <scheme val="minor"/>
      </rPr>
      <t>:</t>
    </r>
  </si>
  <si>
    <t>B</t>
  </si>
  <si>
    <t>B1</t>
  </si>
  <si>
    <t>B2</t>
  </si>
  <si>
    <t>C</t>
  </si>
  <si>
    <t>C1</t>
  </si>
  <si>
    <t>purpose_code</t>
  </si>
  <si>
    <t>origem_scp1_emss_op2b</t>
  </si>
  <si>
    <t>flag_cobert</t>
  </si>
  <si>
    <t>flag_estac</t>
  </si>
  <si>
    <t>valor_bruto</t>
  </si>
  <si>
    <t>emss_original</t>
  </si>
  <si>
    <t>Habitacao</t>
  </si>
  <si>
    <t>RE_DQS3_2A</t>
  </si>
  <si>
    <t>SUM_COLAT_COBRE</t>
  </si>
  <si>
    <t>FINANC C/ESTAC</t>
  </si>
  <si>
    <t>CRE_FC</t>
  </si>
  <si>
    <t>RE_DQS4_2B</t>
  </si>
  <si>
    <t>SUM_COLAT_N_COBRE</t>
  </si>
  <si>
    <t>FINANC S/ESTAC</t>
  </si>
  <si>
    <t>CRE_OUTRO</t>
  </si>
  <si>
    <t>RE_DQS5_3</t>
  </si>
  <si>
    <t>MISS</t>
  </si>
  <si>
    <t>NULL</t>
  </si>
  <si>
    <t>Nao Aplicavel</t>
  </si>
  <si>
    <t>FINANC APENAS C/ESTAC</t>
  </si>
  <si>
    <t>Row Labels</t>
  </si>
  <si>
    <t>Grand Total</t>
  </si>
  <si>
    <t>Sum of valor_bruto</t>
  </si>
  <si>
    <t>(Multiple Items)</t>
  </si>
  <si>
    <t xml:space="preserve">1) Exposição fora de âmbito enviada </t>
  </si>
  <si>
    <t>Este montante deve sair fora de âmbito, dado que foi utilizado no cálculo das emissões</t>
  </si>
  <si>
    <t>2) Exposição enviada</t>
  </si>
  <si>
    <t>2) Exposição corrigida</t>
  </si>
  <si>
    <t>Fora de âmbito</t>
  </si>
  <si>
    <t>TOTAL</t>
  </si>
  <si>
    <t xml:space="preserve">2) Exposição Não colaterizada enviada </t>
  </si>
  <si>
    <t>Este montante deve ir para fora de âmbito</t>
  </si>
  <si>
    <t>CRE</t>
  </si>
  <si>
    <t>D</t>
  </si>
  <si>
    <t>D1</t>
  </si>
  <si>
    <t>FIN C/ESTA</t>
  </si>
  <si>
    <t>MORTGAGE</t>
  </si>
  <si>
    <t>A3</t>
  </si>
  <si>
    <t>AGREGADO (B+C+D)</t>
  </si>
  <si>
    <t>Isto devia ir para fora de âmbito e neste momento foi considerado em exposição não colaterizada</t>
  </si>
  <si>
    <t>flag_scib</t>
  </si>
  <si>
    <t>SCIB</t>
  </si>
  <si>
    <t>N/SCIB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</si>
</sst>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€&quot;"/>
    <numFmt numFmtId="165" formatCode="0.000%"/>
    <numFmt numFmtId="166" formatCode="#,##0\ &quot;€&quot;"/>
    <numFmt numFmtId="167" formatCode="#,##0.000"/>
    <numFmt numFmtId="168" formatCode="#,##0.0000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0000"/>
        <bgColor indexed="64"/>
      </patternFill>
    </fill>
  </fills>
  <borders count="6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Continuous" vertical="center"/>
    </xf>
    <xf numFmtId="0" fontId="6" fillId="4" borderId="0" xfId="0" applyFont="1" applyFill="1" applyAlignment="1">
      <alignment horizontal="centerContinuous" vertical="center"/>
    </xf>
    <xf numFmtId="4" fontId="4" fillId="0" borderId="3" xfId="0" applyNumberFormat="1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indent="1"/>
    </xf>
    <xf numFmtId="4" fontId="4" fillId="0" borderId="0" xfId="0" applyNumberFormat="1" applyFont="1" applyAlignment="1">
      <alignment horizontal="center" vertical="center"/>
    </xf>
    <xf numFmtId="164" fontId="0" fillId="0" borderId="0" xfId="0" applyNumberFormat="1"/>
    <xf numFmtId="4" fontId="4" fillId="0" borderId="5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2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/>
    <xf numFmtId="0" fontId="2" fillId="2" borderId="0" xfId="0" applyFont="1" applyFill="1" applyAlignment="1">
      <alignment horizontal="left"/>
    </xf>
    <xf numFmtId="4" fontId="2" fillId="2" borderId="0" xfId="0" applyNumberFormat="1" applyFont="1" applyFill="1"/>
    <xf numFmtId="0" fontId="0" fillId="0" borderId="0" xfId="0" applyAlignment="1">
      <alignment horizontal="left" indent="4"/>
    </xf>
    <xf numFmtId="165" fontId="0" fillId="0" borderId="0" xfId="1" applyNumberFormat="1" applyFont="1"/>
    <xf numFmtId="0" fontId="0" fillId="0" borderId="0" xfId="0" applyAlignment="1">
      <alignment horizontal="left" indent="2"/>
    </xf>
    <xf numFmtId="166" fontId="4" fillId="0" borderId="2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0" fillId="0" borderId="0" xfId="0" applyNumberFormat="1"/>
    <xf numFmtId="167" fontId="4" fillId="0" borderId="5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  <xf numFmtId="168" fontId="4" fillId="0" borderId="4" xfId="0" applyNumberFormat="1" applyFont="1" applyBorder="1" applyAlignment="1">
      <alignment horizontal="center" vertical="center"/>
    </xf>
    <xf numFmtId="169" fontId="4" fillId="0" borderId="2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F6AF680-7BD2-47B6-9142-70B0AF912773}"/>
            </a:ext>
          </a:extLst>
        </xdr:cNvPr>
        <xdr:cNvGrpSpPr/>
      </xdr:nvGrpSpPr>
      <xdr:grpSpPr>
        <a:xfrm>
          <a:off x="287346" y="191565"/>
          <a:ext cx="1977263" cy="402179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4473078-45A5-2FF4-CECD-7FFA82C88F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DCF38D5-45FD-F0A7-8F87-13C5F3830D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A9BA3D9-942A-48C5-AB98-C609AC908D66}"/>
            </a:ext>
          </a:extLst>
        </xdr:cNvPr>
        <xdr:cNvGrpSpPr/>
      </xdr:nvGrpSpPr>
      <xdr:grpSpPr>
        <a:xfrm>
          <a:off x="287346" y="191565"/>
          <a:ext cx="1977263" cy="402179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E65CE6D-A38E-07F2-5073-268950190D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E22F6BB-2AB3-A33C-45DD-27961DF855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494CB4-23B2-4618-81C3-4AF3B4FA5C96}"/>
            </a:ext>
          </a:extLst>
        </xdr:cNvPr>
        <xdr:cNvGrpSpPr/>
      </xdr:nvGrpSpPr>
      <xdr:grpSpPr>
        <a:xfrm>
          <a:off x="287346" y="191565"/>
          <a:ext cx="1977263" cy="402179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4C9FBA7-4BA5-0357-353D-0055A22435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69CD511-CEA0-91E6-1C3C-628293385C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der Filipe Felicidade Fernandes" refreshedDate="46029.928125694445" createdVersion="8" refreshedVersion="8" minRefreshableVersion="3" recordCount="38" xr:uid="{891594FF-67C7-4DCC-8B3A-CAFB4E9EEC14}">
  <cacheSource type="worksheet">
    <worksheetSource ref="A2:F40" sheet="AUX"/>
  </cacheSource>
  <cacheFields count="6">
    <cacheField name="purpose_code" numFmtId="0">
      <sharedItems count="3">
        <s v="Habitacao"/>
        <s v="CRE_FC"/>
        <s v="CRE_OUTRO"/>
      </sharedItems>
    </cacheField>
    <cacheField name="origem_scp1_emss_op2b" numFmtId="0">
      <sharedItems count="6">
        <s v="RE_DQS3_2A"/>
        <s v="RE_DQS4_2B"/>
        <s v="RE_DQS5_3"/>
        <s v="MISS"/>
        <s v="NULL"/>
        <s v="Nao Aplicavel"/>
      </sharedItems>
    </cacheField>
    <cacheField name="flag_cobert" numFmtId="0">
      <sharedItems count="2">
        <s v="SUM_COLAT_COBRE"/>
        <s v="SUM_COLAT_N_COBRE"/>
      </sharedItems>
    </cacheField>
    <cacheField name="flag_estac" numFmtId="0">
      <sharedItems count="3">
        <s v="FINANC C/ESTAC"/>
        <s v="FINANC S/ESTAC"/>
        <s v="FINANC APENAS C/ESTAC"/>
      </sharedItems>
    </cacheField>
    <cacheField name="valor_bruto" numFmtId="4">
      <sharedItems containsSemiMixedTypes="0" containsString="0" containsNumber="1" minValue="41486.109999999899" maxValue="12280175827.606199"/>
    </cacheField>
    <cacheField name="emss_original" numFmtId="4">
      <sharedItems containsMixedTypes="1" containsNumber="1" minValue="3.4992000000000001" maxValue="311034.67317182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x v="0"/>
    <x v="0"/>
    <n v="4467608.6851768699"/>
    <n v="50.491937648399897"/>
  </r>
  <r>
    <x v="1"/>
    <x v="1"/>
    <x v="1"/>
    <x v="1"/>
    <n v="6442674.6799999904"/>
    <n v="766.12360988352498"/>
  </r>
  <r>
    <x v="2"/>
    <x v="2"/>
    <x v="0"/>
    <x v="0"/>
    <n v="3605352.56461336"/>
    <n v="304.01272511830001"/>
  </r>
  <r>
    <x v="1"/>
    <x v="2"/>
    <x v="0"/>
    <x v="1"/>
    <n v="23137087.717377499"/>
    <n v="85.167662416100001"/>
  </r>
  <r>
    <x v="2"/>
    <x v="1"/>
    <x v="1"/>
    <x v="1"/>
    <n v="16004507.829999899"/>
    <n v="22345.203340131"/>
  </r>
  <r>
    <x v="2"/>
    <x v="3"/>
    <x v="0"/>
    <x v="1"/>
    <n v="557086.54"/>
    <s v="NULL"/>
  </r>
  <r>
    <x v="2"/>
    <x v="4"/>
    <x v="1"/>
    <x v="1"/>
    <n v="28111361.93"/>
    <s v="NULL"/>
  </r>
  <r>
    <x v="1"/>
    <x v="0"/>
    <x v="0"/>
    <x v="1"/>
    <n v="184674080.69571599"/>
    <n v="1295.5359065178"/>
  </r>
  <r>
    <x v="0"/>
    <x v="1"/>
    <x v="0"/>
    <x v="1"/>
    <n v="10336175845.544399"/>
    <n v="311034.67317182402"/>
  </r>
  <r>
    <x v="1"/>
    <x v="5"/>
    <x v="0"/>
    <x v="0"/>
    <n v="152374.06155963999"/>
    <s v="NULL"/>
  </r>
  <r>
    <x v="0"/>
    <x v="0"/>
    <x v="0"/>
    <x v="1"/>
    <n v="12280175827.606199"/>
    <n v="86932.381122859704"/>
  </r>
  <r>
    <x v="0"/>
    <x v="1"/>
    <x v="1"/>
    <x v="1"/>
    <n v="112755248.659999"/>
    <n v="5988.9114592426404"/>
  </r>
  <r>
    <x v="2"/>
    <x v="0"/>
    <x v="0"/>
    <x v="1"/>
    <n v="174493316.29754701"/>
    <n v="1369.9038078454901"/>
  </r>
  <r>
    <x v="2"/>
    <x v="2"/>
    <x v="0"/>
    <x v="1"/>
    <n v="133918188.700634"/>
    <n v="5962.0703889081497"/>
  </r>
  <r>
    <x v="2"/>
    <x v="5"/>
    <x v="0"/>
    <x v="2"/>
    <n v="2910852.15"/>
    <s v="NULL"/>
  </r>
  <r>
    <x v="0"/>
    <x v="5"/>
    <x v="1"/>
    <x v="2"/>
    <n v="141821.829999999"/>
    <s v="NULL"/>
  </r>
  <r>
    <x v="0"/>
    <x v="5"/>
    <x v="0"/>
    <x v="0"/>
    <n v="2127302.3705747598"/>
    <s v="NULL"/>
  </r>
  <r>
    <x v="0"/>
    <x v="5"/>
    <x v="1"/>
    <x v="0"/>
    <n v="41486.109999999899"/>
    <s v="NULL"/>
  </r>
  <r>
    <x v="2"/>
    <x v="1"/>
    <x v="0"/>
    <x v="0"/>
    <n v="6599130.1818817304"/>
    <n v="140.02917185402401"/>
  </r>
  <r>
    <x v="1"/>
    <x v="0"/>
    <x v="1"/>
    <x v="1"/>
    <n v="156436.86999999901"/>
    <n v="3.4992000000000001"/>
  </r>
  <r>
    <x v="0"/>
    <x v="2"/>
    <x v="1"/>
    <x v="1"/>
    <n v="1189687.6499999899"/>
    <n v="258.04931741209998"/>
  </r>
  <r>
    <x v="0"/>
    <x v="3"/>
    <x v="0"/>
    <x v="1"/>
    <n v="44313.97"/>
    <s v="NULL"/>
  </r>
  <r>
    <x v="1"/>
    <x v="1"/>
    <x v="0"/>
    <x v="1"/>
    <n v="655702516.76690602"/>
    <n v="9983.8213960898302"/>
  </r>
  <r>
    <x v="0"/>
    <x v="0"/>
    <x v="1"/>
    <x v="1"/>
    <n v="29645906.949999899"/>
    <n v="367.95619823139901"/>
  </r>
  <r>
    <x v="2"/>
    <x v="2"/>
    <x v="1"/>
    <x v="1"/>
    <n v="35099481.349999897"/>
    <n v="320.70716500280002"/>
  </r>
  <r>
    <x v="0"/>
    <x v="2"/>
    <x v="0"/>
    <x v="1"/>
    <n v="484972603.67904103"/>
    <n v="17250.211667598702"/>
  </r>
  <r>
    <x v="0"/>
    <x v="2"/>
    <x v="0"/>
    <x v="0"/>
    <n v="2361535.2529804702"/>
    <n v="207.31418997130001"/>
  </r>
  <r>
    <x v="1"/>
    <x v="4"/>
    <x v="1"/>
    <x v="1"/>
    <n v="5556041.2300000004"/>
    <s v="NULL"/>
  </r>
  <r>
    <x v="2"/>
    <x v="1"/>
    <x v="0"/>
    <x v="1"/>
    <n v="870398476.53181803"/>
    <n v="71048.206496015802"/>
  </r>
  <r>
    <x v="1"/>
    <x v="1"/>
    <x v="0"/>
    <x v="0"/>
    <n v="585522.63844035903"/>
    <n v="14.7028736124266"/>
  </r>
  <r>
    <x v="0"/>
    <x v="4"/>
    <x v="1"/>
    <x v="1"/>
    <n v="36206451.82"/>
    <s v="NULL"/>
  </r>
  <r>
    <x v="0"/>
    <x v="4"/>
    <x v="1"/>
    <x v="0"/>
    <n v="107755.03"/>
    <s v="NULL"/>
  </r>
  <r>
    <x v="0"/>
    <x v="1"/>
    <x v="1"/>
    <x v="0"/>
    <n v="176358.679999999"/>
    <n v="3.7701689059123402"/>
  </r>
  <r>
    <x v="0"/>
    <x v="1"/>
    <x v="0"/>
    <x v="0"/>
    <n v="15582961.9412678"/>
    <n v="295.394643504996"/>
  </r>
  <r>
    <x v="2"/>
    <x v="0"/>
    <x v="0"/>
    <x v="0"/>
    <n v="203384.817403783"/>
    <n v="3.5705172273999901"/>
  </r>
  <r>
    <x v="0"/>
    <x v="4"/>
    <x v="1"/>
    <x v="2"/>
    <n v="361783.54"/>
    <s v="NULL"/>
  </r>
  <r>
    <x v="0"/>
    <x v="5"/>
    <x v="0"/>
    <x v="2"/>
    <n v="583053.57999999903"/>
    <s v="NULL"/>
  </r>
  <r>
    <x v="2"/>
    <x v="5"/>
    <x v="0"/>
    <x v="0"/>
    <n v="1162765.6961011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62BEB-65A0-4F7A-A17B-27BB34D1DD7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8:F71" firstHeaderRow="1" firstDataRow="1" firstDataCol="1" rowPageCount="1" colPageCount="1"/>
  <pivotFields count="6">
    <pivotField axis="axisRow" showAll="0">
      <items count="4">
        <item h="1" x="1"/>
        <item x="2"/>
        <item x="0"/>
        <item t="default"/>
      </items>
    </pivotField>
    <pivotField axis="axisRow" multipleItemSelectionAllowed="1" showAll="0">
      <items count="7">
        <item h="1" x="3"/>
        <item x="5"/>
        <item x="4"/>
        <item x="0"/>
        <item x="1"/>
        <item x="2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dataField="1" numFmtId="4" showAll="0"/>
    <pivotField showAll="0"/>
  </pivotFields>
  <rowFields count="3">
    <field x="0"/>
    <field x="2"/>
    <field x="1"/>
  </rowFields>
  <rowItems count="23">
    <i>
      <x v="1"/>
    </i>
    <i r="1">
      <x/>
    </i>
    <i r="2">
      <x v="1"/>
    </i>
    <i r="2">
      <x v="3"/>
    </i>
    <i r="2">
      <x v="4"/>
    </i>
    <i r="2">
      <x v="5"/>
    </i>
    <i r="1">
      <x v="1"/>
    </i>
    <i r="2">
      <x v="2"/>
    </i>
    <i r="2">
      <x v="4"/>
    </i>
    <i r="2">
      <x v="5"/>
    </i>
    <i>
      <x v="2"/>
    </i>
    <i r="1">
      <x/>
    </i>
    <i r="2">
      <x v="1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t="grand">
      <x/>
    </i>
  </rowItems>
  <colItems count="1">
    <i/>
  </colItems>
  <pageFields count="1">
    <pageField fld="3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CB392-114F-426F-9F97-62146626D9E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C24" firstHeaderRow="1" firstDataRow="1" firstDataCol="1" rowPageCount="1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h="1" x="3"/>
        <item h="1" x="5"/>
        <item x="4"/>
        <item x="0"/>
        <item x="1"/>
        <item x="2"/>
        <item t="default"/>
      </items>
    </pivotField>
    <pivotField multipleItemSelectionAllowed="1" showAll="0">
      <items count="3">
        <item x="0"/>
        <item x="1"/>
        <item t="default"/>
      </items>
    </pivotField>
    <pivotField multipleItemSelectionAllowed="1" showAll="0">
      <items count="4">
        <item x="2"/>
        <item x="0"/>
        <item x="1"/>
        <item t="default"/>
      </items>
    </pivotField>
    <pivotField dataField="1" numFmtId="4"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15A82-9A9E-42FE-86B3-191585B5DAC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F24" firstHeaderRow="1" firstDataRow="1" firstDataCol="1" rowPageCount="2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h="1" x="3"/>
        <item x="5"/>
        <item x="4"/>
        <item x="0"/>
        <item x="1"/>
        <item x="2"/>
        <item t="default"/>
      </items>
    </pivotField>
    <pivotField multipleItemSelectionAllowed="1" showAll="0">
      <items count="3">
        <item x="0"/>
        <item x="1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dataField="1" numFmtId="4"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pageFields count="2">
    <pageField fld="1" hier="-1"/>
    <pageField fld="3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9B002-9057-41B1-B0EE-2FCA49622D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15" firstHeaderRow="1" firstDataRow="1" firstDataCol="1" rowPageCount="1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x="3"/>
        <item x="5"/>
        <item h="1" x="4"/>
        <item h="1" x="0"/>
        <item h="1" x="1"/>
        <item h="1" x="2"/>
        <item t="default"/>
      </items>
    </pivotField>
    <pivotField showAll="0">
      <items count="3">
        <item x="0"/>
        <item x="1"/>
        <item t="default"/>
      </items>
    </pivotField>
    <pivotField axis="axisRow" multipleItemSelectionAllowed="1" showAll="0">
      <items count="4">
        <item x="2"/>
        <item x="0"/>
        <item x="1"/>
        <item t="default"/>
      </items>
    </pivotField>
    <pivotField dataField="1" numFmtId="4" showAll="0"/>
    <pivotField showAll="0"/>
  </pivotFields>
  <rowFields count="2">
    <field x="0"/>
    <field x="3"/>
  </rowFields>
  <rowItems count="9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pageFields count="1">
    <pageField fld="1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28D4A-1C1D-4822-9D57-B378CABDB1C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I40" firstHeaderRow="1" firstDataRow="1" firstDataCol="1" rowPageCount="2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h="1" x="3"/>
        <item h="1" x="5"/>
        <item x="4"/>
        <item h="1" x="0"/>
        <item h="1" x="1"/>
        <item h="1" x="2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dataField="1" numFmtId="4" showAll="0"/>
    <pivotField showAll="0"/>
  </pivotFields>
  <rowFields count="2">
    <field x="0"/>
    <field x="2"/>
  </rowFields>
  <rowItems count="5">
    <i>
      <x v="1"/>
    </i>
    <i r="1">
      <x v="1"/>
    </i>
    <i>
      <x v="2"/>
    </i>
    <i r="1">
      <x v="1"/>
    </i>
    <i t="grand">
      <x/>
    </i>
  </rowItems>
  <colItems count="1">
    <i/>
  </colItems>
  <pageFields count="2">
    <pageField fld="1" hier="-1"/>
    <pageField fld="3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B5AC7-B716-4CAA-998E-C58547E2F79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9:I54" firstHeaderRow="1" firstDataRow="1" firstDataCol="1" rowPageCount="2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h="1" x="3"/>
        <item h="1" x="5"/>
        <item x="4"/>
        <item h="1" x="0"/>
        <item h="1" x="1"/>
        <item h="1" x="2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dataField="1" numFmtId="4" showAll="0"/>
    <pivotField showAll="0"/>
  </pivotFields>
  <rowFields count="2">
    <field x="0"/>
    <field x="2"/>
  </rowFields>
  <rowItems count="5">
    <i>
      <x v="1"/>
    </i>
    <i r="1">
      <x v="1"/>
    </i>
    <i>
      <x v="2"/>
    </i>
    <i r="1">
      <x v="1"/>
    </i>
    <i t="grand">
      <x/>
    </i>
  </rowItems>
  <colItems count="1">
    <i/>
  </colItems>
  <pageFields count="2">
    <pageField fld="1" hier="-1"/>
    <pageField fld="3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82CAB-103C-4C92-AFB3-5D5BDB49992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13" firstHeaderRow="1" firstDataRow="1" firstDataCol="1" rowPageCount="1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h="1" x="3"/>
        <item h="1" x="5"/>
        <item x="4"/>
        <item h="1" x="0"/>
        <item h="1" x="1"/>
        <item h="1" x="2"/>
        <item t="default"/>
      </items>
    </pivotField>
    <pivotField showAll="0">
      <items count="3">
        <item x="0"/>
        <item x="1"/>
        <item t="default"/>
      </items>
    </pivotField>
    <pivotField axis="axisRow" multipleItemSelectionAllowed="1" showAll="0">
      <items count="4">
        <item x="2"/>
        <item x="0"/>
        <item x="1"/>
        <item t="default"/>
      </items>
    </pivotField>
    <pivotField dataField="1" numFmtId="4" showAll="0"/>
    <pivotField showAll="0"/>
  </pivotFields>
  <rowFields count="2">
    <field x="0"/>
    <field x="3"/>
  </rowFields>
  <rowItems count="7">
    <i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pageFields count="1">
    <pageField fld="1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D89F8-326E-4236-B109-C614113761A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5:F42" firstHeaderRow="1" firstDataRow="1" firstDataCol="1" rowPageCount="2" colPageCount="1"/>
  <pivotFields count="6">
    <pivotField axis="axisRow" showAll="0">
      <items count="4">
        <item h="1" x="1"/>
        <item x="2"/>
        <item x="0"/>
        <item t="default"/>
      </items>
    </pivotField>
    <pivotField axis="axisPage" multipleItemSelectionAllowed="1" showAll="0">
      <items count="7">
        <item h="1" x="3"/>
        <item x="5"/>
        <item x="4"/>
        <item x="0"/>
        <item x="1"/>
        <item x="2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dataField="1" numFmtId="4" showAll="0"/>
    <pivotField showAll="0"/>
  </pivotFields>
  <rowFields count="2">
    <field x="0"/>
    <field x="2"/>
  </rowFields>
  <rowItems count="7"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pageFields count="2">
    <pageField fld="1" hier="-1"/>
    <pageField fld="3" hier="-1"/>
  </pageFields>
  <dataFields count="1">
    <dataField name="Sum of valor_bruto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9266-9CAF-4C9E-869D-9CFE60356A17}">
  <sheetPr>
    <pageSetUpPr autoPageBreaks="0"/>
  </sheetPr>
  <dimension ref="A1:AB22"/>
  <sheetViews>
    <sheetView showGridLines="0" zoomScale="179" zoomScaleNormal="160" workbookViewId="0">
      <selection activeCell="E7" sqref="E7"/>
    </sheetView>
  </sheetViews>
  <sheetFormatPr defaultColWidth="0" defaultRowHeight="14.25" customHeight="1" zeroHeight="1" x14ac:dyDescent="0.25"/>
  <cols>
    <col min="1" max="1" width="4.28515625" customWidth="1"/>
    <col min="2" max="5" width="14.7109375" customWidth="1"/>
    <col min="6" max="7" width="17.42578125" customWidth="1"/>
    <col min="8" max="8" width="3.7109375" customWidth="1"/>
    <col min="9" max="11" width="17.42578125" hidden="1" customWidth="1"/>
    <col min="12" max="14" width="19.5703125" hidden="1" customWidth="1"/>
    <col min="15" max="15" width="5.140625" hidden="1" customWidth="1"/>
    <col min="16" max="16" width="18.140625" hidden="1" customWidth="1"/>
    <col min="17" max="17" width="13.7109375" hidden="1" customWidth="1"/>
    <col min="18" max="18" width="38.7109375" hidden="1" customWidth="1"/>
    <col min="19" max="19" width="22.140625" hidden="1" customWidth="1"/>
    <col min="20" max="25" width="10.42578125" hidden="1" customWidth="1"/>
    <col min="26" max="26" width="26.5703125" hidden="1" customWidth="1"/>
    <col min="27" max="27" width="35.140625" hidden="1" customWidth="1"/>
    <col min="28" max="28" width="19.85546875" hidden="1" customWidth="1"/>
    <col min="29" max="16384" width="10.42578125" hidden="1"/>
  </cols>
  <sheetData>
    <row r="1" spans="2:14" s="1" customFormat="1" ht="15" x14ac:dyDescent="0.25"/>
    <row r="2" spans="2:14" s="1" customFormat="1" ht="15" x14ac:dyDescent="0.25"/>
    <row r="3" spans="2:14" s="1" customFormat="1" ht="15" x14ac:dyDescent="0.25"/>
    <row r="4" spans="2:14" s="1" customFormat="1" ht="15" x14ac:dyDescent="0.25"/>
    <row r="5" spans="2:14" s="2" customFormat="1" ht="3" customHeight="1" x14ac:dyDescent="0.25"/>
    <row r="6" spans="2:14" ht="15" x14ac:dyDescent="0.25"/>
    <row r="7" spans="2:14" ht="14.25" customHeight="1" x14ac:dyDescent="0.25">
      <c r="B7" s="17" t="s">
        <v>11</v>
      </c>
    </row>
    <row r="8" spans="2:14" ht="14.25" customHeight="1" x14ac:dyDescent="0.25"/>
    <row r="9" spans="2:14" s="4" customFormat="1" ht="23.25" customHeight="1" x14ac:dyDescent="0.25">
      <c r="B9" s="3" t="s">
        <v>3</v>
      </c>
      <c r="C9" s="3" t="s">
        <v>4</v>
      </c>
      <c r="D9" s="3" t="s">
        <v>2</v>
      </c>
      <c r="E9" s="3" t="s">
        <v>0</v>
      </c>
      <c r="F9" s="3" t="s">
        <v>7</v>
      </c>
      <c r="G9" s="3" t="s">
        <v>8</v>
      </c>
      <c r="H9"/>
      <c r="I9"/>
      <c r="J9"/>
      <c r="K9"/>
      <c r="L9"/>
      <c r="M9"/>
      <c r="N9"/>
    </row>
    <row r="10" spans="2:14" s="4" customFormat="1" ht="14.25" customHeight="1" x14ac:dyDescent="0.25">
      <c r="B10" s="5" t="s">
        <v>1</v>
      </c>
      <c r="C10" s="5" t="s">
        <v>5</v>
      </c>
      <c r="D10" s="14">
        <v>3</v>
      </c>
      <c r="E10" s="6">
        <v>125975</v>
      </c>
      <c r="F10" s="12">
        <f>+IF(SUM($E$10:$E$11)=0,1/2,E10/SUM($E$10:$E$11))</f>
        <v>0.94129910110512516</v>
      </c>
      <c r="G10" s="6">
        <f>+E10+$E$12*F10</f>
        <v>129300.48735532127</v>
      </c>
      <c r="H10"/>
      <c r="I10"/>
      <c r="J10"/>
      <c r="K10"/>
      <c r="L10"/>
      <c r="M10"/>
      <c r="N10"/>
    </row>
    <row r="11" spans="2:14" s="4" customFormat="1" ht="14.25" customHeight="1" x14ac:dyDescent="0.25">
      <c r="B11" s="5" t="s">
        <v>1</v>
      </c>
      <c r="C11" s="5" t="s">
        <v>6</v>
      </c>
      <c r="D11" s="14">
        <v>5</v>
      </c>
      <c r="E11" s="6">
        <v>7856</v>
      </c>
      <c r="F11" s="12">
        <f>+IF(SUM($E$10:$E$11)=0,1/2,E11/SUM($E$10:$E$11))</f>
        <v>5.8700898894874877E-2</v>
      </c>
      <c r="G11" s="6">
        <f>+E11+$E$12*F11</f>
        <v>8063.3826446787371</v>
      </c>
      <c r="H11"/>
      <c r="I11"/>
      <c r="J11"/>
      <c r="K11"/>
      <c r="L11"/>
      <c r="M11"/>
      <c r="N11"/>
    </row>
    <row r="12" spans="2:14" s="4" customFormat="1" ht="14.25" customHeight="1" x14ac:dyDescent="0.25">
      <c r="B12" s="5" t="s">
        <v>1</v>
      </c>
      <c r="C12" s="5" t="s">
        <v>9</v>
      </c>
      <c r="D12" s="14" t="s">
        <v>9</v>
      </c>
      <c r="E12" s="6">
        <v>3532.87</v>
      </c>
      <c r="F12" s="12"/>
      <c r="G12" s="6" t="s">
        <v>9</v>
      </c>
      <c r="I12" s="13"/>
      <c r="J12" s="8"/>
      <c r="K12" s="7"/>
      <c r="L12" s="7"/>
      <c r="M12" s="7"/>
      <c r="N12" s="7"/>
    </row>
    <row r="13" spans="2:14" s="4" customFormat="1" ht="14.25" customHeight="1" x14ac:dyDescent="0.25">
      <c r="E13" s="15">
        <f>+SUM(E10:E12)</f>
        <v>137363.87</v>
      </c>
      <c r="F13" s="16">
        <f>+SUM(F10:F12)</f>
        <v>1</v>
      </c>
      <c r="G13" s="15">
        <f>+SUM(G10:G12)</f>
        <v>137363.87</v>
      </c>
      <c r="J13" s="8"/>
      <c r="K13" s="7"/>
      <c r="L13" s="7"/>
      <c r="M13" s="7"/>
      <c r="N13" s="7"/>
    </row>
    <row r="14" spans="2:14" s="4" customFormat="1" ht="14.25" customHeight="1" x14ac:dyDescent="0.25">
      <c r="J14" s="8"/>
      <c r="K14" s="7"/>
      <c r="L14" s="7"/>
      <c r="M14" s="7"/>
      <c r="N14" s="7"/>
    </row>
    <row r="15" spans="2:14" s="4" customFormat="1" ht="14.25" customHeight="1" x14ac:dyDescent="0.25">
      <c r="B15" s="9" t="s">
        <v>10</v>
      </c>
      <c r="C15" s="10"/>
      <c r="D15" s="11">
        <f>+(D10*G10+D11*G11)/G13</f>
        <v>3.1174017977897495</v>
      </c>
      <c r="F15" s="18"/>
      <c r="J15" s="8"/>
      <c r="K15" s="7"/>
      <c r="L15" s="7"/>
      <c r="M15" s="7"/>
      <c r="N15" s="7"/>
    </row>
    <row r="16" spans="2:14" s="4" customFormat="1" ht="14.25" customHeight="1" x14ac:dyDescent="0.25">
      <c r="J16" s="8"/>
      <c r="K16" s="7"/>
      <c r="L16" s="7"/>
      <c r="M16" s="7"/>
      <c r="N16" s="7"/>
    </row>
    <row r="17" customFormat="1" ht="14.25" hidden="1" customHeight="1" x14ac:dyDescent="0.25"/>
    <row r="18" customFormat="1" ht="14.25" hidden="1" customHeight="1" x14ac:dyDescent="0.25"/>
    <row r="19" customFormat="1" ht="14.25" hidden="1" customHeight="1" x14ac:dyDescent="0.25"/>
    <row r="20" customFormat="1" ht="14.25" hidden="1" customHeight="1" x14ac:dyDescent="0.25"/>
    <row r="21" customFormat="1" ht="14.25" hidden="1" customHeight="1" x14ac:dyDescent="0.25"/>
    <row r="22" customFormat="1" ht="14.25" hidden="1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B61D-FD17-43EA-8783-E584441C5945}">
  <sheetPr>
    <pageSetUpPr autoPageBreaks="0"/>
  </sheetPr>
  <dimension ref="B1:N20"/>
  <sheetViews>
    <sheetView showGridLines="0" topLeftCell="A3" zoomScale="179" zoomScaleNormal="160" workbookViewId="0">
      <selection activeCell="E12" sqref="E12"/>
    </sheetView>
  </sheetViews>
  <sheetFormatPr defaultColWidth="10.42578125" defaultRowHeight="14.25" customHeight="1" x14ac:dyDescent="0.25"/>
  <cols>
    <col min="1" max="1" width="4.28515625" customWidth="1"/>
    <col min="2" max="5" width="14.7109375" customWidth="1"/>
    <col min="6" max="7" width="17.42578125" customWidth="1"/>
    <col min="8" max="8" width="3.7109375" customWidth="1"/>
    <col min="9" max="11" width="17.42578125" customWidth="1"/>
    <col min="12" max="14" width="19.5703125" customWidth="1"/>
    <col min="15" max="15" width="5.140625" customWidth="1"/>
    <col min="16" max="16" width="18.140625" customWidth="1"/>
    <col min="17" max="17" width="13.7109375" customWidth="1"/>
    <col min="18" max="18" width="38.7109375" customWidth="1"/>
    <col min="19" max="19" width="22.140625" customWidth="1"/>
    <col min="20" max="25" width="10.42578125" customWidth="1"/>
    <col min="26" max="26" width="26.5703125" customWidth="1"/>
    <col min="27" max="27" width="35.140625" customWidth="1"/>
    <col min="28" max="28" width="19.85546875" customWidth="1"/>
  </cols>
  <sheetData>
    <row r="1" spans="2:14" s="1" customFormat="1" ht="15" x14ac:dyDescent="0.25"/>
    <row r="2" spans="2:14" s="1" customFormat="1" ht="15" x14ac:dyDescent="0.25"/>
    <row r="3" spans="2:14" s="1" customFormat="1" ht="15" x14ac:dyDescent="0.25"/>
    <row r="4" spans="2:14" s="1" customFormat="1" ht="15" x14ac:dyDescent="0.25"/>
    <row r="5" spans="2:14" s="2" customFormat="1" ht="3" customHeight="1" x14ac:dyDescent="0.25"/>
    <row r="6" spans="2:14" ht="15" x14ac:dyDescent="0.25"/>
    <row r="7" spans="2:14" ht="14.25" customHeight="1" x14ac:dyDescent="0.25">
      <c r="B7" s="17" t="s">
        <v>11</v>
      </c>
    </row>
    <row r="9" spans="2:14" s="4" customFormat="1" ht="23.25" customHeight="1" x14ac:dyDescent="0.25">
      <c r="B9" s="3" t="s">
        <v>3</v>
      </c>
      <c r="C9" s="3" t="s">
        <v>4</v>
      </c>
      <c r="D9" s="3" t="s">
        <v>2</v>
      </c>
      <c r="E9" s="3" t="s">
        <v>0</v>
      </c>
      <c r="F9" s="3" t="s">
        <v>7</v>
      </c>
      <c r="G9" s="3" t="s">
        <v>8</v>
      </c>
      <c r="H9"/>
      <c r="I9"/>
      <c r="J9"/>
      <c r="K9"/>
      <c r="L9"/>
      <c r="M9"/>
      <c r="N9"/>
    </row>
    <row r="10" spans="2:14" s="4" customFormat="1" ht="14.25" customHeight="1" x14ac:dyDescent="0.25">
      <c r="B10" s="5" t="s">
        <v>1</v>
      </c>
      <c r="C10" s="5" t="s">
        <v>5</v>
      </c>
      <c r="D10" s="14">
        <v>3</v>
      </c>
      <c r="E10" s="6">
        <v>125975</v>
      </c>
      <c r="F10" s="12">
        <f>+IF(SUM($E$10:$E$11)=0,1/2,E10/SUM($E$10:$E$11))</f>
        <v>0.94129910110512516</v>
      </c>
      <c r="G10" s="6">
        <f>+E10+$E$12*F10</f>
        <v>129300.48735532127</v>
      </c>
      <c r="H10"/>
      <c r="I10" s="19"/>
      <c r="J10"/>
      <c r="K10"/>
      <c r="L10"/>
      <c r="M10"/>
      <c r="N10"/>
    </row>
    <row r="11" spans="2:14" s="4" customFormat="1" ht="14.25" customHeight="1" x14ac:dyDescent="0.25">
      <c r="B11" s="5" t="s">
        <v>1</v>
      </c>
      <c r="C11" s="5" t="s">
        <v>6</v>
      </c>
      <c r="D11" s="14">
        <v>5</v>
      </c>
      <c r="E11" s="6">
        <v>7856</v>
      </c>
      <c r="F11" s="12">
        <f>+IF(SUM($E$10:$E$11)=0,1/2,E11/SUM($E$10:$E$11))</f>
        <v>5.8700898894874877E-2</v>
      </c>
      <c r="G11" s="6">
        <f>+E11+$E$12*F11</f>
        <v>8063.3826446787371</v>
      </c>
      <c r="H11"/>
      <c r="I11" s="19"/>
      <c r="J11"/>
      <c r="K11"/>
      <c r="L11"/>
      <c r="M11"/>
      <c r="N11"/>
    </row>
    <row r="12" spans="2:14" s="4" customFormat="1" ht="14.25" customHeight="1" x14ac:dyDescent="0.25">
      <c r="B12" s="5" t="s">
        <v>1</v>
      </c>
      <c r="C12" s="5" t="s">
        <v>9</v>
      </c>
      <c r="D12" s="14" t="s">
        <v>9</v>
      </c>
      <c r="E12" s="6">
        <v>3532.87</v>
      </c>
      <c r="F12" s="12"/>
      <c r="G12" s="6" t="s">
        <v>9</v>
      </c>
      <c r="I12" s="19"/>
      <c r="J12" s="8"/>
      <c r="K12" s="7"/>
      <c r="L12" s="7"/>
      <c r="M12" s="7"/>
      <c r="N12" s="7"/>
    </row>
    <row r="13" spans="2:14" s="4" customFormat="1" ht="14.25" customHeight="1" x14ac:dyDescent="0.25">
      <c r="B13" s="5" t="s">
        <v>12</v>
      </c>
      <c r="C13" s="5" t="s">
        <v>13</v>
      </c>
      <c r="D13" s="14">
        <v>4</v>
      </c>
      <c r="E13" s="6">
        <v>250000</v>
      </c>
      <c r="F13" s="12">
        <f>+E13/SUM($E$13:$E$14)</f>
        <v>0.58823529411764708</v>
      </c>
      <c r="G13" s="6">
        <f>+E13+$E$15*F13</f>
        <v>268823.5294117647</v>
      </c>
      <c r="I13" s="19"/>
      <c r="J13" s="8"/>
      <c r="K13" s="7"/>
      <c r="L13" s="7"/>
      <c r="M13" s="7"/>
      <c r="N13" s="7"/>
    </row>
    <row r="14" spans="2:14" s="4" customFormat="1" ht="14.25" customHeight="1" x14ac:dyDescent="0.25">
      <c r="B14" s="5" t="s">
        <v>12</v>
      </c>
      <c r="C14" s="5" t="s">
        <v>14</v>
      </c>
      <c r="D14" s="14">
        <v>5</v>
      </c>
      <c r="E14" s="6">
        <v>175000</v>
      </c>
      <c r="F14" s="12">
        <f>+E14/SUM($E$13:$E$14)</f>
        <v>0.41176470588235292</v>
      </c>
      <c r="G14" s="6">
        <f>+E14+$E$15*F14</f>
        <v>188176.4705882353</v>
      </c>
      <c r="I14" s="19"/>
      <c r="J14" s="8"/>
      <c r="K14" s="7"/>
      <c r="L14" s="7"/>
      <c r="M14" s="7"/>
      <c r="N14" s="7"/>
    </row>
    <row r="15" spans="2:14" s="4" customFormat="1" ht="14.25" customHeight="1" x14ac:dyDescent="0.25">
      <c r="B15" s="5" t="s">
        <v>12</v>
      </c>
      <c r="C15" s="5" t="s">
        <v>9</v>
      </c>
      <c r="D15" s="14" t="s">
        <v>9</v>
      </c>
      <c r="E15" s="6">
        <v>32000</v>
      </c>
      <c r="F15" s="12"/>
      <c r="G15" s="6" t="s">
        <v>9</v>
      </c>
      <c r="I15" s="19"/>
      <c r="J15" s="8"/>
      <c r="K15" s="7"/>
      <c r="L15" s="7"/>
      <c r="M15" s="7"/>
      <c r="N15" s="7"/>
    </row>
    <row r="16" spans="2:14" s="4" customFormat="1" ht="14.25" customHeight="1" x14ac:dyDescent="0.25">
      <c r="B16" s="5" t="s">
        <v>15</v>
      </c>
      <c r="C16" s="5" t="s">
        <v>16</v>
      </c>
      <c r="D16" s="14">
        <v>4</v>
      </c>
      <c r="E16" s="6">
        <v>109999</v>
      </c>
      <c r="F16" s="12"/>
      <c r="G16" s="6">
        <f>+E16</f>
        <v>109999</v>
      </c>
      <c r="I16" s="19"/>
      <c r="J16" s="8"/>
      <c r="K16" s="7"/>
      <c r="L16" s="7"/>
      <c r="M16" s="7"/>
      <c r="N16" s="7"/>
    </row>
    <row r="17" spans="2:14" s="4" customFormat="1" ht="14.25" customHeight="1" x14ac:dyDescent="0.25">
      <c r="E17" s="15">
        <f>+SUM(E10:E16)</f>
        <v>704362.87</v>
      </c>
      <c r="F17" s="16">
        <f>+SUM(F10:F12)</f>
        <v>1</v>
      </c>
      <c r="G17" s="15">
        <f>+SUM(G10:G16)</f>
        <v>704362.87</v>
      </c>
      <c r="I17" s="7"/>
      <c r="J17" s="8"/>
      <c r="K17" s="7"/>
      <c r="L17" s="7"/>
      <c r="M17" s="7"/>
      <c r="N17" s="7"/>
    </row>
    <row r="18" spans="2:14" s="4" customFormat="1" ht="14.25" customHeight="1" x14ac:dyDescent="0.25">
      <c r="I18" s="7"/>
      <c r="J18" s="8"/>
      <c r="K18" s="7"/>
      <c r="L18" s="7"/>
      <c r="M18" s="7"/>
      <c r="N18" s="7"/>
    </row>
    <row r="19" spans="2:14" s="4" customFormat="1" ht="14.25" customHeight="1" x14ac:dyDescent="0.25">
      <c r="B19" s="9" t="s">
        <v>10</v>
      </c>
      <c r="C19" s="10"/>
      <c r="D19" s="20">
        <f>+(SUMPRODUCT(D10:D11,G10:G11)+SUMPRODUCT(D13:D14,G13:G14)+SUMPRODUCT(D16,G16))/G17</f>
        <v>4.095035341481859</v>
      </c>
      <c r="E19" s="21">
        <f>+(SUMPRODUCT(D10:D11,E10:E11)+SUMPRODUCT(D13:D14,E13:E14)+SUMPRODUCT(D16,E16))/G17</f>
        <v>3.8789679529813945</v>
      </c>
      <c r="F19" s="18"/>
      <c r="J19" s="8"/>
      <c r="K19" s="7"/>
      <c r="L19" s="7"/>
      <c r="M19" s="7"/>
      <c r="N19" s="7"/>
    </row>
    <row r="20" spans="2:14" s="4" customFormat="1" ht="14.25" customHeight="1" x14ac:dyDescent="0.25">
      <c r="J20" s="8"/>
      <c r="K20" s="7"/>
      <c r="L20" s="7"/>
      <c r="M20" s="7"/>
      <c r="N20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24DC-E748-42B0-9A51-E62F8F82F72F}">
  <sheetPr>
    <pageSetUpPr autoPageBreaks="0"/>
  </sheetPr>
  <dimension ref="B1:I36"/>
  <sheetViews>
    <sheetView showGridLines="0" zoomScale="179" zoomScaleNormal="160" workbookViewId="0"/>
  </sheetViews>
  <sheetFormatPr defaultColWidth="10.42578125" defaultRowHeight="14.25" customHeight="1" x14ac:dyDescent="0.25"/>
  <cols>
    <col min="1" max="1" width="4.28515625" customWidth="1"/>
    <col min="2" max="5" width="14.7109375" customWidth="1"/>
    <col min="6" max="7" width="17.42578125" customWidth="1"/>
    <col min="8" max="8" width="3.7109375" customWidth="1"/>
    <col min="9" max="11" width="17.42578125" customWidth="1"/>
    <col min="12" max="14" width="19.5703125" customWidth="1"/>
    <col min="15" max="15" width="5.140625" customWidth="1"/>
    <col min="16" max="16" width="18.140625" customWidth="1"/>
    <col min="17" max="17" width="13.7109375" customWidth="1"/>
    <col min="18" max="18" width="38.7109375" customWidth="1"/>
    <col min="19" max="19" width="22.140625" customWidth="1"/>
    <col min="20" max="25" width="10.42578125" customWidth="1"/>
    <col min="26" max="26" width="26.5703125" customWidth="1"/>
    <col min="27" max="27" width="35.140625" customWidth="1"/>
    <col min="28" max="28" width="19.85546875" customWidth="1"/>
  </cols>
  <sheetData>
    <row r="1" spans="2:9" s="1" customFormat="1" ht="15" x14ac:dyDescent="0.25"/>
    <row r="2" spans="2:9" s="1" customFormat="1" ht="15" x14ac:dyDescent="0.25"/>
    <row r="3" spans="2:9" s="1" customFormat="1" ht="15" x14ac:dyDescent="0.25"/>
    <row r="4" spans="2:9" s="1" customFormat="1" ht="15" x14ac:dyDescent="0.25"/>
    <row r="5" spans="2:9" s="2" customFormat="1" ht="3" customHeight="1" x14ac:dyDescent="0.25"/>
    <row r="6" spans="2:9" ht="15" x14ac:dyDescent="0.25"/>
    <row r="8" spans="2:9" ht="14.25" customHeight="1" x14ac:dyDescent="0.25">
      <c r="B8" s="17" t="s">
        <v>49</v>
      </c>
    </row>
    <row r="10" spans="2:9" ht="14.25" customHeight="1" x14ac:dyDescent="0.25">
      <c r="B10" s="3" t="s">
        <v>3</v>
      </c>
      <c r="C10" s="3" t="s">
        <v>4</v>
      </c>
      <c r="D10" s="3" t="s">
        <v>2</v>
      </c>
      <c r="E10" s="3" t="s">
        <v>0</v>
      </c>
      <c r="F10" s="3" t="s">
        <v>7</v>
      </c>
      <c r="G10" s="3" t="s">
        <v>8</v>
      </c>
    </row>
    <row r="11" spans="2:9" ht="14.25" customHeight="1" x14ac:dyDescent="0.25">
      <c r="B11" s="5" t="s">
        <v>1</v>
      </c>
      <c r="C11" s="5" t="s">
        <v>5</v>
      </c>
      <c r="D11" s="14">
        <v>4</v>
      </c>
      <c r="E11" s="35">
        <v>16004507.829999899</v>
      </c>
      <c r="F11" s="12">
        <v>1</v>
      </c>
      <c r="G11" s="35">
        <f>+$E$13*F11+E11</f>
        <v>44115869.759999901</v>
      </c>
      <c r="I11" s="37"/>
    </row>
    <row r="12" spans="2:9" ht="14.25" customHeight="1" x14ac:dyDescent="0.25">
      <c r="B12" s="5" t="s">
        <v>1</v>
      </c>
      <c r="C12" s="5" t="s">
        <v>6</v>
      </c>
      <c r="D12" s="14">
        <v>5</v>
      </c>
      <c r="E12" s="35">
        <v>35099481.349999897</v>
      </c>
      <c r="F12" s="12">
        <v>0</v>
      </c>
      <c r="G12" s="35">
        <f>+$E$13*F12+E12</f>
        <v>35099481.349999897</v>
      </c>
      <c r="I12" s="37"/>
    </row>
    <row r="13" spans="2:9" ht="14.25" customHeight="1" x14ac:dyDescent="0.25">
      <c r="B13" s="5" t="s">
        <v>1</v>
      </c>
      <c r="C13" s="5" t="s">
        <v>9</v>
      </c>
      <c r="D13" s="14" t="s">
        <v>9</v>
      </c>
      <c r="E13" s="35">
        <v>28111361.93</v>
      </c>
      <c r="F13" s="12"/>
      <c r="G13" s="35"/>
      <c r="I13" s="37"/>
    </row>
    <row r="14" spans="2:9" ht="14.25" customHeight="1" x14ac:dyDescent="0.25">
      <c r="B14" s="5" t="s">
        <v>12</v>
      </c>
      <c r="C14" s="5" t="s">
        <v>13</v>
      </c>
      <c r="D14" s="14">
        <v>3</v>
      </c>
      <c r="E14" s="35">
        <v>174696701.11495081</v>
      </c>
      <c r="F14" s="12">
        <v>1</v>
      </c>
      <c r="G14" s="35">
        <f>+$E$17*F14+E14</f>
        <v>175859466.81105191</v>
      </c>
      <c r="I14" s="37"/>
    </row>
    <row r="15" spans="2:9" ht="14.25" customHeight="1" x14ac:dyDescent="0.25">
      <c r="B15" s="5" t="s">
        <v>15</v>
      </c>
      <c r="C15" s="5" t="s">
        <v>16</v>
      </c>
      <c r="D15" s="14">
        <v>4</v>
      </c>
      <c r="E15" s="35">
        <v>876997606.71369982</v>
      </c>
      <c r="F15" s="12">
        <v>0</v>
      </c>
      <c r="G15" s="35">
        <f t="shared" ref="G15:G16" si="0">+$E$17*F15+E15</f>
        <v>876997606.71369982</v>
      </c>
      <c r="I15" s="37"/>
    </row>
    <row r="16" spans="2:9" ht="14.25" customHeight="1" x14ac:dyDescent="0.25">
      <c r="B16" s="5" t="s">
        <v>50</v>
      </c>
      <c r="C16" s="5" t="s">
        <v>51</v>
      </c>
      <c r="D16" s="14">
        <v>5</v>
      </c>
      <c r="E16" s="35">
        <v>137523541.26524737</v>
      </c>
      <c r="F16" s="12">
        <v>0</v>
      </c>
      <c r="G16" s="35">
        <f t="shared" si="0"/>
        <v>137523541.26524737</v>
      </c>
      <c r="I16" s="37"/>
    </row>
    <row r="17" spans="2:9" ht="14.25" customHeight="1" x14ac:dyDescent="0.25">
      <c r="B17" s="5" t="s">
        <v>55</v>
      </c>
      <c r="C17" s="5" t="s">
        <v>52</v>
      </c>
      <c r="D17" s="14">
        <v>0</v>
      </c>
      <c r="E17" s="35">
        <v>1162765.6961011</v>
      </c>
      <c r="F17" s="42"/>
      <c r="G17" s="35"/>
      <c r="I17" s="37"/>
    </row>
    <row r="18" spans="2:9" ht="14.25" customHeight="1" x14ac:dyDescent="0.25">
      <c r="B18" s="4"/>
      <c r="C18" s="4"/>
      <c r="D18" s="4"/>
      <c r="E18" s="36">
        <f>+SUM(E11:E17)</f>
        <v>1269595965.8999989</v>
      </c>
      <c r="F18" s="16">
        <f>+SUM(F11:F13)</f>
        <v>1</v>
      </c>
      <c r="G18" s="36">
        <f>+SUM(G11:G17)</f>
        <v>1269595965.8999989</v>
      </c>
      <c r="I18" s="37"/>
    </row>
    <row r="19" spans="2:9" ht="14.25" customHeight="1" x14ac:dyDescent="0.25">
      <c r="B19" s="4"/>
      <c r="C19" s="4"/>
      <c r="D19" s="4"/>
      <c r="E19" s="4"/>
      <c r="F19" s="4"/>
      <c r="G19" s="4"/>
      <c r="I19" s="37"/>
    </row>
    <row r="20" spans="2:9" ht="14.25" customHeight="1" x14ac:dyDescent="0.25">
      <c r="B20" s="9" t="s">
        <v>10</v>
      </c>
      <c r="C20" s="10"/>
      <c r="D20" s="40">
        <f>+(SUMPRODUCT(D11:D12,E11:E12)+SUMPRODUCT(D14:D16,E14:E16))/(SUM(E14:E16)+SUM(E11:E12))</f>
        <v>3.9983281125626311</v>
      </c>
      <c r="E20" s="41">
        <f>+(SUMPRODUCT(D11:D12,G11:G12)+SUMPRODUCT(D14:D16,G14:G16))/(SUM(G14:G16)+SUM(G11:G12))</f>
        <v>3.9974508077508655</v>
      </c>
      <c r="F20" s="18"/>
      <c r="G20" s="4"/>
    </row>
    <row r="22" spans="2:9" ht="14.25" customHeight="1" x14ac:dyDescent="0.25">
      <c r="B22" s="17" t="s">
        <v>53</v>
      </c>
    </row>
    <row r="24" spans="2:9" ht="14.25" customHeight="1" x14ac:dyDescent="0.25">
      <c r="B24" s="3" t="s">
        <v>3</v>
      </c>
      <c r="C24" s="3" t="s">
        <v>4</v>
      </c>
      <c r="D24" s="3" t="s">
        <v>2</v>
      </c>
      <c r="E24" s="3" t="s">
        <v>0</v>
      </c>
      <c r="F24" s="3" t="s">
        <v>7</v>
      </c>
      <c r="G24" s="3" t="s">
        <v>8</v>
      </c>
    </row>
    <row r="25" spans="2:9" ht="14.25" customHeight="1" x14ac:dyDescent="0.25">
      <c r="B25" s="5" t="s">
        <v>1</v>
      </c>
      <c r="C25" s="5" t="s">
        <v>5</v>
      </c>
      <c r="D25" s="14">
        <v>3</v>
      </c>
      <c r="E25" s="35">
        <v>29645906.949999899</v>
      </c>
      <c r="F25" s="12">
        <f>+E25/SUM($E$25:$E$27)</f>
        <v>0.20620772018900804</v>
      </c>
      <c r="G25" s="35">
        <f>+$E$29*F25+E25</f>
        <v>37134176.755010456</v>
      </c>
    </row>
    <row r="26" spans="2:9" ht="14.25" customHeight="1" x14ac:dyDescent="0.25">
      <c r="B26" s="5" t="s">
        <v>1</v>
      </c>
      <c r="C26" s="5" t="s">
        <v>6</v>
      </c>
      <c r="D26" s="14">
        <v>4</v>
      </c>
      <c r="E26" s="35">
        <v>112931607.33999899</v>
      </c>
      <c r="F26" s="12">
        <f>+E26/SUM($E$25:$E$27)</f>
        <v>0.78551718205610566</v>
      </c>
      <c r="G26" s="35">
        <f t="shared" ref="G26:G27" si="1">+$E$29*F26+E26</f>
        <v>141457040.77341351</v>
      </c>
    </row>
    <row r="27" spans="2:9" ht="14.25" customHeight="1" x14ac:dyDescent="0.25">
      <c r="B27" s="5" t="s">
        <v>1</v>
      </c>
      <c r="C27" s="5" t="s">
        <v>54</v>
      </c>
      <c r="D27" s="14">
        <v>5</v>
      </c>
      <c r="E27" s="35">
        <v>1189687.6499999899</v>
      </c>
      <c r="F27" s="12">
        <f>+E27/SUM($E$25:$E$27)</f>
        <v>8.2750977548864384E-3</v>
      </c>
      <c r="G27" s="35">
        <f t="shared" si="1"/>
        <v>1490191.2615749068</v>
      </c>
    </row>
    <row r="28" spans="2:9" ht="14.25" customHeight="1" x14ac:dyDescent="0.25">
      <c r="B28" s="5" t="s">
        <v>1</v>
      </c>
      <c r="C28" s="5" t="s">
        <v>52</v>
      </c>
      <c r="D28" s="14">
        <v>0</v>
      </c>
      <c r="E28" s="35">
        <v>41486.109999999899</v>
      </c>
      <c r="F28" s="12"/>
      <c r="G28" s="35">
        <f>+E28</f>
        <v>41486.109999999899</v>
      </c>
    </row>
    <row r="29" spans="2:9" ht="14.25" customHeight="1" x14ac:dyDescent="0.25">
      <c r="B29" s="5" t="s">
        <v>1</v>
      </c>
      <c r="C29" s="5" t="s">
        <v>9</v>
      </c>
      <c r="D29" s="14" t="s">
        <v>9</v>
      </c>
      <c r="E29" s="35">
        <v>36314206.850000001</v>
      </c>
      <c r="F29" s="12"/>
      <c r="G29" s="35"/>
    </row>
    <row r="30" spans="2:9" ht="14.25" customHeight="1" x14ac:dyDescent="0.25">
      <c r="B30" s="5" t="s">
        <v>12</v>
      </c>
      <c r="C30" s="5" t="s">
        <v>13</v>
      </c>
      <c r="D30" s="14">
        <v>3</v>
      </c>
      <c r="E30" s="35">
        <v>12284643436.291376</v>
      </c>
      <c r="F30" s="12"/>
      <c r="G30" s="35">
        <f>+E30</f>
        <v>12284643436.291376</v>
      </c>
    </row>
    <row r="31" spans="2:9" ht="14.25" customHeight="1" x14ac:dyDescent="0.25">
      <c r="B31" s="5" t="s">
        <v>15</v>
      </c>
      <c r="C31" s="5" t="s">
        <v>16</v>
      </c>
      <c r="D31" s="14">
        <v>4</v>
      </c>
      <c r="E31" s="35">
        <v>10351758807.485666</v>
      </c>
      <c r="F31" s="12"/>
      <c r="G31" s="35">
        <f t="shared" ref="G31:G33" si="2">+E31</f>
        <v>10351758807.485666</v>
      </c>
    </row>
    <row r="32" spans="2:9" ht="14.25" customHeight="1" x14ac:dyDescent="0.25">
      <c r="B32" s="5" t="s">
        <v>50</v>
      </c>
      <c r="C32" s="5" t="s">
        <v>51</v>
      </c>
      <c r="D32" s="14">
        <v>5</v>
      </c>
      <c r="E32" s="35">
        <v>487334138.9320215</v>
      </c>
      <c r="F32" s="12"/>
      <c r="G32" s="35">
        <f t="shared" si="2"/>
        <v>487334138.9320215</v>
      </c>
    </row>
    <row r="33" spans="2:7" ht="14.25" customHeight="1" x14ac:dyDescent="0.25">
      <c r="B33" s="5" t="s">
        <v>55</v>
      </c>
      <c r="C33" s="5" t="s">
        <v>52</v>
      </c>
      <c r="D33" s="14">
        <v>0</v>
      </c>
      <c r="E33" s="35">
        <v>2127302.3705747598</v>
      </c>
      <c r="F33" s="12"/>
      <c r="G33" s="35">
        <f t="shared" si="2"/>
        <v>2127302.3705747598</v>
      </c>
    </row>
    <row r="34" spans="2:7" ht="14.25" customHeight="1" x14ac:dyDescent="0.25">
      <c r="B34" s="4"/>
      <c r="C34" s="4"/>
      <c r="D34" s="4"/>
      <c r="E34" s="36">
        <f>+SUM(E25:E33)</f>
        <v>23305986579.979637</v>
      </c>
      <c r="F34" s="16">
        <f>+SUM(F25:F29)</f>
        <v>1</v>
      </c>
      <c r="G34" s="36">
        <f>+SUM(G25:G33)</f>
        <v>23305986579.979637</v>
      </c>
    </row>
    <row r="35" spans="2:7" ht="14.25" customHeight="1" x14ac:dyDescent="0.25">
      <c r="B35" s="4"/>
      <c r="C35" s="4"/>
      <c r="D35" s="4"/>
      <c r="E35" s="4"/>
      <c r="F35" s="4"/>
      <c r="G35" s="4"/>
    </row>
    <row r="36" spans="2:7" ht="14.25" customHeight="1" x14ac:dyDescent="0.25">
      <c r="B36" s="9" t="s">
        <v>10</v>
      </c>
      <c r="C36" s="10"/>
      <c r="D36" s="38">
        <f>+(SUMPRODUCT(D25:D28,E25:E28)+SUMPRODUCT(D30:D33,E30:E33))/(SUM(E30:E33)+SUM(E25:E28))</f>
        <v>3.4914221188499703</v>
      </c>
      <c r="E36" s="39">
        <f>+(SUMPRODUCT(D25:D28,G25:G28)+SUMPRODUCT(D30:D33,G30:G33))/(SUM(G30:G33)+SUM(G25:G28))</f>
        <v>3.4919061505447146</v>
      </c>
      <c r="F36" s="18"/>
      <c r="G36" s="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F17C-AF0D-42F7-95BC-8B083964C234}">
  <dimension ref="B2:M71"/>
  <sheetViews>
    <sheetView showGridLines="0" topLeftCell="A4" zoomScale="146" workbookViewId="0">
      <selection activeCell="C14" activeCellId="1" sqref="C10 C14"/>
    </sheetView>
  </sheetViews>
  <sheetFormatPr defaultRowHeight="15" x14ac:dyDescent="0.25"/>
  <cols>
    <col min="1" max="1" width="4" customWidth="1"/>
    <col min="2" max="2" width="23.5703125" bestFit="1" customWidth="1"/>
    <col min="3" max="3" width="18.140625" bestFit="1" customWidth="1"/>
    <col min="4" max="4" width="20.140625" customWidth="1"/>
    <col min="5" max="5" width="25.42578125" bestFit="1" customWidth="1"/>
    <col min="6" max="6" width="18.140625" bestFit="1" customWidth="1"/>
    <col min="7" max="7" width="12.140625" bestFit="1" customWidth="1"/>
    <col min="8" max="8" width="25.140625" bestFit="1" customWidth="1"/>
    <col min="9" max="9" width="18.140625" bestFit="1" customWidth="1"/>
    <col min="12" max="12" width="12.42578125" bestFit="1" customWidth="1"/>
    <col min="13" max="13" width="13.5703125" bestFit="1" customWidth="1"/>
  </cols>
  <sheetData>
    <row r="2" spans="2:7" x14ac:dyDescent="0.25">
      <c r="B2" s="27" t="s">
        <v>41</v>
      </c>
      <c r="E2" s="27" t="s">
        <v>47</v>
      </c>
    </row>
    <row r="4" spans="2:7" x14ac:dyDescent="0.25">
      <c r="B4" s="23" t="s">
        <v>18</v>
      </c>
      <c r="C4" t="s">
        <v>40</v>
      </c>
      <c r="E4" s="23" t="s">
        <v>18</v>
      </c>
      <c r="F4" t="s">
        <v>34</v>
      </c>
    </row>
    <row r="6" spans="2:7" x14ac:dyDescent="0.25">
      <c r="B6" s="23" t="s">
        <v>37</v>
      </c>
      <c r="C6" t="s">
        <v>39</v>
      </c>
      <c r="E6" s="23" t="s">
        <v>37</v>
      </c>
      <c r="F6" t="s">
        <v>39</v>
      </c>
    </row>
    <row r="7" spans="2:7" x14ac:dyDescent="0.25">
      <c r="B7" s="24" t="s">
        <v>31</v>
      </c>
      <c r="C7" s="22">
        <v>4630704.3861010997</v>
      </c>
      <c r="E7" s="24" t="s">
        <v>31</v>
      </c>
      <c r="F7" s="22">
        <v>28111361.93</v>
      </c>
    </row>
    <row r="8" spans="2:7" x14ac:dyDescent="0.25">
      <c r="B8" s="25" t="s">
        <v>36</v>
      </c>
      <c r="C8" s="22">
        <v>2910852.15</v>
      </c>
      <c r="E8" s="25" t="s">
        <v>30</v>
      </c>
      <c r="F8" s="22">
        <v>28111361.93</v>
      </c>
    </row>
    <row r="9" spans="2:7" x14ac:dyDescent="0.25">
      <c r="B9" s="25" t="s">
        <v>26</v>
      </c>
      <c r="C9" s="22">
        <v>1162765.6961011</v>
      </c>
      <c r="D9" t="s">
        <v>42</v>
      </c>
      <c r="E9" s="24" t="s">
        <v>23</v>
      </c>
      <c r="F9" s="22">
        <v>36675990.390000001</v>
      </c>
    </row>
    <row r="10" spans="2:7" x14ac:dyDescent="0.25">
      <c r="B10" s="25" t="s">
        <v>30</v>
      </c>
      <c r="C10" s="22">
        <v>557086.54</v>
      </c>
      <c r="D10" t="s">
        <v>33</v>
      </c>
      <c r="E10" s="25" t="s">
        <v>36</v>
      </c>
      <c r="F10" s="22">
        <v>361783.54</v>
      </c>
      <c r="G10" t="s">
        <v>48</v>
      </c>
    </row>
    <row r="11" spans="2:7" x14ac:dyDescent="0.25">
      <c r="B11" s="24" t="s">
        <v>23</v>
      </c>
      <c r="C11" s="22">
        <v>2937977.8605747581</v>
      </c>
      <c r="E11" s="25" t="s">
        <v>26</v>
      </c>
      <c r="F11" s="22">
        <v>107755.03</v>
      </c>
    </row>
    <row r="12" spans="2:7" x14ac:dyDescent="0.25">
      <c r="B12" s="25" t="s">
        <v>36</v>
      </c>
      <c r="C12" s="22">
        <v>724875.40999999805</v>
      </c>
      <c r="E12" s="25" t="s">
        <v>30</v>
      </c>
      <c r="F12" s="22">
        <v>36206451.82</v>
      </c>
    </row>
    <row r="13" spans="2:7" x14ac:dyDescent="0.25">
      <c r="B13" s="25" t="s">
        <v>26</v>
      </c>
      <c r="C13" s="22">
        <v>2168788.4805747597</v>
      </c>
      <c r="D13" t="s">
        <v>42</v>
      </c>
      <c r="E13" s="24" t="s">
        <v>38</v>
      </c>
      <c r="F13" s="22">
        <v>64787352.32</v>
      </c>
    </row>
    <row r="14" spans="2:7" x14ac:dyDescent="0.25">
      <c r="B14" s="25" t="s">
        <v>30</v>
      </c>
      <c r="C14" s="22">
        <v>44313.97</v>
      </c>
      <c r="D14" t="s">
        <v>33</v>
      </c>
    </row>
    <row r="15" spans="2:7" x14ac:dyDescent="0.25">
      <c r="B15" s="24" t="s">
        <v>38</v>
      </c>
      <c r="C15" s="22">
        <v>7568682.2466758573</v>
      </c>
    </row>
    <row r="17" spans="2:9" x14ac:dyDescent="0.25">
      <c r="B17" s="27" t="s">
        <v>43</v>
      </c>
      <c r="E17" s="27" t="s">
        <v>44</v>
      </c>
    </row>
    <row r="18" spans="2:9" x14ac:dyDescent="0.25">
      <c r="E18" s="23" t="s">
        <v>18</v>
      </c>
      <c r="F18" t="s">
        <v>40</v>
      </c>
    </row>
    <row r="19" spans="2:9" x14ac:dyDescent="0.25">
      <c r="B19" s="23" t="s">
        <v>18</v>
      </c>
      <c r="C19" t="s">
        <v>40</v>
      </c>
      <c r="E19" s="23" t="s">
        <v>20</v>
      </c>
      <c r="F19" t="s">
        <v>40</v>
      </c>
    </row>
    <row r="21" spans="2:9" x14ac:dyDescent="0.25">
      <c r="B21" s="23" t="s">
        <v>37</v>
      </c>
      <c r="C21" t="s">
        <v>39</v>
      </c>
      <c r="E21" s="23" t="s">
        <v>37</v>
      </c>
      <c r="F21" t="s">
        <v>39</v>
      </c>
    </row>
    <row r="22" spans="2:9" x14ac:dyDescent="0.25">
      <c r="B22" s="24" t="s">
        <v>31</v>
      </c>
      <c r="C22" s="22">
        <v>1268433200.2038977</v>
      </c>
      <c r="E22" s="24" t="s">
        <v>31</v>
      </c>
      <c r="F22" s="22">
        <v>1269595965.8999989</v>
      </c>
      <c r="G22" s="22">
        <f>+F22-C22</f>
        <v>1162765.6961011887</v>
      </c>
      <c r="H22" s="33">
        <f>+G22/F22</f>
        <v>9.1585490764923801E-4</v>
      </c>
    </row>
    <row r="23" spans="2:9" x14ac:dyDescent="0.25">
      <c r="B23" s="24" t="s">
        <v>23</v>
      </c>
      <c r="C23" s="22">
        <v>23304179575.03907</v>
      </c>
      <c r="E23" s="24" t="s">
        <v>23</v>
      </c>
      <c r="F23" s="22">
        <v>23305986579.979645</v>
      </c>
      <c r="G23" s="22">
        <f>+F23-C23</f>
        <v>1807004.940574646</v>
      </c>
      <c r="H23" s="33">
        <f>+G23/F23</f>
        <v>7.7533938946266405E-5</v>
      </c>
    </row>
    <row r="24" spans="2:9" x14ac:dyDescent="0.25">
      <c r="B24" s="24" t="s">
        <v>38</v>
      </c>
      <c r="C24" s="22">
        <v>24572612775.24297</v>
      </c>
      <c r="E24" s="24" t="s">
        <v>38</v>
      </c>
      <c r="F24" s="22">
        <v>24575582545.879642</v>
      </c>
    </row>
    <row r="25" spans="2:9" x14ac:dyDescent="0.25">
      <c r="B25" s="28" t="s">
        <v>45</v>
      </c>
      <c r="C25" s="29">
        <f>+C15</f>
        <v>7568682.2466758573</v>
      </c>
      <c r="E25" s="28" t="s">
        <v>45</v>
      </c>
      <c r="F25" s="29">
        <f>+SUM(F26:F27)</f>
        <v>4598911.6099999975</v>
      </c>
    </row>
    <row r="26" spans="2:9" x14ac:dyDescent="0.25">
      <c r="B26" s="32" t="s">
        <v>31</v>
      </c>
      <c r="C26" s="22">
        <f>+C7</f>
        <v>4630704.3861010997</v>
      </c>
      <c r="E26" s="32" t="s">
        <v>31</v>
      </c>
      <c r="F26" s="22">
        <f>+C8+C10</f>
        <v>3467938.69</v>
      </c>
      <c r="G26" s="22">
        <f>+C26-F26</f>
        <v>1162765.6961010997</v>
      </c>
    </row>
    <row r="27" spans="2:9" x14ac:dyDescent="0.25">
      <c r="B27" s="32" t="s">
        <v>23</v>
      </c>
      <c r="C27" s="22">
        <f>+C11</f>
        <v>2937977.8605747581</v>
      </c>
      <c r="E27" s="32" t="s">
        <v>23</v>
      </c>
      <c r="F27" s="22">
        <f>+C12+C14+F10</f>
        <v>1130972.9199999981</v>
      </c>
      <c r="G27" s="22">
        <f>+C27-F27</f>
        <v>1807004.9405747601</v>
      </c>
    </row>
    <row r="28" spans="2:9" x14ac:dyDescent="0.25">
      <c r="B28" s="30" t="s">
        <v>46</v>
      </c>
      <c r="C28" s="31">
        <f>+C25+C24</f>
        <v>24580181457.489647</v>
      </c>
      <c r="E28" s="30" t="s">
        <v>46</v>
      </c>
      <c r="F28" s="31">
        <f>+F25+F24</f>
        <v>24580181457.489643</v>
      </c>
    </row>
    <row r="31" spans="2:9" x14ac:dyDescent="0.25">
      <c r="E31" s="27" t="s">
        <v>44</v>
      </c>
    </row>
    <row r="32" spans="2:9" x14ac:dyDescent="0.25">
      <c r="E32" s="23" t="s">
        <v>18</v>
      </c>
      <c r="F32" t="s">
        <v>40</v>
      </c>
      <c r="H32" s="23" t="s">
        <v>18</v>
      </c>
      <c r="I32" t="s">
        <v>34</v>
      </c>
    </row>
    <row r="33" spans="4:13" x14ac:dyDescent="0.25">
      <c r="E33" s="23" t="s">
        <v>20</v>
      </c>
      <c r="F33" t="s">
        <v>40</v>
      </c>
      <c r="H33" s="23" t="s">
        <v>20</v>
      </c>
      <c r="I33" t="s">
        <v>40</v>
      </c>
    </row>
    <row r="35" spans="4:13" x14ac:dyDescent="0.25">
      <c r="E35" s="23" t="s">
        <v>37</v>
      </c>
      <c r="F35" t="s">
        <v>39</v>
      </c>
      <c r="H35" s="23" t="s">
        <v>37</v>
      </c>
      <c r="I35" t="s">
        <v>39</v>
      </c>
    </row>
    <row r="36" spans="4:13" x14ac:dyDescent="0.25">
      <c r="E36" s="24" t="s">
        <v>31</v>
      </c>
      <c r="F36" s="22">
        <v>1269595965.8999989</v>
      </c>
      <c r="H36" s="24" t="s">
        <v>31</v>
      </c>
      <c r="I36" s="22">
        <v>28111361.93</v>
      </c>
    </row>
    <row r="37" spans="4:13" x14ac:dyDescent="0.25">
      <c r="D37" s="22"/>
      <c r="E37" s="25" t="s">
        <v>25</v>
      </c>
      <c r="F37" s="22">
        <v>1190380614.789999</v>
      </c>
      <c r="G37" s="26">
        <f>+F37/$F$36</f>
        <v>0.93760585789681106</v>
      </c>
      <c r="H37" s="25" t="s">
        <v>29</v>
      </c>
      <c r="I37" s="22">
        <v>28111361.93</v>
      </c>
      <c r="K37" s="26">
        <f>+I36/F38</f>
        <v>0.35487265455611094</v>
      </c>
      <c r="L37" s="22"/>
      <c r="M37" s="22"/>
    </row>
    <row r="38" spans="4:13" x14ac:dyDescent="0.25">
      <c r="D38" s="22"/>
      <c r="E38" s="25" t="s">
        <v>29</v>
      </c>
      <c r="F38" s="22">
        <v>79215351.109999806</v>
      </c>
      <c r="G38" s="26">
        <f>+F38/$F$36</f>
        <v>6.2394142103188825E-2</v>
      </c>
      <c r="H38" s="24" t="s">
        <v>23</v>
      </c>
      <c r="I38" s="22">
        <v>36314206.850000001</v>
      </c>
    </row>
    <row r="39" spans="4:13" x14ac:dyDescent="0.25">
      <c r="D39" s="22"/>
      <c r="E39" s="24" t="s">
        <v>23</v>
      </c>
      <c r="F39" s="22">
        <v>23305986579.979637</v>
      </c>
      <c r="H39" s="25" t="s">
        <v>29</v>
      </c>
      <c r="I39" s="22">
        <v>36314206.850000001</v>
      </c>
      <c r="L39" s="22"/>
      <c r="M39" s="22"/>
    </row>
    <row r="40" spans="4:13" x14ac:dyDescent="0.25">
      <c r="D40" s="22"/>
      <c r="E40" s="25" t="s">
        <v>25</v>
      </c>
      <c r="F40" s="22">
        <v>23125863685.079639</v>
      </c>
      <c r="G40" s="26">
        <f>+F40/$F$39</f>
        <v>0.99227138940109372</v>
      </c>
      <c r="H40" s="24" t="s">
        <v>38</v>
      </c>
      <c r="I40" s="22">
        <v>64425568.780000001</v>
      </c>
    </row>
    <row r="41" spans="4:13" x14ac:dyDescent="0.25">
      <c r="D41" s="22"/>
      <c r="E41" s="25" t="s">
        <v>29</v>
      </c>
      <c r="F41" s="22">
        <v>180122894.89999887</v>
      </c>
      <c r="G41" s="26">
        <f>+F41/$F$39</f>
        <v>7.7286105989063112E-3</v>
      </c>
    </row>
    <row r="42" spans="4:13" x14ac:dyDescent="0.25">
      <c r="E42" s="24" t="s">
        <v>38</v>
      </c>
      <c r="F42" s="22">
        <v>24575582545.879635</v>
      </c>
    </row>
    <row r="46" spans="4:13" x14ac:dyDescent="0.25">
      <c r="E46" s="23" t="s">
        <v>20</v>
      </c>
      <c r="F46" t="s">
        <v>40</v>
      </c>
      <c r="H46" s="23" t="s">
        <v>18</v>
      </c>
      <c r="I46" t="s">
        <v>34</v>
      </c>
    </row>
    <row r="47" spans="4:13" x14ac:dyDescent="0.25">
      <c r="H47" s="23" t="s">
        <v>20</v>
      </c>
      <c r="I47" t="s">
        <v>40</v>
      </c>
    </row>
    <row r="48" spans="4:13" x14ac:dyDescent="0.25">
      <c r="E48" s="23" t="s">
        <v>37</v>
      </c>
      <c r="F48" t="s">
        <v>39</v>
      </c>
    </row>
    <row r="49" spans="4:9" x14ac:dyDescent="0.25">
      <c r="D49" s="22"/>
      <c r="E49" s="24" t="s">
        <v>31</v>
      </c>
      <c r="F49" s="22">
        <v>1269595965.8999989</v>
      </c>
      <c r="H49" s="23" t="s">
        <v>37</v>
      </c>
      <c r="I49" t="s">
        <v>39</v>
      </c>
    </row>
    <row r="50" spans="4:9" x14ac:dyDescent="0.25">
      <c r="D50" s="22"/>
      <c r="E50" s="25" t="s">
        <v>25</v>
      </c>
      <c r="F50" s="22">
        <v>1190380614.789999</v>
      </c>
      <c r="H50" s="24" t="s">
        <v>31</v>
      </c>
      <c r="I50" s="22">
        <v>28111361.93</v>
      </c>
    </row>
    <row r="51" spans="4:9" x14ac:dyDescent="0.25">
      <c r="D51" s="22"/>
      <c r="E51" s="34" t="s">
        <v>35</v>
      </c>
      <c r="F51" s="22">
        <v>1162765.6961011</v>
      </c>
      <c r="H51" s="25" t="s">
        <v>29</v>
      </c>
      <c r="I51" s="22">
        <v>28111361.93</v>
      </c>
    </row>
    <row r="52" spans="4:9" x14ac:dyDescent="0.25">
      <c r="D52" s="22"/>
      <c r="E52" s="34" t="s">
        <v>24</v>
      </c>
      <c r="F52" s="22">
        <v>174696701.11495081</v>
      </c>
      <c r="H52" s="24" t="s">
        <v>23</v>
      </c>
      <c r="I52" s="22">
        <v>36314206.850000001</v>
      </c>
    </row>
    <row r="53" spans="4:9" x14ac:dyDescent="0.25">
      <c r="D53" s="22"/>
      <c r="E53" s="34" t="s">
        <v>28</v>
      </c>
      <c r="F53" s="22">
        <v>876997606.71369982</v>
      </c>
      <c r="H53" s="25" t="s">
        <v>29</v>
      </c>
      <c r="I53" s="22">
        <v>36314206.850000001</v>
      </c>
    </row>
    <row r="54" spans="4:9" x14ac:dyDescent="0.25">
      <c r="D54" s="22"/>
      <c r="E54" s="34" t="s">
        <v>32</v>
      </c>
      <c r="F54" s="22">
        <v>137523541.26524737</v>
      </c>
      <c r="H54" s="24" t="s">
        <v>38</v>
      </c>
      <c r="I54" s="22">
        <v>64425568.780000001</v>
      </c>
    </row>
    <row r="55" spans="4:9" x14ac:dyDescent="0.25">
      <c r="D55" s="22"/>
      <c r="E55" s="25" t="s">
        <v>29</v>
      </c>
      <c r="F55" s="22">
        <v>79215351.109999806</v>
      </c>
    </row>
    <row r="56" spans="4:9" x14ac:dyDescent="0.25">
      <c r="D56" s="22"/>
      <c r="E56" s="34" t="s">
        <v>34</v>
      </c>
      <c r="F56" s="22">
        <v>28111361.93</v>
      </c>
    </row>
    <row r="57" spans="4:9" x14ac:dyDescent="0.25">
      <c r="D57" s="22"/>
      <c r="E57" s="34" t="s">
        <v>28</v>
      </c>
      <c r="F57" s="22">
        <v>16004507.829999899</v>
      </c>
    </row>
    <row r="58" spans="4:9" x14ac:dyDescent="0.25">
      <c r="D58" s="22"/>
      <c r="E58" s="34" t="s">
        <v>32</v>
      </c>
      <c r="F58" s="22">
        <v>35099481.349999897</v>
      </c>
    </row>
    <row r="59" spans="4:9" x14ac:dyDescent="0.25">
      <c r="D59" s="22">
        <f>+F59</f>
        <v>23305986579.979641</v>
      </c>
      <c r="E59" s="24" t="s">
        <v>23</v>
      </c>
      <c r="F59" s="22">
        <v>23305986579.979641</v>
      </c>
    </row>
    <row r="60" spans="4:9" x14ac:dyDescent="0.25">
      <c r="D60" s="22">
        <f t="shared" ref="D60:D71" si="0">+F60</f>
        <v>23125863685.079639</v>
      </c>
      <c r="E60" s="25" t="s">
        <v>25</v>
      </c>
      <c r="F60" s="22">
        <v>23125863685.079639</v>
      </c>
    </row>
    <row r="61" spans="4:9" x14ac:dyDescent="0.25">
      <c r="D61" s="22">
        <f t="shared" si="0"/>
        <v>2127302.3705747598</v>
      </c>
      <c r="E61" s="34" t="s">
        <v>35</v>
      </c>
      <c r="F61" s="22">
        <v>2127302.3705747598</v>
      </c>
    </row>
    <row r="62" spans="4:9" x14ac:dyDescent="0.25">
      <c r="D62" s="22">
        <f t="shared" si="0"/>
        <v>12284643436.291376</v>
      </c>
      <c r="E62" s="34" t="s">
        <v>24</v>
      </c>
      <c r="F62" s="22">
        <v>12284643436.291376</v>
      </c>
    </row>
    <row r="63" spans="4:9" x14ac:dyDescent="0.25">
      <c r="D63" s="22">
        <f t="shared" si="0"/>
        <v>10351758807.485666</v>
      </c>
      <c r="E63" s="34" t="s">
        <v>28</v>
      </c>
      <c r="F63" s="22">
        <v>10351758807.485666</v>
      </c>
    </row>
    <row r="64" spans="4:9" x14ac:dyDescent="0.25">
      <c r="D64" s="22">
        <f t="shared" si="0"/>
        <v>487334138.9320215</v>
      </c>
      <c r="E64" s="34" t="s">
        <v>32</v>
      </c>
      <c r="F64" s="22">
        <v>487334138.9320215</v>
      </c>
    </row>
    <row r="65" spans="4:6" x14ac:dyDescent="0.25">
      <c r="D65" s="22">
        <f t="shared" si="0"/>
        <v>180122894.89999887</v>
      </c>
      <c r="E65" s="25" t="s">
        <v>29</v>
      </c>
      <c r="F65" s="22">
        <v>180122894.89999887</v>
      </c>
    </row>
    <row r="66" spans="4:6" x14ac:dyDescent="0.25">
      <c r="D66" s="22">
        <f t="shared" si="0"/>
        <v>41486.109999999899</v>
      </c>
      <c r="E66" s="34" t="s">
        <v>35</v>
      </c>
      <c r="F66" s="22">
        <v>41486.109999999899</v>
      </c>
    </row>
    <row r="67" spans="4:6" x14ac:dyDescent="0.25">
      <c r="D67" s="22">
        <f t="shared" si="0"/>
        <v>36314206.850000001</v>
      </c>
      <c r="E67" s="34" t="s">
        <v>34</v>
      </c>
      <c r="F67" s="22">
        <v>36314206.850000001</v>
      </c>
    </row>
    <row r="68" spans="4:6" x14ac:dyDescent="0.25">
      <c r="D68" s="22">
        <f t="shared" si="0"/>
        <v>29645906.949999899</v>
      </c>
      <c r="E68" s="34" t="s">
        <v>24</v>
      </c>
      <c r="F68" s="22">
        <v>29645906.949999899</v>
      </c>
    </row>
    <row r="69" spans="4:6" x14ac:dyDescent="0.25">
      <c r="D69" s="22">
        <f t="shared" si="0"/>
        <v>112931607.33999899</v>
      </c>
      <c r="E69" s="34" t="s">
        <v>28</v>
      </c>
      <c r="F69" s="22">
        <v>112931607.33999899</v>
      </c>
    </row>
    <row r="70" spans="4:6" x14ac:dyDescent="0.25">
      <c r="D70" s="22">
        <f t="shared" si="0"/>
        <v>1189687.6499999899</v>
      </c>
      <c r="E70" s="34" t="s">
        <v>32</v>
      </c>
      <c r="F70" s="22">
        <v>1189687.6499999899</v>
      </c>
    </row>
    <row r="71" spans="4:6" x14ac:dyDescent="0.25">
      <c r="D71" s="22">
        <f t="shared" si="0"/>
        <v>24575582545.879639</v>
      </c>
      <c r="E71" s="24" t="s">
        <v>38</v>
      </c>
      <c r="F71" s="22">
        <v>24575582545.879639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8DF5-6880-4EB1-96BE-88E57ED903F2}">
  <dimension ref="A1:G40"/>
  <sheetViews>
    <sheetView workbookViewId="0">
      <selection activeCell="B1" sqref="B1"/>
    </sheetView>
  </sheetViews>
  <sheetFormatPr defaultRowHeight="15" x14ac:dyDescent="0.25"/>
  <cols>
    <col min="1" max="1" width="13.7109375" bestFit="1" customWidth="1"/>
    <col min="2" max="2" width="23.5703125" bestFit="1" customWidth="1"/>
    <col min="3" max="3" width="21.42578125" bestFit="1" customWidth="1"/>
    <col min="4" max="4" width="23.7109375" bestFit="1" customWidth="1"/>
    <col min="5" max="5" width="8.7109375" bestFit="1" customWidth="1"/>
    <col min="6" max="6" width="16" bestFit="1" customWidth="1"/>
    <col min="7" max="7" width="13.42578125" bestFit="1" customWidth="1"/>
  </cols>
  <sheetData>
    <row r="1" spans="1:7" x14ac:dyDescent="0.25">
      <c r="A1" t="s">
        <v>17</v>
      </c>
      <c r="B1" t="s">
        <v>18</v>
      </c>
      <c r="C1" t="s">
        <v>19</v>
      </c>
      <c r="D1" t="s">
        <v>20</v>
      </c>
      <c r="E1" t="s">
        <v>57</v>
      </c>
      <c r="F1" t="s">
        <v>21</v>
      </c>
      <c r="G1" t="s">
        <v>22</v>
      </c>
    </row>
    <row r="2" spans="1:7" x14ac:dyDescent="0.25">
      <c r="A2" t="s">
        <v>27</v>
      </c>
      <c r="B2" t="s">
        <v>28</v>
      </c>
      <c r="C2" t="s">
        <v>25</v>
      </c>
      <c r="D2" t="s">
        <v>30</v>
      </c>
      <c r="E2" t="s">
        <v>58</v>
      </c>
      <c r="F2" s="22">
        <v>21421876.77</v>
      </c>
      <c r="G2" s="22">
        <v>45.535948304999998</v>
      </c>
    </row>
    <row r="3" spans="1:7" x14ac:dyDescent="0.25">
      <c r="A3" t="s">
        <v>23</v>
      </c>
      <c r="B3" t="s">
        <v>35</v>
      </c>
      <c r="C3" t="s">
        <v>25</v>
      </c>
      <c r="D3" t="s">
        <v>36</v>
      </c>
      <c r="E3" t="s">
        <v>59</v>
      </c>
      <c r="F3" s="22">
        <v>583053.57999999903</v>
      </c>
      <c r="G3" s="22" t="s">
        <v>34</v>
      </c>
    </row>
    <row r="4" spans="1:7" x14ac:dyDescent="0.25">
      <c r="A4" t="s">
        <v>23</v>
      </c>
      <c r="B4" t="s">
        <v>34</v>
      </c>
      <c r="C4" t="s">
        <v>29</v>
      </c>
      <c r="D4" t="s">
        <v>30</v>
      </c>
      <c r="E4" t="s">
        <v>59</v>
      </c>
      <c r="F4" s="22">
        <v>36206451.82</v>
      </c>
      <c r="G4" s="22" t="s">
        <v>34</v>
      </c>
    </row>
    <row r="5" spans="1:7" x14ac:dyDescent="0.25">
      <c r="A5" t="s">
        <v>31</v>
      </c>
      <c r="B5" t="s">
        <v>32</v>
      </c>
      <c r="C5" t="s">
        <v>29</v>
      </c>
      <c r="D5" t="s">
        <v>30</v>
      </c>
      <c r="E5" t="s">
        <v>59</v>
      </c>
      <c r="F5" s="22">
        <v>35099481.349999897</v>
      </c>
      <c r="G5" s="22">
        <v>320.70716500280002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59</v>
      </c>
      <c r="F6" s="22">
        <v>4467608.6851768699</v>
      </c>
      <c r="G6" s="22">
        <v>50.491937648399897</v>
      </c>
    </row>
    <row r="7" spans="1:7" x14ac:dyDescent="0.25">
      <c r="A7" t="s">
        <v>31</v>
      </c>
      <c r="B7" t="s">
        <v>35</v>
      </c>
      <c r="C7" t="s">
        <v>25</v>
      </c>
      <c r="D7" t="s">
        <v>36</v>
      </c>
      <c r="E7" t="s">
        <v>59</v>
      </c>
      <c r="F7" s="22">
        <v>2910852.15</v>
      </c>
      <c r="G7" s="22" t="s">
        <v>34</v>
      </c>
    </row>
    <row r="8" spans="1:7" x14ac:dyDescent="0.25">
      <c r="A8" t="s">
        <v>27</v>
      </c>
      <c r="B8" t="s">
        <v>24</v>
      </c>
      <c r="C8" t="s">
        <v>29</v>
      </c>
      <c r="D8" t="s">
        <v>30</v>
      </c>
      <c r="E8" t="s">
        <v>59</v>
      </c>
      <c r="F8" s="22">
        <v>156436.86999999901</v>
      </c>
      <c r="G8" s="22">
        <v>3.4992000000000001</v>
      </c>
    </row>
    <row r="9" spans="1:7" x14ac:dyDescent="0.25">
      <c r="A9" t="s">
        <v>23</v>
      </c>
      <c r="B9" t="s">
        <v>32</v>
      </c>
      <c r="C9" t="s">
        <v>25</v>
      </c>
      <c r="D9" t="s">
        <v>26</v>
      </c>
      <c r="E9" t="s">
        <v>59</v>
      </c>
      <c r="F9" s="22">
        <v>2361535.2529804702</v>
      </c>
      <c r="G9" s="22">
        <v>207.31418997130001</v>
      </c>
    </row>
    <row r="10" spans="1:7" x14ac:dyDescent="0.25">
      <c r="A10" t="s">
        <v>23</v>
      </c>
      <c r="B10" t="s">
        <v>28</v>
      </c>
      <c r="C10" t="s">
        <v>25</v>
      </c>
      <c r="D10" t="s">
        <v>30</v>
      </c>
      <c r="E10" t="s">
        <v>59</v>
      </c>
      <c r="F10" s="22">
        <v>10336175845.544399</v>
      </c>
      <c r="G10" s="22">
        <v>311034.67317182402</v>
      </c>
    </row>
    <row r="11" spans="1:7" x14ac:dyDescent="0.25">
      <c r="A11" t="s">
        <v>31</v>
      </c>
      <c r="B11" t="s">
        <v>32</v>
      </c>
      <c r="C11" t="s">
        <v>25</v>
      </c>
      <c r="D11" t="s">
        <v>26</v>
      </c>
      <c r="E11" t="s">
        <v>59</v>
      </c>
      <c r="F11" s="22">
        <v>3605352.56461336</v>
      </c>
      <c r="G11" s="22">
        <v>304.01272511830001</v>
      </c>
    </row>
    <row r="12" spans="1:7" x14ac:dyDescent="0.25">
      <c r="A12" t="s">
        <v>31</v>
      </c>
      <c r="B12" t="s">
        <v>24</v>
      </c>
      <c r="C12" t="s">
        <v>25</v>
      </c>
      <c r="D12" t="s">
        <v>26</v>
      </c>
      <c r="E12" t="s">
        <v>59</v>
      </c>
      <c r="F12" s="22">
        <v>203384.817403783</v>
      </c>
      <c r="G12" s="22">
        <v>3.5705172273999901</v>
      </c>
    </row>
    <row r="13" spans="1:7" x14ac:dyDescent="0.25">
      <c r="A13" t="s">
        <v>31</v>
      </c>
      <c r="B13" t="s">
        <v>28</v>
      </c>
      <c r="C13" t="s">
        <v>29</v>
      </c>
      <c r="D13" t="s">
        <v>30</v>
      </c>
      <c r="E13" t="s">
        <v>59</v>
      </c>
      <c r="F13" s="22">
        <v>16004507.829999899</v>
      </c>
      <c r="G13" s="22">
        <v>22345.203340131</v>
      </c>
    </row>
    <row r="14" spans="1:7" x14ac:dyDescent="0.25">
      <c r="A14" t="s">
        <v>23</v>
      </c>
      <c r="B14" t="s">
        <v>28</v>
      </c>
      <c r="C14" t="s">
        <v>29</v>
      </c>
      <c r="D14" t="s">
        <v>26</v>
      </c>
      <c r="E14" t="s">
        <v>59</v>
      </c>
      <c r="F14" s="22">
        <v>176358.679999999</v>
      </c>
      <c r="G14" s="22">
        <v>3.7701689059123402</v>
      </c>
    </row>
    <row r="15" spans="1:7" x14ac:dyDescent="0.25">
      <c r="A15" t="s">
        <v>23</v>
      </c>
      <c r="B15" t="s">
        <v>35</v>
      </c>
      <c r="C15" t="s">
        <v>29</v>
      </c>
      <c r="D15" t="s">
        <v>26</v>
      </c>
      <c r="E15" t="s">
        <v>59</v>
      </c>
      <c r="F15" s="22">
        <v>41486.109999999899</v>
      </c>
      <c r="G15" s="22" t="s">
        <v>34</v>
      </c>
    </row>
    <row r="16" spans="1:7" x14ac:dyDescent="0.25">
      <c r="A16" t="s">
        <v>31</v>
      </c>
      <c r="B16" t="s">
        <v>24</v>
      </c>
      <c r="C16" t="s">
        <v>25</v>
      </c>
      <c r="D16" t="s">
        <v>30</v>
      </c>
      <c r="E16" t="s">
        <v>59</v>
      </c>
      <c r="F16" s="22">
        <v>174493316.29754701</v>
      </c>
      <c r="G16" s="22">
        <v>1369.9038078454901</v>
      </c>
    </row>
    <row r="17" spans="1:7" x14ac:dyDescent="0.25">
      <c r="A17" t="s">
        <v>31</v>
      </c>
      <c r="B17" t="s">
        <v>28</v>
      </c>
      <c r="C17" t="s">
        <v>25</v>
      </c>
      <c r="D17" t="s">
        <v>26</v>
      </c>
      <c r="E17" t="s">
        <v>59</v>
      </c>
      <c r="F17" s="22">
        <v>6599130.1818817304</v>
      </c>
      <c r="G17" s="22">
        <v>140.02917185402401</v>
      </c>
    </row>
    <row r="18" spans="1:7" x14ac:dyDescent="0.25">
      <c r="A18" t="s">
        <v>31</v>
      </c>
      <c r="B18" t="s">
        <v>32</v>
      </c>
      <c r="C18" t="s">
        <v>25</v>
      </c>
      <c r="D18" t="s">
        <v>30</v>
      </c>
      <c r="E18" t="s">
        <v>59</v>
      </c>
      <c r="F18" s="22">
        <v>133918188.700634</v>
      </c>
      <c r="G18" s="22">
        <v>5962.0703889081497</v>
      </c>
    </row>
    <row r="19" spans="1:7" x14ac:dyDescent="0.25">
      <c r="A19" t="s">
        <v>27</v>
      </c>
      <c r="B19" t="s">
        <v>28</v>
      </c>
      <c r="C19" t="s">
        <v>25</v>
      </c>
      <c r="D19" t="s">
        <v>30</v>
      </c>
      <c r="E19" t="s">
        <v>59</v>
      </c>
      <c r="F19" s="22">
        <v>634280639.99690604</v>
      </c>
      <c r="G19" s="22">
        <v>9938.2854477848305</v>
      </c>
    </row>
    <row r="20" spans="1:7" x14ac:dyDescent="0.25">
      <c r="A20" t="s">
        <v>23</v>
      </c>
      <c r="B20" t="s">
        <v>32</v>
      </c>
      <c r="C20" t="s">
        <v>29</v>
      </c>
      <c r="D20" t="s">
        <v>30</v>
      </c>
      <c r="E20" t="s">
        <v>59</v>
      </c>
      <c r="F20" s="22">
        <v>1189687.6499999899</v>
      </c>
      <c r="G20" s="22">
        <v>258.04931741209998</v>
      </c>
    </row>
    <row r="21" spans="1:7" x14ac:dyDescent="0.25">
      <c r="A21" t="s">
        <v>23</v>
      </c>
      <c r="B21" t="s">
        <v>24</v>
      </c>
      <c r="C21" t="s">
        <v>25</v>
      </c>
      <c r="D21" t="s">
        <v>30</v>
      </c>
      <c r="E21" t="s">
        <v>59</v>
      </c>
      <c r="F21" s="22">
        <v>12280175827.606199</v>
      </c>
      <c r="G21" s="22">
        <v>86932.381122859704</v>
      </c>
    </row>
    <row r="22" spans="1:7" x14ac:dyDescent="0.25">
      <c r="A22" t="s">
        <v>31</v>
      </c>
      <c r="B22" t="s">
        <v>35</v>
      </c>
      <c r="C22" t="s">
        <v>25</v>
      </c>
      <c r="D22" t="s">
        <v>26</v>
      </c>
      <c r="E22" t="s">
        <v>59</v>
      </c>
      <c r="F22" s="22">
        <v>1162765.6961011</v>
      </c>
      <c r="G22" s="22" t="s">
        <v>34</v>
      </c>
    </row>
    <row r="23" spans="1:7" x14ac:dyDescent="0.25">
      <c r="A23" t="s">
        <v>27</v>
      </c>
      <c r="B23" t="s">
        <v>34</v>
      </c>
      <c r="C23" t="s">
        <v>29</v>
      </c>
      <c r="D23" t="s">
        <v>30</v>
      </c>
      <c r="E23" t="s">
        <v>59</v>
      </c>
      <c r="F23" s="22">
        <v>5556041.2300000004</v>
      </c>
      <c r="G23" s="22" t="s">
        <v>34</v>
      </c>
    </row>
    <row r="24" spans="1:7" x14ac:dyDescent="0.25">
      <c r="A24" t="s">
        <v>23</v>
      </c>
      <c r="B24" t="s">
        <v>28</v>
      </c>
      <c r="C24" t="s">
        <v>25</v>
      </c>
      <c r="D24" t="s">
        <v>26</v>
      </c>
      <c r="E24" t="s">
        <v>59</v>
      </c>
      <c r="F24" s="22">
        <v>15582961.9412678</v>
      </c>
      <c r="G24" s="22">
        <v>295.394643504996</v>
      </c>
    </row>
    <row r="25" spans="1:7" x14ac:dyDescent="0.25">
      <c r="A25" t="s">
        <v>31</v>
      </c>
      <c r="B25" t="s">
        <v>33</v>
      </c>
      <c r="C25" t="s">
        <v>25</v>
      </c>
      <c r="D25" t="s">
        <v>30</v>
      </c>
      <c r="E25" t="s">
        <v>59</v>
      </c>
      <c r="F25" s="22">
        <v>557086.54</v>
      </c>
      <c r="G25" s="22" t="s">
        <v>34</v>
      </c>
    </row>
    <row r="26" spans="1:7" x14ac:dyDescent="0.25">
      <c r="A26" t="s">
        <v>23</v>
      </c>
      <c r="B26" t="s">
        <v>32</v>
      </c>
      <c r="C26" t="s">
        <v>25</v>
      </c>
      <c r="D26" t="s">
        <v>30</v>
      </c>
      <c r="E26" t="s">
        <v>59</v>
      </c>
      <c r="F26" s="22">
        <v>484972603.67904103</v>
      </c>
      <c r="G26" s="22">
        <v>17250.211667598702</v>
      </c>
    </row>
    <row r="27" spans="1:7" x14ac:dyDescent="0.25">
      <c r="A27" t="s">
        <v>23</v>
      </c>
      <c r="B27" t="s">
        <v>35</v>
      </c>
      <c r="C27" t="s">
        <v>29</v>
      </c>
      <c r="D27" t="s">
        <v>36</v>
      </c>
      <c r="E27" t="s">
        <v>59</v>
      </c>
      <c r="F27" s="22">
        <v>141821.829999999</v>
      </c>
      <c r="G27" s="22" t="s">
        <v>34</v>
      </c>
    </row>
    <row r="28" spans="1:7" x14ac:dyDescent="0.25">
      <c r="A28" t="s">
        <v>23</v>
      </c>
      <c r="B28" t="s">
        <v>33</v>
      </c>
      <c r="C28" t="s">
        <v>25</v>
      </c>
      <c r="D28" t="s">
        <v>30</v>
      </c>
      <c r="E28" t="s">
        <v>59</v>
      </c>
      <c r="F28" s="22">
        <v>44313.97</v>
      </c>
      <c r="G28" s="22" t="s">
        <v>34</v>
      </c>
    </row>
    <row r="29" spans="1:7" x14ac:dyDescent="0.25">
      <c r="A29" t="s">
        <v>23</v>
      </c>
      <c r="B29" t="s">
        <v>24</v>
      </c>
      <c r="C29" t="s">
        <v>29</v>
      </c>
      <c r="D29" t="s">
        <v>30</v>
      </c>
      <c r="E29" t="s">
        <v>59</v>
      </c>
      <c r="F29" s="22">
        <v>29645906.949999899</v>
      </c>
      <c r="G29" s="22">
        <v>367.95619823139901</v>
      </c>
    </row>
    <row r="30" spans="1:7" x14ac:dyDescent="0.25">
      <c r="A30" t="s">
        <v>27</v>
      </c>
      <c r="B30" t="s">
        <v>28</v>
      </c>
      <c r="C30" t="s">
        <v>25</v>
      </c>
      <c r="D30" t="s">
        <v>26</v>
      </c>
      <c r="E30" t="s">
        <v>59</v>
      </c>
      <c r="F30" s="22">
        <v>585522.63844035903</v>
      </c>
      <c r="G30" s="22">
        <v>14.7028736124266</v>
      </c>
    </row>
    <row r="31" spans="1:7" x14ac:dyDescent="0.25">
      <c r="A31" t="s">
        <v>31</v>
      </c>
      <c r="B31" t="s">
        <v>28</v>
      </c>
      <c r="C31" t="s">
        <v>25</v>
      </c>
      <c r="D31" t="s">
        <v>30</v>
      </c>
      <c r="E31" t="s">
        <v>59</v>
      </c>
      <c r="F31" s="22">
        <v>870398476.53181803</v>
      </c>
      <c r="G31" s="22">
        <v>71048.206496015802</v>
      </c>
    </row>
    <row r="32" spans="1:7" x14ac:dyDescent="0.25">
      <c r="A32" t="s">
        <v>27</v>
      </c>
      <c r="B32" t="s">
        <v>24</v>
      </c>
      <c r="C32" t="s">
        <v>25</v>
      </c>
      <c r="D32" t="s">
        <v>30</v>
      </c>
      <c r="E32" t="s">
        <v>59</v>
      </c>
      <c r="F32" s="22">
        <v>184674080.69571599</v>
      </c>
      <c r="G32" s="22">
        <v>1295.5359065178</v>
      </c>
    </row>
    <row r="33" spans="1:7" x14ac:dyDescent="0.25">
      <c r="A33" t="s">
        <v>27</v>
      </c>
      <c r="B33" t="s">
        <v>32</v>
      </c>
      <c r="C33" t="s">
        <v>25</v>
      </c>
      <c r="D33" t="s">
        <v>30</v>
      </c>
      <c r="E33" t="s">
        <v>59</v>
      </c>
      <c r="F33" s="22">
        <v>23137087.717377499</v>
      </c>
      <c r="G33" s="22">
        <v>85.167662416100001</v>
      </c>
    </row>
    <row r="34" spans="1:7" x14ac:dyDescent="0.25">
      <c r="A34" t="s">
        <v>23</v>
      </c>
      <c r="B34" t="s">
        <v>28</v>
      </c>
      <c r="C34" t="s">
        <v>29</v>
      </c>
      <c r="D34" t="s">
        <v>30</v>
      </c>
      <c r="E34" t="s">
        <v>59</v>
      </c>
      <c r="F34" s="22">
        <v>112755248.659999</v>
      </c>
      <c r="G34" s="22">
        <v>5988.9114592426404</v>
      </c>
    </row>
    <row r="35" spans="1:7" x14ac:dyDescent="0.25">
      <c r="A35" t="s">
        <v>27</v>
      </c>
      <c r="B35" t="s">
        <v>28</v>
      </c>
      <c r="C35" t="s">
        <v>29</v>
      </c>
      <c r="D35" t="s">
        <v>30</v>
      </c>
      <c r="E35" t="s">
        <v>59</v>
      </c>
      <c r="F35" s="22">
        <v>6442674.6799999904</v>
      </c>
      <c r="G35" s="22">
        <v>766.12360988352498</v>
      </c>
    </row>
    <row r="36" spans="1:7" x14ac:dyDescent="0.25">
      <c r="A36" t="s">
        <v>23</v>
      </c>
      <c r="B36" t="s">
        <v>35</v>
      </c>
      <c r="C36" t="s">
        <v>25</v>
      </c>
      <c r="D36" t="s">
        <v>26</v>
      </c>
      <c r="E36" t="s">
        <v>59</v>
      </c>
      <c r="F36" s="22">
        <v>2127302.3705747598</v>
      </c>
      <c r="G36" s="22" t="s">
        <v>34</v>
      </c>
    </row>
    <row r="37" spans="1:7" x14ac:dyDescent="0.25">
      <c r="A37" t="s">
        <v>23</v>
      </c>
      <c r="B37" t="s">
        <v>34</v>
      </c>
      <c r="C37" t="s">
        <v>29</v>
      </c>
      <c r="D37" t="s">
        <v>26</v>
      </c>
      <c r="E37" t="s">
        <v>59</v>
      </c>
      <c r="F37" s="22">
        <v>107755.03</v>
      </c>
      <c r="G37" s="22" t="s">
        <v>34</v>
      </c>
    </row>
    <row r="38" spans="1:7" x14ac:dyDescent="0.25">
      <c r="A38" t="s">
        <v>31</v>
      </c>
      <c r="B38" t="s">
        <v>34</v>
      </c>
      <c r="C38" t="s">
        <v>29</v>
      </c>
      <c r="D38" t="s">
        <v>30</v>
      </c>
      <c r="E38" t="s">
        <v>59</v>
      </c>
      <c r="F38" s="22">
        <v>28111361.93</v>
      </c>
      <c r="G38" s="22" t="s">
        <v>34</v>
      </c>
    </row>
    <row r="39" spans="1:7" x14ac:dyDescent="0.25">
      <c r="A39" t="s">
        <v>27</v>
      </c>
      <c r="B39" t="s">
        <v>35</v>
      </c>
      <c r="C39" t="s">
        <v>25</v>
      </c>
      <c r="D39" t="s">
        <v>26</v>
      </c>
      <c r="E39" t="s">
        <v>59</v>
      </c>
      <c r="F39" s="22">
        <v>152374.06155963999</v>
      </c>
      <c r="G39" s="22" t="s">
        <v>34</v>
      </c>
    </row>
    <row r="40" spans="1:7" x14ac:dyDescent="0.25">
      <c r="A40" t="s">
        <v>23</v>
      </c>
      <c r="B40" t="s">
        <v>34</v>
      </c>
      <c r="C40" t="s">
        <v>29</v>
      </c>
      <c r="D40" t="s">
        <v>36</v>
      </c>
      <c r="E40" t="s">
        <v>59</v>
      </c>
      <c r="F40" s="22">
        <v>361783.54</v>
      </c>
      <c r="G40" s="22" t="s">
        <v>34</v>
      </c>
    </row>
  </sheetData>
  <autoFilter ref="A1:G40" xr:uid="{D4338DF5-6880-4EB1-96BE-88E57ED903F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FEC7-9B06-491A-835A-0051D20D9186}">
  <sheetPr filterMode="1"/>
  <dimension ref="A1:I40"/>
  <sheetViews>
    <sheetView tabSelected="1" topLeftCell="C1" workbookViewId="0">
      <selection activeCell="I1" sqref="I1"/>
    </sheetView>
  </sheetViews>
  <sheetFormatPr defaultColWidth="11.42578125" defaultRowHeight="15" x14ac:dyDescent="0.25"/>
  <cols>
    <col min="1" max="1" width="13.7109375" bestFit="1" customWidth="1"/>
    <col min="2" max="2" width="23.5703125" bestFit="1" customWidth="1"/>
    <col min="3" max="3" width="21.42578125" bestFit="1" customWidth="1"/>
    <col min="4" max="4" width="23.7109375" bestFit="1" customWidth="1"/>
    <col min="5" max="5" width="16" bestFit="1" customWidth="1"/>
    <col min="6" max="6" width="13.42578125" bestFit="1" customWidth="1"/>
    <col min="9" max="9" width="12" bestFit="1" customWidth="1"/>
  </cols>
  <sheetData>
    <row r="1" spans="1:9" x14ac:dyDescent="0.25">
      <c r="E1" s="22">
        <f>+SUBTOTAL(9,E3:E40)</f>
        <v>1086658.9499999981</v>
      </c>
      <c r="F1" s="22">
        <f>+SUBTOTAL(9,F3:F40)</f>
        <v>0</v>
      </c>
      <c r="H1">
        <v>23307117552.899643</v>
      </c>
      <c r="I1">
        <f>+E1/H1</f>
        <v>4.6623480897353891E-5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9" hidden="1" x14ac:dyDescent="0.25">
      <c r="A3" t="s">
        <v>23</v>
      </c>
      <c r="B3" t="s">
        <v>33</v>
      </c>
      <c r="C3" t="s">
        <v>25</v>
      </c>
      <c r="D3" t="s">
        <v>30</v>
      </c>
      <c r="E3" s="22">
        <v>44313.97</v>
      </c>
      <c r="F3" s="22" t="s">
        <v>34</v>
      </c>
    </row>
    <row r="4" spans="1:9" hidden="1" x14ac:dyDescent="0.25">
      <c r="A4" t="s">
        <v>27</v>
      </c>
      <c r="B4" t="s">
        <v>28</v>
      </c>
      <c r="C4" t="s">
        <v>29</v>
      </c>
      <c r="D4" t="s">
        <v>30</v>
      </c>
      <c r="E4" s="22">
        <v>6442674.6799999904</v>
      </c>
      <c r="F4" s="22">
        <v>766.12360988352498</v>
      </c>
    </row>
    <row r="5" spans="1:9" hidden="1" x14ac:dyDescent="0.25">
      <c r="A5" t="s">
        <v>31</v>
      </c>
      <c r="B5" t="s">
        <v>32</v>
      </c>
      <c r="C5" t="s">
        <v>25</v>
      </c>
      <c r="D5" t="s">
        <v>26</v>
      </c>
      <c r="E5" s="22">
        <v>3605352.56461336</v>
      </c>
      <c r="F5" s="22">
        <v>304.01272511830001</v>
      </c>
    </row>
    <row r="6" spans="1:9" hidden="1" x14ac:dyDescent="0.25">
      <c r="A6" t="s">
        <v>27</v>
      </c>
      <c r="B6" t="s">
        <v>32</v>
      </c>
      <c r="C6" t="s">
        <v>25</v>
      </c>
      <c r="D6" t="s">
        <v>30</v>
      </c>
      <c r="E6" s="22">
        <v>23137087.717377499</v>
      </c>
      <c r="F6" s="22">
        <v>85.167662416100001</v>
      </c>
    </row>
    <row r="7" spans="1:9" hidden="1" x14ac:dyDescent="0.25">
      <c r="A7" t="s">
        <v>31</v>
      </c>
      <c r="B7" t="s">
        <v>28</v>
      </c>
      <c r="C7" t="s">
        <v>29</v>
      </c>
      <c r="D7" t="s">
        <v>30</v>
      </c>
      <c r="E7" s="22">
        <v>16004507.829999899</v>
      </c>
      <c r="F7" s="22">
        <v>22345.203340131</v>
      </c>
    </row>
    <row r="8" spans="1:9" hidden="1" x14ac:dyDescent="0.25">
      <c r="A8" t="s">
        <v>31</v>
      </c>
      <c r="B8" t="s">
        <v>33</v>
      </c>
      <c r="C8" t="s">
        <v>25</v>
      </c>
      <c r="D8" t="s">
        <v>30</v>
      </c>
      <c r="E8" s="22">
        <v>557086.54</v>
      </c>
      <c r="F8" s="22" t="s">
        <v>34</v>
      </c>
    </row>
    <row r="9" spans="1:9" hidden="1" x14ac:dyDescent="0.25">
      <c r="A9" t="s">
        <v>31</v>
      </c>
      <c r="B9" t="s">
        <v>34</v>
      </c>
      <c r="C9" t="s">
        <v>29</v>
      </c>
      <c r="D9" t="s">
        <v>30</v>
      </c>
      <c r="E9" s="22">
        <v>28111361.93</v>
      </c>
      <c r="F9" s="22" t="s">
        <v>34</v>
      </c>
    </row>
    <row r="10" spans="1:9" hidden="1" x14ac:dyDescent="0.25">
      <c r="A10" t="s">
        <v>27</v>
      </c>
      <c r="B10" t="s">
        <v>24</v>
      </c>
      <c r="C10" t="s">
        <v>25</v>
      </c>
      <c r="D10" t="s">
        <v>30</v>
      </c>
      <c r="E10" s="22">
        <v>184674080.69571599</v>
      </c>
      <c r="F10" s="22">
        <v>1295.5359065178</v>
      </c>
    </row>
    <row r="11" spans="1:9" x14ac:dyDescent="0.25">
      <c r="A11" t="s">
        <v>23</v>
      </c>
      <c r="B11" t="s">
        <v>35</v>
      </c>
      <c r="C11" t="s">
        <v>29</v>
      </c>
      <c r="D11" t="s">
        <v>36</v>
      </c>
      <c r="E11" s="22">
        <v>141821.829999999</v>
      </c>
      <c r="F11" s="22" t="s">
        <v>34</v>
      </c>
    </row>
    <row r="12" spans="1:9" hidden="1" x14ac:dyDescent="0.25">
      <c r="A12" t="s">
        <v>27</v>
      </c>
      <c r="B12" t="s">
        <v>35</v>
      </c>
      <c r="C12" t="s">
        <v>25</v>
      </c>
      <c r="D12" t="s">
        <v>26</v>
      </c>
      <c r="E12" s="22">
        <v>152374.06155963999</v>
      </c>
      <c r="F12" s="22" t="s">
        <v>34</v>
      </c>
    </row>
    <row r="13" spans="1:9" hidden="1" x14ac:dyDescent="0.25">
      <c r="A13" t="s">
        <v>23</v>
      </c>
      <c r="B13" t="s">
        <v>35</v>
      </c>
      <c r="C13" t="s">
        <v>25</v>
      </c>
      <c r="D13" t="s">
        <v>26</v>
      </c>
      <c r="E13" s="22">
        <v>2127302.3705747598</v>
      </c>
      <c r="F13" s="22" t="s">
        <v>34</v>
      </c>
    </row>
    <row r="14" spans="1:9" hidden="1" x14ac:dyDescent="0.25">
      <c r="A14" t="s">
        <v>23</v>
      </c>
      <c r="B14" t="s">
        <v>35</v>
      </c>
      <c r="C14" t="s">
        <v>29</v>
      </c>
      <c r="D14" t="s">
        <v>26</v>
      </c>
      <c r="E14" s="22">
        <v>41486.109999999899</v>
      </c>
      <c r="F14" s="22" t="s">
        <v>34</v>
      </c>
    </row>
    <row r="15" spans="1:9" hidden="1" x14ac:dyDescent="0.25">
      <c r="A15" t="s">
        <v>31</v>
      </c>
      <c r="B15" t="s">
        <v>24</v>
      </c>
      <c r="C15" t="s">
        <v>25</v>
      </c>
      <c r="D15" t="s">
        <v>30</v>
      </c>
      <c r="E15" s="22">
        <v>174493316.29754701</v>
      </c>
      <c r="F15" s="22">
        <v>1369.9038078454901</v>
      </c>
    </row>
    <row r="16" spans="1:9" hidden="1" x14ac:dyDescent="0.25">
      <c r="A16" t="s">
        <v>31</v>
      </c>
      <c r="B16" t="s">
        <v>32</v>
      </c>
      <c r="C16" t="s">
        <v>25</v>
      </c>
      <c r="D16" t="s">
        <v>30</v>
      </c>
      <c r="E16" s="22">
        <v>133918188.700634</v>
      </c>
      <c r="F16" s="22">
        <v>5962.0703889081497</v>
      </c>
    </row>
    <row r="17" spans="1:7" hidden="1" x14ac:dyDescent="0.25">
      <c r="A17" t="s">
        <v>31</v>
      </c>
      <c r="B17" t="s">
        <v>35</v>
      </c>
      <c r="C17" t="s">
        <v>25</v>
      </c>
      <c r="D17" t="s">
        <v>36</v>
      </c>
      <c r="E17" s="22">
        <v>2910852.15</v>
      </c>
      <c r="F17" s="22" t="s">
        <v>34</v>
      </c>
    </row>
    <row r="18" spans="1:7" x14ac:dyDescent="0.25">
      <c r="A18" t="s">
        <v>23</v>
      </c>
      <c r="B18" t="s">
        <v>35</v>
      </c>
      <c r="C18" t="s">
        <v>25</v>
      </c>
      <c r="D18" t="s">
        <v>36</v>
      </c>
      <c r="E18" s="22">
        <v>583053.57999999903</v>
      </c>
      <c r="F18" s="22" t="s">
        <v>34</v>
      </c>
    </row>
    <row r="19" spans="1:7" hidden="1" x14ac:dyDescent="0.25">
      <c r="A19" t="s">
        <v>23</v>
      </c>
      <c r="B19" t="s">
        <v>34</v>
      </c>
      <c r="C19" t="s">
        <v>29</v>
      </c>
      <c r="D19" t="s">
        <v>30</v>
      </c>
      <c r="E19" s="22">
        <v>36206451.82</v>
      </c>
      <c r="F19" s="22" t="s">
        <v>34</v>
      </c>
    </row>
    <row r="20" spans="1:7" hidden="1" x14ac:dyDescent="0.25">
      <c r="A20" t="s">
        <v>23</v>
      </c>
      <c r="B20" t="s">
        <v>34</v>
      </c>
      <c r="C20" t="s">
        <v>29</v>
      </c>
      <c r="D20" t="s">
        <v>26</v>
      </c>
      <c r="E20" s="22">
        <v>107755.03</v>
      </c>
      <c r="F20" s="22" t="s">
        <v>34</v>
      </c>
    </row>
    <row r="21" spans="1:7" hidden="1" x14ac:dyDescent="0.25">
      <c r="A21" t="s">
        <v>31</v>
      </c>
      <c r="B21" t="s">
        <v>28</v>
      </c>
      <c r="C21" t="s">
        <v>25</v>
      </c>
      <c r="D21" t="s">
        <v>26</v>
      </c>
      <c r="E21" s="22">
        <v>6599130.1818817304</v>
      </c>
      <c r="F21" s="22">
        <v>140.02917185402401</v>
      </c>
    </row>
    <row r="22" spans="1:7" hidden="1" x14ac:dyDescent="0.25">
      <c r="A22" t="s">
        <v>27</v>
      </c>
      <c r="B22" t="s">
        <v>24</v>
      </c>
      <c r="C22" t="s">
        <v>29</v>
      </c>
      <c r="D22" t="s">
        <v>30</v>
      </c>
      <c r="E22" s="22">
        <v>156436.86999999901</v>
      </c>
      <c r="F22" s="22">
        <v>3.4992000000000001</v>
      </c>
    </row>
    <row r="23" spans="1:7" x14ac:dyDescent="0.25">
      <c r="A23" t="s">
        <v>23</v>
      </c>
      <c r="B23" t="s">
        <v>34</v>
      </c>
      <c r="C23" t="s">
        <v>29</v>
      </c>
      <c r="D23" t="s">
        <v>36</v>
      </c>
      <c r="E23" s="22">
        <v>361783.54</v>
      </c>
      <c r="F23" s="22" t="s">
        <v>34</v>
      </c>
      <c r="G23" t="s">
        <v>56</v>
      </c>
    </row>
    <row r="24" spans="1:7" hidden="1" x14ac:dyDescent="0.25">
      <c r="A24" t="s">
        <v>23</v>
      </c>
      <c r="B24" t="s">
        <v>24</v>
      </c>
      <c r="C24" t="s">
        <v>25</v>
      </c>
      <c r="D24" t="s">
        <v>26</v>
      </c>
      <c r="E24" s="22">
        <v>4467608.6851768699</v>
      </c>
      <c r="F24" s="22">
        <v>50.491937648399897</v>
      </c>
    </row>
    <row r="25" spans="1:7" hidden="1" x14ac:dyDescent="0.25">
      <c r="A25" t="s">
        <v>27</v>
      </c>
      <c r="B25" t="s">
        <v>28</v>
      </c>
      <c r="C25" t="s">
        <v>25</v>
      </c>
      <c r="D25" t="s">
        <v>30</v>
      </c>
      <c r="E25" s="22">
        <v>655702516.76690602</v>
      </c>
      <c r="F25" s="22">
        <v>9983.8213960898302</v>
      </c>
    </row>
    <row r="26" spans="1:7" hidden="1" x14ac:dyDescent="0.25">
      <c r="A26" t="s">
        <v>23</v>
      </c>
      <c r="B26" t="s">
        <v>24</v>
      </c>
      <c r="C26" t="s">
        <v>25</v>
      </c>
      <c r="D26" t="s">
        <v>30</v>
      </c>
      <c r="E26" s="22">
        <v>12280175827.606199</v>
      </c>
      <c r="F26" s="22">
        <v>86932.381122859704</v>
      </c>
    </row>
    <row r="27" spans="1:7" hidden="1" x14ac:dyDescent="0.25">
      <c r="A27" t="s">
        <v>31</v>
      </c>
      <c r="B27" t="s">
        <v>32</v>
      </c>
      <c r="C27" t="s">
        <v>29</v>
      </c>
      <c r="D27" t="s">
        <v>30</v>
      </c>
      <c r="E27" s="22">
        <v>35099481.349999897</v>
      </c>
      <c r="F27" s="22">
        <v>320.70716500280002</v>
      </c>
    </row>
    <row r="28" spans="1:7" hidden="1" x14ac:dyDescent="0.25">
      <c r="A28" t="s">
        <v>23</v>
      </c>
      <c r="B28" t="s">
        <v>24</v>
      </c>
      <c r="C28" t="s">
        <v>29</v>
      </c>
      <c r="D28" t="s">
        <v>30</v>
      </c>
      <c r="E28" s="22">
        <v>29645906.949999899</v>
      </c>
      <c r="F28" s="22">
        <v>367.95619823139901</v>
      </c>
    </row>
    <row r="29" spans="1:7" hidden="1" x14ac:dyDescent="0.25">
      <c r="A29" t="s">
        <v>23</v>
      </c>
      <c r="B29" t="s">
        <v>28</v>
      </c>
      <c r="C29" t="s">
        <v>25</v>
      </c>
      <c r="D29" t="s">
        <v>30</v>
      </c>
      <c r="E29" s="22">
        <v>10336175845.544399</v>
      </c>
      <c r="F29" s="22">
        <v>311034.67317182402</v>
      </c>
    </row>
    <row r="30" spans="1:7" hidden="1" x14ac:dyDescent="0.25">
      <c r="A30" t="s">
        <v>27</v>
      </c>
      <c r="B30" t="s">
        <v>34</v>
      </c>
      <c r="C30" t="s">
        <v>29</v>
      </c>
      <c r="D30" t="s">
        <v>30</v>
      </c>
      <c r="E30" s="22">
        <v>5556041.2300000004</v>
      </c>
      <c r="F30" s="22" t="s">
        <v>34</v>
      </c>
    </row>
    <row r="31" spans="1:7" hidden="1" x14ac:dyDescent="0.25">
      <c r="A31" t="s">
        <v>31</v>
      </c>
      <c r="B31" t="s">
        <v>28</v>
      </c>
      <c r="C31" t="s">
        <v>25</v>
      </c>
      <c r="D31" t="s">
        <v>30</v>
      </c>
      <c r="E31" s="22">
        <v>870398476.53181803</v>
      </c>
      <c r="F31" s="22">
        <v>71048.206496015802</v>
      </c>
    </row>
    <row r="32" spans="1:7" hidden="1" x14ac:dyDescent="0.25">
      <c r="A32" t="s">
        <v>27</v>
      </c>
      <c r="B32" t="s">
        <v>28</v>
      </c>
      <c r="C32" t="s">
        <v>25</v>
      </c>
      <c r="D32" t="s">
        <v>26</v>
      </c>
      <c r="E32" s="22">
        <v>585522.63844035903</v>
      </c>
      <c r="F32" s="22">
        <v>14.7028736124266</v>
      </c>
    </row>
    <row r="33" spans="1:6" hidden="1" x14ac:dyDescent="0.25">
      <c r="A33" t="s">
        <v>23</v>
      </c>
      <c r="B33" t="s">
        <v>28</v>
      </c>
      <c r="C33" t="s">
        <v>29</v>
      </c>
      <c r="D33" t="s">
        <v>30</v>
      </c>
      <c r="E33" s="22">
        <v>112755248.659999</v>
      </c>
      <c r="F33" s="22">
        <v>5988.9114592426404</v>
      </c>
    </row>
    <row r="34" spans="1:6" hidden="1" x14ac:dyDescent="0.25">
      <c r="A34" t="s">
        <v>23</v>
      </c>
      <c r="B34" t="s">
        <v>28</v>
      </c>
      <c r="C34" t="s">
        <v>29</v>
      </c>
      <c r="D34" t="s">
        <v>26</v>
      </c>
      <c r="E34" s="22">
        <v>176358.679999999</v>
      </c>
      <c r="F34" s="22">
        <v>3.7701689059123402</v>
      </c>
    </row>
    <row r="35" spans="1:6" hidden="1" x14ac:dyDescent="0.25">
      <c r="A35" t="s">
        <v>23</v>
      </c>
      <c r="B35" t="s">
        <v>28</v>
      </c>
      <c r="C35" t="s">
        <v>25</v>
      </c>
      <c r="D35" t="s">
        <v>26</v>
      </c>
      <c r="E35" s="22">
        <v>15582961.9412678</v>
      </c>
      <c r="F35" s="22">
        <v>295.394643504996</v>
      </c>
    </row>
    <row r="36" spans="1:6" hidden="1" x14ac:dyDescent="0.25">
      <c r="A36" t="s">
        <v>23</v>
      </c>
      <c r="B36" t="s">
        <v>32</v>
      </c>
      <c r="C36" t="s">
        <v>29</v>
      </c>
      <c r="D36" t="s">
        <v>30</v>
      </c>
      <c r="E36" s="22">
        <v>1189687.6499999899</v>
      </c>
      <c r="F36" s="22">
        <v>258.04931741209998</v>
      </c>
    </row>
    <row r="37" spans="1:6" hidden="1" x14ac:dyDescent="0.25">
      <c r="A37" t="s">
        <v>31</v>
      </c>
      <c r="B37" t="s">
        <v>24</v>
      </c>
      <c r="C37" t="s">
        <v>25</v>
      </c>
      <c r="D37" t="s">
        <v>26</v>
      </c>
      <c r="E37" s="22">
        <v>203384.817403783</v>
      </c>
      <c r="F37" s="22">
        <v>3.5705172273999901</v>
      </c>
    </row>
    <row r="38" spans="1:6" hidden="1" x14ac:dyDescent="0.25">
      <c r="A38" t="s">
        <v>23</v>
      </c>
      <c r="B38" t="s">
        <v>32</v>
      </c>
      <c r="C38" t="s">
        <v>25</v>
      </c>
      <c r="D38" t="s">
        <v>30</v>
      </c>
      <c r="E38" s="22">
        <v>484972603.67904103</v>
      </c>
      <c r="F38" s="22">
        <v>17250.211667598702</v>
      </c>
    </row>
    <row r="39" spans="1:6" hidden="1" x14ac:dyDescent="0.25">
      <c r="A39" t="s">
        <v>23</v>
      </c>
      <c r="B39" t="s">
        <v>32</v>
      </c>
      <c r="C39" t="s">
        <v>25</v>
      </c>
      <c r="D39" t="s">
        <v>26</v>
      </c>
      <c r="E39" s="22">
        <v>2361535.2529804702</v>
      </c>
      <c r="F39" s="22">
        <v>207.31418997130001</v>
      </c>
    </row>
    <row r="40" spans="1:6" hidden="1" x14ac:dyDescent="0.25">
      <c r="A40" t="s">
        <v>31</v>
      </c>
      <c r="B40" t="s">
        <v>35</v>
      </c>
      <c r="C40" t="s">
        <v>25</v>
      </c>
      <c r="D40" t="s">
        <v>26</v>
      </c>
      <c r="E40" s="22">
        <v>1162765.6961011</v>
      </c>
      <c r="F40" s="22" t="s">
        <v>34</v>
      </c>
    </row>
  </sheetData>
  <autoFilter ref="A2:F40" xr:uid="{00000000-0001-0000-0000-000000000000}">
    <filterColumn colId="0">
      <filters>
        <filter val="Habitacao"/>
      </filters>
    </filterColumn>
    <filterColumn colId="3">
      <filters>
        <filter val="FINANC APENAS C/ESTAC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E41BA3-414A-4DCC-B2BB-C190CA1AC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4E67BE-F092-4B44-8873-45C78664CB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F0523A-113B-4E46-8230-A144A0B1986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DQS </vt:lpstr>
      <vt:lpstr>2. DQS  AGRE</vt:lpstr>
      <vt:lpstr>3. DQS  AGRE CARTEIRA</vt:lpstr>
      <vt:lpstr>ANL</vt:lpstr>
      <vt:lpstr>Sheet1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cp:lastPrinted>2026-01-06T15:21:16Z</cp:lastPrinted>
  <dcterms:created xsi:type="dcterms:W3CDTF">2026-01-06T14:51:46Z</dcterms:created>
  <dcterms:modified xsi:type="dcterms:W3CDTF">2026-01-13T21:35:14Z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2026-01-06T16:02:32Z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907b2f16-a0bc-4618-a133-357c9c87015c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