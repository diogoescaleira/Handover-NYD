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5.xml" ContentType="application/vnd.openxmlformats-officedocument.spreadsheetml.pivotTable+xml"/>
  <Override PartName="/xl/pivotTables/pivotTable4.xml" ContentType="application/vnd.openxmlformats-officedocument.spreadsheetml.pivotTable+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docProps/custom.xml" ContentType="application/vnd.openxmlformats-officedocument.custom-properties+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santandernet.sharepoint.com/sites/BSCalculadoradeemissoesFinanciadas/Shared Documents/General/04. Documentos de trabalho/03. Análises/"/>
    </mc:Choice>
  </mc:AlternateContent>
  <xr:revisionPtr revIDLastSave="22" documentId="8_{6879C53B-EA5B-45AC-B223-4F9EB1A870C7}" xr6:coauthVersionLast="47" xr6:coauthVersionMax="47" xr10:uidLastSave="{6A09CD12-420B-49F4-9191-0481F85688C5}"/>
  <bookViews>
    <workbookView xWindow="15" yWindow="-16320" windowWidth="29040" windowHeight="15720" activeTab="1" xr2:uid="{00000000-000D-0000-FFFF-FFFF00000000}"/>
  </bookViews>
  <sheets>
    <sheet name="Input" sheetId="1" r:id="rId1"/>
    <sheet name="cgarant_bem" sheetId="2" r:id="rId2"/>
    <sheet name="cfin_bem" sheetId="3" r:id="rId3"/>
    <sheet name="CRE_OUTRO" sheetId="4" r:id="rId4"/>
    <sheet name="MORTGAGE" sheetId="5" r:id="rId5"/>
    <sheet name="Universo" sheetId="6" r:id="rId6"/>
    <sheet name="CRE_OUTRO - Emissões" sheetId="7" r:id="rId7"/>
    <sheet name="MORTGAGE - Emissões" sheetId="8" r:id="rId8"/>
  </sheets>
  <definedNames>
    <definedName name="_xlnm._FilterDatabase" localSheetId="1" hidden="1">cgarant_bem!$A$1:$B$73</definedName>
    <definedName name="_xlnm._FilterDatabase" localSheetId="0" hidden="1">Input!$A$2:$H$95</definedName>
  </definedNames>
  <calcPr calcId="191029"/>
  <pivotCaches>
    <pivotCache cacheId="35"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7" l="1"/>
  <c r="H25" i="7" s="1"/>
  <c r="F95" i="1" l="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D95" i="1" l="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H1" i="1"/>
  <c r="G1" i="1"/>
</calcChain>
</file>

<file path=xl/sharedStrings.xml><?xml version="1.0" encoding="utf-8"?>
<sst xmlns="http://schemas.openxmlformats.org/spreadsheetml/2006/main" count="583" uniqueCount="124">
  <si>
    <t>cre_rre</t>
  </si>
  <si>
    <t>tipologia_montante</t>
  </si>
  <si>
    <t>cgarant_bem</t>
  </si>
  <si>
    <t>cfinbem</t>
  </si>
  <si>
    <t>emissao</t>
  </si>
  <si>
    <t>amount</t>
  </si>
  <si>
    <t>CRE_FC</t>
  </si>
  <si>
    <t>Montante Colaterizado</t>
  </si>
  <si>
    <t>08</t>
  </si>
  <si>
    <t>CRE_OUTRO - Nao Aplicavel</t>
  </si>
  <si>
    <t>01</t>
  </si>
  <si>
    <t>Habitacao</t>
  </si>
  <si>
    <t>Montante Não Colaterizado</t>
  </si>
  <si>
    <t>NULL</t>
  </si>
  <si>
    <t>06</t>
  </si>
  <si>
    <t>03</t>
  </si>
  <si>
    <t>09</t>
  </si>
  <si>
    <t>CRE_OUTRO</t>
  </si>
  <si>
    <t>02</t>
  </si>
  <si>
    <t>05</t>
  </si>
  <si>
    <t>10</t>
  </si>
  <si>
    <t>07</t>
  </si>
  <si>
    <t>04</t>
  </si>
  <si>
    <t>13</t>
  </si>
  <si>
    <t>11</t>
  </si>
  <si>
    <t>Habitacao - MISS</t>
  </si>
  <si>
    <t>CRE_OUTRO - MISS</t>
  </si>
  <si>
    <t>descritivo</t>
  </si>
  <si>
    <t>Leasing mobiliário - Equipamento - Energia éolica</t>
  </si>
  <si>
    <t>Imóvel p/ Lazer  - em construção</t>
  </si>
  <si>
    <t>Leasing mobiliário - Viatura - Pesado passageiros</t>
  </si>
  <si>
    <t>Depósitos a Prazo no Banco</t>
  </si>
  <si>
    <t>Imóveis com finalidade indefinida</t>
  </si>
  <si>
    <t>Imóvel p/ Escritório - em construção</t>
  </si>
  <si>
    <t>Leasing mobiliário - Equipamento - Construção</t>
  </si>
  <si>
    <t>Imóvel p/ Armazém</t>
  </si>
  <si>
    <t>Imóvel ou Fração p/ Estacionamento ligados à exploração  - em construção</t>
  </si>
  <si>
    <t>Leasing mobiliário - Equipamento - Saúde</t>
  </si>
  <si>
    <t>Imóvel p/ Saúde</t>
  </si>
  <si>
    <t>Leasing mobiliário - Equipamento - Restauracão</t>
  </si>
  <si>
    <t>Leasing mobiliário - Equipamento - Indústria</t>
  </si>
  <si>
    <t>Título de Dívida Emitido por Terceiros (FC) - Cotado</t>
  </si>
  <si>
    <t>Leasing mobiliário - Equipamento - Transporte</t>
  </si>
  <si>
    <t>Leasing mobiliário - Equipamento - Outras E. Renováveis</t>
  </si>
  <si>
    <t>Leasing mobiliário - Viatura - Agricultura</t>
  </si>
  <si>
    <t>Terreno p/ Habitação</t>
  </si>
  <si>
    <t>Depósitos à Ordem no Banco</t>
  </si>
  <si>
    <t>Imóvel ou Fração p/ Habitação - em construção</t>
  </si>
  <si>
    <t>Fundos de Investimento</t>
  </si>
  <si>
    <t>Título de Dívida Emitido por Terceiros (FC) - Não Cotado</t>
  </si>
  <si>
    <t>Leasing mobiliário - Viatura - Ferroviário</t>
  </si>
  <si>
    <t>Leasing mobiliário - Viatura - Ligeiro mercadorias</t>
  </si>
  <si>
    <t>Imóvel p/ Educação</t>
  </si>
  <si>
    <t>Leasing mobiliário - Viatura - Reboque</t>
  </si>
  <si>
    <t>Título de Dívida Emitido pelo Grupo Santander (FC) - Não Cotado</t>
  </si>
  <si>
    <t>Imóvel ou Fração p/ Estacionamento ligados à exploração</t>
  </si>
  <si>
    <t>Seguros financeiros - Totta Seguros</t>
  </si>
  <si>
    <t>Leasing mobiliário - Viatura - Pesado mercadorias</t>
  </si>
  <si>
    <t>Imóvel p/ Indústria - em construção</t>
  </si>
  <si>
    <t>Leasing mobiliário - Equipamento - Pecuária</t>
  </si>
  <si>
    <t>Imóvel p/ Indústria</t>
  </si>
  <si>
    <t>Imóvel p/ Hotel - em construção</t>
  </si>
  <si>
    <t>Título de Dívida Emitido pelo Grupo Santander (NFC) - Cotado</t>
  </si>
  <si>
    <t>Imóvel p/ Lazer</t>
  </si>
  <si>
    <t>Ações e Outras Participações Emitidas pelo Grupo - Não Cotado</t>
  </si>
  <si>
    <t>Imóvel p/ Saúde  - em construção</t>
  </si>
  <si>
    <t>Leasing mobiliário - Equipamento - Lazer</t>
  </si>
  <si>
    <t>Imóvel ou Fração p/ Estacionamento em Imo. Residencial  - em construção</t>
  </si>
  <si>
    <t>Imóvel p/ Educação  - em construção</t>
  </si>
  <si>
    <t>Leasing mobiliário - Viatura - Motociclo</t>
  </si>
  <si>
    <t>Leasing mobiliário - Viatura - Construção</t>
  </si>
  <si>
    <t>Imóvel p/ Hotel</t>
  </si>
  <si>
    <t>Terreno com finalidade indefinida</t>
  </si>
  <si>
    <t>Imóvel ou Fração p/ Habitação</t>
  </si>
  <si>
    <t>Ações e Outras Participações Emitido por Terceiros - Não Cotado</t>
  </si>
  <si>
    <t>Terreno p/ Comércio</t>
  </si>
  <si>
    <t>Leasing mobiliário - Viatura - Ligeiro passageiros</t>
  </si>
  <si>
    <t>Título de Dívida Emitido pelo Grupo Santander (NFC) - Não Cotado</t>
  </si>
  <si>
    <t>Leasing mobiliário - Viatura - Indefinido</t>
  </si>
  <si>
    <t>Imóvel ou Fração p/ Estacionamento em Imo. Residencial</t>
  </si>
  <si>
    <t>Leasing mobiliário - Equipamento - Fotovoltaico</t>
  </si>
  <si>
    <t>Leasing mobiliário - Equipamento - Energia Hidráulica</t>
  </si>
  <si>
    <t>Leasing mobiliário - Equipamento - Agricultura</t>
  </si>
  <si>
    <t>Leasing mobiliário - Equipamento - Escritório</t>
  </si>
  <si>
    <t>Título de Dívida Emitido por Terceiros (NFC) - Não Cotado</t>
  </si>
  <si>
    <t>Leasing mobiliário - Equipamento - Indefinido</t>
  </si>
  <si>
    <t>Leasing mobiliário - Viatura - Aeronave</t>
  </si>
  <si>
    <t>Ações e Outras Participações Emitidas pelo Grupo - Cotado</t>
  </si>
  <si>
    <t>Imóvel p/ Comércio</t>
  </si>
  <si>
    <t>Leasing mobiliário - Equipamento - Hotelaria</t>
  </si>
  <si>
    <t>Imóvel p/ Comercio - em construção</t>
  </si>
  <si>
    <t>Título de Dívida Emitido pelo Grupo Santander (FC) - Cotado</t>
  </si>
  <si>
    <t>Seguros financeiros - Totta Seguros - sobre Fundos de Investimento</t>
  </si>
  <si>
    <t>Ações e Outras Participações Emitidas por Terceiros - Cotado</t>
  </si>
  <si>
    <t>Título de Dívida Emitido por Terceiros (NFC) - Cotado</t>
  </si>
  <si>
    <t>Imóvel p/ Escritório</t>
  </si>
  <si>
    <t>Terreno p/ Agricultura</t>
  </si>
  <si>
    <t>Leasing mobiliário - Equipamento - Comércio</t>
  </si>
  <si>
    <t>Imóvel p/ Armazém - em construção</t>
  </si>
  <si>
    <t>Leasing mobiliário - Viatura - Embarcação</t>
  </si>
  <si>
    <t>Habitação</t>
  </si>
  <si>
    <t>Comércio</t>
  </si>
  <si>
    <t>Escritório</t>
  </si>
  <si>
    <t>Armazém</t>
  </si>
  <si>
    <t>Indústria</t>
  </si>
  <si>
    <t>Estacionamento</t>
  </si>
  <si>
    <t>Garagem</t>
  </si>
  <si>
    <t>Outras</t>
  </si>
  <si>
    <t>Hotel</t>
  </si>
  <si>
    <t>Educação</t>
  </si>
  <si>
    <t>Saúde</t>
  </si>
  <si>
    <t>Lazer</t>
  </si>
  <si>
    <t>Agricultura</t>
  </si>
  <si>
    <t>Centro Comercial</t>
  </si>
  <si>
    <t>descritivo_cgarant</t>
  </si>
  <si>
    <t>descritivo_cfin</t>
  </si>
  <si>
    <t>(All)</t>
  </si>
  <si>
    <t>Row Labels</t>
  </si>
  <si>
    <t>#N/A</t>
  </si>
  <si>
    <t>Grand Total</t>
  </si>
  <si>
    <t>Column Labels</t>
  </si>
  <si>
    <t>Sum of amount</t>
  </si>
  <si>
    <t>Sum of emissao</t>
  </si>
  <si>
    <t>WITH PAIS AS 
(
    SELECT UNIV.*,EPC.cfinbem,epc.cgarant_bem,
        CASE 
            WHEN UNIV.CEMPBEM IS NOT NULL AND UNIV.CKBALBEM IS NOT NULL AND UNIV.CKCTABEM IS NOT NULL AND UNIV.CKREFBEM IS NOT NULL THEN 'Montante Colaterizado'
            ELSE 'Montante Não Colaterizado'
        END AS TIPOLOGIA_MONTANTE
    FROM 
    -- OBTER OS DADOS DA TABELA DE EMISSÕES FINANCIADAS POR IMÓVEL (REAL ESTATE)
    (
        SELECT *
        FROM BU_CAPTOOLS_WORK.PA_OUT_EMSS_FNCD_RE
    	WHERE REF_DATE = '${REF_DATE}'
    ) UNIV 
    LEFT JOIN 
    -- LIGAÇÃO COM A TABELA PROPERTY_ENERGY_CERTIFICATE PARA OBTENÇÃO DO CAMPO EPC DO BEM IMÓVEL
    (
    	SELECT  
            CEMPBEM
            ,CKBALBEM
            ,CKCTABEM
            ,CKREFBEM
            ,cgarant_bem
            ,cfinbem
    	FROM cd_garantias.gt009_bens_imov
    	WHERE REF_DATE = '${REF_DATE}'
    ) EPC 
    ON  UNIV.CEMPBEM  = EPC.CEMPBEM AND
        UNIV.CKBALBEM = EPC.CKBALBEM AND
        UNIV.CKCTABEM = EPC.CKCTABEM AND
        UNIV.CKREFBEM = EPC.CKREFBEM 
)
SELECT 
    CRE_RRE,
    TIPOLOGIA_MONTANTE,
    -- origem_scp1_emss,
    cgarant_bem,
    cfinbem,
    SUM(SCP1_EMSS_FNCD+SCP2_EMSS_FNCD) AS EMISSAO,
    SUM(-AMOUNT) AS AMOUNT
FROM PAIS
GROUP BY 1,2,3,4
;
select distinct cgarant_bem,descritivo
from cd_garantias.gt803_cgarant_bem
where ref_date='2024-12-31'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</si>
</sst>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1" fillId="0" borderId="0"/>
  </cellStyleXfs>
  <cellXfs count="10">
    <xf numFmtId="0" fontId="0" fillId="0" borderId="0" xfId="0"/>
    <xf numFmtId="4" fontId="0" fillId="0" borderId="0" xfId="0" applyNumberFormat="1"/>
    <xf numFmtId="0" fontId="0" fillId="0" borderId="0" xfId="0" applyNumberFormat="1"/>
    <xf numFmtId="0" fontId="0" fillId="0" borderId="0" xfId="0" pivotButton="1"/>
    <xf numFmtId="0" fontId="0" fillId="0" borderId="0" xfId="0" applyAlignment="1">
      <alignment horizontal="left"/>
    </xf>
    <xf numFmtId="4" fontId="0" fillId="2" borderId="0" xfId="0" applyNumberFormat="1" applyFill="1"/>
    <xf numFmtId="4" fontId="0" fillId="3" borderId="0" xfId="0" applyNumberFormat="1" applyFill="1"/>
    <xf numFmtId="4" fontId="0" fillId="4" borderId="0" xfId="0" applyNumberFormat="1" applyFill="1"/>
    <xf numFmtId="0" fontId="0" fillId="0" borderId="0" xfId="0" quotePrefix="1"/>
    <xf numFmtId="0" fontId="0" fillId="0" borderId="0" xfId="0" applyAlignment="1"/>
  </cellXfs>
  <cellStyles count="2">
    <cellStyle name="Normal" xfId="0" builtinId="0"/>
    <cellStyle name="Normal 2 10" xfId="1" xr:uid="{43AC589D-C009-4D9E-997F-BEF4A56AA191}"/>
  </cellStyles>
  <dxfs count="76">
    <dxf>
      <fill>
        <patternFill>
          <bgColor theme="9" tint="0.59999389629810485"/>
        </patternFill>
      </fill>
    </dxf>
    <dxf>
      <fill>
        <patternFill>
          <bgColor theme="6" tint="0.79998168889431442"/>
        </patternFill>
      </fill>
    </dxf>
    <dxf>
      <fill>
        <patternFill>
          <bgColor theme="9" tint="0.59999389629810485"/>
        </patternFill>
      </fill>
    </dxf>
    <dxf>
      <numFmt numFmtId="4" formatCode="#,##0.00"/>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9" tint="0.79998168889431442"/>
        </patternFill>
      </fill>
    </dxf>
    <dxf>
      <fill>
        <patternFill patternType="solid">
          <bgColor theme="9" tint="0.79998168889431442"/>
        </patternFill>
      </fill>
    </dxf>
    <dxf>
      <numFmt numFmtId="4" formatCode="#,##0.00"/>
    </dxf>
    <dxf>
      <fill>
        <patternFill patternType="solid">
          <bgColor theme="6"/>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élder Filipe Felicidade Fernandes" refreshedDate="46037.546581249997" createdVersion="8" refreshedVersion="8" minRefreshableVersion="3" recordCount="93" xr:uid="{C9B5415F-FAAE-4756-8F4B-2A2FDEB177E2}">
  <cacheSource type="worksheet">
    <worksheetSource ref="A2:H95" sheet="Input"/>
  </cacheSource>
  <cacheFields count="8">
    <cacheField name="cre_rre" numFmtId="0">
      <sharedItems count="6">
        <s v="CRE_FC"/>
        <s v="CRE_OUTRO - Nao Aplicavel"/>
        <s v="Habitacao"/>
        <s v="CRE_OUTRO"/>
        <s v="Habitacao - MISS"/>
        <s v="CRE_OUTRO - MISS"/>
      </sharedItems>
    </cacheField>
    <cacheField name="tipologia_montante" numFmtId="0">
      <sharedItems count="2">
        <s v="Montante Colaterizado"/>
        <s v="Montante Não Colaterizado"/>
      </sharedItems>
    </cacheField>
    <cacheField name="cgarant_bem" numFmtId="0">
      <sharedItems containsMixedTypes="1" containsNumber="1" containsInteger="1" minValue="82" maxValue="5300"/>
    </cacheField>
    <cacheField name="descritivo_cgarant" numFmtId="0">
      <sharedItems count="19">
        <s v="Imóveis com finalidade indefinida"/>
        <s v="Imóvel ou Fração p/ Habitação - em construção"/>
        <e v="#N/A"/>
        <s v="Imóvel p/ Escritório - em construção"/>
        <s v="Imóvel p/ Comércio"/>
        <s v="Imóvel p/ Hotel - em construção"/>
        <s v="Imóvel ou Fração p/ Habitação"/>
        <s v="Terreno com finalidade indefinida"/>
        <s v="Imóvel p/ Comercio - em construção"/>
        <s v="Imóvel p/ Escritório"/>
        <s v="Imóvel p/ Indústria"/>
        <s v="Imóvel p/ Indústria - em construção"/>
        <s v="Imóvel p/ Educação"/>
        <s v="Imóvel ou Fração p/ Estacionamento ligados à exploração"/>
        <s v="Imóvel p/ Armazém - em construção"/>
        <s v="Imóvel p/ Saúde"/>
        <s v="Imóvel p/ Hotel"/>
        <s v="Imóvel p/ Armazém"/>
        <s v="Imóvel ou Fração p/ Estacionamento em Imo. Residencial"/>
      </sharedItems>
    </cacheField>
    <cacheField name="cfinbem" numFmtId="0">
      <sharedItems containsBlank="1"/>
    </cacheField>
    <cacheField name="descritivo_cfin" numFmtId="0">
      <sharedItems count="13">
        <s v="Outras"/>
        <s v="Habitação"/>
        <e v="#N/A"/>
        <s v="Estacionamento"/>
        <s v="Escritório"/>
        <s v="Hotel"/>
        <s v="Comércio"/>
        <s v="Indústria"/>
        <s v="Educação"/>
        <s v="Garagem"/>
        <s v="Armazém"/>
        <s v="Agricultura"/>
        <s v="Saúde"/>
      </sharedItems>
    </cacheField>
    <cacheField name="emissao" numFmtId="4">
      <sharedItems containsMixedTypes="1" containsNumber="1" minValue="1.00872072916E-2" maxValue="547615.47285618505"/>
    </cacheField>
    <cacheField name="amount" numFmtId="4">
      <sharedItems containsSemiMixedTypes="0" containsString="0" containsNumber="1" minValue="0" maxValue="22483765008.377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x v="0"/>
    <n v="5000"/>
    <x v="0"/>
    <s v="08"/>
    <x v="0"/>
    <n v="504.97554803396798"/>
    <n v="25507804.6199999"/>
  </r>
  <r>
    <x v="1"/>
    <x v="0"/>
    <n v="5102"/>
    <x v="1"/>
    <s v="01"/>
    <x v="1"/>
    <n v="4.6162313974"/>
    <n v="1178563.6441060901"/>
  </r>
  <r>
    <x v="2"/>
    <x v="1"/>
    <s v="NULL"/>
    <x v="2"/>
    <s v="NULL"/>
    <x v="2"/>
    <s v="NULL"/>
    <n v="36314206.850000001"/>
  </r>
  <r>
    <x v="1"/>
    <x v="0"/>
    <n v="5000"/>
    <x v="0"/>
    <s v="06"/>
    <x v="3"/>
    <s v="NULL"/>
    <n v="567.31364063622505"/>
  </r>
  <r>
    <x v="1"/>
    <x v="0"/>
    <n v="5204"/>
    <x v="3"/>
    <s v="03"/>
    <x v="4"/>
    <n v="31.3995102157857"/>
    <n v="4672059.1817346402"/>
  </r>
  <r>
    <x v="2"/>
    <x v="0"/>
    <n v="5201"/>
    <x v="4"/>
    <s v="08"/>
    <x v="0"/>
    <n v="13172.202386959199"/>
    <n v="4663532.5177857503"/>
  </r>
  <r>
    <x v="0"/>
    <x v="0"/>
    <n v="5212"/>
    <x v="5"/>
    <s v="09"/>
    <x v="5"/>
    <n v="55.623895323384801"/>
    <n v="5758032.0199999996"/>
  </r>
  <r>
    <x v="1"/>
    <x v="0"/>
    <n v="5000"/>
    <x v="0"/>
    <s v="08"/>
    <x v="0"/>
    <n v="754.02181379586398"/>
    <n v="1174119.5660883901"/>
  </r>
  <r>
    <x v="2"/>
    <x v="0"/>
    <n v="5101"/>
    <x v="6"/>
    <s v="01"/>
    <x v="1"/>
    <n v="355929.45482189901"/>
    <n v="22483765008.3773"/>
  </r>
  <r>
    <x v="3"/>
    <x v="0"/>
    <n v="5101"/>
    <x v="6"/>
    <s v="08"/>
    <x v="0"/>
    <n v="862.85984990539998"/>
    <n v="80573798.998370007"/>
  </r>
  <r>
    <x v="1"/>
    <x v="0"/>
    <n v="5300"/>
    <x v="7"/>
    <s v="08"/>
    <x v="0"/>
    <n v="73044.867737535795"/>
    <n v="12939469.6638053"/>
  </r>
  <r>
    <x v="1"/>
    <x v="0"/>
    <n v="5202"/>
    <x v="8"/>
    <s v="02"/>
    <x v="6"/>
    <n v="342.22571873094103"/>
    <n v="3743679.81"/>
  </r>
  <r>
    <x v="2"/>
    <x v="0"/>
    <n v="5203"/>
    <x v="9"/>
    <s v="03"/>
    <x v="4"/>
    <n v="986.00506824940101"/>
    <n v="4097961.0242947899"/>
  </r>
  <r>
    <x v="1"/>
    <x v="0"/>
    <n v="5201"/>
    <x v="4"/>
    <s v="08"/>
    <x v="0"/>
    <n v="547615.47285618505"/>
    <n v="225390561.20812601"/>
  </r>
  <r>
    <x v="2"/>
    <x v="0"/>
    <n v="5000"/>
    <x v="0"/>
    <s v="01"/>
    <x v="1"/>
    <n v="44.086745520000001"/>
    <n v="139036.328669551"/>
  </r>
  <r>
    <x v="1"/>
    <x v="0"/>
    <n v="5207"/>
    <x v="10"/>
    <s v="05"/>
    <x v="7"/>
    <n v="16159.768338039899"/>
    <n v="60983690.959172398"/>
  </r>
  <r>
    <x v="1"/>
    <x v="0"/>
    <n v="5208"/>
    <x v="11"/>
    <s v="05"/>
    <x v="7"/>
    <n v="159.16649072644299"/>
    <n v="1585102.39"/>
  </r>
  <r>
    <x v="1"/>
    <x v="0"/>
    <n v="5213"/>
    <x v="12"/>
    <s v="10"/>
    <x v="8"/>
    <n v="130.653135894244"/>
    <n v="2152835.1914285701"/>
  </r>
  <r>
    <x v="0"/>
    <x v="0"/>
    <n v="5203"/>
    <x v="9"/>
    <s v="03"/>
    <x v="4"/>
    <n v="521.89010544465896"/>
    <n v="28610669.426140301"/>
  </r>
  <r>
    <x v="1"/>
    <x v="0"/>
    <n v="5101"/>
    <x v="6"/>
    <s v="08"/>
    <x v="0"/>
    <n v="13223.1138055837"/>
    <n v="22187124.0826541"/>
  </r>
  <r>
    <x v="2"/>
    <x v="0"/>
    <n v="5101"/>
    <x v="6"/>
    <s v="08"/>
    <x v="0"/>
    <n v="27055.3332903419"/>
    <n v="31961416.094600499"/>
  </r>
  <r>
    <x v="0"/>
    <x v="0"/>
    <n v="5102"/>
    <x v="1"/>
    <s v="08"/>
    <x v="0"/>
    <n v="31.627215153000002"/>
    <n v="4121575.68"/>
  </r>
  <r>
    <x v="3"/>
    <x v="0"/>
    <n v="5209"/>
    <x v="13"/>
    <s v="07"/>
    <x v="9"/>
    <s v="NULL"/>
    <n v="713371.15245685598"/>
  </r>
  <r>
    <x v="1"/>
    <x v="0"/>
    <n v="5209"/>
    <x v="13"/>
    <s v="06"/>
    <x v="3"/>
    <s v="NULL"/>
    <n v="1117942.4783395301"/>
  </r>
  <r>
    <x v="2"/>
    <x v="0"/>
    <n v="5209"/>
    <x v="13"/>
    <s v="07"/>
    <x v="9"/>
    <s v="NULL"/>
    <n v="72297.0912038549"/>
  </r>
  <r>
    <x v="0"/>
    <x v="0"/>
    <n v="5206"/>
    <x v="14"/>
    <s v="04"/>
    <x v="10"/>
    <n v="95.299966410559094"/>
    <n v="2243162.7400000002"/>
  </r>
  <r>
    <x v="3"/>
    <x v="0"/>
    <n v="5102"/>
    <x v="1"/>
    <s v="01"/>
    <x v="1"/>
    <n v="16.795227180000001"/>
    <n v="4867974.3499999996"/>
  </r>
  <r>
    <x v="1"/>
    <x v="0"/>
    <n v="82"/>
    <x v="2"/>
    <s v="13"/>
    <x v="11"/>
    <n v="2.0459993192248001"/>
    <n v="200118.019999999"/>
  </r>
  <r>
    <x v="1"/>
    <x v="0"/>
    <n v="5000"/>
    <x v="0"/>
    <m/>
    <x v="2"/>
    <n v="0.62446803055"/>
    <n v="0"/>
  </r>
  <r>
    <x v="3"/>
    <x v="0"/>
    <n v="5212"/>
    <x v="5"/>
    <s v="09"/>
    <x v="5"/>
    <n v="80.384408434506497"/>
    <n v="8387009.2699999996"/>
  </r>
  <r>
    <x v="3"/>
    <x v="0"/>
    <n v="5201"/>
    <x v="4"/>
    <s v="02"/>
    <x v="6"/>
    <n v="9008.2415510128794"/>
    <n v="342976944.05916101"/>
  </r>
  <r>
    <x v="0"/>
    <x v="0"/>
    <n v="5201"/>
    <x v="4"/>
    <s v="02"/>
    <x v="6"/>
    <n v="640.70850040593905"/>
    <n v="36321031.689983599"/>
  </r>
  <r>
    <x v="1"/>
    <x v="0"/>
    <n v="5201"/>
    <x v="4"/>
    <m/>
    <x v="2"/>
    <n v="553.98940603239998"/>
    <n v="220014.93263345101"/>
  </r>
  <r>
    <x v="1"/>
    <x v="0"/>
    <n v="5215"/>
    <x v="15"/>
    <s v="11"/>
    <x v="12"/>
    <n v="160.88979708490001"/>
    <n v="26713146.7299999"/>
  </r>
  <r>
    <x v="0"/>
    <x v="0"/>
    <n v="5207"/>
    <x v="10"/>
    <s v="05"/>
    <x v="7"/>
    <n v="14.611575329712"/>
    <n v="73847.509999999995"/>
  </r>
  <r>
    <x v="2"/>
    <x v="0"/>
    <n v="5300"/>
    <x v="7"/>
    <s v="08"/>
    <x v="0"/>
    <n v="4001.15896926491"/>
    <n v="1038375.25150912"/>
  </r>
  <r>
    <x v="1"/>
    <x v="0"/>
    <n v="5101"/>
    <x v="6"/>
    <s v="01"/>
    <x v="1"/>
    <n v="1097.1319787139901"/>
    <n v="170782054.25249499"/>
  </r>
  <r>
    <x v="1"/>
    <x v="0"/>
    <n v="5211"/>
    <x v="16"/>
    <s v="09"/>
    <x v="5"/>
    <n v="74.588332082868803"/>
    <n v="2424027.0299999998"/>
  </r>
  <r>
    <x v="3"/>
    <x v="0"/>
    <n v="5000"/>
    <x v="0"/>
    <s v="08"/>
    <x v="0"/>
    <n v="31.1234198823716"/>
    <n v="2225838.8469190402"/>
  </r>
  <r>
    <x v="3"/>
    <x v="0"/>
    <n v="5203"/>
    <x v="9"/>
    <s v="03"/>
    <x v="4"/>
    <n v="1840.04068205405"/>
    <n v="49910199.996774502"/>
  </r>
  <r>
    <x v="0"/>
    <x v="1"/>
    <s v="NULL"/>
    <x v="2"/>
    <s v="NULL"/>
    <x v="2"/>
    <s v="NULL"/>
    <n v="5556041.2300000004"/>
  </r>
  <r>
    <x v="3"/>
    <x v="0"/>
    <n v="5213"/>
    <x v="12"/>
    <s v="08"/>
    <x v="0"/>
    <n v="1.2009535199999999E-2"/>
    <n v="194.52"/>
  </r>
  <r>
    <x v="2"/>
    <x v="0"/>
    <n v="5101"/>
    <x v="6"/>
    <m/>
    <x v="2"/>
    <n v="48.8394992761"/>
    <n v="33082.684760346601"/>
  </r>
  <r>
    <x v="3"/>
    <x v="0"/>
    <n v="5201"/>
    <x v="4"/>
    <m/>
    <x v="2"/>
    <n v="108.7494548192"/>
    <n v="18148277.66"/>
  </r>
  <r>
    <x v="0"/>
    <x v="0"/>
    <n v="5101"/>
    <x v="6"/>
    <s v="01"/>
    <x v="1"/>
    <n v="2129.8747714082901"/>
    <n v="422608232.87426502"/>
  </r>
  <r>
    <x v="3"/>
    <x v="0"/>
    <n v="5205"/>
    <x v="17"/>
    <s v="04"/>
    <x v="10"/>
    <n v="5025.06293800002"/>
    <n v="71573013.399019405"/>
  </r>
  <r>
    <x v="2"/>
    <x v="0"/>
    <n v="5207"/>
    <x v="10"/>
    <s v="05"/>
    <x v="7"/>
    <n v="43.465183342372001"/>
    <n v="168410.06315332401"/>
  </r>
  <r>
    <x v="3"/>
    <x v="0"/>
    <n v="5300"/>
    <x v="7"/>
    <s v="08"/>
    <x v="0"/>
    <n v="15682.644509044399"/>
    <n v="2427864.0896394802"/>
  </r>
  <r>
    <x v="0"/>
    <x v="0"/>
    <n v="5201"/>
    <x v="4"/>
    <s v="08"/>
    <x v="0"/>
    <n v="6390.4229648168603"/>
    <n v="235518644.91257"/>
  </r>
  <r>
    <x v="1"/>
    <x v="0"/>
    <n v="5203"/>
    <x v="9"/>
    <s v="03"/>
    <x v="4"/>
    <n v="2992.23725746235"/>
    <n v="55933413.061927699"/>
  </r>
  <r>
    <x v="1"/>
    <x v="0"/>
    <n v="5300"/>
    <x v="7"/>
    <m/>
    <x v="2"/>
    <n v="143.18437841824999"/>
    <n v="15.1199999999999"/>
  </r>
  <r>
    <x v="2"/>
    <x v="0"/>
    <n v="5300"/>
    <x v="7"/>
    <m/>
    <x v="2"/>
    <n v="27.799849999999999"/>
    <n v="0"/>
  </r>
  <r>
    <x v="2"/>
    <x v="0"/>
    <n v="5201"/>
    <x v="4"/>
    <s v="02"/>
    <x v="6"/>
    <n v="5893.74187568455"/>
    <n v="25863095.8346336"/>
  </r>
  <r>
    <x v="0"/>
    <x v="0"/>
    <n v="5202"/>
    <x v="8"/>
    <s v="02"/>
    <x v="6"/>
    <n v="27.0940051760006"/>
    <n v="3496604.78"/>
  </r>
  <r>
    <x v="2"/>
    <x v="0"/>
    <n v="5202"/>
    <x v="8"/>
    <s v="02"/>
    <x v="6"/>
    <n v="0.851974315484752"/>
    <n v="64929.65"/>
  </r>
  <r>
    <x v="1"/>
    <x v="0"/>
    <n v="5215"/>
    <x v="15"/>
    <s v="08"/>
    <x v="0"/>
    <n v="1.28435307E-2"/>
    <n v="46.12"/>
  </r>
  <r>
    <x v="1"/>
    <x v="1"/>
    <s v="NULL"/>
    <x v="2"/>
    <s v="NULL"/>
    <x v="2"/>
    <s v="NULL"/>
    <n v="24675974.100000001"/>
  </r>
  <r>
    <x v="3"/>
    <x v="0"/>
    <n v="5207"/>
    <x v="10"/>
    <s v="05"/>
    <x v="7"/>
    <n v="2000.4610982921599"/>
    <n v="11356426.3242616"/>
  </r>
  <r>
    <x v="3"/>
    <x v="0"/>
    <n v="5204"/>
    <x v="3"/>
    <s v="03"/>
    <x v="4"/>
    <n v="32.278259681659499"/>
    <n v="1348820.9"/>
  </r>
  <r>
    <x v="0"/>
    <x v="0"/>
    <n v="5205"/>
    <x v="17"/>
    <s v="04"/>
    <x v="10"/>
    <n v="739.17504091748106"/>
    <n v="15563273.5474291"/>
  </r>
  <r>
    <x v="3"/>
    <x v="0"/>
    <n v="5211"/>
    <x v="16"/>
    <s v="09"/>
    <x v="5"/>
    <n v="310.85220714723602"/>
    <n v="25187386.802054599"/>
  </r>
  <r>
    <x v="2"/>
    <x v="0"/>
    <n v="5215"/>
    <x v="15"/>
    <s v="11"/>
    <x v="12"/>
    <n v="2.8573797823999998"/>
    <n v="3640.1"/>
  </r>
  <r>
    <x v="0"/>
    <x v="0"/>
    <n v="5102"/>
    <x v="1"/>
    <s v="01"/>
    <x v="1"/>
    <n v="63.8332566975999"/>
    <n v="16947616.555126999"/>
  </r>
  <r>
    <x v="2"/>
    <x v="0"/>
    <n v="5205"/>
    <x v="17"/>
    <s v="04"/>
    <x v="10"/>
    <n v="1284.1378455685499"/>
    <n v="6162600.2846490601"/>
  </r>
  <r>
    <x v="3"/>
    <x v="0"/>
    <n v="5101"/>
    <x v="6"/>
    <m/>
    <x v="2"/>
    <n v="40.391764257650003"/>
    <n v="0"/>
  </r>
  <r>
    <x v="1"/>
    <x v="0"/>
    <n v="5209"/>
    <x v="13"/>
    <s v="07"/>
    <x v="9"/>
    <s v="NULL"/>
    <n v="852574.53861786705"/>
  </r>
  <r>
    <x v="3"/>
    <x v="0"/>
    <n v="5209"/>
    <x v="13"/>
    <s v="06"/>
    <x v="3"/>
    <s v="NULL"/>
    <n v="449394.543644252"/>
  </r>
  <r>
    <x v="2"/>
    <x v="0"/>
    <n v="5209"/>
    <x v="13"/>
    <s v="06"/>
    <x v="3"/>
    <s v="NULL"/>
    <n v="23359.165998231099"/>
  </r>
  <r>
    <x v="1"/>
    <x v="0"/>
    <n v="5201"/>
    <x v="4"/>
    <s v="02"/>
    <x v="6"/>
    <n v="18093.275357195998"/>
    <n v="233451918.16378099"/>
  </r>
  <r>
    <x v="1"/>
    <x v="0"/>
    <n v="5101"/>
    <x v="6"/>
    <m/>
    <x v="2"/>
    <n v="132.14778236855"/>
    <n v="75319.89"/>
  </r>
  <r>
    <x v="3"/>
    <x v="1"/>
    <s v="NULL"/>
    <x v="2"/>
    <s v="NULL"/>
    <x v="2"/>
    <s v="NULL"/>
    <n v="28111361.93"/>
  </r>
  <r>
    <x v="2"/>
    <x v="0"/>
    <n v="5103"/>
    <x v="18"/>
    <s v="07"/>
    <x v="9"/>
    <s v="NULL"/>
    <n v="1202592.6269012799"/>
  </r>
  <r>
    <x v="3"/>
    <x v="0"/>
    <n v="5215"/>
    <x v="15"/>
    <s v="11"/>
    <x v="12"/>
    <n v="260.57460130752702"/>
    <n v="9810905.6400000006"/>
  </r>
  <r>
    <x v="2"/>
    <x v="0"/>
    <n v="5102"/>
    <x v="1"/>
    <s v="01"/>
    <x v="1"/>
    <n v="13717.192201252001"/>
    <n v="709085121.96771395"/>
  </r>
  <r>
    <x v="3"/>
    <x v="0"/>
    <n v="5201"/>
    <x v="4"/>
    <s v="08"/>
    <x v="0"/>
    <n v="65055.736233925199"/>
    <n v="423625026.70495403"/>
  </r>
  <r>
    <x v="0"/>
    <x v="0"/>
    <n v="5101"/>
    <x v="6"/>
    <s v="08"/>
    <x v="0"/>
    <n v="483.36919452009897"/>
    <n v="66182734.742923401"/>
  </r>
  <r>
    <x v="2"/>
    <x v="0"/>
    <n v="5102"/>
    <x v="1"/>
    <s v="08"/>
    <x v="0"/>
    <n v="19.931031165"/>
    <n v="361042.22"/>
  </r>
  <r>
    <x v="1"/>
    <x v="0"/>
    <n v="5102"/>
    <x v="1"/>
    <s v="08"/>
    <x v="0"/>
    <n v="1.6688636999999999"/>
    <n v="323430.45"/>
  </r>
  <r>
    <x v="2"/>
    <x v="0"/>
    <n v="5000"/>
    <x v="0"/>
    <s v="07"/>
    <x v="9"/>
    <s v="NULL"/>
    <n v="4169.0201031829602"/>
  </r>
  <r>
    <x v="2"/>
    <x v="0"/>
    <n v="5201"/>
    <x v="4"/>
    <m/>
    <x v="2"/>
    <n v="152.16434156495001"/>
    <n v="2554.7800000000002"/>
  </r>
  <r>
    <x v="2"/>
    <x v="0"/>
    <n v="5103"/>
    <x v="18"/>
    <s v="06"/>
    <x v="3"/>
    <s v="NULL"/>
    <n v="866370.57636821002"/>
  </r>
  <r>
    <x v="0"/>
    <x v="0"/>
    <n v="5209"/>
    <x v="13"/>
    <s v="06"/>
    <x v="3"/>
    <s v="NULL"/>
    <n v="152374.06155963999"/>
  </r>
  <r>
    <x v="1"/>
    <x v="0"/>
    <n v="5202"/>
    <x v="8"/>
    <s v="08"/>
    <x v="0"/>
    <n v="945.60585394851705"/>
    <n v="20060859.5"/>
  </r>
  <r>
    <x v="1"/>
    <x v="0"/>
    <n v="5206"/>
    <x v="14"/>
    <s v="04"/>
    <x v="10"/>
    <n v="116.963998277459"/>
    <n v="3223941.46"/>
  </r>
  <r>
    <x v="2"/>
    <x v="0"/>
    <n v="5213"/>
    <x v="12"/>
    <s v="10"/>
    <x v="8"/>
    <n v="9.9314130129499993"/>
    <n v="93777.47"/>
  </r>
  <r>
    <x v="4"/>
    <x v="0"/>
    <n v="5201"/>
    <x v="4"/>
    <s v="02"/>
    <x v="6"/>
    <s v="NULL"/>
    <n v="44313.97"/>
  </r>
  <r>
    <x v="3"/>
    <x v="0"/>
    <n v="5101"/>
    <x v="6"/>
    <s v="01"/>
    <x v="1"/>
    <n v="1093.81195079859"/>
    <n v="185078002.33710599"/>
  </r>
  <r>
    <x v="3"/>
    <x v="0"/>
    <n v="5202"/>
    <x v="8"/>
    <s v="08"/>
    <x v="0"/>
    <n v="22.194281219512899"/>
    <n v="1817685.21845793"/>
  </r>
  <r>
    <x v="0"/>
    <x v="0"/>
    <n v="5202"/>
    <x v="8"/>
    <s v="08"/>
    <x v="0"/>
    <n v="450.34460888210998"/>
    <n v="7745088.2699999996"/>
  </r>
  <r>
    <x v="3"/>
    <x v="0"/>
    <n v="89"/>
    <x v="2"/>
    <s v="13"/>
    <x v="11"/>
    <n v="1.00872072916E-2"/>
    <n v="408890.18718012102"/>
  </r>
  <r>
    <x v="3"/>
    <x v="0"/>
    <n v="5206"/>
    <x v="14"/>
    <s v="04"/>
    <x v="10"/>
    <n v="21.479078398110101"/>
    <n v="597578.97"/>
  </r>
  <r>
    <x v="5"/>
    <x v="0"/>
    <n v="5205"/>
    <x v="17"/>
    <s v="04"/>
    <x v="10"/>
    <s v="NULL"/>
    <n v="557086.54"/>
  </r>
  <r>
    <x v="1"/>
    <x v="0"/>
    <n v="5205"/>
    <x v="17"/>
    <s v="04"/>
    <x v="10"/>
    <n v="57402.082905142503"/>
    <n v="226540910.947508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EF9AF2-C212-498E-AAF9-90F945435298}"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N23" firstHeaderRow="1" firstDataRow="2" firstDataCol="1" rowPageCount="2" colPageCount="1"/>
  <pivotFields count="8">
    <pivotField axis="axisPage" multipleItemSelectionAllowed="1" showAll="0">
      <items count="7">
        <item h="1" x="0"/>
        <item x="3"/>
        <item h="1" x="5"/>
        <item h="1" x="1"/>
        <item h="1" x="2"/>
        <item h="1" x="4"/>
        <item t="default"/>
      </items>
    </pivotField>
    <pivotField axis="axisPage" multipleItemSelectionAllowed="1" showAll="0">
      <items count="3">
        <item x="0"/>
        <item h="1" x="1"/>
        <item t="default"/>
      </items>
    </pivotField>
    <pivotField showAll="0"/>
    <pivotField axis="axisRow" showAll="0">
      <items count="20">
        <item x="0"/>
        <item x="18"/>
        <item x="13"/>
        <item x="6"/>
        <item x="1"/>
        <item x="17"/>
        <item x="14"/>
        <item x="4"/>
        <item x="8"/>
        <item x="12"/>
        <item x="9"/>
        <item x="3"/>
        <item x="16"/>
        <item x="5"/>
        <item x="10"/>
        <item x="11"/>
        <item x="15"/>
        <item x="7"/>
        <item x="2"/>
        <item t="default"/>
      </items>
    </pivotField>
    <pivotField showAll="0"/>
    <pivotField axis="axisCol" showAll="0">
      <items count="14">
        <item x="11"/>
        <item x="10"/>
        <item x="6"/>
        <item x="8"/>
        <item x="4"/>
        <item x="3"/>
        <item x="9"/>
        <item x="1"/>
        <item x="5"/>
        <item x="7"/>
        <item x="0"/>
        <item x="2"/>
        <item x="12"/>
        <item t="default"/>
      </items>
    </pivotField>
    <pivotField showAll="0"/>
    <pivotField dataField="1" numFmtId="4" showAll="0"/>
  </pivotFields>
  <rowFields count="1">
    <field x="3"/>
  </rowFields>
  <rowItems count="18">
    <i>
      <x/>
    </i>
    <i>
      <x v="2"/>
    </i>
    <i>
      <x v="3"/>
    </i>
    <i>
      <x v="4"/>
    </i>
    <i>
      <x v="5"/>
    </i>
    <i>
      <x v="6"/>
    </i>
    <i>
      <x v="7"/>
    </i>
    <i>
      <x v="8"/>
    </i>
    <i>
      <x v="9"/>
    </i>
    <i>
      <x v="10"/>
    </i>
    <i>
      <x v="11"/>
    </i>
    <i>
      <x v="12"/>
    </i>
    <i>
      <x v="13"/>
    </i>
    <i>
      <x v="14"/>
    </i>
    <i>
      <x v="16"/>
    </i>
    <i>
      <x v="17"/>
    </i>
    <i>
      <x v="18"/>
    </i>
    <i t="grand">
      <x/>
    </i>
  </rowItems>
  <colFields count="1">
    <field x="5"/>
  </colFields>
  <colItems count="13">
    <i>
      <x/>
    </i>
    <i>
      <x v="1"/>
    </i>
    <i>
      <x v="2"/>
    </i>
    <i>
      <x v="4"/>
    </i>
    <i>
      <x v="5"/>
    </i>
    <i>
      <x v="6"/>
    </i>
    <i>
      <x v="7"/>
    </i>
    <i>
      <x v="8"/>
    </i>
    <i>
      <x v="9"/>
    </i>
    <i>
      <x v="10"/>
    </i>
    <i>
      <x v="11"/>
    </i>
    <i>
      <x v="12"/>
    </i>
    <i t="grand">
      <x/>
    </i>
  </colItems>
  <pageFields count="2">
    <pageField fld="0" hier="-1"/>
    <pageField fld="1" hier="-1"/>
  </pageFields>
  <dataFields count="1">
    <dataField name="Sum of amount" fld="7" baseField="0" baseItem="0" numFmtId="4"/>
  </dataFields>
  <formats count="12">
    <format dxfId="75">
      <pivotArea collapsedLevelsAreSubtotals="1" fieldPosition="0">
        <references count="2">
          <reference field="3" count="1">
            <x v="1"/>
          </reference>
          <reference field="5" count="1" selected="0">
            <x v="5"/>
          </reference>
        </references>
      </pivotArea>
    </format>
    <format dxfId="60">
      <pivotArea collapsedLevelsAreSubtotals="1" fieldPosition="0">
        <references count="2">
          <reference field="3" count="1">
            <x v="2"/>
          </reference>
          <reference field="5" count="2" selected="0">
            <x v="5"/>
            <x v="6"/>
          </reference>
        </references>
      </pivotArea>
    </format>
    <format dxfId="59">
      <pivotArea collapsedLevelsAreSubtotals="1" fieldPosition="0">
        <references count="2">
          <reference field="3" count="2">
            <x v="3"/>
            <x v="4"/>
          </reference>
          <reference field="5" count="1" selected="0">
            <x v="7"/>
          </reference>
        </references>
      </pivotArea>
    </format>
    <format dxfId="58">
      <pivotArea collapsedLevelsAreSubtotals="1" fieldPosition="0">
        <references count="2">
          <reference field="3" count="1">
            <x v="3"/>
          </reference>
          <reference field="5" count="1" selected="0">
            <x v="10"/>
          </reference>
        </references>
      </pivotArea>
    </format>
    <format dxfId="57">
      <pivotArea collapsedLevelsAreSubtotals="1" fieldPosition="0">
        <references count="2">
          <reference field="3" count="2">
            <x v="5"/>
            <x v="6"/>
          </reference>
          <reference field="5" count="1" selected="0">
            <x v="1"/>
          </reference>
        </references>
      </pivotArea>
    </format>
    <format dxfId="56">
      <pivotArea collapsedLevelsAreSubtotals="1" fieldPosition="0">
        <references count="2">
          <reference field="3" count="1">
            <x v="7"/>
          </reference>
          <reference field="5" count="1" selected="0">
            <x v="2"/>
          </reference>
        </references>
      </pivotArea>
    </format>
    <format dxfId="55">
      <pivotArea collapsedLevelsAreSubtotals="1" fieldPosition="0">
        <references count="2">
          <reference field="3" count="2">
            <x v="10"/>
            <x v="11"/>
          </reference>
          <reference field="5" count="1" selected="0">
            <x v="4"/>
          </reference>
        </references>
      </pivotArea>
    </format>
    <format dxfId="54">
      <pivotArea collapsedLevelsAreSubtotals="1" fieldPosition="0">
        <references count="2">
          <reference field="3" count="3">
            <x v="7"/>
            <x v="8"/>
            <x v="9"/>
          </reference>
          <reference field="5" count="1" selected="0">
            <x v="10"/>
          </reference>
        </references>
      </pivotArea>
    </format>
    <format dxfId="53">
      <pivotArea collapsedLevelsAreSubtotals="1" fieldPosition="0">
        <references count="2">
          <reference field="3" count="1">
            <x v="17"/>
          </reference>
          <reference field="5" count="1" selected="0">
            <x v="10"/>
          </reference>
        </references>
      </pivotArea>
    </format>
    <format dxfId="52">
      <pivotArea collapsedLevelsAreSubtotals="1" fieldPosition="0">
        <references count="2">
          <reference field="3" count="1">
            <x v="14"/>
          </reference>
          <reference field="5" count="1" selected="0">
            <x v="9"/>
          </reference>
        </references>
      </pivotArea>
    </format>
    <format dxfId="51">
      <pivotArea collapsedLevelsAreSubtotals="1" fieldPosition="0">
        <references count="2">
          <reference field="3" count="1">
            <x v="12"/>
          </reference>
          <reference field="5" count="1" selected="0">
            <x v="8"/>
          </reference>
        </references>
      </pivotArea>
    </format>
    <format dxfId="50">
      <pivotArea collapsedLevelsAreSubtotals="1" fieldPosition="0">
        <references count="2">
          <reference field="3" count="1">
            <x v="13"/>
          </reference>
          <reference field="5"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911A3D-A881-4E70-B787-B9CE6ECCE20A}"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M19" firstHeaderRow="1" firstDataRow="2" firstDataCol="1" rowPageCount="2" colPageCount="1"/>
  <pivotFields count="8">
    <pivotField axis="axisPage" multipleItemSelectionAllowed="1" showAll="0">
      <items count="7">
        <item h="1" x="0"/>
        <item h="1" x="3"/>
        <item h="1" x="5"/>
        <item h="1" x="1"/>
        <item x="2"/>
        <item h="1" x="4"/>
        <item t="default"/>
      </items>
    </pivotField>
    <pivotField axis="axisPage" multipleItemSelectionAllowed="1" showAll="0">
      <items count="3">
        <item x="0"/>
        <item h="1" x="1"/>
        <item t="default"/>
      </items>
    </pivotField>
    <pivotField showAll="0"/>
    <pivotField axis="axisRow" showAll="0">
      <items count="20">
        <item x="0"/>
        <item x="18"/>
        <item x="13"/>
        <item x="6"/>
        <item x="1"/>
        <item x="17"/>
        <item x="14"/>
        <item x="4"/>
        <item x="8"/>
        <item x="12"/>
        <item x="9"/>
        <item x="3"/>
        <item x="16"/>
        <item x="5"/>
        <item x="10"/>
        <item x="11"/>
        <item x="15"/>
        <item x="7"/>
        <item x="2"/>
        <item t="default"/>
      </items>
    </pivotField>
    <pivotField showAll="0"/>
    <pivotField axis="axisCol" showAll="0">
      <items count="14">
        <item x="11"/>
        <item x="10"/>
        <item x="6"/>
        <item x="8"/>
        <item x="4"/>
        <item x="3"/>
        <item x="9"/>
        <item x="1"/>
        <item x="5"/>
        <item x="7"/>
        <item x="0"/>
        <item x="2"/>
        <item x="12"/>
        <item t="default"/>
      </items>
    </pivotField>
    <pivotField showAll="0"/>
    <pivotField dataField="1" numFmtId="4" showAll="0"/>
  </pivotFields>
  <rowFields count="1">
    <field x="3"/>
  </rowFields>
  <rowItems count="14">
    <i>
      <x/>
    </i>
    <i>
      <x v="1"/>
    </i>
    <i>
      <x v="2"/>
    </i>
    <i>
      <x v="3"/>
    </i>
    <i>
      <x v="4"/>
    </i>
    <i>
      <x v="5"/>
    </i>
    <i>
      <x v="7"/>
    </i>
    <i>
      <x v="8"/>
    </i>
    <i>
      <x v="9"/>
    </i>
    <i>
      <x v="10"/>
    </i>
    <i>
      <x v="14"/>
    </i>
    <i>
      <x v="16"/>
    </i>
    <i>
      <x v="17"/>
    </i>
    <i t="grand">
      <x/>
    </i>
  </rowItems>
  <colFields count="1">
    <field x="5"/>
  </colFields>
  <colItems count="12">
    <i>
      <x v="1"/>
    </i>
    <i>
      <x v="2"/>
    </i>
    <i>
      <x v="3"/>
    </i>
    <i>
      <x v="4"/>
    </i>
    <i>
      <x v="5"/>
    </i>
    <i>
      <x v="6"/>
    </i>
    <i>
      <x v="7"/>
    </i>
    <i>
      <x v="9"/>
    </i>
    <i>
      <x v="10"/>
    </i>
    <i>
      <x v="11"/>
    </i>
    <i>
      <x v="12"/>
    </i>
    <i t="grand">
      <x/>
    </i>
  </colItems>
  <pageFields count="2">
    <pageField fld="0" hier="-1"/>
    <pageField fld="1" hier="-1"/>
  </pageFields>
  <dataFields count="1">
    <dataField name="Sum of amount" fld="7" baseField="0" baseItem="0" numFmtId="4"/>
  </dataFields>
  <formats count="14">
    <format dxfId="74">
      <pivotArea collapsedLevelsAreSubtotals="1" fieldPosition="0">
        <references count="2">
          <reference field="3" count="2">
            <x v="1"/>
            <x v="2"/>
          </reference>
          <reference field="5" count="2" selected="0">
            <x v="5"/>
            <x v="6"/>
          </reference>
        </references>
      </pivotArea>
    </format>
    <format dxfId="73">
      <pivotArea collapsedLevelsAreSubtotals="1" fieldPosition="0">
        <references count="2">
          <reference field="3" count="1">
            <x v="3"/>
          </reference>
          <reference field="5" count="1" selected="0">
            <x v="7"/>
          </reference>
        </references>
      </pivotArea>
    </format>
    <format dxfId="72">
      <pivotArea collapsedLevelsAreSubtotals="1" fieldPosition="0">
        <references count="2">
          <reference field="3" count="1">
            <x v="3"/>
          </reference>
          <reference field="5" count="1" selected="0">
            <x v="10"/>
          </reference>
        </references>
      </pivotArea>
    </format>
    <format dxfId="71">
      <pivotArea collapsedLevelsAreSubtotals="1" fieldPosition="0">
        <references count="2">
          <reference field="3" count="1">
            <x v="4"/>
          </reference>
          <reference field="5" count="1" selected="0">
            <x v="7"/>
          </reference>
        </references>
      </pivotArea>
    </format>
    <format dxfId="70">
      <pivotArea collapsedLevelsAreSubtotals="1" fieldPosition="0">
        <references count="2">
          <reference field="3" count="1">
            <x v="4"/>
          </reference>
          <reference field="5" count="1" selected="0">
            <x v="10"/>
          </reference>
        </references>
      </pivotArea>
    </format>
    <format dxfId="69">
      <pivotArea collapsedLevelsAreSubtotals="1" fieldPosition="0">
        <references count="2">
          <reference field="3" count="1">
            <x v="5"/>
          </reference>
          <reference field="5" count="1" selected="0">
            <x v="1"/>
          </reference>
        </references>
      </pivotArea>
    </format>
    <format dxfId="68">
      <pivotArea collapsedLevelsAreSubtotals="1" fieldPosition="0">
        <references count="2">
          <reference field="3" count="2">
            <x v="7"/>
            <x v="8"/>
          </reference>
          <reference field="5" count="1" selected="0">
            <x v="2"/>
          </reference>
        </references>
      </pivotArea>
    </format>
    <format dxfId="67">
      <pivotArea collapsedLevelsAreSubtotals="1" fieldPosition="0">
        <references count="2">
          <reference field="3" count="1">
            <x v="9"/>
          </reference>
          <reference field="5" count="1" selected="0">
            <x v="3"/>
          </reference>
        </references>
      </pivotArea>
    </format>
    <format dxfId="66">
      <pivotArea collapsedLevelsAreSubtotals="1" fieldPosition="0">
        <references count="2">
          <reference field="3" count="1">
            <x v="10"/>
          </reference>
          <reference field="5" count="1" selected="0">
            <x v="4"/>
          </reference>
        </references>
      </pivotArea>
    </format>
    <format dxfId="65">
      <pivotArea collapsedLevelsAreSubtotals="1" fieldPosition="0">
        <references count="2">
          <reference field="3" count="1">
            <x v="14"/>
          </reference>
          <reference field="5" count="1" selected="0">
            <x v="9"/>
          </reference>
        </references>
      </pivotArea>
    </format>
    <format dxfId="64">
      <pivotArea collapsedLevelsAreSubtotals="1" fieldPosition="0">
        <references count="2">
          <reference field="3" count="1">
            <x v="17"/>
          </reference>
          <reference field="5" count="1" selected="0">
            <x v="10"/>
          </reference>
        </references>
      </pivotArea>
    </format>
    <format dxfId="63">
      <pivotArea collapsedLevelsAreSubtotals="1" fieldPosition="0">
        <references count="2">
          <reference field="3" count="1">
            <x v="7"/>
          </reference>
          <reference field="5" count="1" selected="0">
            <x v="10"/>
          </reference>
        </references>
      </pivotArea>
    </format>
    <format dxfId="62">
      <pivotArea collapsedLevelsAreSubtotals="1" fieldPosition="0">
        <references count="2">
          <reference field="3" count="1">
            <x v="0"/>
          </reference>
          <reference field="5" count="1" selected="0">
            <x v="6"/>
          </reference>
        </references>
      </pivotArea>
    </format>
    <format dxfId="61">
      <pivotArea collapsedLevelsAreSubtotals="1" fieldPosition="0">
        <references count="2">
          <reference field="3" count="1">
            <x v="0"/>
          </reference>
          <reference field="5" count="1" selected="0">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5BCEE8-586F-482B-A7C7-5218B9876637}"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O25" firstHeaderRow="1" firstDataRow="2" firstDataCol="1" rowPageCount="2" colPageCount="1"/>
  <pivotFields count="8">
    <pivotField axis="axisPage" multipleItemSelectionAllowed="1" showAll="0">
      <items count="7">
        <item x="0"/>
        <item x="3"/>
        <item x="5"/>
        <item x="1"/>
        <item x="2"/>
        <item x="4"/>
        <item t="default"/>
      </items>
    </pivotField>
    <pivotField axis="axisPage" multipleItemSelectionAllowed="1" showAll="0">
      <items count="3">
        <item x="0"/>
        <item h="1" x="1"/>
        <item t="default"/>
      </items>
    </pivotField>
    <pivotField showAll="0"/>
    <pivotField axis="axisRow" showAll="0">
      <items count="20">
        <item x="0"/>
        <item x="18"/>
        <item x="13"/>
        <item x="6"/>
        <item x="1"/>
        <item x="17"/>
        <item x="14"/>
        <item x="4"/>
        <item x="8"/>
        <item x="12"/>
        <item x="9"/>
        <item x="3"/>
        <item x="16"/>
        <item x="5"/>
        <item x="10"/>
        <item x="11"/>
        <item x="15"/>
        <item x="7"/>
        <item x="2"/>
        <item t="default"/>
      </items>
    </pivotField>
    <pivotField showAll="0"/>
    <pivotField axis="axisCol" showAll="0">
      <items count="14">
        <item x="11"/>
        <item x="10"/>
        <item x="6"/>
        <item x="8"/>
        <item x="4"/>
        <item x="3"/>
        <item x="9"/>
        <item x="1"/>
        <item x="5"/>
        <item x="7"/>
        <item x="0"/>
        <item x="2"/>
        <item x="12"/>
        <item t="default"/>
      </items>
    </pivotField>
    <pivotField showAll="0"/>
    <pivotField dataField="1" numFmtId="4" showAll="0"/>
  </pivotFields>
  <rowFields count="1">
    <field x="3"/>
  </rowFields>
  <rowItems count="20">
    <i>
      <x/>
    </i>
    <i>
      <x v="1"/>
    </i>
    <i>
      <x v="2"/>
    </i>
    <i>
      <x v="3"/>
    </i>
    <i>
      <x v="4"/>
    </i>
    <i>
      <x v="5"/>
    </i>
    <i>
      <x v="6"/>
    </i>
    <i>
      <x v="7"/>
    </i>
    <i>
      <x v="8"/>
    </i>
    <i>
      <x v="9"/>
    </i>
    <i>
      <x v="10"/>
    </i>
    <i>
      <x v="11"/>
    </i>
    <i>
      <x v="12"/>
    </i>
    <i>
      <x v="13"/>
    </i>
    <i>
      <x v="14"/>
    </i>
    <i>
      <x v="15"/>
    </i>
    <i>
      <x v="16"/>
    </i>
    <i>
      <x v="17"/>
    </i>
    <i>
      <x v="18"/>
    </i>
    <i t="grand">
      <x/>
    </i>
  </rowItems>
  <colFields count="1">
    <field x="5"/>
  </colFields>
  <colItems count="14">
    <i>
      <x/>
    </i>
    <i>
      <x v="1"/>
    </i>
    <i>
      <x v="2"/>
    </i>
    <i>
      <x v="3"/>
    </i>
    <i>
      <x v="4"/>
    </i>
    <i>
      <x v="5"/>
    </i>
    <i>
      <x v="6"/>
    </i>
    <i>
      <x v="7"/>
    </i>
    <i>
      <x v="8"/>
    </i>
    <i>
      <x v="9"/>
    </i>
    <i>
      <x v="10"/>
    </i>
    <i>
      <x v="11"/>
    </i>
    <i>
      <x v="12"/>
    </i>
    <i t="grand">
      <x/>
    </i>
  </colItems>
  <pageFields count="2">
    <pageField fld="0" hier="-1"/>
    <pageField fld="1" hier="-1"/>
  </pageFields>
  <dataFields count="1">
    <dataField name="Sum of amount" fld="7" baseField="0" baseItem="0" numFmtId="4"/>
  </dataFields>
  <formats count="19">
    <format dxfId="36">
      <pivotArea collapsedLevelsAreSubtotals="1" fieldPosition="0">
        <references count="2">
          <reference field="3" count="2">
            <x v="1"/>
            <x v="2"/>
          </reference>
          <reference field="5" count="2" selected="0">
            <x v="5"/>
            <x v="6"/>
          </reference>
        </references>
      </pivotArea>
    </format>
    <format dxfId="37">
      <pivotArea collapsedLevelsAreSubtotals="1" fieldPosition="0">
        <references count="2">
          <reference field="3" count="1">
            <x v="3"/>
          </reference>
          <reference field="5" count="1" selected="0">
            <x v="7"/>
          </reference>
        </references>
      </pivotArea>
    </format>
    <format dxfId="38">
      <pivotArea collapsedLevelsAreSubtotals="1" fieldPosition="0">
        <references count="2">
          <reference field="3" count="1">
            <x v="3"/>
          </reference>
          <reference field="5" count="1" selected="0">
            <x v="10"/>
          </reference>
        </references>
      </pivotArea>
    </format>
    <format dxfId="39">
      <pivotArea collapsedLevelsAreSubtotals="1" fieldPosition="0">
        <references count="2">
          <reference field="3" count="1">
            <x v="4"/>
          </reference>
          <reference field="5" count="1" selected="0">
            <x v="7"/>
          </reference>
        </references>
      </pivotArea>
    </format>
    <format dxfId="40">
      <pivotArea collapsedLevelsAreSubtotals="1" fieldPosition="0">
        <references count="2">
          <reference field="3" count="1">
            <x v="4"/>
          </reference>
          <reference field="5" count="1" selected="0">
            <x v="10"/>
          </reference>
        </references>
      </pivotArea>
    </format>
    <format dxfId="41">
      <pivotArea collapsedLevelsAreSubtotals="1" fieldPosition="0">
        <references count="2">
          <reference field="3" count="1">
            <x v="5"/>
          </reference>
          <reference field="5" count="1" selected="0">
            <x v="1"/>
          </reference>
        </references>
      </pivotArea>
    </format>
    <format dxfId="42">
      <pivotArea collapsedLevelsAreSubtotals="1" fieldPosition="0">
        <references count="2">
          <reference field="3" count="2">
            <x v="7"/>
            <x v="8"/>
          </reference>
          <reference field="5" count="1" selected="0">
            <x v="2"/>
          </reference>
        </references>
      </pivotArea>
    </format>
    <format dxfId="43">
      <pivotArea collapsedLevelsAreSubtotals="1" fieldPosition="0">
        <references count="2">
          <reference field="3" count="1">
            <x v="9"/>
          </reference>
          <reference field="5" count="1" selected="0">
            <x v="3"/>
          </reference>
        </references>
      </pivotArea>
    </format>
    <format dxfId="44">
      <pivotArea collapsedLevelsAreSubtotals="1" fieldPosition="0">
        <references count="2">
          <reference field="3" count="1">
            <x v="10"/>
          </reference>
          <reference field="5" count="1" selected="0">
            <x v="4"/>
          </reference>
        </references>
      </pivotArea>
    </format>
    <format dxfId="45">
      <pivotArea collapsedLevelsAreSubtotals="1" fieldPosition="0">
        <references count="2">
          <reference field="3" count="1">
            <x v="14"/>
          </reference>
          <reference field="5" count="1" selected="0">
            <x v="9"/>
          </reference>
        </references>
      </pivotArea>
    </format>
    <format dxfId="46">
      <pivotArea collapsedLevelsAreSubtotals="1" fieldPosition="0">
        <references count="2">
          <reference field="3" count="1">
            <x v="17"/>
          </reference>
          <reference field="5" count="1" selected="0">
            <x v="10"/>
          </reference>
        </references>
      </pivotArea>
    </format>
    <format dxfId="47">
      <pivotArea collapsedLevelsAreSubtotals="1" fieldPosition="0">
        <references count="2">
          <reference field="3" count="1">
            <x v="7"/>
          </reference>
          <reference field="5" count="1" selected="0">
            <x v="10"/>
          </reference>
        </references>
      </pivotArea>
    </format>
    <format dxfId="48">
      <pivotArea collapsedLevelsAreSubtotals="1" fieldPosition="0">
        <references count="2">
          <reference field="3" count="1">
            <x v="0"/>
          </reference>
          <reference field="5" count="1" selected="0">
            <x v="6"/>
          </reference>
        </references>
      </pivotArea>
    </format>
    <format dxfId="49">
      <pivotArea collapsedLevelsAreSubtotals="1" fieldPosition="0">
        <references count="2">
          <reference field="3" count="1">
            <x v="0"/>
          </reference>
          <reference field="5" count="1" selected="0">
            <x v="7"/>
          </reference>
        </references>
      </pivotArea>
    </format>
    <format dxfId="35">
      <pivotArea collapsedLevelsAreSubtotals="1" fieldPosition="0">
        <references count="2">
          <reference field="3" count="1">
            <x v="6"/>
          </reference>
          <reference field="5" count="1" selected="0">
            <x v="1"/>
          </reference>
        </references>
      </pivotArea>
    </format>
    <format dxfId="34">
      <pivotArea collapsedLevelsAreSubtotals="1" fieldPosition="0">
        <references count="2">
          <reference field="3" count="1">
            <x v="11"/>
          </reference>
          <reference field="5" count="1" selected="0">
            <x v="4"/>
          </reference>
        </references>
      </pivotArea>
    </format>
    <format dxfId="33">
      <pivotArea collapsedLevelsAreSubtotals="1" fieldPosition="0">
        <references count="2">
          <reference field="3" count="2">
            <x v="12"/>
            <x v="13"/>
          </reference>
          <reference field="5" count="1" selected="0">
            <x v="8"/>
          </reference>
        </references>
      </pivotArea>
    </format>
    <format dxfId="32">
      <pivotArea collapsedLevelsAreSubtotals="1" fieldPosition="0">
        <references count="2">
          <reference field="3" count="1">
            <x v="15"/>
          </reference>
          <reference field="5" count="1" selected="0">
            <x v="9"/>
          </reference>
        </references>
      </pivotArea>
    </format>
    <format dxfId="31">
      <pivotArea collapsedLevelsAreSubtotals="1" fieldPosition="0">
        <references count="2">
          <reference field="3" count="1">
            <x v="16"/>
          </reference>
          <reference field="5" count="1" selected="0">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5967D7-C42C-4B3C-9D22-ADD3753823FB}"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N23" firstHeaderRow="1" firstDataRow="2" firstDataCol="1" rowPageCount="2" colPageCount="1"/>
  <pivotFields count="8">
    <pivotField axis="axisPage" multipleItemSelectionAllowed="1" showAll="0">
      <items count="7">
        <item h="1" x="0"/>
        <item x="3"/>
        <item h="1" x="5"/>
        <item h="1" x="1"/>
        <item h="1" x="2"/>
        <item h="1" x="4"/>
        <item t="default"/>
      </items>
    </pivotField>
    <pivotField axis="axisPage" multipleItemSelectionAllowed="1" showAll="0">
      <items count="3">
        <item x="0"/>
        <item h="1" x="1"/>
        <item t="default"/>
      </items>
    </pivotField>
    <pivotField showAll="0"/>
    <pivotField axis="axisRow" showAll="0">
      <items count="20">
        <item x="0"/>
        <item x="18"/>
        <item x="13"/>
        <item x="6"/>
        <item x="1"/>
        <item x="17"/>
        <item x="14"/>
        <item x="4"/>
        <item x="8"/>
        <item x="12"/>
        <item x="9"/>
        <item x="3"/>
        <item x="16"/>
        <item x="5"/>
        <item x="10"/>
        <item x="11"/>
        <item x="15"/>
        <item x="7"/>
        <item x="2"/>
        <item t="default"/>
      </items>
    </pivotField>
    <pivotField showAll="0"/>
    <pivotField axis="axisCol" showAll="0">
      <items count="14">
        <item x="11"/>
        <item x="10"/>
        <item x="6"/>
        <item x="8"/>
        <item x="4"/>
        <item x="3"/>
        <item x="9"/>
        <item x="1"/>
        <item x="5"/>
        <item x="7"/>
        <item x="0"/>
        <item x="2"/>
        <item x="12"/>
        <item t="default"/>
      </items>
    </pivotField>
    <pivotField dataField="1" showAll="0"/>
    <pivotField numFmtId="4" showAll="0"/>
  </pivotFields>
  <rowFields count="1">
    <field x="3"/>
  </rowFields>
  <rowItems count="18">
    <i>
      <x/>
    </i>
    <i>
      <x v="2"/>
    </i>
    <i>
      <x v="3"/>
    </i>
    <i>
      <x v="4"/>
    </i>
    <i>
      <x v="5"/>
    </i>
    <i>
      <x v="6"/>
    </i>
    <i>
      <x v="7"/>
    </i>
    <i>
      <x v="8"/>
    </i>
    <i>
      <x v="9"/>
    </i>
    <i>
      <x v="10"/>
    </i>
    <i>
      <x v="11"/>
    </i>
    <i>
      <x v="12"/>
    </i>
    <i>
      <x v="13"/>
    </i>
    <i>
      <x v="14"/>
    </i>
    <i>
      <x v="16"/>
    </i>
    <i>
      <x v="17"/>
    </i>
    <i>
      <x v="18"/>
    </i>
    <i t="grand">
      <x/>
    </i>
  </rowItems>
  <colFields count="1">
    <field x="5"/>
  </colFields>
  <colItems count="13">
    <i>
      <x/>
    </i>
    <i>
      <x v="1"/>
    </i>
    <i>
      <x v="2"/>
    </i>
    <i>
      <x v="4"/>
    </i>
    <i>
      <x v="5"/>
    </i>
    <i>
      <x v="6"/>
    </i>
    <i>
      <x v="7"/>
    </i>
    <i>
      <x v="8"/>
    </i>
    <i>
      <x v="9"/>
    </i>
    <i>
      <x v="10"/>
    </i>
    <i>
      <x v="11"/>
    </i>
    <i>
      <x v="12"/>
    </i>
    <i t="grand">
      <x/>
    </i>
  </colItems>
  <pageFields count="2">
    <pageField fld="0" hier="-1"/>
    <pageField fld="1" hier="-1"/>
  </pageFields>
  <dataFields count="1">
    <dataField name="Sum of emissao" fld="6" baseField="3" baseItem="8" numFmtId="4"/>
  </dataFields>
  <formats count="14">
    <format dxfId="19">
      <pivotArea collapsedLevelsAreSubtotals="1" fieldPosition="0">
        <references count="2">
          <reference field="3" count="1">
            <x v="1"/>
          </reference>
          <reference field="5" count="1" selected="0">
            <x v="5"/>
          </reference>
        </references>
      </pivotArea>
    </format>
    <format dxfId="20">
      <pivotArea collapsedLevelsAreSubtotals="1" fieldPosition="0">
        <references count="2">
          <reference field="3" count="1">
            <x v="2"/>
          </reference>
          <reference field="5" count="2" selected="0">
            <x v="5"/>
            <x v="6"/>
          </reference>
        </references>
      </pivotArea>
    </format>
    <format dxfId="21">
      <pivotArea collapsedLevelsAreSubtotals="1" fieldPosition="0">
        <references count="2">
          <reference field="3" count="2">
            <x v="3"/>
            <x v="4"/>
          </reference>
          <reference field="5" count="1" selected="0">
            <x v="7"/>
          </reference>
        </references>
      </pivotArea>
    </format>
    <format dxfId="22">
      <pivotArea collapsedLevelsAreSubtotals="1" fieldPosition="0">
        <references count="2">
          <reference field="3" count="1">
            <x v="3"/>
          </reference>
          <reference field="5" count="1" selected="0">
            <x v="10"/>
          </reference>
        </references>
      </pivotArea>
    </format>
    <format dxfId="23">
      <pivotArea collapsedLevelsAreSubtotals="1" fieldPosition="0">
        <references count="2">
          <reference field="3" count="2">
            <x v="5"/>
            <x v="6"/>
          </reference>
          <reference field="5" count="1" selected="0">
            <x v="1"/>
          </reference>
        </references>
      </pivotArea>
    </format>
    <format dxfId="24">
      <pivotArea collapsedLevelsAreSubtotals="1" fieldPosition="0">
        <references count="2">
          <reference field="3" count="1">
            <x v="7"/>
          </reference>
          <reference field="5" count="1" selected="0">
            <x v="2"/>
          </reference>
        </references>
      </pivotArea>
    </format>
    <format dxfId="25">
      <pivotArea collapsedLevelsAreSubtotals="1" fieldPosition="0">
        <references count="2">
          <reference field="3" count="2">
            <x v="10"/>
            <x v="11"/>
          </reference>
          <reference field="5" count="1" selected="0">
            <x v="4"/>
          </reference>
        </references>
      </pivotArea>
    </format>
    <format dxfId="26">
      <pivotArea collapsedLevelsAreSubtotals="1" fieldPosition="0">
        <references count="2">
          <reference field="3" count="3">
            <x v="7"/>
            <x v="8"/>
            <x v="9"/>
          </reference>
          <reference field="5" count="1" selected="0">
            <x v="10"/>
          </reference>
        </references>
      </pivotArea>
    </format>
    <format dxfId="27">
      <pivotArea collapsedLevelsAreSubtotals="1" fieldPosition="0">
        <references count="2">
          <reference field="3" count="1">
            <x v="17"/>
          </reference>
          <reference field="5" count="1" selected="0">
            <x v="10"/>
          </reference>
        </references>
      </pivotArea>
    </format>
    <format dxfId="28">
      <pivotArea collapsedLevelsAreSubtotals="1" fieldPosition="0">
        <references count="2">
          <reference field="3" count="1">
            <x v="14"/>
          </reference>
          <reference field="5" count="1" selected="0">
            <x v="9"/>
          </reference>
        </references>
      </pivotArea>
    </format>
    <format dxfId="29">
      <pivotArea collapsedLevelsAreSubtotals="1" fieldPosition="0">
        <references count="2">
          <reference field="3" count="1">
            <x v="12"/>
          </reference>
          <reference field="5" count="1" selected="0">
            <x v="8"/>
          </reference>
        </references>
      </pivotArea>
    </format>
    <format dxfId="30">
      <pivotArea collapsedLevelsAreSubtotals="1" fieldPosition="0">
        <references count="2">
          <reference field="3" count="1">
            <x v="13"/>
          </reference>
          <reference field="5" count="1" selected="0">
            <x v="8"/>
          </reference>
        </references>
      </pivotArea>
    </format>
    <format dxfId="18">
      <pivotArea outline="0" collapsedLevelsAreSubtotals="1" fieldPosition="0"/>
    </format>
    <format dxfId="1">
      <pivotArea collapsedLevelsAreSubtotals="1" fieldPosition="0">
        <references count="2">
          <reference field="3" count="1">
            <x v="17"/>
          </reference>
          <reference field="5" count="1" selected="0">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C506F1-369D-432A-97B1-C29A658A339E}"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M19" firstHeaderRow="1" firstDataRow="2" firstDataCol="1" rowPageCount="2" colPageCount="1"/>
  <pivotFields count="8">
    <pivotField axis="axisPage" multipleItemSelectionAllowed="1" showAll="0">
      <items count="7">
        <item h="1" x="0"/>
        <item h="1" x="3"/>
        <item h="1" x="5"/>
        <item h="1" x="1"/>
        <item x="2"/>
        <item h="1" x="4"/>
        <item t="default"/>
      </items>
    </pivotField>
    <pivotField axis="axisPage" multipleItemSelectionAllowed="1" showAll="0">
      <items count="3">
        <item x="0"/>
        <item h="1" x="1"/>
        <item t="default"/>
      </items>
    </pivotField>
    <pivotField showAll="0"/>
    <pivotField axis="axisRow" showAll="0">
      <items count="20">
        <item x="0"/>
        <item x="18"/>
        <item x="13"/>
        <item x="6"/>
        <item x="1"/>
        <item x="17"/>
        <item x="14"/>
        <item x="4"/>
        <item x="8"/>
        <item x="12"/>
        <item x="9"/>
        <item x="3"/>
        <item x="16"/>
        <item x="5"/>
        <item x="10"/>
        <item x="11"/>
        <item x="15"/>
        <item x="7"/>
        <item x="2"/>
        <item t="default"/>
      </items>
    </pivotField>
    <pivotField showAll="0"/>
    <pivotField axis="axisCol" showAll="0">
      <items count="14">
        <item x="11"/>
        <item x="10"/>
        <item x="6"/>
        <item x="8"/>
        <item x="4"/>
        <item x="3"/>
        <item x="9"/>
        <item x="1"/>
        <item x="5"/>
        <item x="7"/>
        <item x="0"/>
        <item x="2"/>
        <item x="12"/>
        <item t="default"/>
      </items>
    </pivotField>
    <pivotField dataField="1" showAll="0"/>
    <pivotField numFmtId="4" showAll="0"/>
  </pivotFields>
  <rowFields count="1">
    <field x="3"/>
  </rowFields>
  <rowItems count="14">
    <i>
      <x/>
    </i>
    <i>
      <x v="1"/>
    </i>
    <i>
      <x v="2"/>
    </i>
    <i>
      <x v="3"/>
    </i>
    <i>
      <x v="4"/>
    </i>
    <i>
      <x v="5"/>
    </i>
    <i>
      <x v="7"/>
    </i>
    <i>
      <x v="8"/>
    </i>
    <i>
      <x v="9"/>
    </i>
    <i>
      <x v="10"/>
    </i>
    <i>
      <x v="14"/>
    </i>
    <i>
      <x v="16"/>
    </i>
    <i>
      <x v="17"/>
    </i>
    <i t="grand">
      <x/>
    </i>
  </rowItems>
  <colFields count="1">
    <field x="5"/>
  </colFields>
  <colItems count="12">
    <i>
      <x v="1"/>
    </i>
    <i>
      <x v="2"/>
    </i>
    <i>
      <x v="3"/>
    </i>
    <i>
      <x v="4"/>
    </i>
    <i>
      <x v="5"/>
    </i>
    <i>
      <x v="6"/>
    </i>
    <i>
      <x v="7"/>
    </i>
    <i>
      <x v="9"/>
    </i>
    <i>
      <x v="10"/>
    </i>
    <i>
      <x v="11"/>
    </i>
    <i>
      <x v="12"/>
    </i>
    <i t="grand">
      <x/>
    </i>
  </colItems>
  <pageFields count="2">
    <pageField fld="0" hier="-1"/>
    <pageField fld="1" hier="-1"/>
  </pageFields>
  <dataFields count="1">
    <dataField name="Sum of emissao" fld="6" baseField="3" baseItem="1" numFmtId="4"/>
  </dataFields>
  <formats count="16">
    <format dxfId="4">
      <pivotArea collapsedLevelsAreSubtotals="1" fieldPosition="0">
        <references count="2">
          <reference field="3" count="2">
            <x v="1"/>
            <x v="2"/>
          </reference>
          <reference field="5" count="2" selected="0">
            <x v="5"/>
            <x v="6"/>
          </reference>
        </references>
      </pivotArea>
    </format>
    <format dxfId="5">
      <pivotArea collapsedLevelsAreSubtotals="1" fieldPosition="0">
        <references count="2">
          <reference field="3" count="1">
            <x v="3"/>
          </reference>
          <reference field="5" count="1" selected="0">
            <x v="7"/>
          </reference>
        </references>
      </pivotArea>
    </format>
    <format dxfId="6">
      <pivotArea collapsedLevelsAreSubtotals="1" fieldPosition="0">
        <references count="2">
          <reference field="3" count="1">
            <x v="3"/>
          </reference>
          <reference field="5" count="1" selected="0">
            <x v="10"/>
          </reference>
        </references>
      </pivotArea>
    </format>
    <format dxfId="7">
      <pivotArea collapsedLevelsAreSubtotals="1" fieldPosition="0">
        <references count="2">
          <reference field="3" count="1">
            <x v="4"/>
          </reference>
          <reference field="5" count="1" selected="0">
            <x v="7"/>
          </reference>
        </references>
      </pivotArea>
    </format>
    <format dxfId="8">
      <pivotArea collapsedLevelsAreSubtotals="1" fieldPosition="0">
        <references count="2">
          <reference field="3" count="1">
            <x v="4"/>
          </reference>
          <reference field="5" count="1" selected="0">
            <x v="10"/>
          </reference>
        </references>
      </pivotArea>
    </format>
    <format dxfId="9">
      <pivotArea collapsedLevelsAreSubtotals="1" fieldPosition="0">
        <references count="2">
          <reference field="3" count="1">
            <x v="5"/>
          </reference>
          <reference field="5" count="1" selected="0">
            <x v="1"/>
          </reference>
        </references>
      </pivotArea>
    </format>
    <format dxfId="10">
      <pivotArea collapsedLevelsAreSubtotals="1" fieldPosition="0">
        <references count="2">
          <reference field="3" count="2">
            <x v="7"/>
            <x v="8"/>
          </reference>
          <reference field="5" count="1" selected="0">
            <x v="2"/>
          </reference>
        </references>
      </pivotArea>
    </format>
    <format dxfId="11">
      <pivotArea collapsedLevelsAreSubtotals="1" fieldPosition="0">
        <references count="2">
          <reference field="3" count="1">
            <x v="9"/>
          </reference>
          <reference field="5" count="1" selected="0">
            <x v="3"/>
          </reference>
        </references>
      </pivotArea>
    </format>
    <format dxfId="12">
      <pivotArea collapsedLevelsAreSubtotals="1" fieldPosition="0">
        <references count="2">
          <reference field="3" count="1">
            <x v="10"/>
          </reference>
          <reference field="5" count="1" selected="0">
            <x v="4"/>
          </reference>
        </references>
      </pivotArea>
    </format>
    <format dxfId="13">
      <pivotArea collapsedLevelsAreSubtotals="1" fieldPosition="0">
        <references count="2">
          <reference field="3" count="1">
            <x v="14"/>
          </reference>
          <reference field="5" count="1" selected="0">
            <x v="9"/>
          </reference>
        </references>
      </pivotArea>
    </format>
    <format dxfId="14">
      <pivotArea collapsedLevelsAreSubtotals="1" fieldPosition="0">
        <references count="2">
          <reference field="3" count="1">
            <x v="17"/>
          </reference>
          <reference field="5" count="1" selected="0">
            <x v="10"/>
          </reference>
        </references>
      </pivotArea>
    </format>
    <format dxfId="15">
      <pivotArea collapsedLevelsAreSubtotals="1" fieldPosition="0">
        <references count="2">
          <reference field="3" count="1">
            <x v="7"/>
          </reference>
          <reference field="5" count="1" selected="0">
            <x v="10"/>
          </reference>
        </references>
      </pivotArea>
    </format>
    <format dxfId="16">
      <pivotArea collapsedLevelsAreSubtotals="1" fieldPosition="0">
        <references count="2">
          <reference field="3" count="1">
            <x v="0"/>
          </reference>
          <reference field="5" count="1" selected="0">
            <x v="6"/>
          </reference>
        </references>
      </pivotArea>
    </format>
    <format dxfId="17">
      <pivotArea collapsedLevelsAreSubtotals="1" fieldPosition="0">
        <references count="2">
          <reference field="3" count="1">
            <x v="0"/>
          </reference>
          <reference field="5" count="1" selected="0">
            <x v="7"/>
          </reference>
        </references>
      </pivotArea>
    </format>
    <format dxfId="3">
      <pivotArea outline="0" collapsedLevelsAreSubtotals="1" fieldPosition="0"/>
    </format>
    <format dxfId="2">
      <pivotArea collapsedLevelsAreSubtotals="1" fieldPosition="0">
        <references count="2">
          <reference field="3" count="1">
            <x v="17"/>
          </reference>
          <reference field="5" count="1" selected="0">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95"/>
  <sheetViews>
    <sheetView workbookViewId="0">
      <selection activeCell="F67" sqref="A67:XFD67"/>
    </sheetView>
  </sheetViews>
  <sheetFormatPr defaultColWidth="11.42578125" defaultRowHeight="15" x14ac:dyDescent="0.25"/>
  <cols>
    <col min="1" max="2" width="25.85546875" bestFit="1" customWidth="1"/>
    <col min="3" max="3" width="14.7109375" bestFit="1" customWidth="1"/>
    <col min="4" max="4" width="52.7109375" bestFit="1" customWidth="1"/>
    <col min="5" max="5" width="10.5703125" bestFit="1" customWidth="1"/>
    <col min="6" max="6" width="10.5703125" customWidth="1"/>
    <col min="7" max="7" width="11.42578125" bestFit="1" customWidth="1"/>
    <col min="8" max="8" width="16" bestFit="1" customWidth="1"/>
  </cols>
  <sheetData>
    <row r="1" spans="1:10" x14ac:dyDescent="0.25">
      <c r="G1" s="1">
        <f>+SUBTOTAL(9,G3:G95)</f>
        <v>149.14121907685001</v>
      </c>
      <c r="H1" s="1">
        <f>+SUBTOTAL(9,H3:H95)</f>
        <v>46259639.590000004</v>
      </c>
      <c r="J1" s="9" t="s">
        <v>123</v>
      </c>
    </row>
    <row r="2" spans="1:10" x14ac:dyDescent="0.25">
      <c r="A2" t="s">
        <v>0</v>
      </c>
      <c r="B2" t="s">
        <v>1</v>
      </c>
      <c r="C2" t="s">
        <v>2</v>
      </c>
      <c r="D2" t="s">
        <v>114</v>
      </c>
      <c r="E2" t="s">
        <v>3</v>
      </c>
      <c r="F2" t="s">
        <v>115</v>
      </c>
      <c r="G2" t="s">
        <v>4</v>
      </c>
      <c r="H2" t="s">
        <v>5</v>
      </c>
    </row>
    <row r="3" spans="1:10" hidden="1" x14ac:dyDescent="0.25">
      <c r="A3" t="s">
        <v>6</v>
      </c>
      <c r="B3" t="s">
        <v>7</v>
      </c>
      <c r="C3" s="2">
        <v>5000</v>
      </c>
      <c r="D3" t="str">
        <f>+VLOOKUP(C3,cgarant_bem!A:B,2,FALSE)</f>
        <v>Imóveis com finalidade indefinida</v>
      </c>
      <c r="E3" t="s">
        <v>8</v>
      </c>
      <c r="F3" t="str">
        <f>+VLOOKUP(E3,cfin_bem!A:B,2,FALSE)</f>
        <v>Outras</v>
      </c>
      <c r="G3" s="1">
        <v>504.97554803396798</v>
      </c>
      <c r="H3" s="1">
        <v>25507804.6199999</v>
      </c>
    </row>
    <row r="4" spans="1:10" hidden="1" x14ac:dyDescent="0.25">
      <c r="A4" t="s">
        <v>9</v>
      </c>
      <c r="B4" t="s">
        <v>7</v>
      </c>
      <c r="C4" s="2">
        <v>5102</v>
      </c>
      <c r="D4" t="str">
        <f>+VLOOKUP(C4,cgarant_bem!A:B,2,FALSE)</f>
        <v>Imóvel ou Fração p/ Habitação - em construção</v>
      </c>
      <c r="E4" t="s">
        <v>10</v>
      </c>
      <c r="F4" t="str">
        <f>+VLOOKUP(E4,cfin_bem!A:B,2,FALSE)</f>
        <v>Habitação</v>
      </c>
      <c r="G4" s="1">
        <v>4.6162313974</v>
      </c>
      <c r="H4" s="1">
        <v>1178563.6441060901</v>
      </c>
    </row>
    <row r="5" spans="1:10" hidden="1" x14ac:dyDescent="0.25">
      <c r="A5" t="s">
        <v>11</v>
      </c>
      <c r="B5" t="s">
        <v>12</v>
      </c>
      <c r="C5" t="s">
        <v>13</v>
      </c>
      <c r="D5" t="e">
        <f>+VLOOKUP(C5,cgarant_bem!A:B,2,FALSE)</f>
        <v>#N/A</v>
      </c>
      <c r="E5" t="s">
        <v>13</v>
      </c>
      <c r="F5" t="e">
        <f>+VLOOKUP(E5,cfin_bem!A:B,2,FALSE)</f>
        <v>#N/A</v>
      </c>
      <c r="G5" s="1" t="s">
        <v>13</v>
      </c>
      <c r="H5" s="1">
        <v>36314206.850000001</v>
      </c>
    </row>
    <row r="6" spans="1:10" hidden="1" x14ac:dyDescent="0.25">
      <c r="A6" t="s">
        <v>9</v>
      </c>
      <c r="B6" t="s">
        <v>7</v>
      </c>
      <c r="C6" s="2">
        <v>5000</v>
      </c>
      <c r="D6" t="str">
        <f>+VLOOKUP(C6,cgarant_bem!A:B,2,FALSE)</f>
        <v>Imóveis com finalidade indefinida</v>
      </c>
      <c r="E6" t="s">
        <v>14</v>
      </c>
      <c r="F6" t="str">
        <f>+VLOOKUP(E6,cfin_bem!A:B,2,FALSE)</f>
        <v>Estacionamento</v>
      </c>
      <c r="G6" s="1" t="s">
        <v>13</v>
      </c>
      <c r="H6" s="1">
        <v>567.31364063622505</v>
      </c>
    </row>
    <row r="7" spans="1:10" hidden="1" x14ac:dyDescent="0.25">
      <c r="A7" t="s">
        <v>9</v>
      </c>
      <c r="B7" t="s">
        <v>7</v>
      </c>
      <c r="C7" s="2">
        <v>5204</v>
      </c>
      <c r="D7" t="str">
        <f>+VLOOKUP(C7,cgarant_bem!A:B,2,FALSE)</f>
        <v>Imóvel p/ Escritório - em construção</v>
      </c>
      <c r="E7" t="s">
        <v>15</v>
      </c>
      <c r="F7" t="str">
        <f>+VLOOKUP(E7,cfin_bem!A:B,2,FALSE)</f>
        <v>Escritório</v>
      </c>
      <c r="G7" s="1">
        <v>31.3995102157857</v>
      </c>
      <c r="H7" s="1">
        <v>4672059.1817346402</v>
      </c>
    </row>
    <row r="8" spans="1:10" hidden="1" x14ac:dyDescent="0.25">
      <c r="A8" t="s">
        <v>11</v>
      </c>
      <c r="B8" t="s">
        <v>7</v>
      </c>
      <c r="C8" s="2">
        <v>5201</v>
      </c>
      <c r="D8" t="str">
        <f>+VLOOKUP(C8,cgarant_bem!A:B,2,FALSE)</f>
        <v>Imóvel p/ Comércio</v>
      </c>
      <c r="E8" t="s">
        <v>8</v>
      </c>
      <c r="F8" t="str">
        <f>+VLOOKUP(E8,cfin_bem!A:B,2,FALSE)</f>
        <v>Outras</v>
      </c>
      <c r="G8" s="1">
        <v>13172.202386959199</v>
      </c>
      <c r="H8" s="1">
        <v>4663532.5177857503</v>
      </c>
    </row>
    <row r="9" spans="1:10" hidden="1" x14ac:dyDescent="0.25">
      <c r="A9" t="s">
        <v>6</v>
      </c>
      <c r="B9" t="s">
        <v>7</v>
      </c>
      <c r="C9" s="2">
        <v>5212</v>
      </c>
      <c r="D9" t="str">
        <f>+VLOOKUP(C9,cgarant_bem!A:B,2,FALSE)</f>
        <v>Imóvel p/ Hotel - em construção</v>
      </c>
      <c r="E9" t="s">
        <v>16</v>
      </c>
      <c r="F9" t="str">
        <f>+VLOOKUP(E9,cfin_bem!A:B,2,FALSE)</f>
        <v>Hotel</v>
      </c>
      <c r="G9" s="1">
        <v>55.623895323384801</v>
      </c>
      <c r="H9" s="1">
        <v>5758032.0199999996</v>
      </c>
    </row>
    <row r="10" spans="1:10" hidden="1" x14ac:dyDescent="0.25">
      <c r="A10" t="s">
        <v>9</v>
      </c>
      <c r="B10" t="s">
        <v>7</v>
      </c>
      <c r="C10" s="2">
        <v>5000</v>
      </c>
      <c r="D10" t="str">
        <f>+VLOOKUP(C10,cgarant_bem!A:B,2,FALSE)</f>
        <v>Imóveis com finalidade indefinida</v>
      </c>
      <c r="E10" t="s">
        <v>8</v>
      </c>
      <c r="F10" t="str">
        <f>+VLOOKUP(E10,cfin_bem!A:B,2,FALSE)</f>
        <v>Outras</v>
      </c>
      <c r="G10" s="1">
        <v>754.02181379586398</v>
      </c>
      <c r="H10" s="1">
        <v>1174119.5660883901</v>
      </c>
    </row>
    <row r="11" spans="1:10" hidden="1" x14ac:dyDescent="0.25">
      <c r="A11" t="s">
        <v>11</v>
      </c>
      <c r="B11" t="s">
        <v>7</v>
      </c>
      <c r="C11" s="2">
        <v>5101</v>
      </c>
      <c r="D11" t="str">
        <f>+VLOOKUP(C11,cgarant_bem!A:B,2,FALSE)</f>
        <v>Imóvel ou Fração p/ Habitação</v>
      </c>
      <c r="E11" t="s">
        <v>10</v>
      </c>
      <c r="F11" t="str">
        <f>+VLOOKUP(E11,cfin_bem!A:B,2,FALSE)</f>
        <v>Habitação</v>
      </c>
      <c r="G11" s="1">
        <v>355929.45482189901</v>
      </c>
      <c r="H11" s="1">
        <v>22483765008.3773</v>
      </c>
    </row>
    <row r="12" spans="1:10" hidden="1" x14ac:dyDescent="0.25">
      <c r="A12" t="s">
        <v>17</v>
      </c>
      <c r="B12" t="s">
        <v>7</v>
      </c>
      <c r="C12" s="2">
        <v>5101</v>
      </c>
      <c r="D12" t="str">
        <f>+VLOOKUP(C12,cgarant_bem!A:B,2,FALSE)</f>
        <v>Imóvel ou Fração p/ Habitação</v>
      </c>
      <c r="E12" t="s">
        <v>8</v>
      </c>
      <c r="F12" t="str">
        <f>+VLOOKUP(E12,cfin_bem!A:B,2,FALSE)</f>
        <v>Outras</v>
      </c>
      <c r="G12" s="1">
        <v>862.85984990539998</v>
      </c>
      <c r="H12" s="1">
        <v>80573798.998370007</v>
      </c>
    </row>
    <row r="13" spans="1:10" hidden="1" x14ac:dyDescent="0.25">
      <c r="A13" t="s">
        <v>9</v>
      </c>
      <c r="B13" t="s">
        <v>7</v>
      </c>
      <c r="C13" s="2">
        <v>5300</v>
      </c>
      <c r="D13" t="str">
        <f>+VLOOKUP(C13,cgarant_bem!A:B,2,FALSE)</f>
        <v>Terreno com finalidade indefinida</v>
      </c>
      <c r="E13" t="s">
        <v>8</v>
      </c>
      <c r="F13" t="str">
        <f>+VLOOKUP(E13,cfin_bem!A:B,2,FALSE)</f>
        <v>Outras</v>
      </c>
      <c r="G13" s="1">
        <v>73044.867737535795</v>
      </c>
      <c r="H13" s="1">
        <v>12939469.6638053</v>
      </c>
    </row>
    <row r="14" spans="1:10" hidden="1" x14ac:dyDescent="0.25">
      <c r="A14" t="s">
        <v>9</v>
      </c>
      <c r="B14" t="s">
        <v>7</v>
      </c>
      <c r="C14" s="2">
        <v>5202</v>
      </c>
      <c r="D14" t="str">
        <f>+VLOOKUP(C14,cgarant_bem!A:B,2,FALSE)</f>
        <v>Imóvel p/ Comercio - em construção</v>
      </c>
      <c r="E14" t="s">
        <v>18</v>
      </c>
      <c r="F14" t="str">
        <f>+VLOOKUP(E14,cfin_bem!A:B,2,FALSE)</f>
        <v>Comércio</v>
      </c>
      <c r="G14" s="1">
        <v>342.22571873094103</v>
      </c>
      <c r="H14" s="1">
        <v>3743679.81</v>
      </c>
    </row>
    <row r="15" spans="1:10" hidden="1" x14ac:dyDescent="0.25">
      <c r="A15" t="s">
        <v>11</v>
      </c>
      <c r="B15" t="s">
        <v>7</v>
      </c>
      <c r="C15" s="2">
        <v>5203</v>
      </c>
      <c r="D15" t="str">
        <f>+VLOOKUP(C15,cgarant_bem!A:B,2,FALSE)</f>
        <v>Imóvel p/ Escritório</v>
      </c>
      <c r="E15" t="s">
        <v>15</v>
      </c>
      <c r="F15" t="str">
        <f>+VLOOKUP(E15,cfin_bem!A:B,2,FALSE)</f>
        <v>Escritório</v>
      </c>
      <c r="G15" s="1">
        <v>986.00506824940101</v>
      </c>
      <c r="H15" s="1">
        <v>4097961.0242947899</v>
      </c>
    </row>
    <row r="16" spans="1:10" hidden="1" x14ac:dyDescent="0.25">
      <c r="A16" t="s">
        <v>9</v>
      </c>
      <c r="B16" t="s">
        <v>7</v>
      </c>
      <c r="C16" s="2">
        <v>5201</v>
      </c>
      <c r="D16" t="str">
        <f>+VLOOKUP(C16,cgarant_bem!A:B,2,FALSE)</f>
        <v>Imóvel p/ Comércio</v>
      </c>
      <c r="E16" t="s">
        <v>8</v>
      </c>
      <c r="F16" t="str">
        <f>+VLOOKUP(E16,cfin_bem!A:B,2,FALSE)</f>
        <v>Outras</v>
      </c>
      <c r="G16" s="1">
        <v>547615.47285618505</v>
      </c>
      <c r="H16" s="1">
        <v>225390561.20812601</v>
      </c>
    </row>
    <row r="17" spans="1:8" hidden="1" x14ac:dyDescent="0.25">
      <c r="A17" t="s">
        <v>11</v>
      </c>
      <c r="B17" t="s">
        <v>7</v>
      </c>
      <c r="C17" s="2">
        <v>5000</v>
      </c>
      <c r="D17" t="str">
        <f>+VLOOKUP(C17,cgarant_bem!A:B,2,FALSE)</f>
        <v>Imóveis com finalidade indefinida</v>
      </c>
      <c r="E17" t="s">
        <v>10</v>
      </c>
      <c r="F17" t="str">
        <f>+VLOOKUP(E17,cfin_bem!A:B,2,FALSE)</f>
        <v>Habitação</v>
      </c>
      <c r="G17" s="1">
        <v>44.086745520000001</v>
      </c>
      <c r="H17" s="1">
        <v>139036.328669551</v>
      </c>
    </row>
    <row r="18" spans="1:8" hidden="1" x14ac:dyDescent="0.25">
      <c r="A18" t="s">
        <v>9</v>
      </c>
      <c r="B18" t="s">
        <v>7</v>
      </c>
      <c r="C18" s="2">
        <v>5207</v>
      </c>
      <c r="D18" t="str">
        <f>+VLOOKUP(C18,cgarant_bem!A:B,2,FALSE)</f>
        <v>Imóvel p/ Indústria</v>
      </c>
      <c r="E18" t="s">
        <v>19</v>
      </c>
      <c r="F18" t="str">
        <f>+VLOOKUP(E18,cfin_bem!A:B,2,FALSE)</f>
        <v>Indústria</v>
      </c>
      <c r="G18" s="1">
        <v>16159.768338039899</v>
      </c>
      <c r="H18" s="1">
        <v>60983690.959172398</v>
      </c>
    </row>
    <row r="19" spans="1:8" hidden="1" x14ac:dyDescent="0.25">
      <c r="A19" t="s">
        <v>9</v>
      </c>
      <c r="B19" t="s">
        <v>7</v>
      </c>
      <c r="C19" s="2">
        <v>5208</v>
      </c>
      <c r="D19" t="str">
        <f>+VLOOKUP(C19,cgarant_bem!A:B,2,FALSE)</f>
        <v>Imóvel p/ Indústria - em construção</v>
      </c>
      <c r="E19" t="s">
        <v>19</v>
      </c>
      <c r="F19" t="str">
        <f>+VLOOKUP(E19,cfin_bem!A:B,2,FALSE)</f>
        <v>Indústria</v>
      </c>
      <c r="G19" s="1">
        <v>159.16649072644299</v>
      </c>
      <c r="H19" s="1">
        <v>1585102.39</v>
      </c>
    </row>
    <row r="20" spans="1:8" hidden="1" x14ac:dyDescent="0.25">
      <c r="A20" t="s">
        <v>9</v>
      </c>
      <c r="B20" t="s">
        <v>7</v>
      </c>
      <c r="C20" s="2">
        <v>5213</v>
      </c>
      <c r="D20" t="str">
        <f>+VLOOKUP(C20,cgarant_bem!A:B,2,FALSE)</f>
        <v>Imóvel p/ Educação</v>
      </c>
      <c r="E20" t="s">
        <v>20</v>
      </c>
      <c r="F20" t="str">
        <f>+VLOOKUP(E20,cfin_bem!A:B,2,FALSE)</f>
        <v>Educação</v>
      </c>
      <c r="G20" s="1">
        <v>130.653135894244</v>
      </c>
      <c r="H20" s="1">
        <v>2152835.1914285701</v>
      </c>
    </row>
    <row r="21" spans="1:8" hidden="1" x14ac:dyDescent="0.25">
      <c r="A21" t="s">
        <v>6</v>
      </c>
      <c r="B21" t="s">
        <v>7</v>
      </c>
      <c r="C21" s="2">
        <v>5203</v>
      </c>
      <c r="D21" t="str">
        <f>+VLOOKUP(C21,cgarant_bem!A:B,2,FALSE)</f>
        <v>Imóvel p/ Escritório</v>
      </c>
      <c r="E21" t="s">
        <v>15</v>
      </c>
      <c r="F21" t="str">
        <f>+VLOOKUP(E21,cfin_bem!A:B,2,FALSE)</f>
        <v>Escritório</v>
      </c>
      <c r="G21" s="1">
        <v>521.89010544465896</v>
      </c>
      <c r="H21" s="1">
        <v>28610669.426140301</v>
      </c>
    </row>
    <row r="22" spans="1:8" hidden="1" x14ac:dyDescent="0.25">
      <c r="A22" t="s">
        <v>9</v>
      </c>
      <c r="B22" t="s">
        <v>7</v>
      </c>
      <c r="C22" s="2">
        <v>5101</v>
      </c>
      <c r="D22" t="str">
        <f>+VLOOKUP(C22,cgarant_bem!A:B,2,FALSE)</f>
        <v>Imóvel ou Fração p/ Habitação</v>
      </c>
      <c r="E22" t="s">
        <v>8</v>
      </c>
      <c r="F22" t="str">
        <f>+VLOOKUP(E22,cfin_bem!A:B,2,FALSE)</f>
        <v>Outras</v>
      </c>
      <c r="G22" s="1">
        <v>13223.1138055837</v>
      </c>
      <c r="H22" s="1">
        <v>22187124.0826541</v>
      </c>
    </row>
    <row r="23" spans="1:8" hidden="1" x14ac:dyDescent="0.25">
      <c r="A23" t="s">
        <v>11</v>
      </c>
      <c r="B23" t="s">
        <v>7</v>
      </c>
      <c r="C23" s="2">
        <v>5101</v>
      </c>
      <c r="D23" t="str">
        <f>+VLOOKUP(C23,cgarant_bem!A:B,2,FALSE)</f>
        <v>Imóvel ou Fração p/ Habitação</v>
      </c>
      <c r="E23" t="s">
        <v>8</v>
      </c>
      <c r="F23" t="str">
        <f>+VLOOKUP(E23,cfin_bem!A:B,2,FALSE)</f>
        <v>Outras</v>
      </c>
      <c r="G23" s="1">
        <v>27055.3332903419</v>
      </c>
      <c r="H23" s="1">
        <v>31961416.094600499</v>
      </c>
    </row>
    <row r="24" spans="1:8" hidden="1" x14ac:dyDescent="0.25">
      <c r="A24" t="s">
        <v>6</v>
      </c>
      <c r="B24" t="s">
        <v>7</v>
      </c>
      <c r="C24" s="2">
        <v>5102</v>
      </c>
      <c r="D24" t="str">
        <f>+VLOOKUP(C24,cgarant_bem!A:B,2,FALSE)</f>
        <v>Imóvel ou Fração p/ Habitação - em construção</v>
      </c>
      <c r="E24" t="s">
        <v>8</v>
      </c>
      <c r="F24" t="str">
        <f>+VLOOKUP(E24,cfin_bem!A:B,2,FALSE)</f>
        <v>Outras</v>
      </c>
      <c r="G24" s="1">
        <v>31.627215153000002</v>
      </c>
      <c r="H24" s="1">
        <v>4121575.68</v>
      </c>
    </row>
    <row r="25" spans="1:8" hidden="1" x14ac:dyDescent="0.25">
      <c r="A25" t="s">
        <v>17</v>
      </c>
      <c r="B25" t="s">
        <v>7</v>
      </c>
      <c r="C25" s="2">
        <v>5209</v>
      </c>
      <c r="D25" t="str">
        <f>+VLOOKUP(C25,cgarant_bem!A:B,2,FALSE)</f>
        <v>Imóvel ou Fração p/ Estacionamento ligados à exploração</v>
      </c>
      <c r="E25" t="s">
        <v>21</v>
      </c>
      <c r="F25" t="str">
        <f>+VLOOKUP(E25,cfin_bem!A:B,2,FALSE)</f>
        <v>Garagem</v>
      </c>
      <c r="G25" s="1" t="s">
        <v>13</v>
      </c>
      <c r="H25" s="1">
        <v>713371.15245685598</v>
      </c>
    </row>
    <row r="26" spans="1:8" hidden="1" x14ac:dyDescent="0.25">
      <c r="A26" t="s">
        <v>9</v>
      </c>
      <c r="B26" t="s">
        <v>7</v>
      </c>
      <c r="C26" s="2">
        <v>5209</v>
      </c>
      <c r="D26" t="str">
        <f>+VLOOKUP(C26,cgarant_bem!A:B,2,FALSE)</f>
        <v>Imóvel ou Fração p/ Estacionamento ligados à exploração</v>
      </c>
      <c r="E26" t="s">
        <v>14</v>
      </c>
      <c r="F26" t="str">
        <f>+VLOOKUP(E26,cfin_bem!A:B,2,FALSE)</f>
        <v>Estacionamento</v>
      </c>
      <c r="G26" s="1" t="s">
        <v>13</v>
      </c>
      <c r="H26" s="1">
        <v>1117942.4783395301</v>
      </c>
    </row>
    <row r="27" spans="1:8" hidden="1" x14ac:dyDescent="0.25">
      <c r="A27" t="s">
        <v>11</v>
      </c>
      <c r="B27" t="s">
        <v>7</v>
      </c>
      <c r="C27" s="2">
        <v>5209</v>
      </c>
      <c r="D27" t="str">
        <f>+VLOOKUP(C27,cgarant_bem!A:B,2,FALSE)</f>
        <v>Imóvel ou Fração p/ Estacionamento ligados à exploração</v>
      </c>
      <c r="E27" t="s">
        <v>21</v>
      </c>
      <c r="F27" t="str">
        <f>+VLOOKUP(E27,cfin_bem!A:B,2,FALSE)</f>
        <v>Garagem</v>
      </c>
      <c r="G27" s="1" t="s">
        <v>13</v>
      </c>
      <c r="H27" s="1">
        <v>72297.0912038549</v>
      </c>
    </row>
    <row r="28" spans="1:8" hidden="1" x14ac:dyDescent="0.25">
      <c r="A28" t="s">
        <v>6</v>
      </c>
      <c r="B28" t="s">
        <v>7</v>
      </c>
      <c r="C28" s="2">
        <v>5206</v>
      </c>
      <c r="D28" t="str">
        <f>+VLOOKUP(C28,cgarant_bem!A:B,2,FALSE)</f>
        <v>Imóvel p/ Armazém - em construção</v>
      </c>
      <c r="E28" t="s">
        <v>22</v>
      </c>
      <c r="F28" t="str">
        <f>+VLOOKUP(E28,cfin_bem!A:B,2,FALSE)</f>
        <v>Armazém</v>
      </c>
      <c r="G28" s="1">
        <v>95.299966410559094</v>
      </c>
      <c r="H28" s="1">
        <v>2243162.7400000002</v>
      </c>
    </row>
    <row r="29" spans="1:8" hidden="1" x14ac:dyDescent="0.25">
      <c r="A29" t="s">
        <v>17</v>
      </c>
      <c r="B29" t="s">
        <v>7</v>
      </c>
      <c r="C29" s="2">
        <v>5102</v>
      </c>
      <c r="D29" t="str">
        <f>+VLOOKUP(C29,cgarant_bem!A:B,2,FALSE)</f>
        <v>Imóvel ou Fração p/ Habitação - em construção</v>
      </c>
      <c r="E29" t="s">
        <v>10</v>
      </c>
      <c r="F29" t="str">
        <f>+VLOOKUP(E29,cfin_bem!A:B,2,FALSE)</f>
        <v>Habitação</v>
      </c>
      <c r="G29" s="1">
        <v>16.795227180000001</v>
      </c>
      <c r="H29" s="1">
        <v>4867974.3499999996</v>
      </c>
    </row>
    <row r="30" spans="1:8" hidden="1" x14ac:dyDescent="0.25">
      <c r="A30" t="s">
        <v>9</v>
      </c>
      <c r="B30" t="s">
        <v>7</v>
      </c>
      <c r="C30" s="2">
        <v>82</v>
      </c>
      <c r="D30" t="e">
        <f>+VLOOKUP(C30,cgarant_bem!A:B,2,FALSE)</f>
        <v>#N/A</v>
      </c>
      <c r="E30" t="s">
        <v>23</v>
      </c>
      <c r="F30" t="str">
        <f>+VLOOKUP(E30,cfin_bem!A:B,2,FALSE)</f>
        <v>Agricultura</v>
      </c>
      <c r="G30" s="1">
        <v>2.0459993192248001</v>
      </c>
      <c r="H30" s="1">
        <v>200118.019999999</v>
      </c>
    </row>
    <row r="31" spans="1:8" hidden="1" x14ac:dyDescent="0.25">
      <c r="A31" t="s">
        <v>9</v>
      </c>
      <c r="B31" t="s">
        <v>7</v>
      </c>
      <c r="C31" s="2">
        <v>5000</v>
      </c>
      <c r="D31" t="str">
        <f>+VLOOKUP(C31,cgarant_bem!A:B,2,FALSE)</f>
        <v>Imóveis com finalidade indefinida</v>
      </c>
      <c r="F31" t="e">
        <f>+VLOOKUP(E31,cfin_bem!A:B,2,FALSE)</f>
        <v>#N/A</v>
      </c>
      <c r="G31" s="1">
        <v>0.62446803055</v>
      </c>
      <c r="H31" s="1">
        <v>0</v>
      </c>
    </row>
    <row r="32" spans="1:8" hidden="1" x14ac:dyDescent="0.25">
      <c r="A32" t="s">
        <v>17</v>
      </c>
      <c r="B32" t="s">
        <v>7</v>
      </c>
      <c r="C32" s="2">
        <v>5212</v>
      </c>
      <c r="D32" t="str">
        <f>+VLOOKUP(C32,cgarant_bem!A:B,2,FALSE)</f>
        <v>Imóvel p/ Hotel - em construção</v>
      </c>
      <c r="E32" t="s">
        <v>16</v>
      </c>
      <c r="F32" t="str">
        <f>+VLOOKUP(E32,cfin_bem!A:B,2,FALSE)</f>
        <v>Hotel</v>
      </c>
      <c r="G32" s="1">
        <v>80.384408434506497</v>
      </c>
      <c r="H32" s="1">
        <v>8387009.2699999996</v>
      </c>
    </row>
    <row r="33" spans="1:8" hidden="1" x14ac:dyDescent="0.25">
      <c r="A33" t="s">
        <v>17</v>
      </c>
      <c r="B33" t="s">
        <v>7</v>
      </c>
      <c r="C33" s="2">
        <v>5201</v>
      </c>
      <c r="D33" t="str">
        <f>+VLOOKUP(C33,cgarant_bem!A:B,2,FALSE)</f>
        <v>Imóvel p/ Comércio</v>
      </c>
      <c r="E33" t="s">
        <v>18</v>
      </c>
      <c r="F33" t="str">
        <f>+VLOOKUP(E33,cfin_bem!A:B,2,FALSE)</f>
        <v>Comércio</v>
      </c>
      <c r="G33" s="1">
        <v>9008.2415510128794</v>
      </c>
      <c r="H33" s="1">
        <v>342976944.05916101</v>
      </c>
    </row>
    <row r="34" spans="1:8" hidden="1" x14ac:dyDescent="0.25">
      <c r="A34" t="s">
        <v>6</v>
      </c>
      <c r="B34" t="s">
        <v>7</v>
      </c>
      <c r="C34" s="2">
        <v>5201</v>
      </c>
      <c r="D34" t="str">
        <f>+VLOOKUP(C34,cgarant_bem!A:B,2,FALSE)</f>
        <v>Imóvel p/ Comércio</v>
      </c>
      <c r="E34" t="s">
        <v>18</v>
      </c>
      <c r="F34" t="str">
        <f>+VLOOKUP(E34,cfin_bem!A:B,2,FALSE)</f>
        <v>Comércio</v>
      </c>
      <c r="G34" s="1">
        <v>640.70850040593905</v>
      </c>
      <c r="H34" s="1">
        <v>36321031.689983599</v>
      </c>
    </row>
    <row r="35" spans="1:8" hidden="1" x14ac:dyDescent="0.25">
      <c r="A35" t="s">
        <v>9</v>
      </c>
      <c r="B35" t="s">
        <v>7</v>
      </c>
      <c r="C35" s="2">
        <v>5201</v>
      </c>
      <c r="D35" t="str">
        <f>+VLOOKUP(C35,cgarant_bem!A:B,2,FALSE)</f>
        <v>Imóvel p/ Comércio</v>
      </c>
      <c r="F35" t="e">
        <f>+VLOOKUP(E35,cfin_bem!A:B,2,FALSE)</f>
        <v>#N/A</v>
      </c>
      <c r="G35" s="1">
        <v>553.98940603239998</v>
      </c>
      <c r="H35" s="1">
        <v>220014.93263345101</v>
      </c>
    </row>
    <row r="36" spans="1:8" hidden="1" x14ac:dyDescent="0.25">
      <c r="A36" t="s">
        <v>9</v>
      </c>
      <c r="B36" t="s">
        <v>7</v>
      </c>
      <c r="C36" s="2">
        <v>5215</v>
      </c>
      <c r="D36" t="str">
        <f>+VLOOKUP(C36,cgarant_bem!A:B,2,FALSE)</f>
        <v>Imóvel p/ Saúde</v>
      </c>
      <c r="E36" t="s">
        <v>24</v>
      </c>
      <c r="F36" t="str">
        <f>+VLOOKUP(E36,cfin_bem!A:B,2,FALSE)</f>
        <v>Saúde</v>
      </c>
      <c r="G36" s="1">
        <v>160.88979708490001</v>
      </c>
      <c r="H36" s="1">
        <v>26713146.7299999</v>
      </c>
    </row>
    <row r="37" spans="1:8" hidden="1" x14ac:dyDescent="0.25">
      <c r="A37" t="s">
        <v>6</v>
      </c>
      <c r="B37" t="s">
        <v>7</v>
      </c>
      <c r="C37" s="2">
        <v>5207</v>
      </c>
      <c r="D37" t="str">
        <f>+VLOOKUP(C37,cgarant_bem!A:B,2,FALSE)</f>
        <v>Imóvel p/ Indústria</v>
      </c>
      <c r="E37" t="s">
        <v>19</v>
      </c>
      <c r="F37" t="str">
        <f>+VLOOKUP(E37,cfin_bem!A:B,2,FALSE)</f>
        <v>Indústria</v>
      </c>
      <c r="G37" s="1">
        <v>14.611575329712</v>
      </c>
      <c r="H37" s="1">
        <v>73847.509999999995</v>
      </c>
    </row>
    <row r="38" spans="1:8" hidden="1" x14ac:dyDescent="0.25">
      <c r="A38" t="s">
        <v>11</v>
      </c>
      <c r="B38" t="s">
        <v>7</v>
      </c>
      <c r="C38" s="2">
        <v>5300</v>
      </c>
      <c r="D38" t="str">
        <f>+VLOOKUP(C38,cgarant_bem!A:B,2,FALSE)</f>
        <v>Terreno com finalidade indefinida</v>
      </c>
      <c r="E38" t="s">
        <v>8</v>
      </c>
      <c r="F38" t="str">
        <f>+VLOOKUP(E38,cfin_bem!A:B,2,FALSE)</f>
        <v>Outras</v>
      </c>
      <c r="G38" s="1">
        <v>4001.15896926491</v>
      </c>
      <c r="H38" s="1">
        <v>1038375.25150912</v>
      </c>
    </row>
    <row r="39" spans="1:8" hidden="1" x14ac:dyDescent="0.25">
      <c r="A39" t="s">
        <v>9</v>
      </c>
      <c r="B39" t="s">
        <v>7</v>
      </c>
      <c r="C39" s="2">
        <v>5101</v>
      </c>
      <c r="D39" t="str">
        <f>+VLOOKUP(C39,cgarant_bem!A:B,2,FALSE)</f>
        <v>Imóvel ou Fração p/ Habitação</v>
      </c>
      <c r="E39" t="s">
        <v>10</v>
      </c>
      <c r="F39" t="str">
        <f>+VLOOKUP(E39,cfin_bem!A:B,2,FALSE)</f>
        <v>Habitação</v>
      </c>
      <c r="G39" s="1">
        <v>1097.1319787139901</v>
      </c>
      <c r="H39" s="1">
        <v>170782054.25249499</v>
      </c>
    </row>
    <row r="40" spans="1:8" hidden="1" x14ac:dyDescent="0.25">
      <c r="A40" t="s">
        <v>9</v>
      </c>
      <c r="B40" t="s">
        <v>7</v>
      </c>
      <c r="C40" s="2">
        <v>5211</v>
      </c>
      <c r="D40" t="str">
        <f>+VLOOKUP(C40,cgarant_bem!A:B,2,FALSE)</f>
        <v>Imóvel p/ Hotel</v>
      </c>
      <c r="E40" t="s">
        <v>16</v>
      </c>
      <c r="F40" t="str">
        <f>+VLOOKUP(E40,cfin_bem!A:B,2,FALSE)</f>
        <v>Hotel</v>
      </c>
      <c r="G40" s="1">
        <v>74.588332082868803</v>
      </c>
      <c r="H40" s="1">
        <v>2424027.0299999998</v>
      </c>
    </row>
    <row r="41" spans="1:8" hidden="1" x14ac:dyDescent="0.25">
      <c r="A41" t="s">
        <v>17</v>
      </c>
      <c r="B41" t="s">
        <v>7</v>
      </c>
      <c r="C41" s="2">
        <v>5000</v>
      </c>
      <c r="D41" t="str">
        <f>+VLOOKUP(C41,cgarant_bem!A:B,2,FALSE)</f>
        <v>Imóveis com finalidade indefinida</v>
      </c>
      <c r="E41" t="s">
        <v>8</v>
      </c>
      <c r="F41" t="str">
        <f>+VLOOKUP(E41,cfin_bem!A:B,2,FALSE)</f>
        <v>Outras</v>
      </c>
      <c r="G41" s="1">
        <v>31.1234198823716</v>
      </c>
      <c r="H41" s="1">
        <v>2225838.8469190402</v>
      </c>
    </row>
    <row r="42" spans="1:8" hidden="1" x14ac:dyDescent="0.25">
      <c r="A42" t="s">
        <v>17</v>
      </c>
      <c r="B42" t="s">
        <v>7</v>
      </c>
      <c r="C42" s="2">
        <v>5203</v>
      </c>
      <c r="D42" t="str">
        <f>+VLOOKUP(C42,cgarant_bem!A:B,2,FALSE)</f>
        <v>Imóvel p/ Escritório</v>
      </c>
      <c r="E42" t="s">
        <v>15</v>
      </c>
      <c r="F42" t="str">
        <f>+VLOOKUP(E42,cfin_bem!A:B,2,FALSE)</f>
        <v>Escritório</v>
      </c>
      <c r="G42" s="1">
        <v>1840.04068205405</v>
      </c>
      <c r="H42" s="1">
        <v>49910199.996774502</v>
      </c>
    </row>
    <row r="43" spans="1:8" hidden="1" x14ac:dyDescent="0.25">
      <c r="A43" t="s">
        <v>6</v>
      </c>
      <c r="B43" t="s">
        <v>12</v>
      </c>
      <c r="C43" t="s">
        <v>13</v>
      </c>
      <c r="D43" t="e">
        <f>+VLOOKUP(C43,cgarant_bem!A:B,2,FALSE)</f>
        <v>#N/A</v>
      </c>
      <c r="E43" t="s">
        <v>13</v>
      </c>
      <c r="F43" t="e">
        <f>+VLOOKUP(E43,cfin_bem!A:B,2,FALSE)</f>
        <v>#N/A</v>
      </c>
      <c r="G43" s="1" t="s">
        <v>13</v>
      </c>
      <c r="H43" s="1">
        <v>5556041.2300000004</v>
      </c>
    </row>
    <row r="44" spans="1:8" hidden="1" x14ac:dyDescent="0.25">
      <c r="A44" t="s">
        <v>17</v>
      </c>
      <c r="B44" t="s">
        <v>7</v>
      </c>
      <c r="C44" s="2">
        <v>5213</v>
      </c>
      <c r="D44" t="str">
        <f>+VLOOKUP(C44,cgarant_bem!A:B,2,FALSE)</f>
        <v>Imóvel p/ Educação</v>
      </c>
      <c r="E44" t="s">
        <v>8</v>
      </c>
      <c r="F44" t="str">
        <f>+VLOOKUP(E44,cfin_bem!A:B,2,FALSE)</f>
        <v>Outras</v>
      </c>
      <c r="G44" s="1">
        <v>1.2009535199999999E-2</v>
      </c>
      <c r="H44" s="1">
        <v>194.52</v>
      </c>
    </row>
    <row r="45" spans="1:8" hidden="1" x14ac:dyDescent="0.25">
      <c r="A45" t="s">
        <v>11</v>
      </c>
      <c r="B45" t="s">
        <v>7</v>
      </c>
      <c r="C45" s="2">
        <v>5101</v>
      </c>
      <c r="D45" t="str">
        <f>+VLOOKUP(C45,cgarant_bem!A:B,2,FALSE)</f>
        <v>Imóvel ou Fração p/ Habitação</v>
      </c>
      <c r="F45" t="e">
        <f>+VLOOKUP(E45,cfin_bem!A:B,2,FALSE)</f>
        <v>#N/A</v>
      </c>
      <c r="G45" s="1">
        <v>48.8394992761</v>
      </c>
      <c r="H45" s="1">
        <v>33082.684760346601</v>
      </c>
    </row>
    <row r="46" spans="1:8" x14ac:dyDescent="0.25">
      <c r="A46" t="s">
        <v>17</v>
      </c>
      <c r="B46" t="s">
        <v>7</v>
      </c>
      <c r="C46" s="2">
        <v>5201</v>
      </c>
      <c r="D46" t="str">
        <f>+VLOOKUP(C46,cgarant_bem!A:B,2,FALSE)</f>
        <v>Imóvel p/ Comércio</v>
      </c>
      <c r="F46" t="e">
        <f>+VLOOKUP(E46,cfin_bem!A:B,2,FALSE)</f>
        <v>#N/A</v>
      </c>
      <c r="G46" s="1">
        <v>108.7494548192</v>
      </c>
      <c r="H46" s="1">
        <v>18148277.66</v>
      </c>
    </row>
    <row r="47" spans="1:8" hidden="1" x14ac:dyDescent="0.25">
      <c r="A47" t="s">
        <v>6</v>
      </c>
      <c r="B47" t="s">
        <v>7</v>
      </c>
      <c r="C47" s="2">
        <v>5101</v>
      </c>
      <c r="D47" t="str">
        <f>+VLOOKUP(C47,cgarant_bem!A:B,2,FALSE)</f>
        <v>Imóvel ou Fração p/ Habitação</v>
      </c>
      <c r="E47" t="s">
        <v>10</v>
      </c>
      <c r="F47" t="str">
        <f>+VLOOKUP(E47,cfin_bem!A:B,2,FALSE)</f>
        <v>Habitação</v>
      </c>
      <c r="G47" s="1">
        <v>2129.8747714082901</v>
      </c>
      <c r="H47" s="1">
        <v>422608232.87426502</v>
      </c>
    </row>
    <row r="48" spans="1:8" hidden="1" x14ac:dyDescent="0.25">
      <c r="A48" t="s">
        <v>17</v>
      </c>
      <c r="B48" t="s">
        <v>7</v>
      </c>
      <c r="C48" s="2">
        <v>5205</v>
      </c>
      <c r="D48" t="str">
        <f>+VLOOKUP(C48,cgarant_bem!A:B,2,FALSE)</f>
        <v>Imóvel p/ Armazém</v>
      </c>
      <c r="E48" t="s">
        <v>22</v>
      </c>
      <c r="F48" t="str">
        <f>+VLOOKUP(E48,cfin_bem!A:B,2,FALSE)</f>
        <v>Armazém</v>
      </c>
      <c r="G48" s="1">
        <v>5025.06293800002</v>
      </c>
      <c r="H48" s="1">
        <v>71573013.399019405</v>
      </c>
    </row>
    <row r="49" spans="1:8" hidden="1" x14ac:dyDescent="0.25">
      <c r="A49" t="s">
        <v>11</v>
      </c>
      <c r="B49" t="s">
        <v>7</v>
      </c>
      <c r="C49" s="2">
        <v>5207</v>
      </c>
      <c r="D49" t="str">
        <f>+VLOOKUP(C49,cgarant_bem!A:B,2,FALSE)</f>
        <v>Imóvel p/ Indústria</v>
      </c>
      <c r="E49" t="s">
        <v>19</v>
      </c>
      <c r="F49" t="str">
        <f>+VLOOKUP(E49,cfin_bem!A:B,2,FALSE)</f>
        <v>Indústria</v>
      </c>
      <c r="G49" s="1">
        <v>43.465183342372001</v>
      </c>
      <c r="H49" s="1">
        <v>168410.06315332401</v>
      </c>
    </row>
    <row r="50" spans="1:8" hidden="1" x14ac:dyDescent="0.25">
      <c r="A50" t="s">
        <v>17</v>
      </c>
      <c r="B50" t="s">
        <v>7</v>
      </c>
      <c r="C50" s="2">
        <v>5300</v>
      </c>
      <c r="D50" t="str">
        <f>+VLOOKUP(C50,cgarant_bem!A:B,2,FALSE)</f>
        <v>Terreno com finalidade indefinida</v>
      </c>
      <c r="E50" t="s">
        <v>8</v>
      </c>
      <c r="F50" t="str">
        <f>+VLOOKUP(E50,cfin_bem!A:B,2,FALSE)</f>
        <v>Outras</v>
      </c>
      <c r="G50" s="1">
        <v>15682.644509044399</v>
      </c>
      <c r="H50" s="1">
        <v>2427864.0896394802</v>
      </c>
    </row>
    <row r="51" spans="1:8" hidden="1" x14ac:dyDescent="0.25">
      <c r="A51" t="s">
        <v>6</v>
      </c>
      <c r="B51" t="s">
        <v>7</v>
      </c>
      <c r="C51" s="2">
        <v>5201</v>
      </c>
      <c r="D51" t="str">
        <f>+VLOOKUP(C51,cgarant_bem!A:B,2,FALSE)</f>
        <v>Imóvel p/ Comércio</v>
      </c>
      <c r="E51" t="s">
        <v>8</v>
      </c>
      <c r="F51" t="str">
        <f>+VLOOKUP(E51,cfin_bem!A:B,2,FALSE)</f>
        <v>Outras</v>
      </c>
      <c r="G51" s="1">
        <v>6390.4229648168603</v>
      </c>
      <c r="H51" s="1">
        <v>235518644.91257</v>
      </c>
    </row>
    <row r="52" spans="1:8" hidden="1" x14ac:dyDescent="0.25">
      <c r="A52" t="s">
        <v>9</v>
      </c>
      <c r="B52" t="s">
        <v>7</v>
      </c>
      <c r="C52" s="2">
        <v>5203</v>
      </c>
      <c r="D52" t="str">
        <f>+VLOOKUP(C52,cgarant_bem!A:B,2,FALSE)</f>
        <v>Imóvel p/ Escritório</v>
      </c>
      <c r="E52" t="s">
        <v>15</v>
      </c>
      <c r="F52" t="str">
        <f>+VLOOKUP(E52,cfin_bem!A:B,2,FALSE)</f>
        <v>Escritório</v>
      </c>
      <c r="G52" s="1">
        <v>2992.23725746235</v>
      </c>
      <c r="H52" s="1">
        <v>55933413.061927699</v>
      </c>
    </row>
    <row r="53" spans="1:8" hidden="1" x14ac:dyDescent="0.25">
      <c r="A53" t="s">
        <v>9</v>
      </c>
      <c r="B53" t="s">
        <v>7</v>
      </c>
      <c r="C53" s="2">
        <v>5300</v>
      </c>
      <c r="D53" t="str">
        <f>+VLOOKUP(C53,cgarant_bem!A:B,2,FALSE)</f>
        <v>Terreno com finalidade indefinida</v>
      </c>
      <c r="F53" t="e">
        <f>+VLOOKUP(E53,cfin_bem!A:B,2,FALSE)</f>
        <v>#N/A</v>
      </c>
      <c r="G53" s="1">
        <v>143.18437841824999</v>
      </c>
      <c r="H53" s="1">
        <v>15.1199999999999</v>
      </c>
    </row>
    <row r="54" spans="1:8" hidden="1" x14ac:dyDescent="0.25">
      <c r="A54" t="s">
        <v>11</v>
      </c>
      <c r="B54" t="s">
        <v>7</v>
      </c>
      <c r="C54" s="2">
        <v>5300</v>
      </c>
      <c r="D54" t="str">
        <f>+VLOOKUP(C54,cgarant_bem!A:B,2,FALSE)</f>
        <v>Terreno com finalidade indefinida</v>
      </c>
      <c r="F54" t="e">
        <f>+VLOOKUP(E54,cfin_bem!A:B,2,FALSE)</f>
        <v>#N/A</v>
      </c>
      <c r="G54" s="1">
        <v>27.799849999999999</v>
      </c>
      <c r="H54" s="1">
        <v>0</v>
      </c>
    </row>
    <row r="55" spans="1:8" hidden="1" x14ac:dyDescent="0.25">
      <c r="A55" t="s">
        <v>11</v>
      </c>
      <c r="B55" t="s">
        <v>7</v>
      </c>
      <c r="C55" s="2">
        <v>5201</v>
      </c>
      <c r="D55" t="str">
        <f>+VLOOKUP(C55,cgarant_bem!A:B,2,FALSE)</f>
        <v>Imóvel p/ Comércio</v>
      </c>
      <c r="E55" t="s">
        <v>18</v>
      </c>
      <c r="F55" t="str">
        <f>+VLOOKUP(E55,cfin_bem!A:B,2,FALSE)</f>
        <v>Comércio</v>
      </c>
      <c r="G55" s="1">
        <v>5893.74187568455</v>
      </c>
      <c r="H55" s="1">
        <v>25863095.8346336</v>
      </c>
    </row>
    <row r="56" spans="1:8" hidden="1" x14ac:dyDescent="0.25">
      <c r="A56" t="s">
        <v>6</v>
      </c>
      <c r="B56" t="s">
        <v>7</v>
      </c>
      <c r="C56" s="2">
        <v>5202</v>
      </c>
      <c r="D56" t="str">
        <f>+VLOOKUP(C56,cgarant_bem!A:B,2,FALSE)</f>
        <v>Imóvel p/ Comercio - em construção</v>
      </c>
      <c r="E56" t="s">
        <v>18</v>
      </c>
      <c r="F56" t="str">
        <f>+VLOOKUP(E56,cfin_bem!A:B,2,FALSE)</f>
        <v>Comércio</v>
      </c>
      <c r="G56" s="1">
        <v>27.0940051760006</v>
      </c>
      <c r="H56" s="1">
        <v>3496604.78</v>
      </c>
    </row>
    <row r="57" spans="1:8" hidden="1" x14ac:dyDescent="0.25">
      <c r="A57" t="s">
        <v>11</v>
      </c>
      <c r="B57" t="s">
        <v>7</v>
      </c>
      <c r="C57" s="2">
        <v>5202</v>
      </c>
      <c r="D57" t="str">
        <f>+VLOOKUP(C57,cgarant_bem!A:B,2,FALSE)</f>
        <v>Imóvel p/ Comercio - em construção</v>
      </c>
      <c r="E57" t="s">
        <v>18</v>
      </c>
      <c r="F57" t="str">
        <f>+VLOOKUP(E57,cfin_bem!A:B,2,FALSE)</f>
        <v>Comércio</v>
      </c>
      <c r="G57" s="1">
        <v>0.851974315484752</v>
      </c>
      <c r="H57" s="1">
        <v>64929.65</v>
      </c>
    </row>
    <row r="58" spans="1:8" hidden="1" x14ac:dyDescent="0.25">
      <c r="A58" t="s">
        <v>9</v>
      </c>
      <c r="B58" t="s">
        <v>7</v>
      </c>
      <c r="C58" s="2">
        <v>5215</v>
      </c>
      <c r="D58" t="str">
        <f>+VLOOKUP(C58,cgarant_bem!A:B,2,FALSE)</f>
        <v>Imóvel p/ Saúde</v>
      </c>
      <c r="E58" t="s">
        <v>8</v>
      </c>
      <c r="F58" t="str">
        <f>+VLOOKUP(E58,cfin_bem!A:B,2,FALSE)</f>
        <v>Outras</v>
      </c>
      <c r="G58" s="1">
        <v>1.28435307E-2</v>
      </c>
      <c r="H58" s="1">
        <v>46.12</v>
      </c>
    </row>
    <row r="59" spans="1:8" hidden="1" x14ac:dyDescent="0.25">
      <c r="A59" t="s">
        <v>9</v>
      </c>
      <c r="B59" t="s">
        <v>12</v>
      </c>
      <c r="C59" t="s">
        <v>13</v>
      </c>
      <c r="D59" t="e">
        <f>+VLOOKUP(C59,cgarant_bem!A:B,2,FALSE)</f>
        <v>#N/A</v>
      </c>
      <c r="E59" t="s">
        <v>13</v>
      </c>
      <c r="F59" t="e">
        <f>+VLOOKUP(E59,cfin_bem!A:B,2,FALSE)</f>
        <v>#N/A</v>
      </c>
      <c r="G59" s="1" t="s">
        <v>13</v>
      </c>
      <c r="H59" s="1">
        <v>24675974.100000001</v>
      </c>
    </row>
    <row r="60" spans="1:8" hidden="1" x14ac:dyDescent="0.25">
      <c r="A60" t="s">
        <v>17</v>
      </c>
      <c r="B60" t="s">
        <v>7</v>
      </c>
      <c r="C60" s="2">
        <v>5207</v>
      </c>
      <c r="D60" t="str">
        <f>+VLOOKUP(C60,cgarant_bem!A:B,2,FALSE)</f>
        <v>Imóvel p/ Indústria</v>
      </c>
      <c r="E60" t="s">
        <v>19</v>
      </c>
      <c r="F60" t="str">
        <f>+VLOOKUP(E60,cfin_bem!A:B,2,FALSE)</f>
        <v>Indústria</v>
      </c>
      <c r="G60" s="1">
        <v>2000.4610982921599</v>
      </c>
      <c r="H60" s="1">
        <v>11356426.3242616</v>
      </c>
    </row>
    <row r="61" spans="1:8" hidden="1" x14ac:dyDescent="0.25">
      <c r="A61" t="s">
        <v>17</v>
      </c>
      <c r="B61" t="s">
        <v>7</v>
      </c>
      <c r="C61" s="2">
        <v>5204</v>
      </c>
      <c r="D61" t="str">
        <f>+VLOOKUP(C61,cgarant_bem!A:B,2,FALSE)</f>
        <v>Imóvel p/ Escritório - em construção</v>
      </c>
      <c r="E61" t="s">
        <v>15</v>
      </c>
      <c r="F61" t="str">
        <f>+VLOOKUP(E61,cfin_bem!A:B,2,FALSE)</f>
        <v>Escritório</v>
      </c>
      <c r="G61" s="1">
        <v>32.278259681659499</v>
      </c>
      <c r="H61" s="1">
        <v>1348820.9</v>
      </c>
    </row>
    <row r="62" spans="1:8" hidden="1" x14ac:dyDescent="0.25">
      <c r="A62" t="s">
        <v>6</v>
      </c>
      <c r="B62" t="s">
        <v>7</v>
      </c>
      <c r="C62" s="2">
        <v>5205</v>
      </c>
      <c r="D62" t="str">
        <f>+VLOOKUP(C62,cgarant_bem!A:B,2,FALSE)</f>
        <v>Imóvel p/ Armazém</v>
      </c>
      <c r="E62" t="s">
        <v>22</v>
      </c>
      <c r="F62" t="str">
        <f>+VLOOKUP(E62,cfin_bem!A:B,2,FALSE)</f>
        <v>Armazém</v>
      </c>
      <c r="G62" s="1">
        <v>739.17504091748106</v>
      </c>
      <c r="H62" s="1">
        <v>15563273.5474291</v>
      </c>
    </row>
    <row r="63" spans="1:8" hidden="1" x14ac:dyDescent="0.25">
      <c r="A63" t="s">
        <v>17</v>
      </c>
      <c r="B63" t="s">
        <v>7</v>
      </c>
      <c r="C63" s="2">
        <v>5211</v>
      </c>
      <c r="D63" t="str">
        <f>+VLOOKUP(C63,cgarant_bem!A:B,2,FALSE)</f>
        <v>Imóvel p/ Hotel</v>
      </c>
      <c r="E63" t="s">
        <v>16</v>
      </c>
      <c r="F63" t="str">
        <f>+VLOOKUP(E63,cfin_bem!A:B,2,FALSE)</f>
        <v>Hotel</v>
      </c>
      <c r="G63" s="1">
        <v>310.85220714723602</v>
      </c>
      <c r="H63" s="1">
        <v>25187386.802054599</v>
      </c>
    </row>
    <row r="64" spans="1:8" hidden="1" x14ac:dyDescent="0.25">
      <c r="A64" t="s">
        <v>11</v>
      </c>
      <c r="B64" t="s">
        <v>7</v>
      </c>
      <c r="C64" s="2">
        <v>5215</v>
      </c>
      <c r="D64" t="str">
        <f>+VLOOKUP(C64,cgarant_bem!A:B,2,FALSE)</f>
        <v>Imóvel p/ Saúde</v>
      </c>
      <c r="E64" t="s">
        <v>24</v>
      </c>
      <c r="F64" t="str">
        <f>+VLOOKUP(E64,cfin_bem!A:B,2,FALSE)</f>
        <v>Saúde</v>
      </c>
      <c r="G64" s="1">
        <v>2.8573797823999998</v>
      </c>
      <c r="H64" s="1">
        <v>3640.1</v>
      </c>
    </row>
    <row r="65" spans="1:8" hidden="1" x14ac:dyDescent="0.25">
      <c r="A65" t="s">
        <v>6</v>
      </c>
      <c r="B65" t="s">
        <v>7</v>
      </c>
      <c r="C65" s="2">
        <v>5102</v>
      </c>
      <c r="D65" t="str">
        <f>+VLOOKUP(C65,cgarant_bem!A:B,2,FALSE)</f>
        <v>Imóvel ou Fração p/ Habitação - em construção</v>
      </c>
      <c r="E65" t="s">
        <v>10</v>
      </c>
      <c r="F65" t="str">
        <f>+VLOOKUP(E65,cfin_bem!A:B,2,FALSE)</f>
        <v>Habitação</v>
      </c>
      <c r="G65" s="1">
        <v>63.8332566975999</v>
      </c>
      <c r="H65" s="1">
        <v>16947616.555126999</v>
      </c>
    </row>
    <row r="66" spans="1:8" hidden="1" x14ac:dyDescent="0.25">
      <c r="A66" t="s">
        <v>11</v>
      </c>
      <c r="B66" t="s">
        <v>7</v>
      </c>
      <c r="C66" s="2">
        <v>5205</v>
      </c>
      <c r="D66" t="str">
        <f>+VLOOKUP(C66,cgarant_bem!A:B,2,FALSE)</f>
        <v>Imóvel p/ Armazém</v>
      </c>
      <c r="E66" t="s">
        <v>22</v>
      </c>
      <c r="F66" t="str">
        <f>+VLOOKUP(E66,cfin_bem!A:B,2,FALSE)</f>
        <v>Armazém</v>
      </c>
      <c r="G66" s="1">
        <v>1284.1378455685499</v>
      </c>
      <c r="H66" s="1">
        <v>6162600.2846490601</v>
      </c>
    </row>
    <row r="67" spans="1:8" x14ac:dyDescent="0.25">
      <c r="A67" t="s">
        <v>17</v>
      </c>
      <c r="B67" t="s">
        <v>7</v>
      </c>
      <c r="C67" s="2">
        <v>5101</v>
      </c>
      <c r="D67" t="str">
        <f>+VLOOKUP(C67,cgarant_bem!A:B,2,FALSE)</f>
        <v>Imóvel ou Fração p/ Habitação</v>
      </c>
      <c r="F67" t="e">
        <f>+VLOOKUP(E67,cfin_bem!A:B,2,FALSE)</f>
        <v>#N/A</v>
      </c>
      <c r="G67" s="1">
        <v>40.391764257650003</v>
      </c>
      <c r="H67" s="1">
        <v>0</v>
      </c>
    </row>
    <row r="68" spans="1:8" hidden="1" x14ac:dyDescent="0.25">
      <c r="A68" t="s">
        <v>9</v>
      </c>
      <c r="B68" t="s">
        <v>7</v>
      </c>
      <c r="C68" s="2">
        <v>5209</v>
      </c>
      <c r="D68" t="str">
        <f>+VLOOKUP(C68,cgarant_bem!A:B,2,FALSE)</f>
        <v>Imóvel ou Fração p/ Estacionamento ligados à exploração</v>
      </c>
      <c r="E68" t="s">
        <v>21</v>
      </c>
      <c r="F68" t="str">
        <f>+VLOOKUP(E68,cfin_bem!A:B,2,FALSE)</f>
        <v>Garagem</v>
      </c>
      <c r="G68" s="1" t="s">
        <v>13</v>
      </c>
      <c r="H68" s="1">
        <v>852574.53861786705</v>
      </c>
    </row>
    <row r="69" spans="1:8" hidden="1" x14ac:dyDescent="0.25">
      <c r="A69" t="s">
        <v>17</v>
      </c>
      <c r="B69" t="s">
        <v>7</v>
      </c>
      <c r="C69" s="2">
        <v>5209</v>
      </c>
      <c r="D69" t="str">
        <f>+VLOOKUP(C69,cgarant_bem!A:B,2,FALSE)</f>
        <v>Imóvel ou Fração p/ Estacionamento ligados à exploração</v>
      </c>
      <c r="E69" t="s">
        <v>14</v>
      </c>
      <c r="F69" t="str">
        <f>+VLOOKUP(E69,cfin_bem!A:B,2,FALSE)</f>
        <v>Estacionamento</v>
      </c>
      <c r="G69" s="1" t="s">
        <v>13</v>
      </c>
      <c r="H69" s="1">
        <v>449394.543644252</v>
      </c>
    </row>
    <row r="70" spans="1:8" hidden="1" x14ac:dyDescent="0.25">
      <c r="A70" t="s">
        <v>11</v>
      </c>
      <c r="B70" t="s">
        <v>7</v>
      </c>
      <c r="C70" s="2">
        <v>5209</v>
      </c>
      <c r="D70" t="str">
        <f>+VLOOKUP(C70,cgarant_bem!A:B,2,FALSE)</f>
        <v>Imóvel ou Fração p/ Estacionamento ligados à exploração</v>
      </c>
      <c r="E70" t="s">
        <v>14</v>
      </c>
      <c r="F70" t="str">
        <f>+VLOOKUP(E70,cfin_bem!A:B,2,FALSE)</f>
        <v>Estacionamento</v>
      </c>
      <c r="G70" s="1" t="s">
        <v>13</v>
      </c>
      <c r="H70" s="1">
        <v>23359.165998231099</v>
      </c>
    </row>
    <row r="71" spans="1:8" hidden="1" x14ac:dyDescent="0.25">
      <c r="A71" t="s">
        <v>9</v>
      </c>
      <c r="B71" t="s">
        <v>7</v>
      </c>
      <c r="C71" s="2">
        <v>5201</v>
      </c>
      <c r="D71" t="str">
        <f>+VLOOKUP(C71,cgarant_bem!A:B,2,FALSE)</f>
        <v>Imóvel p/ Comércio</v>
      </c>
      <c r="E71" t="s">
        <v>18</v>
      </c>
      <c r="F71" t="str">
        <f>+VLOOKUP(E71,cfin_bem!A:B,2,FALSE)</f>
        <v>Comércio</v>
      </c>
      <c r="G71" s="1">
        <v>18093.275357195998</v>
      </c>
      <c r="H71" s="1">
        <v>233451918.16378099</v>
      </c>
    </row>
    <row r="72" spans="1:8" hidden="1" x14ac:dyDescent="0.25">
      <c r="A72" t="s">
        <v>9</v>
      </c>
      <c r="B72" t="s">
        <v>7</v>
      </c>
      <c r="C72" s="2">
        <v>5101</v>
      </c>
      <c r="D72" t="str">
        <f>+VLOOKUP(C72,cgarant_bem!A:B,2,FALSE)</f>
        <v>Imóvel ou Fração p/ Habitação</v>
      </c>
      <c r="F72" t="e">
        <f>+VLOOKUP(E72,cfin_bem!A:B,2,FALSE)</f>
        <v>#N/A</v>
      </c>
      <c r="G72" s="1">
        <v>132.14778236855</v>
      </c>
      <c r="H72" s="1">
        <v>75319.89</v>
      </c>
    </row>
    <row r="73" spans="1:8" x14ac:dyDescent="0.25">
      <c r="A73" t="s">
        <v>17</v>
      </c>
      <c r="B73" t="s">
        <v>12</v>
      </c>
      <c r="C73" t="s">
        <v>13</v>
      </c>
      <c r="D73" t="e">
        <f>+VLOOKUP(C73,cgarant_bem!A:B,2,FALSE)</f>
        <v>#N/A</v>
      </c>
      <c r="E73" t="s">
        <v>13</v>
      </c>
      <c r="F73" t="e">
        <f>+VLOOKUP(E73,cfin_bem!A:B,2,FALSE)</f>
        <v>#N/A</v>
      </c>
      <c r="G73" s="1" t="s">
        <v>13</v>
      </c>
      <c r="H73" s="1">
        <v>28111361.93</v>
      </c>
    </row>
    <row r="74" spans="1:8" hidden="1" x14ac:dyDescent="0.25">
      <c r="A74" t="s">
        <v>11</v>
      </c>
      <c r="B74" t="s">
        <v>7</v>
      </c>
      <c r="C74" s="2">
        <v>5103</v>
      </c>
      <c r="D74" t="str">
        <f>+VLOOKUP(C74,cgarant_bem!A:B,2,FALSE)</f>
        <v>Imóvel ou Fração p/ Estacionamento em Imo. Residencial</v>
      </c>
      <c r="E74" t="s">
        <v>21</v>
      </c>
      <c r="F74" t="str">
        <f>+VLOOKUP(E74,cfin_bem!A:B,2,FALSE)</f>
        <v>Garagem</v>
      </c>
      <c r="G74" s="1" t="s">
        <v>13</v>
      </c>
      <c r="H74" s="1">
        <v>1202592.6269012799</v>
      </c>
    </row>
    <row r="75" spans="1:8" hidden="1" x14ac:dyDescent="0.25">
      <c r="A75" t="s">
        <v>17</v>
      </c>
      <c r="B75" t="s">
        <v>7</v>
      </c>
      <c r="C75" s="2">
        <v>5215</v>
      </c>
      <c r="D75" t="str">
        <f>+VLOOKUP(C75,cgarant_bem!A:B,2,FALSE)</f>
        <v>Imóvel p/ Saúde</v>
      </c>
      <c r="E75" t="s">
        <v>24</v>
      </c>
      <c r="F75" t="str">
        <f>+VLOOKUP(E75,cfin_bem!A:B,2,FALSE)</f>
        <v>Saúde</v>
      </c>
      <c r="G75" s="1">
        <v>260.57460130752702</v>
      </c>
      <c r="H75" s="1">
        <v>9810905.6400000006</v>
      </c>
    </row>
    <row r="76" spans="1:8" hidden="1" x14ac:dyDescent="0.25">
      <c r="A76" t="s">
        <v>11</v>
      </c>
      <c r="B76" t="s">
        <v>7</v>
      </c>
      <c r="C76" s="2">
        <v>5102</v>
      </c>
      <c r="D76" t="str">
        <f>+VLOOKUP(C76,cgarant_bem!A:B,2,FALSE)</f>
        <v>Imóvel ou Fração p/ Habitação - em construção</v>
      </c>
      <c r="E76" t="s">
        <v>10</v>
      </c>
      <c r="F76" t="str">
        <f>+VLOOKUP(E76,cfin_bem!A:B,2,FALSE)</f>
        <v>Habitação</v>
      </c>
      <c r="G76" s="1">
        <v>13717.192201252001</v>
      </c>
      <c r="H76" s="1">
        <v>709085121.96771395</v>
      </c>
    </row>
    <row r="77" spans="1:8" hidden="1" x14ac:dyDescent="0.25">
      <c r="A77" t="s">
        <v>17</v>
      </c>
      <c r="B77" t="s">
        <v>7</v>
      </c>
      <c r="C77" s="2">
        <v>5201</v>
      </c>
      <c r="D77" t="str">
        <f>+VLOOKUP(C77,cgarant_bem!A:B,2,FALSE)</f>
        <v>Imóvel p/ Comércio</v>
      </c>
      <c r="E77" t="s">
        <v>8</v>
      </c>
      <c r="F77" t="str">
        <f>+VLOOKUP(E77,cfin_bem!A:B,2,FALSE)</f>
        <v>Outras</v>
      </c>
      <c r="G77" s="1">
        <v>65055.736233925199</v>
      </c>
      <c r="H77" s="1">
        <v>423625026.70495403</v>
      </c>
    </row>
    <row r="78" spans="1:8" hidden="1" x14ac:dyDescent="0.25">
      <c r="A78" t="s">
        <v>6</v>
      </c>
      <c r="B78" t="s">
        <v>7</v>
      </c>
      <c r="C78" s="2">
        <v>5101</v>
      </c>
      <c r="D78" t="str">
        <f>+VLOOKUP(C78,cgarant_bem!A:B,2,FALSE)</f>
        <v>Imóvel ou Fração p/ Habitação</v>
      </c>
      <c r="E78" t="s">
        <v>8</v>
      </c>
      <c r="F78" t="str">
        <f>+VLOOKUP(E78,cfin_bem!A:B,2,FALSE)</f>
        <v>Outras</v>
      </c>
      <c r="G78" s="1">
        <v>483.36919452009897</v>
      </c>
      <c r="H78" s="1">
        <v>66182734.742923401</v>
      </c>
    </row>
    <row r="79" spans="1:8" hidden="1" x14ac:dyDescent="0.25">
      <c r="A79" t="s">
        <v>11</v>
      </c>
      <c r="B79" t="s">
        <v>7</v>
      </c>
      <c r="C79" s="2">
        <v>5102</v>
      </c>
      <c r="D79" t="str">
        <f>+VLOOKUP(C79,cgarant_bem!A:B,2,FALSE)</f>
        <v>Imóvel ou Fração p/ Habitação - em construção</v>
      </c>
      <c r="E79" t="s">
        <v>8</v>
      </c>
      <c r="F79" t="str">
        <f>+VLOOKUP(E79,cfin_bem!A:B,2,FALSE)</f>
        <v>Outras</v>
      </c>
      <c r="G79" s="1">
        <v>19.931031165</v>
      </c>
      <c r="H79" s="1">
        <v>361042.22</v>
      </c>
    </row>
    <row r="80" spans="1:8" hidden="1" x14ac:dyDescent="0.25">
      <c r="A80" t="s">
        <v>9</v>
      </c>
      <c r="B80" t="s">
        <v>7</v>
      </c>
      <c r="C80" s="2">
        <v>5102</v>
      </c>
      <c r="D80" t="str">
        <f>+VLOOKUP(C80,cgarant_bem!A:B,2,FALSE)</f>
        <v>Imóvel ou Fração p/ Habitação - em construção</v>
      </c>
      <c r="E80" t="s">
        <v>8</v>
      </c>
      <c r="F80" t="str">
        <f>+VLOOKUP(E80,cfin_bem!A:B,2,FALSE)</f>
        <v>Outras</v>
      </c>
      <c r="G80" s="1">
        <v>1.6688636999999999</v>
      </c>
      <c r="H80" s="1">
        <v>323430.45</v>
      </c>
    </row>
    <row r="81" spans="1:8" hidden="1" x14ac:dyDescent="0.25">
      <c r="A81" t="s">
        <v>11</v>
      </c>
      <c r="B81" t="s">
        <v>7</v>
      </c>
      <c r="C81" s="2">
        <v>5000</v>
      </c>
      <c r="D81" t="str">
        <f>+VLOOKUP(C81,cgarant_bem!A:B,2,FALSE)</f>
        <v>Imóveis com finalidade indefinida</v>
      </c>
      <c r="E81" t="s">
        <v>21</v>
      </c>
      <c r="F81" t="str">
        <f>+VLOOKUP(E81,cfin_bem!A:B,2,FALSE)</f>
        <v>Garagem</v>
      </c>
      <c r="G81" s="1" t="s">
        <v>13</v>
      </c>
      <c r="H81" s="1">
        <v>4169.0201031829602</v>
      </c>
    </row>
    <row r="82" spans="1:8" hidden="1" x14ac:dyDescent="0.25">
      <c r="A82" t="s">
        <v>11</v>
      </c>
      <c r="B82" t="s">
        <v>7</v>
      </c>
      <c r="C82" s="2">
        <v>5201</v>
      </c>
      <c r="D82" t="str">
        <f>+VLOOKUP(C82,cgarant_bem!A:B,2,FALSE)</f>
        <v>Imóvel p/ Comércio</v>
      </c>
      <c r="F82" t="e">
        <f>+VLOOKUP(E82,cfin_bem!A:B,2,FALSE)</f>
        <v>#N/A</v>
      </c>
      <c r="G82" s="1">
        <v>152.16434156495001</v>
      </c>
      <c r="H82" s="1">
        <v>2554.7800000000002</v>
      </c>
    </row>
    <row r="83" spans="1:8" hidden="1" x14ac:dyDescent="0.25">
      <c r="A83" t="s">
        <v>11</v>
      </c>
      <c r="B83" t="s">
        <v>7</v>
      </c>
      <c r="C83" s="2">
        <v>5103</v>
      </c>
      <c r="D83" t="str">
        <f>+VLOOKUP(C83,cgarant_bem!A:B,2,FALSE)</f>
        <v>Imóvel ou Fração p/ Estacionamento em Imo. Residencial</v>
      </c>
      <c r="E83" t="s">
        <v>14</v>
      </c>
      <c r="F83" t="str">
        <f>+VLOOKUP(E83,cfin_bem!A:B,2,FALSE)</f>
        <v>Estacionamento</v>
      </c>
      <c r="G83" s="1" t="s">
        <v>13</v>
      </c>
      <c r="H83" s="1">
        <v>866370.57636821002</v>
      </c>
    </row>
    <row r="84" spans="1:8" hidden="1" x14ac:dyDescent="0.25">
      <c r="A84" t="s">
        <v>6</v>
      </c>
      <c r="B84" t="s">
        <v>7</v>
      </c>
      <c r="C84" s="2">
        <v>5209</v>
      </c>
      <c r="D84" t="str">
        <f>+VLOOKUP(C84,cgarant_bem!A:B,2,FALSE)</f>
        <v>Imóvel ou Fração p/ Estacionamento ligados à exploração</v>
      </c>
      <c r="E84" t="s">
        <v>14</v>
      </c>
      <c r="F84" t="str">
        <f>+VLOOKUP(E84,cfin_bem!A:B,2,FALSE)</f>
        <v>Estacionamento</v>
      </c>
      <c r="G84" s="1" t="s">
        <v>13</v>
      </c>
      <c r="H84" s="1">
        <v>152374.06155963999</v>
      </c>
    </row>
    <row r="85" spans="1:8" hidden="1" x14ac:dyDescent="0.25">
      <c r="A85" t="s">
        <v>9</v>
      </c>
      <c r="B85" t="s">
        <v>7</v>
      </c>
      <c r="C85" s="2">
        <v>5202</v>
      </c>
      <c r="D85" t="str">
        <f>+VLOOKUP(C85,cgarant_bem!A:B,2,FALSE)</f>
        <v>Imóvel p/ Comercio - em construção</v>
      </c>
      <c r="E85" t="s">
        <v>8</v>
      </c>
      <c r="F85" t="str">
        <f>+VLOOKUP(E85,cfin_bem!A:B,2,FALSE)</f>
        <v>Outras</v>
      </c>
      <c r="G85" s="1">
        <v>945.60585394851705</v>
      </c>
      <c r="H85" s="1">
        <v>20060859.5</v>
      </c>
    </row>
    <row r="86" spans="1:8" hidden="1" x14ac:dyDescent="0.25">
      <c r="A86" t="s">
        <v>9</v>
      </c>
      <c r="B86" t="s">
        <v>7</v>
      </c>
      <c r="C86" s="2">
        <v>5206</v>
      </c>
      <c r="D86" t="str">
        <f>+VLOOKUP(C86,cgarant_bem!A:B,2,FALSE)</f>
        <v>Imóvel p/ Armazém - em construção</v>
      </c>
      <c r="E86" t="s">
        <v>22</v>
      </c>
      <c r="F86" t="str">
        <f>+VLOOKUP(E86,cfin_bem!A:B,2,FALSE)</f>
        <v>Armazém</v>
      </c>
      <c r="G86" s="1">
        <v>116.963998277459</v>
      </c>
      <c r="H86" s="1">
        <v>3223941.46</v>
      </c>
    </row>
    <row r="87" spans="1:8" hidden="1" x14ac:dyDescent="0.25">
      <c r="A87" t="s">
        <v>11</v>
      </c>
      <c r="B87" t="s">
        <v>7</v>
      </c>
      <c r="C87" s="2">
        <v>5213</v>
      </c>
      <c r="D87" t="str">
        <f>+VLOOKUP(C87,cgarant_bem!A:B,2,FALSE)</f>
        <v>Imóvel p/ Educação</v>
      </c>
      <c r="E87" t="s">
        <v>20</v>
      </c>
      <c r="F87" t="str">
        <f>+VLOOKUP(E87,cfin_bem!A:B,2,FALSE)</f>
        <v>Educação</v>
      </c>
      <c r="G87" s="1">
        <v>9.9314130129499993</v>
      </c>
      <c r="H87" s="1">
        <v>93777.47</v>
      </c>
    </row>
    <row r="88" spans="1:8" hidden="1" x14ac:dyDescent="0.25">
      <c r="A88" t="s">
        <v>25</v>
      </c>
      <c r="B88" t="s">
        <v>7</v>
      </c>
      <c r="C88" s="2">
        <v>5201</v>
      </c>
      <c r="D88" t="str">
        <f>+VLOOKUP(C88,cgarant_bem!A:B,2,FALSE)</f>
        <v>Imóvel p/ Comércio</v>
      </c>
      <c r="E88" t="s">
        <v>18</v>
      </c>
      <c r="F88" t="str">
        <f>+VLOOKUP(E88,cfin_bem!A:B,2,FALSE)</f>
        <v>Comércio</v>
      </c>
      <c r="G88" s="1" t="s">
        <v>13</v>
      </c>
      <c r="H88" s="1">
        <v>44313.97</v>
      </c>
    </row>
    <row r="89" spans="1:8" hidden="1" x14ac:dyDescent="0.25">
      <c r="A89" t="s">
        <v>17</v>
      </c>
      <c r="B89" t="s">
        <v>7</v>
      </c>
      <c r="C89" s="2">
        <v>5101</v>
      </c>
      <c r="D89" t="str">
        <f>+VLOOKUP(C89,cgarant_bem!A:B,2,FALSE)</f>
        <v>Imóvel ou Fração p/ Habitação</v>
      </c>
      <c r="E89" t="s">
        <v>10</v>
      </c>
      <c r="F89" t="str">
        <f>+VLOOKUP(E89,cfin_bem!A:B,2,FALSE)</f>
        <v>Habitação</v>
      </c>
      <c r="G89" s="1">
        <v>1093.81195079859</v>
      </c>
      <c r="H89" s="1">
        <v>185078002.33710599</v>
      </c>
    </row>
    <row r="90" spans="1:8" hidden="1" x14ac:dyDescent="0.25">
      <c r="A90" t="s">
        <v>17</v>
      </c>
      <c r="B90" t="s">
        <v>7</v>
      </c>
      <c r="C90" s="2">
        <v>5202</v>
      </c>
      <c r="D90" t="str">
        <f>+VLOOKUP(C90,cgarant_bem!A:B,2,FALSE)</f>
        <v>Imóvel p/ Comercio - em construção</v>
      </c>
      <c r="E90" t="s">
        <v>8</v>
      </c>
      <c r="F90" t="str">
        <f>+VLOOKUP(E90,cfin_bem!A:B,2,FALSE)</f>
        <v>Outras</v>
      </c>
      <c r="G90" s="1">
        <v>22.194281219512899</v>
      </c>
      <c r="H90" s="1">
        <v>1817685.21845793</v>
      </c>
    </row>
    <row r="91" spans="1:8" hidden="1" x14ac:dyDescent="0.25">
      <c r="A91" t="s">
        <v>6</v>
      </c>
      <c r="B91" t="s">
        <v>7</v>
      </c>
      <c r="C91" s="2">
        <v>5202</v>
      </c>
      <c r="D91" t="str">
        <f>+VLOOKUP(C91,cgarant_bem!A:B,2,FALSE)</f>
        <v>Imóvel p/ Comercio - em construção</v>
      </c>
      <c r="E91" t="s">
        <v>8</v>
      </c>
      <c r="F91" t="str">
        <f>+VLOOKUP(E91,cfin_bem!A:B,2,FALSE)</f>
        <v>Outras</v>
      </c>
      <c r="G91" s="1">
        <v>450.34460888210998</v>
      </c>
      <c r="H91" s="1">
        <v>7745088.2699999996</v>
      </c>
    </row>
    <row r="92" spans="1:8" hidden="1" x14ac:dyDescent="0.25">
      <c r="A92" t="s">
        <v>17</v>
      </c>
      <c r="B92" t="s">
        <v>7</v>
      </c>
      <c r="C92" s="2">
        <v>89</v>
      </c>
      <c r="D92" t="e">
        <f>+VLOOKUP(C92,cgarant_bem!A:B,2,FALSE)</f>
        <v>#N/A</v>
      </c>
      <c r="E92" t="s">
        <v>23</v>
      </c>
      <c r="F92" t="str">
        <f>+VLOOKUP(E92,cfin_bem!A:B,2,FALSE)</f>
        <v>Agricultura</v>
      </c>
      <c r="G92" s="1">
        <v>1.00872072916E-2</v>
      </c>
      <c r="H92" s="1">
        <v>408890.18718012102</v>
      </c>
    </row>
    <row r="93" spans="1:8" hidden="1" x14ac:dyDescent="0.25">
      <c r="A93" t="s">
        <v>17</v>
      </c>
      <c r="B93" t="s">
        <v>7</v>
      </c>
      <c r="C93" s="2">
        <v>5206</v>
      </c>
      <c r="D93" t="str">
        <f>+VLOOKUP(C93,cgarant_bem!A:B,2,FALSE)</f>
        <v>Imóvel p/ Armazém - em construção</v>
      </c>
      <c r="E93" t="s">
        <v>22</v>
      </c>
      <c r="F93" t="str">
        <f>+VLOOKUP(E93,cfin_bem!A:B,2,FALSE)</f>
        <v>Armazém</v>
      </c>
      <c r="G93" s="1">
        <v>21.479078398110101</v>
      </c>
      <c r="H93" s="1">
        <v>597578.97</v>
      </c>
    </row>
    <row r="94" spans="1:8" hidden="1" x14ac:dyDescent="0.25">
      <c r="A94" t="s">
        <v>26</v>
      </c>
      <c r="B94" t="s">
        <v>7</v>
      </c>
      <c r="C94" s="2">
        <v>5205</v>
      </c>
      <c r="D94" t="str">
        <f>+VLOOKUP(C94,cgarant_bem!A:B,2,FALSE)</f>
        <v>Imóvel p/ Armazém</v>
      </c>
      <c r="E94" t="s">
        <v>22</v>
      </c>
      <c r="F94" t="str">
        <f>+VLOOKUP(E94,cfin_bem!A:B,2,FALSE)</f>
        <v>Armazém</v>
      </c>
      <c r="G94" s="1" t="s">
        <v>13</v>
      </c>
      <c r="H94" s="1">
        <v>557086.54</v>
      </c>
    </row>
    <row r="95" spans="1:8" hidden="1" x14ac:dyDescent="0.25">
      <c r="A95" t="s">
        <v>9</v>
      </c>
      <c r="B95" t="s">
        <v>7</v>
      </c>
      <c r="C95" s="2">
        <v>5205</v>
      </c>
      <c r="D95" t="str">
        <f>+VLOOKUP(C95,cgarant_bem!A:B,2,FALSE)</f>
        <v>Imóvel p/ Armazém</v>
      </c>
      <c r="E95" t="s">
        <v>22</v>
      </c>
      <c r="F95" t="str">
        <f>+VLOOKUP(E95,cfin_bem!A:B,2,FALSE)</f>
        <v>Armazém</v>
      </c>
      <c r="G95" s="1">
        <v>57402.082905142503</v>
      </c>
      <c r="H95" s="1">
        <v>226540910.94750899</v>
      </c>
    </row>
  </sheetData>
  <autoFilter ref="A2:H95" xr:uid="{00000000-0001-0000-0000-000000000000}">
    <filterColumn colId="0">
      <filters>
        <filter val="CRE_OUTRO"/>
      </filters>
    </filterColumn>
    <filterColumn colId="5">
      <filters>
        <filter val="#N/A"/>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271EA-B844-4606-82CD-ABCC672A86D9}">
  <dimension ref="A1:B73"/>
  <sheetViews>
    <sheetView tabSelected="1" zoomScale="113" workbookViewId="0">
      <selection activeCell="A25" sqref="A25"/>
    </sheetView>
  </sheetViews>
  <sheetFormatPr defaultRowHeight="15" x14ac:dyDescent="0.25"/>
  <cols>
    <col min="1" max="1" width="14.7109375" bestFit="1" customWidth="1"/>
    <col min="2" max="2" width="68.140625" bestFit="1" customWidth="1"/>
  </cols>
  <sheetData>
    <row r="1" spans="1:2" x14ac:dyDescent="0.25">
      <c r="A1" t="s">
        <v>2</v>
      </c>
      <c r="B1" t="s">
        <v>27</v>
      </c>
    </row>
    <row r="2" spans="1:2" x14ac:dyDescent="0.25">
      <c r="A2">
        <v>5000</v>
      </c>
      <c r="B2" t="s">
        <v>32</v>
      </c>
    </row>
    <row r="3" spans="1:2" x14ac:dyDescent="0.25">
      <c r="A3">
        <v>5101</v>
      </c>
      <c r="B3" t="s">
        <v>73</v>
      </c>
    </row>
    <row r="4" spans="1:2" x14ac:dyDescent="0.25">
      <c r="A4">
        <v>5102</v>
      </c>
      <c r="B4" t="s">
        <v>47</v>
      </c>
    </row>
    <row r="5" spans="1:2" x14ac:dyDescent="0.25">
      <c r="A5">
        <v>5103</v>
      </c>
      <c r="B5" t="s">
        <v>79</v>
      </c>
    </row>
    <row r="6" spans="1:2" x14ac:dyDescent="0.25">
      <c r="A6">
        <v>5104</v>
      </c>
      <c r="B6" t="s">
        <v>67</v>
      </c>
    </row>
    <row r="7" spans="1:2" x14ac:dyDescent="0.25">
      <c r="A7">
        <v>5201</v>
      </c>
      <c r="B7" t="s">
        <v>88</v>
      </c>
    </row>
    <row r="8" spans="1:2" x14ac:dyDescent="0.25">
      <c r="A8">
        <v>5202</v>
      </c>
      <c r="B8" t="s">
        <v>90</v>
      </c>
    </row>
    <row r="9" spans="1:2" x14ac:dyDescent="0.25">
      <c r="A9">
        <v>5203</v>
      </c>
      <c r="B9" t="s">
        <v>95</v>
      </c>
    </row>
    <row r="10" spans="1:2" x14ac:dyDescent="0.25">
      <c r="A10">
        <v>5204</v>
      </c>
      <c r="B10" t="s">
        <v>33</v>
      </c>
    </row>
    <row r="11" spans="1:2" x14ac:dyDescent="0.25">
      <c r="A11">
        <v>5205</v>
      </c>
      <c r="B11" t="s">
        <v>35</v>
      </c>
    </row>
    <row r="12" spans="1:2" x14ac:dyDescent="0.25">
      <c r="A12">
        <v>5206</v>
      </c>
      <c r="B12" t="s">
        <v>98</v>
      </c>
    </row>
    <row r="13" spans="1:2" x14ac:dyDescent="0.25">
      <c r="A13">
        <v>5207</v>
      </c>
      <c r="B13" t="s">
        <v>60</v>
      </c>
    </row>
    <row r="14" spans="1:2" x14ac:dyDescent="0.25">
      <c r="A14">
        <v>5208</v>
      </c>
      <c r="B14" t="s">
        <v>58</v>
      </c>
    </row>
    <row r="15" spans="1:2" x14ac:dyDescent="0.25">
      <c r="A15">
        <v>5209</v>
      </c>
      <c r="B15" t="s">
        <v>55</v>
      </c>
    </row>
    <row r="16" spans="1:2" x14ac:dyDescent="0.25">
      <c r="A16">
        <v>5210</v>
      </c>
      <c r="B16" t="s">
        <v>36</v>
      </c>
    </row>
    <row r="17" spans="1:2" x14ac:dyDescent="0.25">
      <c r="A17">
        <v>5211</v>
      </c>
      <c r="B17" t="s">
        <v>71</v>
      </c>
    </row>
    <row r="18" spans="1:2" x14ac:dyDescent="0.25">
      <c r="A18">
        <v>5212</v>
      </c>
      <c r="B18" t="s">
        <v>61</v>
      </c>
    </row>
    <row r="19" spans="1:2" x14ac:dyDescent="0.25">
      <c r="A19">
        <v>5213</v>
      </c>
      <c r="B19" t="s">
        <v>52</v>
      </c>
    </row>
    <row r="20" spans="1:2" x14ac:dyDescent="0.25">
      <c r="A20">
        <v>5214</v>
      </c>
      <c r="B20" t="s">
        <v>68</v>
      </c>
    </row>
    <row r="21" spans="1:2" x14ac:dyDescent="0.25">
      <c r="A21">
        <v>5215</v>
      </c>
      <c r="B21" t="s">
        <v>38</v>
      </c>
    </row>
    <row r="22" spans="1:2" x14ac:dyDescent="0.25">
      <c r="A22">
        <v>5216</v>
      </c>
      <c r="B22" t="s">
        <v>65</v>
      </c>
    </row>
    <row r="23" spans="1:2" x14ac:dyDescent="0.25">
      <c r="A23">
        <v>5217</v>
      </c>
      <c r="B23" t="s">
        <v>63</v>
      </c>
    </row>
    <row r="24" spans="1:2" x14ac:dyDescent="0.25">
      <c r="A24">
        <v>5218</v>
      </c>
      <c r="B24" t="s">
        <v>29</v>
      </c>
    </row>
    <row r="25" spans="1:2" x14ac:dyDescent="0.25">
      <c r="A25">
        <v>5300</v>
      </c>
      <c r="B25" t="s">
        <v>72</v>
      </c>
    </row>
    <row r="26" spans="1:2" x14ac:dyDescent="0.25">
      <c r="A26">
        <v>5301</v>
      </c>
      <c r="B26" t="s">
        <v>75</v>
      </c>
    </row>
    <row r="27" spans="1:2" x14ac:dyDescent="0.25">
      <c r="A27">
        <v>5302</v>
      </c>
      <c r="B27" t="s">
        <v>45</v>
      </c>
    </row>
    <row r="28" spans="1:2" x14ac:dyDescent="0.25">
      <c r="A28">
        <v>5303</v>
      </c>
      <c r="B28" t="s">
        <v>96</v>
      </c>
    </row>
    <row r="29" spans="1:2" x14ac:dyDescent="0.25">
      <c r="A29">
        <v>6101</v>
      </c>
      <c r="B29" t="s">
        <v>56</v>
      </c>
    </row>
    <row r="30" spans="1:2" x14ac:dyDescent="0.25">
      <c r="A30">
        <v>6102</v>
      </c>
      <c r="B30" t="s">
        <v>92</v>
      </c>
    </row>
    <row r="31" spans="1:2" x14ac:dyDescent="0.25">
      <c r="A31">
        <v>6201</v>
      </c>
      <c r="B31" t="s">
        <v>46</v>
      </c>
    </row>
    <row r="32" spans="1:2" x14ac:dyDescent="0.25">
      <c r="A32">
        <v>6202</v>
      </c>
      <c r="B32" t="s">
        <v>31</v>
      </c>
    </row>
    <row r="33" spans="1:2" x14ac:dyDescent="0.25">
      <c r="A33">
        <v>6300</v>
      </c>
      <c r="B33" t="s">
        <v>48</v>
      </c>
    </row>
    <row r="34" spans="1:2" x14ac:dyDescent="0.25">
      <c r="A34">
        <v>6401</v>
      </c>
      <c r="B34" t="s">
        <v>91</v>
      </c>
    </row>
    <row r="35" spans="1:2" x14ac:dyDescent="0.25">
      <c r="A35">
        <v>6402</v>
      </c>
      <c r="B35" t="s">
        <v>62</v>
      </c>
    </row>
    <row r="36" spans="1:2" x14ac:dyDescent="0.25">
      <c r="A36">
        <v>6403</v>
      </c>
      <c r="B36" t="s">
        <v>54</v>
      </c>
    </row>
    <row r="37" spans="1:2" x14ac:dyDescent="0.25">
      <c r="A37">
        <v>6404</v>
      </c>
      <c r="B37" t="s">
        <v>77</v>
      </c>
    </row>
    <row r="38" spans="1:2" x14ac:dyDescent="0.25">
      <c r="A38">
        <v>6405</v>
      </c>
      <c r="B38" t="s">
        <v>41</v>
      </c>
    </row>
    <row r="39" spans="1:2" x14ac:dyDescent="0.25">
      <c r="A39">
        <v>6406</v>
      </c>
      <c r="B39" t="s">
        <v>94</v>
      </c>
    </row>
    <row r="40" spans="1:2" x14ac:dyDescent="0.25">
      <c r="A40">
        <v>6407</v>
      </c>
      <c r="B40" t="s">
        <v>49</v>
      </c>
    </row>
    <row r="41" spans="1:2" x14ac:dyDescent="0.25">
      <c r="A41">
        <v>6408</v>
      </c>
      <c r="B41" t="s">
        <v>84</v>
      </c>
    </row>
    <row r="42" spans="1:2" x14ac:dyDescent="0.25">
      <c r="A42">
        <v>6501</v>
      </c>
      <c r="B42" t="s">
        <v>87</v>
      </c>
    </row>
    <row r="43" spans="1:2" x14ac:dyDescent="0.25">
      <c r="A43">
        <v>6502</v>
      </c>
      <c r="B43" t="s">
        <v>93</v>
      </c>
    </row>
    <row r="44" spans="1:2" x14ac:dyDescent="0.25">
      <c r="A44">
        <v>6503</v>
      </c>
      <c r="B44" t="s">
        <v>64</v>
      </c>
    </row>
    <row r="45" spans="1:2" x14ac:dyDescent="0.25">
      <c r="A45">
        <v>6504</v>
      </c>
      <c r="B45" t="s">
        <v>74</v>
      </c>
    </row>
    <row r="46" spans="1:2" x14ac:dyDescent="0.25">
      <c r="A46">
        <v>7100</v>
      </c>
      <c r="B46" t="s">
        <v>78</v>
      </c>
    </row>
    <row r="47" spans="1:2" x14ac:dyDescent="0.25">
      <c r="A47">
        <v>7101</v>
      </c>
      <c r="B47" t="s">
        <v>76</v>
      </c>
    </row>
    <row r="48" spans="1:2" x14ac:dyDescent="0.25">
      <c r="A48">
        <v>7102</v>
      </c>
      <c r="B48" t="s">
        <v>51</v>
      </c>
    </row>
    <row r="49" spans="1:2" x14ac:dyDescent="0.25">
      <c r="A49">
        <v>7103</v>
      </c>
      <c r="B49" t="s">
        <v>30</v>
      </c>
    </row>
    <row r="50" spans="1:2" x14ac:dyDescent="0.25">
      <c r="A50">
        <v>7104</v>
      </c>
      <c r="B50" t="s">
        <v>57</v>
      </c>
    </row>
    <row r="51" spans="1:2" x14ac:dyDescent="0.25">
      <c r="A51">
        <v>7105</v>
      </c>
      <c r="B51" t="s">
        <v>69</v>
      </c>
    </row>
    <row r="52" spans="1:2" x14ac:dyDescent="0.25">
      <c r="A52">
        <v>7106</v>
      </c>
      <c r="B52" t="s">
        <v>44</v>
      </c>
    </row>
    <row r="53" spans="1:2" x14ac:dyDescent="0.25">
      <c r="A53">
        <v>7107</v>
      </c>
      <c r="B53" t="s">
        <v>70</v>
      </c>
    </row>
    <row r="54" spans="1:2" x14ac:dyDescent="0.25">
      <c r="A54">
        <v>7108</v>
      </c>
      <c r="B54" t="s">
        <v>99</v>
      </c>
    </row>
    <row r="55" spans="1:2" x14ac:dyDescent="0.25">
      <c r="A55">
        <v>7109</v>
      </c>
      <c r="B55" t="s">
        <v>86</v>
      </c>
    </row>
    <row r="56" spans="1:2" x14ac:dyDescent="0.25">
      <c r="A56">
        <v>7110</v>
      </c>
      <c r="B56" t="s">
        <v>53</v>
      </c>
    </row>
    <row r="57" spans="1:2" x14ac:dyDescent="0.25">
      <c r="A57">
        <v>7111</v>
      </c>
      <c r="B57" t="s">
        <v>50</v>
      </c>
    </row>
    <row r="58" spans="1:2" x14ac:dyDescent="0.25">
      <c r="A58">
        <v>7500</v>
      </c>
      <c r="B58" t="s">
        <v>85</v>
      </c>
    </row>
    <row r="59" spans="1:2" x14ac:dyDescent="0.25">
      <c r="A59">
        <v>7501</v>
      </c>
      <c r="B59" t="s">
        <v>82</v>
      </c>
    </row>
    <row r="60" spans="1:2" x14ac:dyDescent="0.25">
      <c r="A60">
        <v>7502</v>
      </c>
      <c r="B60" t="s">
        <v>40</v>
      </c>
    </row>
    <row r="61" spans="1:2" x14ac:dyDescent="0.25">
      <c r="A61">
        <v>7503</v>
      </c>
      <c r="B61" t="s">
        <v>59</v>
      </c>
    </row>
    <row r="62" spans="1:2" x14ac:dyDescent="0.25">
      <c r="A62">
        <v>7504</v>
      </c>
      <c r="B62" t="s">
        <v>81</v>
      </c>
    </row>
    <row r="63" spans="1:2" x14ac:dyDescent="0.25">
      <c r="A63">
        <v>7505</v>
      </c>
      <c r="B63" t="s">
        <v>34</v>
      </c>
    </row>
    <row r="64" spans="1:2" x14ac:dyDescent="0.25">
      <c r="A64">
        <v>7506</v>
      </c>
      <c r="B64" t="s">
        <v>97</v>
      </c>
    </row>
    <row r="65" spans="1:2" x14ac:dyDescent="0.25">
      <c r="A65">
        <v>7507</v>
      </c>
      <c r="B65" t="s">
        <v>39</v>
      </c>
    </row>
    <row r="66" spans="1:2" x14ac:dyDescent="0.25">
      <c r="A66">
        <v>7508</v>
      </c>
      <c r="B66" t="s">
        <v>89</v>
      </c>
    </row>
    <row r="67" spans="1:2" x14ac:dyDescent="0.25">
      <c r="A67">
        <v>7509</v>
      </c>
      <c r="B67" t="s">
        <v>83</v>
      </c>
    </row>
    <row r="68" spans="1:2" x14ac:dyDescent="0.25">
      <c r="A68">
        <v>7510</v>
      </c>
      <c r="B68" t="s">
        <v>37</v>
      </c>
    </row>
    <row r="69" spans="1:2" x14ac:dyDescent="0.25">
      <c r="A69">
        <v>7511</v>
      </c>
      <c r="B69" t="s">
        <v>42</v>
      </c>
    </row>
    <row r="70" spans="1:2" x14ac:dyDescent="0.25">
      <c r="A70">
        <v>7512</v>
      </c>
      <c r="B70" t="s">
        <v>66</v>
      </c>
    </row>
    <row r="71" spans="1:2" x14ac:dyDescent="0.25">
      <c r="A71">
        <v>7513</v>
      </c>
      <c r="B71" t="s">
        <v>80</v>
      </c>
    </row>
    <row r="72" spans="1:2" x14ac:dyDescent="0.25">
      <c r="A72">
        <v>7514</v>
      </c>
      <c r="B72" t="s">
        <v>28</v>
      </c>
    </row>
    <row r="73" spans="1:2" x14ac:dyDescent="0.25">
      <c r="A73">
        <v>7515</v>
      </c>
      <c r="B73" t="s">
        <v>43</v>
      </c>
    </row>
  </sheetData>
  <autoFilter ref="A1:B73" xr:uid="{CF9271EA-B844-4606-82CD-ABCC672A86D9}">
    <sortState xmlns:xlrd2="http://schemas.microsoft.com/office/spreadsheetml/2017/richdata2" ref="A2:B73">
      <sortCondition ref="A1:A73"/>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C387E-BDBF-4466-904C-E28399E3BA93}">
  <dimension ref="A1:B14"/>
  <sheetViews>
    <sheetView workbookViewId="0">
      <selection activeCell="A12" sqref="A12"/>
    </sheetView>
  </sheetViews>
  <sheetFormatPr defaultRowHeight="15" x14ac:dyDescent="0.25"/>
  <sheetData>
    <row r="1" spans="1:2" x14ac:dyDescent="0.25">
      <c r="A1" t="s">
        <v>10</v>
      </c>
      <c r="B1" t="s">
        <v>100</v>
      </c>
    </row>
    <row r="2" spans="1:2" x14ac:dyDescent="0.25">
      <c r="A2" t="s">
        <v>18</v>
      </c>
      <c r="B2" t="s">
        <v>101</v>
      </c>
    </row>
    <row r="3" spans="1:2" x14ac:dyDescent="0.25">
      <c r="A3" t="s">
        <v>15</v>
      </c>
      <c r="B3" t="s">
        <v>102</v>
      </c>
    </row>
    <row r="4" spans="1:2" x14ac:dyDescent="0.25">
      <c r="A4" t="s">
        <v>22</v>
      </c>
      <c r="B4" t="s">
        <v>103</v>
      </c>
    </row>
    <row r="5" spans="1:2" x14ac:dyDescent="0.25">
      <c r="A5" t="s">
        <v>19</v>
      </c>
      <c r="B5" t="s">
        <v>104</v>
      </c>
    </row>
    <row r="6" spans="1:2" x14ac:dyDescent="0.25">
      <c r="A6" t="s">
        <v>14</v>
      </c>
      <c r="B6" t="s">
        <v>105</v>
      </c>
    </row>
    <row r="7" spans="1:2" x14ac:dyDescent="0.25">
      <c r="A7" t="s">
        <v>21</v>
      </c>
      <c r="B7" t="s">
        <v>106</v>
      </c>
    </row>
    <row r="8" spans="1:2" x14ac:dyDescent="0.25">
      <c r="A8" t="s">
        <v>8</v>
      </c>
      <c r="B8" t="s">
        <v>107</v>
      </c>
    </row>
    <row r="9" spans="1:2" x14ac:dyDescent="0.25">
      <c r="A9" t="s">
        <v>16</v>
      </c>
      <c r="B9" t="s">
        <v>108</v>
      </c>
    </row>
    <row r="10" spans="1:2" x14ac:dyDescent="0.25">
      <c r="A10" t="s">
        <v>20</v>
      </c>
      <c r="B10" t="s">
        <v>109</v>
      </c>
    </row>
    <row r="11" spans="1:2" x14ac:dyDescent="0.25">
      <c r="A11" s="8" t="s">
        <v>24</v>
      </c>
      <c r="B11" t="s">
        <v>110</v>
      </c>
    </row>
    <row r="12" spans="1:2" x14ac:dyDescent="0.25">
      <c r="A12">
        <v>12</v>
      </c>
      <c r="B12" t="s">
        <v>111</v>
      </c>
    </row>
    <row r="13" spans="1:2" x14ac:dyDescent="0.25">
      <c r="A13" t="s">
        <v>23</v>
      </c>
      <c r="B13" t="s">
        <v>112</v>
      </c>
    </row>
    <row r="14" spans="1:2" x14ac:dyDescent="0.25">
      <c r="A14">
        <v>14</v>
      </c>
      <c r="B14" t="s">
        <v>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186EE-2449-4EDC-B905-13CD53325BEB}">
  <dimension ref="A1:N23"/>
  <sheetViews>
    <sheetView showGridLines="0" workbookViewId="0">
      <selection activeCell="L8" sqref="L8"/>
    </sheetView>
  </sheetViews>
  <sheetFormatPr defaultRowHeight="15" x14ac:dyDescent="0.25"/>
  <cols>
    <col min="1" max="1" width="52.7109375" bestFit="1" customWidth="1"/>
    <col min="2" max="2" width="24" bestFit="1" customWidth="1"/>
    <col min="3" max="3" width="12.42578125" bestFit="1" customWidth="1"/>
    <col min="4" max="4" width="13.5703125" bestFit="1" customWidth="1"/>
    <col min="5" max="5" width="12.42578125" bestFit="1" customWidth="1"/>
    <col min="6" max="6" width="15.28515625" bestFit="1" customWidth="1"/>
    <col min="7" max="7" width="10" bestFit="1" customWidth="1"/>
    <col min="8" max="8" width="13.5703125" bestFit="1" customWidth="1"/>
    <col min="9" max="10" width="12.42578125" bestFit="1" customWidth="1"/>
    <col min="11" max="11" width="13.5703125" bestFit="1" customWidth="1"/>
    <col min="12" max="12" width="12.42578125" bestFit="1" customWidth="1"/>
    <col min="13" max="13" width="11.42578125" bestFit="1" customWidth="1"/>
    <col min="14" max="14" width="15" bestFit="1" customWidth="1"/>
  </cols>
  <sheetData>
    <row r="1" spans="1:14" x14ac:dyDescent="0.25">
      <c r="A1" s="3" t="s">
        <v>0</v>
      </c>
      <c r="B1" t="s">
        <v>17</v>
      </c>
    </row>
    <row r="2" spans="1:14" x14ac:dyDescent="0.25">
      <c r="A2" s="3" t="s">
        <v>1</v>
      </c>
      <c r="B2" t="s">
        <v>7</v>
      </c>
    </row>
    <row r="4" spans="1:14" x14ac:dyDescent="0.25">
      <c r="A4" s="3" t="s">
        <v>121</v>
      </c>
      <c r="B4" s="3" t="s">
        <v>120</v>
      </c>
    </row>
    <row r="5" spans="1:14" x14ac:dyDescent="0.25">
      <c r="A5" s="3" t="s">
        <v>117</v>
      </c>
      <c r="B5" t="s">
        <v>112</v>
      </c>
      <c r="C5" t="s">
        <v>103</v>
      </c>
      <c r="D5" t="s">
        <v>101</v>
      </c>
      <c r="E5" t="s">
        <v>102</v>
      </c>
      <c r="F5" t="s">
        <v>105</v>
      </c>
      <c r="G5" t="s">
        <v>106</v>
      </c>
      <c r="H5" t="s">
        <v>100</v>
      </c>
      <c r="I5" t="s">
        <v>108</v>
      </c>
      <c r="J5" t="s">
        <v>104</v>
      </c>
      <c r="K5" t="s">
        <v>107</v>
      </c>
      <c r="L5" t="s">
        <v>118</v>
      </c>
      <c r="M5" t="s">
        <v>110</v>
      </c>
      <c r="N5" t="s">
        <v>119</v>
      </c>
    </row>
    <row r="6" spans="1:14" x14ac:dyDescent="0.25">
      <c r="A6" s="4" t="s">
        <v>32</v>
      </c>
      <c r="B6" s="1"/>
      <c r="C6" s="1"/>
      <c r="D6" s="1"/>
      <c r="E6" s="1"/>
      <c r="F6" s="1"/>
      <c r="G6" s="1"/>
      <c r="H6" s="1"/>
      <c r="I6" s="1"/>
      <c r="J6" s="1"/>
      <c r="K6" s="1">
        <v>2225838.8469190402</v>
      </c>
      <c r="L6" s="1"/>
      <c r="M6" s="1"/>
      <c r="N6" s="1">
        <v>2225838.8469190402</v>
      </c>
    </row>
    <row r="7" spans="1:14" x14ac:dyDescent="0.25">
      <c r="A7" s="4" t="s">
        <v>55</v>
      </c>
      <c r="B7" s="1"/>
      <c r="C7" s="1"/>
      <c r="D7" s="1"/>
      <c r="E7" s="1"/>
      <c r="F7" s="5">
        <v>449394.543644252</v>
      </c>
      <c r="G7" s="5">
        <v>713371.15245685598</v>
      </c>
      <c r="H7" s="1"/>
      <c r="I7" s="1"/>
      <c r="J7" s="1"/>
      <c r="K7" s="1"/>
      <c r="L7" s="1"/>
      <c r="M7" s="1"/>
      <c r="N7" s="1">
        <v>1162765.6961011081</v>
      </c>
    </row>
    <row r="8" spans="1:14" x14ac:dyDescent="0.25">
      <c r="A8" s="4" t="s">
        <v>73</v>
      </c>
      <c r="B8" s="1"/>
      <c r="C8" s="1"/>
      <c r="D8" s="1"/>
      <c r="E8" s="1"/>
      <c r="F8" s="1"/>
      <c r="G8" s="1"/>
      <c r="H8" s="5">
        <v>185078002.33710599</v>
      </c>
      <c r="I8" s="1"/>
      <c r="J8" s="1"/>
      <c r="K8" s="5">
        <v>80573798.998370007</v>
      </c>
      <c r="L8" s="1">
        <v>0</v>
      </c>
      <c r="M8" s="1"/>
      <c r="N8" s="1">
        <v>265651801.33547598</v>
      </c>
    </row>
    <row r="9" spans="1:14" x14ac:dyDescent="0.25">
      <c r="A9" s="4" t="s">
        <v>47</v>
      </c>
      <c r="B9" s="1"/>
      <c r="C9" s="1"/>
      <c r="D9" s="1"/>
      <c r="E9" s="1"/>
      <c r="F9" s="1"/>
      <c r="G9" s="1"/>
      <c r="H9" s="5">
        <v>4867974.3499999996</v>
      </c>
      <c r="I9" s="1"/>
      <c r="J9" s="1"/>
      <c r="K9" s="1"/>
      <c r="L9" s="1"/>
      <c r="M9" s="1"/>
      <c r="N9" s="1">
        <v>4867974.3499999996</v>
      </c>
    </row>
    <row r="10" spans="1:14" x14ac:dyDescent="0.25">
      <c r="A10" s="4" t="s">
        <v>35</v>
      </c>
      <c r="B10" s="1"/>
      <c r="C10" s="5">
        <v>71573013.399019405</v>
      </c>
      <c r="D10" s="1"/>
      <c r="E10" s="1"/>
      <c r="F10" s="1"/>
      <c r="G10" s="1"/>
      <c r="H10" s="1"/>
      <c r="I10" s="1"/>
      <c r="J10" s="1"/>
      <c r="K10" s="1"/>
      <c r="L10" s="1"/>
      <c r="M10" s="1"/>
      <c r="N10" s="1">
        <v>71573013.399019405</v>
      </c>
    </row>
    <row r="11" spans="1:14" x14ac:dyDescent="0.25">
      <c r="A11" s="4" t="s">
        <v>98</v>
      </c>
      <c r="B11" s="1"/>
      <c r="C11" s="5">
        <v>597578.97</v>
      </c>
      <c r="D11" s="1"/>
      <c r="E11" s="1"/>
      <c r="F11" s="1"/>
      <c r="G11" s="1"/>
      <c r="H11" s="1"/>
      <c r="I11" s="1"/>
      <c r="J11" s="1"/>
      <c r="K11" s="1"/>
      <c r="L11" s="1"/>
      <c r="M11" s="1"/>
      <c r="N11" s="1">
        <v>597578.97</v>
      </c>
    </row>
    <row r="12" spans="1:14" x14ac:dyDescent="0.25">
      <c r="A12" s="4" t="s">
        <v>88</v>
      </c>
      <c r="B12" s="1"/>
      <c r="C12" s="1"/>
      <c r="D12" s="5">
        <v>342976944.05916101</v>
      </c>
      <c r="E12" s="1"/>
      <c r="F12" s="1"/>
      <c r="G12" s="1"/>
      <c r="H12" s="1"/>
      <c r="I12" s="1"/>
      <c r="J12" s="1"/>
      <c r="K12" s="5">
        <v>423625026.70495403</v>
      </c>
      <c r="L12" s="1">
        <v>18148277.66</v>
      </c>
      <c r="M12" s="1"/>
      <c r="N12" s="1">
        <v>784750248.42411506</v>
      </c>
    </row>
    <row r="13" spans="1:14" x14ac:dyDescent="0.25">
      <c r="A13" s="4" t="s">
        <v>90</v>
      </c>
      <c r="B13" s="1"/>
      <c r="C13" s="1"/>
      <c r="D13" s="1"/>
      <c r="E13" s="1"/>
      <c r="F13" s="1"/>
      <c r="G13" s="1"/>
      <c r="H13" s="1"/>
      <c r="I13" s="1"/>
      <c r="J13" s="1"/>
      <c r="K13" s="5">
        <v>1817685.21845793</v>
      </c>
      <c r="L13" s="1"/>
      <c r="M13" s="1"/>
      <c r="N13" s="1">
        <v>1817685.21845793</v>
      </c>
    </row>
    <row r="14" spans="1:14" x14ac:dyDescent="0.25">
      <c r="A14" s="4" t="s">
        <v>52</v>
      </c>
      <c r="B14" s="1"/>
      <c r="C14" s="1"/>
      <c r="D14" s="1"/>
      <c r="E14" s="1"/>
      <c r="F14" s="1"/>
      <c r="G14" s="1"/>
      <c r="H14" s="1"/>
      <c r="I14" s="1"/>
      <c r="J14" s="1"/>
      <c r="K14" s="5">
        <v>194.52</v>
      </c>
      <c r="L14" s="1"/>
      <c r="M14" s="1"/>
      <c r="N14" s="1">
        <v>194.52</v>
      </c>
    </row>
    <row r="15" spans="1:14" x14ac:dyDescent="0.25">
      <c r="A15" s="4" t="s">
        <v>95</v>
      </c>
      <c r="B15" s="1"/>
      <c r="C15" s="1"/>
      <c r="D15" s="1"/>
      <c r="E15" s="5">
        <v>49910199.996774502</v>
      </c>
      <c r="F15" s="1"/>
      <c r="G15" s="1"/>
      <c r="H15" s="1"/>
      <c r="I15" s="1"/>
      <c r="J15" s="1"/>
      <c r="K15" s="1"/>
      <c r="L15" s="1"/>
      <c r="M15" s="1"/>
      <c r="N15" s="1">
        <v>49910199.996774502</v>
      </c>
    </row>
    <row r="16" spans="1:14" x14ac:dyDescent="0.25">
      <c r="A16" s="4" t="s">
        <v>33</v>
      </c>
      <c r="B16" s="1"/>
      <c r="C16" s="1"/>
      <c r="D16" s="1"/>
      <c r="E16" s="5">
        <v>1348820.9</v>
      </c>
      <c r="F16" s="1"/>
      <c r="G16" s="1"/>
      <c r="H16" s="1"/>
      <c r="I16" s="1"/>
      <c r="J16" s="1"/>
      <c r="K16" s="1"/>
      <c r="L16" s="1"/>
      <c r="M16" s="1"/>
      <c r="N16" s="1">
        <v>1348820.9</v>
      </c>
    </row>
    <row r="17" spans="1:14" x14ac:dyDescent="0.25">
      <c r="A17" s="4" t="s">
        <v>71</v>
      </c>
      <c r="B17" s="1"/>
      <c r="C17" s="1"/>
      <c r="D17" s="1"/>
      <c r="E17" s="1"/>
      <c r="F17" s="1"/>
      <c r="G17" s="1"/>
      <c r="H17" s="1"/>
      <c r="I17" s="5">
        <v>25187386.802054599</v>
      </c>
      <c r="J17" s="1"/>
      <c r="K17" s="1"/>
      <c r="L17" s="1"/>
      <c r="M17" s="1"/>
      <c r="N17" s="1">
        <v>25187386.802054599</v>
      </c>
    </row>
    <row r="18" spans="1:14" x14ac:dyDescent="0.25">
      <c r="A18" s="4" t="s">
        <v>61</v>
      </c>
      <c r="B18" s="1"/>
      <c r="C18" s="1"/>
      <c r="D18" s="1"/>
      <c r="E18" s="1"/>
      <c r="F18" s="1"/>
      <c r="G18" s="1"/>
      <c r="H18" s="1"/>
      <c r="I18" s="5">
        <v>8387009.2699999996</v>
      </c>
      <c r="J18" s="1"/>
      <c r="K18" s="1"/>
      <c r="L18" s="1"/>
      <c r="M18" s="1"/>
      <c r="N18" s="1">
        <v>8387009.2699999996</v>
      </c>
    </row>
    <row r="19" spans="1:14" x14ac:dyDescent="0.25">
      <c r="A19" s="4" t="s">
        <v>60</v>
      </c>
      <c r="B19" s="1"/>
      <c r="C19" s="1"/>
      <c r="D19" s="1"/>
      <c r="E19" s="1"/>
      <c r="F19" s="1"/>
      <c r="G19" s="1"/>
      <c r="H19" s="1"/>
      <c r="I19" s="1"/>
      <c r="J19" s="5">
        <v>11356426.3242616</v>
      </c>
      <c r="K19" s="1"/>
      <c r="L19" s="1"/>
      <c r="M19" s="1"/>
      <c r="N19" s="1">
        <v>11356426.3242616</v>
      </c>
    </row>
    <row r="20" spans="1:14" x14ac:dyDescent="0.25">
      <c r="A20" s="4" t="s">
        <v>38</v>
      </c>
      <c r="B20" s="1"/>
      <c r="C20" s="1"/>
      <c r="D20" s="1"/>
      <c r="E20" s="1"/>
      <c r="F20" s="1"/>
      <c r="G20" s="1"/>
      <c r="H20" s="1"/>
      <c r="I20" s="1"/>
      <c r="J20" s="1"/>
      <c r="K20" s="1"/>
      <c r="L20" s="1"/>
      <c r="M20" s="1">
        <v>9810905.6400000006</v>
      </c>
      <c r="N20" s="1">
        <v>9810905.6400000006</v>
      </c>
    </row>
    <row r="21" spans="1:14" x14ac:dyDescent="0.25">
      <c r="A21" s="4" t="s">
        <v>72</v>
      </c>
      <c r="B21" s="1"/>
      <c r="C21" s="1"/>
      <c r="D21" s="1"/>
      <c r="E21" s="1"/>
      <c r="F21" s="1"/>
      <c r="G21" s="1"/>
      <c r="H21" s="1"/>
      <c r="I21" s="1"/>
      <c r="J21" s="1"/>
      <c r="K21" s="5">
        <v>2427864.0896394802</v>
      </c>
      <c r="L21" s="1"/>
      <c r="M21" s="1"/>
      <c r="N21" s="1">
        <v>2427864.0896394802</v>
      </c>
    </row>
    <row r="22" spans="1:14" x14ac:dyDescent="0.25">
      <c r="A22" s="4" t="s">
        <v>118</v>
      </c>
      <c r="B22" s="1">
        <v>408890.18718012102</v>
      </c>
      <c r="C22" s="1"/>
      <c r="D22" s="1"/>
      <c r="E22" s="1"/>
      <c r="F22" s="1"/>
      <c r="G22" s="1"/>
      <c r="H22" s="1"/>
      <c r="I22" s="1"/>
      <c r="J22" s="1"/>
      <c r="K22" s="1"/>
      <c r="L22" s="1"/>
      <c r="M22" s="1"/>
      <c r="N22" s="1">
        <v>408890.18718012102</v>
      </c>
    </row>
    <row r="23" spans="1:14" x14ac:dyDescent="0.25">
      <c r="A23" s="4" t="s">
        <v>119</v>
      </c>
      <c r="B23" s="1">
        <v>408890.18718012102</v>
      </c>
      <c r="C23" s="1">
        <v>72170592.369019404</v>
      </c>
      <c r="D23" s="1">
        <v>342976944.05916101</v>
      </c>
      <c r="E23" s="1">
        <v>51259020.896774501</v>
      </c>
      <c r="F23" s="1">
        <v>449394.543644252</v>
      </c>
      <c r="G23" s="1">
        <v>713371.15245685598</v>
      </c>
      <c r="H23" s="1">
        <v>189945976.68710598</v>
      </c>
      <c r="I23" s="1">
        <v>33574396.072054595</v>
      </c>
      <c r="J23" s="1">
        <v>11356426.3242616</v>
      </c>
      <c r="K23" s="1">
        <v>510670408.37834048</v>
      </c>
      <c r="L23" s="1">
        <v>18148277.66</v>
      </c>
      <c r="M23" s="1">
        <v>9810905.6400000006</v>
      </c>
      <c r="N23" s="1">
        <v>1241484603.9699991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300CB-2215-4E99-B61E-4D031EC76312}">
  <dimension ref="A1:M19"/>
  <sheetViews>
    <sheetView showGridLines="0" workbookViewId="0">
      <selection activeCell="K12" sqref="K12"/>
    </sheetView>
  </sheetViews>
  <sheetFormatPr defaultRowHeight="15" x14ac:dyDescent="0.25"/>
  <cols>
    <col min="1" max="1" width="52.7109375" bestFit="1" customWidth="1"/>
    <col min="2" max="2" width="24" bestFit="1" customWidth="1"/>
    <col min="3" max="3" width="12.42578125" bestFit="1" customWidth="1"/>
    <col min="4" max="4" width="9.140625" bestFit="1" customWidth="1"/>
    <col min="5" max="5" width="11.42578125" bestFit="1" customWidth="1"/>
    <col min="6" max="6" width="15.28515625" bestFit="1" customWidth="1"/>
    <col min="7" max="7" width="11.42578125" bestFit="1" customWidth="1"/>
    <col min="8" max="8" width="16" bestFit="1" customWidth="1"/>
    <col min="9" max="9" width="10" bestFit="1" customWidth="1"/>
    <col min="10" max="10" width="12.42578125" bestFit="1" customWidth="1"/>
    <col min="11" max="11" width="9" bestFit="1" customWidth="1"/>
    <col min="12" max="12" width="8" bestFit="1" customWidth="1"/>
    <col min="13" max="14" width="16" bestFit="1" customWidth="1"/>
  </cols>
  <sheetData>
    <row r="1" spans="1:13" x14ac:dyDescent="0.25">
      <c r="A1" s="3" t="s">
        <v>0</v>
      </c>
      <c r="B1" t="s">
        <v>11</v>
      </c>
    </row>
    <row r="2" spans="1:13" x14ac:dyDescent="0.25">
      <c r="A2" s="3" t="s">
        <v>1</v>
      </c>
      <c r="B2" t="s">
        <v>7</v>
      </c>
    </row>
    <row r="4" spans="1:13" x14ac:dyDescent="0.25">
      <c r="A4" s="3" t="s">
        <v>121</v>
      </c>
      <c r="B4" s="3" t="s">
        <v>120</v>
      </c>
    </row>
    <row r="5" spans="1:13" x14ac:dyDescent="0.25">
      <c r="A5" s="3" t="s">
        <v>117</v>
      </c>
      <c r="B5" t="s">
        <v>103</v>
      </c>
      <c r="C5" t="s">
        <v>101</v>
      </c>
      <c r="D5" t="s">
        <v>109</v>
      </c>
      <c r="E5" t="s">
        <v>102</v>
      </c>
      <c r="F5" t="s">
        <v>105</v>
      </c>
      <c r="G5" t="s">
        <v>106</v>
      </c>
      <c r="H5" t="s">
        <v>100</v>
      </c>
      <c r="I5" t="s">
        <v>104</v>
      </c>
      <c r="J5" t="s">
        <v>107</v>
      </c>
      <c r="K5" t="s">
        <v>118</v>
      </c>
      <c r="L5" t="s">
        <v>110</v>
      </c>
      <c r="M5" t="s">
        <v>119</v>
      </c>
    </row>
    <row r="6" spans="1:13" x14ac:dyDescent="0.25">
      <c r="A6" s="4" t="s">
        <v>32</v>
      </c>
      <c r="B6" s="1"/>
      <c r="C6" s="1"/>
      <c r="D6" s="1"/>
      <c r="E6" s="1"/>
      <c r="F6" s="1"/>
      <c r="G6" s="6">
        <v>4169.0201031829602</v>
      </c>
      <c r="H6" s="6">
        <v>139036.328669551</v>
      </c>
      <c r="I6" s="1"/>
      <c r="J6" s="1"/>
      <c r="K6" s="1"/>
      <c r="L6" s="1"/>
      <c r="M6" s="1">
        <v>143205.34877273397</v>
      </c>
    </row>
    <row r="7" spans="1:13" x14ac:dyDescent="0.25">
      <c r="A7" s="4" t="s">
        <v>79</v>
      </c>
      <c r="B7" s="1"/>
      <c r="C7" s="1"/>
      <c r="D7" s="1"/>
      <c r="E7" s="1"/>
      <c r="F7" s="5">
        <v>866370.57636821002</v>
      </c>
      <c r="G7" s="5">
        <v>1202592.6269012799</v>
      </c>
      <c r="H7" s="1"/>
      <c r="I7" s="1"/>
      <c r="J7" s="1"/>
      <c r="K7" s="1"/>
      <c r="L7" s="1"/>
      <c r="M7" s="1">
        <v>2068963.20326949</v>
      </c>
    </row>
    <row r="8" spans="1:13" x14ac:dyDescent="0.25">
      <c r="A8" s="4" t="s">
        <v>55</v>
      </c>
      <c r="B8" s="1"/>
      <c r="C8" s="1"/>
      <c r="D8" s="1"/>
      <c r="E8" s="1"/>
      <c r="F8" s="5">
        <v>23359.165998231099</v>
      </c>
      <c r="G8" s="5">
        <v>72297.0912038549</v>
      </c>
      <c r="H8" s="1"/>
      <c r="I8" s="1"/>
      <c r="J8" s="1"/>
      <c r="K8" s="1"/>
      <c r="L8" s="1"/>
      <c r="M8" s="1">
        <v>95656.257202085995</v>
      </c>
    </row>
    <row r="9" spans="1:13" x14ac:dyDescent="0.25">
      <c r="A9" s="4" t="s">
        <v>73</v>
      </c>
      <c r="B9" s="1"/>
      <c r="C9" s="1"/>
      <c r="D9" s="1"/>
      <c r="E9" s="1"/>
      <c r="F9" s="1"/>
      <c r="G9" s="1"/>
      <c r="H9" s="5">
        <v>22483765008.3773</v>
      </c>
      <c r="I9" s="1"/>
      <c r="J9" s="5">
        <v>31961416.094600499</v>
      </c>
      <c r="K9" s="1">
        <v>33082.684760346601</v>
      </c>
      <c r="L9" s="1"/>
      <c r="M9" s="1">
        <v>22515759507.156662</v>
      </c>
    </row>
    <row r="10" spans="1:13" x14ac:dyDescent="0.25">
      <c r="A10" s="4" t="s">
        <v>47</v>
      </c>
      <c r="B10" s="1"/>
      <c r="C10" s="1"/>
      <c r="D10" s="1"/>
      <c r="E10" s="1"/>
      <c r="F10" s="1"/>
      <c r="G10" s="1"/>
      <c r="H10" s="5">
        <v>709085121.96771395</v>
      </c>
      <c r="I10" s="1"/>
      <c r="J10" s="5">
        <v>361042.22</v>
      </c>
      <c r="K10" s="1"/>
      <c r="L10" s="1"/>
      <c r="M10" s="1">
        <v>709446164.18771398</v>
      </c>
    </row>
    <row r="11" spans="1:13" x14ac:dyDescent="0.25">
      <c r="A11" s="4" t="s">
        <v>35</v>
      </c>
      <c r="B11" s="5">
        <v>6162600.2846490601</v>
      </c>
      <c r="C11" s="1"/>
      <c r="D11" s="1"/>
      <c r="E11" s="1"/>
      <c r="F11" s="1"/>
      <c r="G11" s="1"/>
      <c r="H11" s="1"/>
      <c r="I11" s="1"/>
      <c r="J11" s="1"/>
      <c r="K11" s="1"/>
      <c r="L11" s="1"/>
      <c r="M11" s="1">
        <v>6162600.2846490601</v>
      </c>
    </row>
    <row r="12" spans="1:13" x14ac:dyDescent="0.25">
      <c r="A12" s="4" t="s">
        <v>88</v>
      </c>
      <c r="B12" s="1"/>
      <c r="C12" s="5">
        <v>25863095.8346336</v>
      </c>
      <c r="D12" s="1"/>
      <c r="E12" s="1"/>
      <c r="F12" s="1"/>
      <c r="G12" s="1"/>
      <c r="H12" s="1"/>
      <c r="I12" s="1"/>
      <c r="J12" s="5">
        <v>4663532.5177857503</v>
      </c>
      <c r="K12" s="1">
        <v>2554.7800000000002</v>
      </c>
      <c r="L12" s="1"/>
      <c r="M12" s="1">
        <v>30529183.132419351</v>
      </c>
    </row>
    <row r="13" spans="1:13" x14ac:dyDescent="0.25">
      <c r="A13" s="4" t="s">
        <v>90</v>
      </c>
      <c r="B13" s="1"/>
      <c r="C13" s="5">
        <v>64929.65</v>
      </c>
      <c r="D13" s="1"/>
      <c r="E13" s="1"/>
      <c r="F13" s="1"/>
      <c r="G13" s="1"/>
      <c r="H13" s="1"/>
      <c r="I13" s="1"/>
      <c r="J13" s="1"/>
      <c r="K13" s="1"/>
      <c r="L13" s="1"/>
      <c r="M13" s="1">
        <v>64929.65</v>
      </c>
    </row>
    <row r="14" spans="1:13" x14ac:dyDescent="0.25">
      <c r="A14" s="4" t="s">
        <v>52</v>
      </c>
      <c r="B14" s="1"/>
      <c r="C14" s="1"/>
      <c r="D14" s="5">
        <v>93777.47</v>
      </c>
      <c r="E14" s="1"/>
      <c r="F14" s="1"/>
      <c r="G14" s="1"/>
      <c r="H14" s="1"/>
      <c r="I14" s="1"/>
      <c r="J14" s="1"/>
      <c r="K14" s="1"/>
      <c r="L14" s="1"/>
      <c r="M14" s="1">
        <v>93777.47</v>
      </c>
    </row>
    <row r="15" spans="1:13" x14ac:dyDescent="0.25">
      <c r="A15" s="4" t="s">
        <v>95</v>
      </c>
      <c r="B15" s="1"/>
      <c r="C15" s="1"/>
      <c r="D15" s="1"/>
      <c r="E15" s="5">
        <v>4097961.0242947899</v>
      </c>
      <c r="F15" s="1"/>
      <c r="G15" s="1"/>
      <c r="H15" s="1"/>
      <c r="I15" s="1"/>
      <c r="J15" s="1"/>
      <c r="K15" s="1"/>
      <c r="L15" s="1"/>
      <c r="M15" s="1">
        <v>4097961.0242947899</v>
      </c>
    </row>
    <row r="16" spans="1:13" x14ac:dyDescent="0.25">
      <c r="A16" s="4" t="s">
        <v>60</v>
      </c>
      <c r="B16" s="1"/>
      <c r="C16" s="1"/>
      <c r="D16" s="1"/>
      <c r="E16" s="1"/>
      <c r="F16" s="1"/>
      <c r="G16" s="1"/>
      <c r="H16" s="1"/>
      <c r="I16" s="5">
        <v>168410.06315332401</v>
      </c>
      <c r="J16" s="1"/>
      <c r="K16" s="1"/>
      <c r="L16" s="1"/>
      <c r="M16" s="1">
        <v>168410.06315332401</v>
      </c>
    </row>
    <row r="17" spans="1:13" x14ac:dyDescent="0.25">
      <c r="A17" s="4" t="s">
        <v>38</v>
      </c>
      <c r="B17" s="1"/>
      <c r="C17" s="1"/>
      <c r="D17" s="1"/>
      <c r="E17" s="1"/>
      <c r="F17" s="1"/>
      <c r="G17" s="1"/>
      <c r="H17" s="1"/>
      <c r="I17" s="1"/>
      <c r="J17" s="1"/>
      <c r="K17" s="1"/>
      <c r="L17" s="1">
        <v>3640.1</v>
      </c>
      <c r="M17" s="1">
        <v>3640.1</v>
      </c>
    </row>
    <row r="18" spans="1:13" x14ac:dyDescent="0.25">
      <c r="A18" s="4" t="s">
        <v>72</v>
      </c>
      <c r="B18" s="1"/>
      <c r="C18" s="1"/>
      <c r="D18" s="1"/>
      <c r="E18" s="1"/>
      <c r="F18" s="1"/>
      <c r="G18" s="1"/>
      <c r="H18" s="1"/>
      <c r="I18" s="1"/>
      <c r="J18" s="5">
        <v>1038375.25150912</v>
      </c>
      <c r="K18" s="1">
        <v>0</v>
      </c>
      <c r="L18" s="1"/>
      <c r="M18" s="1">
        <v>1038375.25150912</v>
      </c>
    </row>
    <row r="19" spans="1:13" x14ac:dyDescent="0.25">
      <c r="A19" s="4" t="s">
        <v>119</v>
      </c>
      <c r="B19" s="1">
        <v>6162600.2846490601</v>
      </c>
      <c r="C19" s="1">
        <v>25928025.484633598</v>
      </c>
      <c r="D19" s="1">
        <v>93777.47</v>
      </c>
      <c r="E19" s="1">
        <v>4097961.0242947899</v>
      </c>
      <c r="F19" s="1">
        <v>889729.74236644118</v>
      </c>
      <c r="G19" s="1">
        <v>1279058.7382083177</v>
      </c>
      <c r="H19" s="1">
        <v>23192989166.673683</v>
      </c>
      <c r="I19" s="1">
        <v>168410.06315332401</v>
      </c>
      <c r="J19" s="1">
        <v>38024366.08389537</v>
      </c>
      <c r="K19" s="1">
        <v>35637.4647603466</v>
      </c>
      <c r="L19" s="1">
        <v>3640.1</v>
      </c>
      <c r="M19" s="1">
        <v>23269672373.12965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3FC09-E21B-4F81-8C54-1E4B24FC257E}">
  <dimension ref="A1:O25"/>
  <sheetViews>
    <sheetView showGridLines="0" workbookViewId="0">
      <selection activeCell="M5" sqref="M5"/>
    </sheetView>
  </sheetViews>
  <sheetFormatPr defaultRowHeight="15" x14ac:dyDescent="0.25"/>
  <cols>
    <col min="1" max="1" width="52.7109375" bestFit="1" customWidth="1"/>
    <col min="2" max="2" width="24" bestFit="1" customWidth="1"/>
    <col min="3" max="4" width="13.5703125" bestFit="1" customWidth="1"/>
    <col min="5" max="5" width="11.42578125" bestFit="1" customWidth="1"/>
    <col min="6" max="6" width="13.5703125" bestFit="1" customWidth="1"/>
    <col min="7" max="7" width="15.28515625" bestFit="1" customWidth="1"/>
    <col min="8" max="8" width="11.42578125" bestFit="1" customWidth="1"/>
    <col min="9" max="9" width="16" bestFit="1" customWidth="1"/>
    <col min="10" max="11" width="12.42578125" bestFit="1" customWidth="1"/>
    <col min="12" max="12" width="15" bestFit="1" customWidth="1"/>
    <col min="13" max="14" width="12.42578125" bestFit="1" customWidth="1"/>
    <col min="15" max="15" width="16" bestFit="1" customWidth="1"/>
  </cols>
  <sheetData>
    <row r="1" spans="1:15" x14ac:dyDescent="0.25">
      <c r="A1" s="3" t="s">
        <v>0</v>
      </c>
      <c r="B1" t="s">
        <v>116</v>
      </c>
    </row>
    <row r="2" spans="1:15" x14ac:dyDescent="0.25">
      <c r="A2" s="3" t="s">
        <v>1</v>
      </c>
      <c r="B2" t="s">
        <v>7</v>
      </c>
    </row>
    <row r="4" spans="1:15" x14ac:dyDescent="0.25">
      <c r="A4" s="3" t="s">
        <v>121</v>
      </c>
      <c r="B4" s="3" t="s">
        <v>120</v>
      </c>
    </row>
    <row r="5" spans="1:15" x14ac:dyDescent="0.25">
      <c r="A5" s="3" t="s">
        <v>117</v>
      </c>
      <c r="B5" t="s">
        <v>112</v>
      </c>
      <c r="C5" t="s">
        <v>103</v>
      </c>
      <c r="D5" t="s">
        <v>101</v>
      </c>
      <c r="E5" t="s">
        <v>109</v>
      </c>
      <c r="F5" t="s">
        <v>102</v>
      </c>
      <c r="G5" t="s">
        <v>105</v>
      </c>
      <c r="H5" t="s">
        <v>106</v>
      </c>
      <c r="I5" t="s">
        <v>100</v>
      </c>
      <c r="J5" t="s">
        <v>108</v>
      </c>
      <c r="K5" t="s">
        <v>104</v>
      </c>
      <c r="L5" t="s">
        <v>107</v>
      </c>
      <c r="M5" t="s">
        <v>118</v>
      </c>
      <c r="N5" t="s">
        <v>110</v>
      </c>
      <c r="O5" t="s">
        <v>119</v>
      </c>
    </row>
    <row r="6" spans="1:15" x14ac:dyDescent="0.25">
      <c r="A6" s="4" t="s">
        <v>32</v>
      </c>
      <c r="B6" s="1"/>
      <c r="C6" s="1"/>
      <c r="D6" s="1"/>
      <c r="E6" s="1"/>
      <c r="F6" s="1"/>
      <c r="G6" s="1">
        <v>567.31364063622505</v>
      </c>
      <c r="H6" s="6">
        <v>4169.0201031829602</v>
      </c>
      <c r="I6" s="6">
        <v>139036.328669551</v>
      </c>
      <c r="J6" s="1"/>
      <c r="K6" s="1"/>
      <c r="L6" s="1">
        <v>28907763.033007331</v>
      </c>
      <c r="M6" s="1">
        <v>0</v>
      </c>
      <c r="N6" s="1"/>
      <c r="O6" s="1">
        <v>29051535.695420701</v>
      </c>
    </row>
    <row r="7" spans="1:15" x14ac:dyDescent="0.25">
      <c r="A7" s="4" t="s">
        <v>79</v>
      </c>
      <c r="B7" s="1"/>
      <c r="C7" s="1"/>
      <c r="D7" s="1"/>
      <c r="E7" s="1"/>
      <c r="F7" s="1"/>
      <c r="G7" s="5">
        <v>866370.57636821002</v>
      </c>
      <c r="H7" s="5">
        <v>1202592.6269012799</v>
      </c>
      <c r="I7" s="1"/>
      <c r="J7" s="1"/>
      <c r="K7" s="1"/>
      <c r="L7" s="1"/>
      <c r="M7" s="1"/>
      <c r="N7" s="1"/>
      <c r="O7" s="1">
        <v>2068963.20326949</v>
      </c>
    </row>
    <row r="8" spans="1:15" x14ac:dyDescent="0.25">
      <c r="A8" s="4" t="s">
        <v>55</v>
      </c>
      <c r="B8" s="1"/>
      <c r="C8" s="1"/>
      <c r="D8" s="1"/>
      <c r="E8" s="1"/>
      <c r="F8" s="1"/>
      <c r="G8" s="5">
        <v>1743070.2495416533</v>
      </c>
      <c r="H8" s="5">
        <v>1638242.7822785778</v>
      </c>
      <c r="I8" s="1"/>
      <c r="J8" s="1"/>
      <c r="K8" s="1"/>
      <c r="L8" s="1"/>
      <c r="M8" s="1"/>
      <c r="N8" s="1"/>
      <c r="O8" s="1">
        <v>3381313.0318202311</v>
      </c>
    </row>
    <row r="9" spans="1:15" x14ac:dyDescent="0.25">
      <c r="A9" s="4" t="s">
        <v>73</v>
      </c>
      <c r="B9" s="1"/>
      <c r="C9" s="1"/>
      <c r="D9" s="1"/>
      <c r="E9" s="1"/>
      <c r="F9" s="1"/>
      <c r="G9" s="1"/>
      <c r="H9" s="1"/>
      <c r="I9" s="5">
        <v>23262233297.841164</v>
      </c>
      <c r="J9" s="1"/>
      <c r="K9" s="1"/>
      <c r="L9" s="5">
        <v>200905073.91854802</v>
      </c>
      <c r="M9" s="1">
        <v>108402.5747603466</v>
      </c>
      <c r="N9" s="1"/>
      <c r="O9" s="1">
        <v>23463246774.334473</v>
      </c>
    </row>
    <row r="10" spans="1:15" x14ac:dyDescent="0.25">
      <c r="A10" s="4" t="s">
        <v>47</v>
      </c>
      <c r="B10" s="1"/>
      <c r="C10" s="1"/>
      <c r="D10" s="1"/>
      <c r="E10" s="1"/>
      <c r="F10" s="1"/>
      <c r="G10" s="1"/>
      <c r="H10" s="1"/>
      <c r="I10" s="5">
        <v>732079276.51694703</v>
      </c>
      <c r="J10" s="1"/>
      <c r="K10" s="1"/>
      <c r="L10" s="5">
        <v>4806048.3500000006</v>
      </c>
      <c r="M10" s="1"/>
      <c r="N10" s="1"/>
      <c r="O10" s="1">
        <v>736885324.86694705</v>
      </c>
    </row>
    <row r="11" spans="1:15" x14ac:dyDescent="0.25">
      <c r="A11" s="4" t="s">
        <v>35</v>
      </c>
      <c r="B11" s="1"/>
      <c r="C11" s="5">
        <v>320396884.71860653</v>
      </c>
      <c r="D11" s="1"/>
      <c r="E11" s="1"/>
      <c r="F11" s="1"/>
      <c r="G11" s="1"/>
      <c r="H11" s="1"/>
      <c r="I11" s="1"/>
      <c r="J11" s="1"/>
      <c r="K11" s="1"/>
      <c r="L11" s="1"/>
      <c r="M11" s="1"/>
      <c r="N11" s="1"/>
      <c r="O11" s="1">
        <v>320396884.71860653</v>
      </c>
    </row>
    <row r="12" spans="1:15" x14ac:dyDescent="0.25">
      <c r="A12" s="4" t="s">
        <v>98</v>
      </c>
      <c r="B12" s="1"/>
      <c r="C12" s="5">
        <v>6064683.1699999999</v>
      </c>
      <c r="D12" s="1"/>
      <c r="E12" s="1"/>
      <c r="F12" s="1"/>
      <c r="G12" s="1"/>
      <c r="H12" s="1"/>
      <c r="I12" s="1"/>
      <c r="J12" s="1"/>
      <c r="K12" s="1"/>
      <c r="L12" s="1"/>
      <c r="M12" s="1"/>
      <c r="N12" s="1"/>
      <c r="O12" s="1">
        <v>6064683.1699999999</v>
      </c>
    </row>
    <row r="13" spans="1:15" x14ac:dyDescent="0.25">
      <c r="A13" s="4" t="s">
        <v>88</v>
      </c>
      <c r="B13" s="1"/>
      <c r="C13" s="1"/>
      <c r="D13" s="5">
        <v>638657303.71755922</v>
      </c>
      <c r="E13" s="1"/>
      <c r="F13" s="1"/>
      <c r="G13" s="1"/>
      <c r="H13" s="1"/>
      <c r="I13" s="1"/>
      <c r="J13" s="1"/>
      <c r="K13" s="1"/>
      <c r="L13" s="5">
        <v>889197765.34343576</v>
      </c>
      <c r="M13" s="1">
        <v>18370847.372633453</v>
      </c>
      <c r="N13" s="1"/>
      <c r="O13" s="1">
        <v>1546225916.4336286</v>
      </c>
    </row>
    <row r="14" spans="1:15" x14ac:dyDescent="0.25">
      <c r="A14" s="4" t="s">
        <v>90</v>
      </c>
      <c r="B14" s="1"/>
      <c r="C14" s="1"/>
      <c r="D14" s="5">
        <v>7305214.2400000002</v>
      </c>
      <c r="E14" s="1"/>
      <c r="F14" s="1"/>
      <c r="G14" s="1"/>
      <c r="H14" s="1"/>
      <c r="I14" s="1"/>
      <c r="J14" s="1"/>
      <c r="K14" s="1"/>
      <c r="L14" s="1">
        <v>29623632.988457929</v>
      </c>
      <c r="M14" s="1"/>
      <c r="N14" s="1"/>
      <c r="O14" s="1">
        <v>36928847.228457928</v>
      </c>
    </row>
    <row r="15" spans="1:15" x14ac:dyDescent="0.25">
      <c r="A15" s="4" t="s">
        <v>52</v>
      </c>
      <c r="B15" s="1"/>
      <c r="C15" s="1"/>
      <c r="D15" s="1"/>
      <c r="E15" s="5">
        <v>2246612.6614285703</v>
      </c>
      <c r="F15" s="1"/>
      <c r="G15" s="1"/>
      <c r="H15" s="1"/>
      <c r="I15" s="1"/>
      <c r="J15" s="1"/>
      <c r="K15" s="1"/>
      <c r="L15" s="1">
        <v>194.52</v>
      </c>
      <c r="M15" s="1"/>
      <c r="N15" s="1"/>
      <c r="O15" s="1">
        <v>2246807.1814285703</v>
      </c>
    </row>
    <row r="16" spans="1:15" x14ac:dyDescent="0.25">
      <c r="A16" s="4" t="s">
        <v>95</v>
      </c>
      <c r="B16" s="1"/>
      <c r="C16" s="1"/>
      <c r="D16" s="1"/>
      <c r="E16" s="1"/>
      <c r="F16" s="5">
        <v>138552243.5091373</v>
      </c>
      <c r="G16" s="1"/>
      <c r="H16" s="1"/>
      <c r="I16" s="1"/>
      <c r="J16" s="1"/>
      <c r="K16" s="1"/>
      <c r="L16" s="1"/>
      <c r="M16" s="1"/>
      <c r="N16" s="1"/>
      <c r="O16" s="1">
        <v>138552243.5091373</v>
      </c>
    </row>
    <row r="17" spans="1:15" x14ac:dyDescent="0.25">
      <c r="A17" s="4" t="s">
        <v>33</v>
      </c>
      <c r="B17" s="1"/>
      <c r="C17" s="1"/>
      <c r="D17" s="1"/>
      <c r="E17" s="1"/>
      <c r="F17" s="5">
        <v>6020880.0817346405</v>
      </c>
      <c r="G17" s="1"/>
      <c r="H17" s="1"/>
      <c r="I17" s="1"/>
      <c r="J17" s="1"/>
      <c r="K17" s="1"/>
      <c r="L17" s="1"/>
      <c r="M17" s="1"/>
      <c r="N17" s="1"/>
      <c r="O17" s="1">
        <v>6020880.0817346405</v>
      </c>
    </row>
    <row r="18" spans="1:15" x14ac:dyDescent="0.25">
      <c r="A18" s="4" t="s">
        <v>71</v>
      </c>
      <c r="B18" s="1"/>
      <c r="C18" s="1"/>
      <c r="D18" s="1"/>
      <c r="E18" s="1"/>
      <c r="F18" s="1"/>
      <c r="G18" s="1"/>
      <c r="H18" s="1"/>
      <c r="I18" s="1"/>
      <c r="J18" s="5">
        <v>27611413.8320546</v>
      </c>
      <c r="K18" s="1"/>
      <c r="L18" s="1"/>
      <c r="M18" s="1"/>
      <c r="N18" s="1"/>
      <c r="O18" s="1">
        <v>27611413.8320546</v>
      </c>
    </row>
    <row r="19" spans="1:15" x14ac:dyDescent="0.25">
      <c r="A19" s="4" t="s">
        <v>61</v>
      </c>
      <c r="B19" s="1"/>
      <c r="C19" s="1"/>
      <c r="D19" s="1"/>
      <c r="E19" s="1"/>
      <c r="F19" s="1"/>
      <c r="G19" s="1"/>
      <c r="H19" s="1"/>
      <c r="I19" s="1"/>
      <c r="J19" s="5">
        <v>14145041.289999999</v>
      </c>
      <c r="K19" s="1"/>
      <c r="L19" s="1"/>
      <c r="M19" s="1"/>
      <c r="N19" s="1"/>
      <c r="O19" s="1">
        <v>14145041.289999999</v>
      </c>
    </row>
    <row r="20" spans="1:15" x14ac:dyDescent="0.25">
      <c r="A20" s="4" t="s">
        <v>60</v>
      </c>
      <c r="B20" s="1"/>
      <c r="C20" s="1"/>
      <c r="D20" s="1"/>
      <c r="E20" s="1"/>
      <c r="F20" s="1"/>
      <c r="G20" s="1"/>
      <c r="H20" s="1"/>
      <c r="I20" s="1"/>
      <c r="J20" s="1"/>
      <c r="K20" s="5">
        <v>72582374.856587321</v>
      </c>
      <c r="L20" s="1"/>
      <c r="M20" s="1"/>
      <c r="N20" s="1"/>
      <c r="O20" s="1">
        <v>72582374.856587321</v>
      </c>
    </row>
    <row r="21" spans="1:15" x14ac:dyDescent="0.25">
      <c r="A21" s="4" t="s">
        <v>58</v>
      </c>
      <c r="B21" s="1"/>
      <c r="C21" s="1"/>
      <c r="D21" s="1"/>
      <c r="E21" s="1"/>
      <c r="F21" s="1"/>
      <c r="G21" s="1"/>
      <c r="H21" s="1"/>
      <c r="I21" s="1"/>
      <c r="J21" s="1"/>
      <c r="K21" s="5">
        <v>1585102.39</v>
      </c>
      <c r="L21" s="1"/>
      <c r="M21" s="1"/>
      <c r="N21" s="1"/>
      <c r="O21" s="1">
        <v>1585102.39</v>
      </c>
    </row>
    <row r="22" spans="1:15" x14ac:dyDescent="0.25">
      <c r="A22" s="4" t="s">
        <v>38</v>
      </c>
      <c r="B22" s="1"/>
      <c r="C22" s="1"/>
      <c r="D22" s="1"/>
      <c r="E22" s="1"/>
      <c r="F22" s="1"/>
      <c r="G22" s="1"/>
      <c r="H22" s="1"/>
      <c r="I22" s="1"/>
      <c r="J22" s="1"/>
      <c r="K22" s="1"/>
      <c r="L22" s="5">
        <v>46.12</v>
      </c>
      <c r="M22" s="1"/>
      <c r="N22" s="1">
        <v>36527692.469999902</v>
      </c>
      <c r="O22" s="1">
        <v>36527738.589999899</v>
      </c>
    </row>
    <row r="23" spans="1:15" x14ac:dyDescent="0.25">
      <c r="A23" s="4" t="s">
        <v>72</v>
      </c>
      <c r="B23" s="1"/>
      <c r="C23" s="1"/>
      <c r="D23" s="1"/>
      <c r="E23" s="1"/>
      <c r="F23" s="1"/>
      <c r="G23" s="1"/>
      <c r="H23" s="1"/>
      <c r="I23" s="1"/>
      <c r="J23" s="1"/>
      <c r="K23" s="1"/>
      <c r="L23" s="5">
        <v>16405709.004953902</v>
      </c>
      <c r="M23" s="1">
        <v>15.1199999999999</v>
      </c>
      <c r="N23" s="1"/>
      <c r="O23" s="1">
        <v>16405724.124953901</v>
      </c>
    </row>
    <row r="24" spans="1:15" x14ac:dyDescent="0.25">
      <c r="A24" s="4" t="s">
        <v>118</v>
      </c>
      <c r="B24" s="1">
        <v>609008.20718012005</v>
      </c>
      <c r="C24" s="1"/>
      <c r="D24" s="1"/>
      <c r="E24" s="1"/>
      <c r="F24" s="1"/>
      <c r="G24" s="1"/>
      <c r="H24" s="1"/>
      <c r="I24" s="1"/>
      <c r="J24" s="1"/>
      <c r="K24" s="1"/>
      <c r="L24" s="1"/>
      <c r="M24" s="1"/>
      <c r="N24" s="1"/>
      <c r="O24" s="1">
        <v>609008.20718012005</v>
      </c>
    </row>
    <row r="25" spans="1:15" x14ac:dyDescent="0.25">
      <c r="A25" s="4" t="s">
        <v>119</v>
      </c>
      <c r="B25" s="1">
        <v>609008.20718012005</v>
      </c>
      <c r="C25" s="1">
        <v>326461567.88860655</v>
      </c>
      <c r="D25" s="1">
        <v>645962517.95755923</v>
      </c>
      <c r="E25" s="1">
        <v>2246612.6614285703</v>
      </c>
      <c r="F25" s="1">
        <v>144573123.59087193</v>
      </c>
      <c r="G25" s="1">
        <v>2610008.1395504996</v>
      </c>
      <c r="H25" s="1">
        <v>2845004.4292830406</v>
      </c>
      <c r="I25" s="1">
        <v>23994451610.686783</v>
      </c>
      <c r="J25" s="1">
        <v>41756455.122054599</v>
      </c>
      <c r="K25" s="1">
        <v>74167477.246587321</v>
      </c>
      <c r="L25" s="1">
        <v>1169846233.2784028</v>
      </c>
      <c r="M25" s="1">
        <v>18479265.067393802</v>
      </c>
      <c r="N25" s="1">
        <v>36527692.469999902</v>
      </c>
      <c r="O25" s="1">
        <v>26460536576.745693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8B501-425B-47B2-8728-42B24C85A5D3}">
  <dimension ref="A1:N25"/>
  <sheetViews>
    <sheetView showGridLines="0" workbookViewId="0">
      <selection activeCell="N12" sqref="N12"/>
    </sheetView>
  </sheetViews>
  <sheetFormatPr defaultRowHeight="15" x14ac:dyDescent="0.25"/>
  <cols>
    <col min="1" max="1" width="52.7109375" bestFit="1" customWidth="1"/>
    <col min="2" max="2" width="24" bestFit="1" customWidth="1"/>
    <col min="3" max="4" width="9.42578125" bestFit="1" customWidth="1"/>
    <col min="5" max="5" width="9.28515625" bestFit="1" customWidth="1"/>
    <col min="6" max="6" width="15.28515625" bestFit="1" customWidth="1"/>
    <col min="7" max="7" width="9" bestFit="1" customWidth="1"/>
    <col min="8" max="8" width="9.7109375" bestFit="1" customWidth="1"/>
    <col min="9" max="9" width="6.5703125" bestFit="1" customWidth="1"/>
    <col min="10" max="10" width="8.85546875" bestFit="1" customWidth="1"/>
    <col min="11" max="11" width="9" bestFit="1" customWidth="1"/>
    <col min="12" max="13" width="6.5703125" bestFit="1" customWidth="1"/>
    <col min="14" max="14" width="11.28515625" bestFit="1" customWidth="1"/>
    <col min="15" max="15" width="16.42578125" bestFit="1" customWidth="1"/>
    <col min="16" max="16" width="14.5703125" bestFit="1" customWidth="1"/>
    <col min="17" max="17" width="16.42578125" bestFit="1" customWidth="1"/>
    <col min="18" max="18" width="14.5703125" bestFit="1" customWidth="1"/>
    <col min="19" max="19" width="16.42578125" bestFit="1" customWidth="1"/>
    <col min="20" max="20" width="14.5703125" bestFit="1" customWidth="1"/>
    <col min="21" max="21" width="16.42578125" bestFit="1" customWidth="1"/>
    <col min="22" max="22" width="14.5703125" bestFit="1" customWidth="1"/>
    <col min="23" max="23" width="16.42578125" bestFit="1" customWidth="1"/>
    <col min="24" max="24" width="19.5703125" bestFit="1" customWidth="1"/>
    <col min="25" max="25" width="21.5703125" bestFit="1" customWidth="1"/>
  </cols>
  <sheetData>
    <row r="1" spans="1:14" x14ac:dyDescent="0.25">
      <c r="A1" s="3" t="s">
        <v>0</v>
      </c>
      <c r="B1" t="s">
        <v>17</v>
      </c>
    </row>
    <row r="2" spans="1:14" x14ac:dyDescent="0.25">
      <c r="A2" s="3" t="s">
        <v>1</v>
      </c>
      <c r="B2" t="s">
        <v>7</v>
      </c>
    </row>
    <row r="4" spans="1:14" x14ac:dyDescent="0.25">
      <c r="A4" s="3" t="s">
        <v>122</v>
      </c>
      <c r="B4" s="3" t="s">
        <v>120</v>
      </c>
    </row>
    <row r="5" spans="1:14" x14ac:dyDescent="0.25">
      <c r="A5" s="3" t="s">
        <v>117</v>
      </c>
      <c r="B5" t="s">
        <v>112</v>
      </c>
      <c r="C5" t="s">
        <v>103</v>
      </c>
      <c r="D5" t="s">
        <v>101</v>
      </c>
      <c r="E5" t="s">
        <v>102</v>
      </c>
      <c r="F5" t="s">
        <v>105</v>
      </c>
      <c r="G5" t="s">
        <v>106</v>
      </c>
      <c r="H5" t="s">
        <v>100</v>
      </c>
      <c r="I5" t="s">
        <v>108</v>
      </c>
      <c r="J5" t="s">
        <v>104</v>
      </c>
      <c r="K5" t="s">
        <v>107</v>
      </c>
      <c r="L5" t="s">
        <v>118</v>
      </c>
      <c r="M5" t="s">
        <v>110</v>
      </c>
      <c r="N5" t="s">
        <v>119</v>
      </c>
    </row>
    <row r="6" spans="1:14" x14ac:dyDescent="0.25">
      <c r="A6" s="4" t="s">
        <v>32</v>
      </c>
      <c r="B6" s="1"/>
      <c r="C6" s="1"/>
      <c r="D6" s="1"/>
      <c r="E6" s="1"/>
      <c r="F6" s="1"/>
      <c r="G6" s="1"/>
      <c r="H6" s="1"/>
      <c r="I6" s="1"/>
      <c r="J6" s="1"/>
      <c r="K6" s="1">
        <v>31.1234198823716</v>
      </c>
      <c r="L6" s="1"/>
      <c r="M6" s="1"/>
      <c r="N6" s="1">
        <v>31.1234198823716</v>
      </c>
    </row>
    <row r="7" spans="1:14" x14ac:dyDescent="0.25">
      <c r="A7" s="4" t="s">
        <v>55</v>
      </c>
      <c r="B7" s="1"/>
      <c r="C7" s="1"/>
      <c r="D7" s="1"/>
      <c r="E7" s="1"/>
      <c r="F7" s="5">
        <v>0</v>
      </c>
      <c r="G7" s="5">
        <v>0</v>
      </c>
      <c r="H7" s="1"/>
      <c r="I7" s="1"/>
      <c r="J7" s="1"/>
      <c r="K7" s="1"/>
      <c r="L7" s="1"/>
      <c r="M7" s="1"/>
      <c r="N7" s="1">
        <v>0</v>
      </c>
    </row>
    <row r="8" spans="1:14" x14ac:dyDescent="0.25">
      <c r="A8" s="4" t="s">
        <v>73</v>
      </c>
      <c r="B8" s="1"/>
      <c r="C8" s="1"/>
      <c r="D8" s="1"/>
      <c r="E8" s="1"/>
      <c r="F8" s="1"/>
      <c r="G8" s="1"/>
      <c r="H8" s="5">
        <v>1093.81195079859</v>
      </c>
      <c r="I8" s="1"/>
      <c r="J8" s="1"/>
      <c r="K8" s="5">
        <v>862.85984990539998</v>
      </c>
      <c r="L8" s="1">
        <v>40.391764257650003</v>
      </c>
      <c r="M8" s="1"/>
      <c r="N8" s="1">
        <v>1997.0635649616399</v>
      </c>
    </row>
    <row r="9" spans="1:14" x14ac:dyDescent="0.25">
      <c r="A9" s="4" t="s">
        <v>47</v>
      </c>
      <c r="B9" s="1"/>
      <c r="C9" s="1"/>
      <c r="D9" s="1"/>
      <c r="E9" s="1"/>
      <c r="F9" s="1"/>
      <c r="G9" s="1"/>
      <c r="H9" s="5">
        <v>16.795227180000001</v>
      </c>
      <c r="I9" s="1"/>
      <c r="J9" s="1"/>
      <c r="K9" s="1"/>
      <c r="L9" s="1"/>
      <c r="M9" s="1"/>
      <c r="N9" s="1">
        <v>16.795227180000001</v>
      </c>
    </row>
    <row r="10" spans="1:14" x14ac:dyDescent="0.25">
      <c r="A10" s="4" t="s">
        <v>35</v>
      </c>
      <c r="B10" s="1"/>
      <c r="C10" s="5">
        <v>5025.06293800002</v>
      </c>
      <c r="D10" s="1"/>
      <c r="E10" s="1"/>
      <c r="F10" s="1"/>
      <c r="G10" s="1"/>
      <c r="H10" s="1"/>
      <c r="I10" s="1"/>
      <c r="J10" s="1"/>
      <c r="K10" s="1"/>
      <c r="L10" s="1"/>
      <c r="M10" s="1"/>
      <c r="N10" s="1">
        <v>5025.06293800002</v>
      </c>
    </row>
    <row r="11" spans="1:14" x14ac:dyDescent="0.25">
      <c r="A11" s="4" t="s">
        <v>98</v>
      </c>
      <c r="B11" s="1"/>
      <c r="C11" s="5">
        <v>21.479078398110101</v>
      </c>
      <c r="D11" s="1"/>
      <c r="E11" s="1"/>
      <c r="F11" s="1"/>
      <c r="G11" s="1"/>
      <c r="H11" s="1"/>
      <c r="I11" s="1"/>
      <c r="J11" s="1"/>
      <c r="K11" s="1"/>
      <c r="L11" s="1"/>
      <c r="M11" s="1"/>
      <c r="N11" s="1">
        <v>21.479078398110101</v>
      </c>
    </row>
    <row r="12" spans="1:14" x14ac:dyDescent="0.25">
      <c r="A12" s="4" t="s">
        <v>88</v>
      </c>
      <c r="B12" s="1"/>
      <c r="C12" s="1"/>
      <c r="D12" s="5">
        <v>9008.2415510128794</v>
      </c>
      <c r="E12" s="1"/>
      <c r="F12" s="1"/>
      <c r="G12" s="1"/>
      <c r="H12" s="1"/>
      <c r="I12" s="1"/>
      <c r="J12" s="1"/>
      <c r="K12" s="5">
        <v>65055.736233925199</v>
      </c>
      <c r="L12" s="1">
        <v>108.7494548192</v>
      </c>
      <c r="M12" s="1"/>
      <c r="N12" s="1">
        <v>74172.727239757281</v>
      </c>
    </row>
    <row r="13" spans="1:14" x14ac:dyDescent="0.25">
      <c r="A13" s="4" t="s">
        <v>90</v>
      </c>
      <c r="B13" s="1"/>
      <c r="C13" s="1"/>
      <c r="D13" s="1"/>
      <c r="E13" s="1"/>
      <c r="F13" s="1"/>
      <c r="G13" s="1"/>
      <c r="H13" s="1"/>
      <c r="I13" s="1"/>
      <c r="J13" s="1"/>
      <c r="K13" s="5">
        <v>22.194281219512899</v>
      </c>
      <c r="L13" s="1"/>
      <c r="M13" s="1"/>
      <c r="N13" s="1">
        <v>22.194281219512899</v>
      </c>
    </row>
    <row r="14" spans="1:14" x14ac:dyDescent="0.25">
      <c r="A14" s="4" t="s">
        <v>52</v>
      </c>
      <c r="B14" s="1"/>
      <c r="C14" s="1"/>
      <c r="D14" s="1"/>
      <c r="E14" s="1"/>
      <c r="F14" s="1"/>
      <c r="G14" s="1"/>
      <c r="H14" s="1"/>
      <c r="I14" s="1"/>
      <c r="J14" s="1"/>
      <c r="K14" s="5">
        <v>1.2009535199999999E-2</v>
      </c>
      <c r="L14" s="1"/>
      <c r="M14" s="1"/>
      <c r="N14" s="1">
        <v>1.2009535199999999E-2</v>
      </c>
    </row>
    <row r="15" spans="1:14" x14ac:dyDescent="0.25">
      <c r="A15" s="4" t="s">
        <v>95</v>
      </c>
      <c r="B15" s="1"/>
      <c r="C15" s="1"/>
      <c r="D15" s="1"/>
      <c r="E15" s="5">
        <v>1840.04068205405</v>
      </c>
      <c r="F15" s="1"/>
      <c r="G15" s="1"/>
      <c r="H15" s="1"/>
      <c r="I15" s="1"/>
      <c r="J15" s="1"/>
      <c r="K15" s="1"/>
      <c r="L15" s="1"/>
      <c r="M15" s="1"/>
      <c r="N15" s="1">
        <v>1840.04068205405</v>
      </c>
    </row>
    <row r="16" spans="1:14" x14ac:dyDescent="0.25">
      <c r="A16" s="4" t="s">
        <v>33</v>
      </c>
      <c r="B16" s="1"/>
      <c r="C16" s="1"/>
      <c r="D16" s="1"/>
      <c r="E16" s="5">
        <v>32.278259681659499</v>
      </c>
      <c r="F16" s="1"/>
      <c r="G16" s="1"/>
      <c r="H16" s="1"/>
      <c r="I16" s="1"/>
      <c r="J16" s="1"/>
      <c r="K16" s="1"/>
      <c r="L16" s="1"/>
      <c r="M16" s="1"/>
      <c r="N16" s="1">
        <v>32.278259681659499</v>
      </c>
    </row>
    <row r="17" spans="1:14" x14ac:dyDescent="0.25">
      <c r="A17" s="4" t="s">
        <v>71</v>
      </c>
      <c r="B17" s="1"/>
      <c r="C17" s="1"/>
      <c r="D17" s="1"/>
      <c r="E17" s="1"/>
      <c r="F17" s="1"/>
      <c r="G17" s="1"/>
      <c r="H17" s="1"/>
      <c r="I17" s="5">
        <v>310.85220714723602</v>
      </c>
      <c r="J17" s="1"/>
      <c r="K17" s="1"/>
      <c r="L17" s="1"/>
      <c r="M17" s="1"/>
      <c r="N17" s="1">
        <v>310.85220714723602</v>
      </c>
    </row>
    <row r="18" spans="1:14" x14ac:dyDescent="0.25">
      <c r="A18" s="4" t="s">
        <v>61</v>
      </c>
      <c r="B18" s="1"/>
      <c r="C18" s="1"/>
      <c r="D18" s="1"/>
      <c r="E18" s="1"/>
      <c r="F18" s="1"/>
      <c r="G18" s="1"/>
      <c r="H18" s="1"/>
      <c r="I18" s="5">
        <v>80.384408434506497</v>
      </c>
      <c r="J18" s="1"/>
      <c r="K18" s="1"/>
      <c r="L18" s="1"/>
      <c r="M18" s="1"/>
      <c r="N18" s="1">
        <v>80.384408434506497</v>
      </c>
    </row>
    <row r="19" spans="1:14" x14ac:dyDescent="0.25">
      <c r="A19" s="4" t="s">
        <v>60</v>
      </c>
      <c r="B19" s="1"/>
      <c r="C19" s="1"/>
      <c r="D19" s="1"/>
      <c r="E19" s="1"/>
      <c r="F19" s="1"/>
      <c r="G19" s="1"/>
      <c r="H19" s="1"/>
      <c r="I19" s="1"/>
      <c r="J19" s="5">
        <v>2000.4610982921599</v>
      </c>
      <c r="K19" s="1"/>
      <c r="L19" s="1"/>
      <c r="M19" s="1"/>
      <c r="N19" s="1">
        <v>2000.4610982921599</v>
      </c>
    </row>
    <row r="20" spans="1:14" x14ac:dyDescent="0.25">
      <c r="A20" s="4" t="s">
        <v>38</v>
      </c>
      <c r="B20" s="1"/>
      <c r="C20" s="1"/>
      <c r="D20" s="1"/>
      <c r="E20" s="1"/>
      <c r="F20" s="1"/>
      <c r="G20" s="1"/>
      <c r="H20" s="1"/>
      <c r="I20" s="1"/>
      <c r="J20" s="1"/>
      <c r="K20" s="1"/>
      <c r="L20" s="1"/>
      <c r="M20" s="1">
        <v>260.57460130752702</v>
      </c>
      <c r="N20" s="1">
        <v>260.57460130752702</v>
      </c>
    </row>
    <row r="21" spans="1:14" x14ac:dyDescent="0.25">
      <c r="A21" s="4" t="s">
        <v>72</v>
      </c>
      <c r="B21" s="1"/>
      <c r="C21" s="1"/>
      <c r="D21" s="1"/>
      <c r="E21" s="1"/>
      <c r="F21" s="1"/>
      <c r="G21" s="1"/>
      <c r="H21" s="1"/>
      <c r="I21" s="1"/>
      <c r="J21" s="1"/>
      <c r="K21" s="5">
        <v>15682.644509044399</v>
      </c>
      <c r="L21" s="1"/>
      <c r="M21" s="1"/>
      <c r="N21" s="1">
        <v>15682.644509044399</v>
      </c>
    </row>
    <row r="22" spans="1:14" x14ac:dyDescent="0.25">
      <c r="A22" s="4" t="s">
        <v>118</v>
      </c>
      <c r="B22" s="1">
        <v>1.00872072916E-2</v>
      </c>
      <c r="C22" s="1"/>
      <c r="D22" s="1"/>
      <c r="E22" s="1"/>
      <c r="F22" s="1"/>
      <c r="G22" s="1"/>
      <c r="H22" s="1"/>
      <c r="I22" s="1"/>
      <c r="J22" s="1"/>
      <c r="K22" s="1"/>
      <c r="L22" s="1"/>
      <c r="M22" s="1"/>
      <c r="N22" s="1">
        <v>1.00872072916E-2</v>
      </c>
    </row>
    <row r="23" spans="1:14" x14ac:dyDescent="0.25">
      <c r="A23" s="4" t="s">
        <v>119</v>
      </c>
      <c r="B23" s="1">
        <v>1.00872072916E-2</v>
      </c>
      <c r="C23" s="1">
        <v>5046.5420163981298</v>
      </c>
      <c r="D23" s="1">
        <v>9008.2415510128794</v>
      </c>
      <c r="E23" s="1">
        <v>1872.3189417357094</v>
      </c>
      <c r="F23" s="1">
        <v>0</v>
      </c>
      <c r="G23" s="1">
        <v>0</v>
      </c>
      <c r="H23" s="1">
        <v>1110.60717797859</v>
      </c>
      <c r="I23" s="1">
        <v>391.23661558174251</v>
      </c>
      <c r="J23" s="1">
        <v>2000.4610982921599</v>
      </c>
      <c r="K23" s="1">
        <v>81654.570303512097</v>
      </c>
      <c r="L23" s="1">
        <v>149.14121907685001</v>
      </c>
      <c r="M23" s="1">
        <v>260.57460130752702</v>
      </c>
      <c r="N23" s="1">
        <v>101493.70361210298</v>
      </c>
    </row>
    <row r="24" spans="1:14" x14ac:dyDescent="0.25">
      <c r="H24" s="1">
        <f>+K8</f>
        <v>862.85984990539998</v>
      </c>
    </row>
    <row r="25" spans="1:14" x14ac:dyDescent="0.25">
      <c r="H25" s="1">
        <f>+SUM(H23:H24)</f>
        <v>1973.4670278839899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FF89C-B7EA-476C-8001-08AA15FF7C90}">
  <dimension ref="A1:M19"/>
  <sheetViews>
    <sheetView showGridLines="0" workbookViewId="0">
      <selection activeCell="A9" sqref="A9:XFD9"/>
    </sheetView>
  </sheetViews>
  <sheetFormatPr defaultRowHeight="15" x14ac:dyDescent="0.25"/>
  <cols>
    <col min="1" max="1" width="52.7109375" bestFit="1" customWidth="1"/>
    <col min="2" max="2" width="24" bestFit="1" customWidth="1"/>
    <col min="3" max="3" width="9.42578125" bestFit="1" customWidth="1"/>
    <col min="4" max="4" width="9.140625" bestFit="1" customWidth="1"/>
    <col min="5" max="5" width="9.28515625" bestFit="1" customWidth="1"/>
    <col min="6" max="6" width="15.28515625" bestFit="1" customWidth="1"/>
    <col min="7" max="7" width="9" bestFit="1" customWidth="1"/>
    <col min="8" max="8" width="10" bestFit="1" customWidth="1"/>
    <col min="9" max="9" width="8.85546875" bestFit="1" customWidth="1"/>
    <col min="10" max="10" width="9" bestFit="1" customWidth="1"/>
    <col min="11" max="11" width="6.5703125" bestFit="1" customWidth="1"/>
    <col min="12" max="12" width="6.42578125" bestFit="1" customWidth="1"/>
    <col min="13" max="13" width="11.28515625" bestFit="1" customWidth="1"/>
    <col min="14" max="14" width="16" bestFit="1" customWidth="1"/>
  </cols>
  <sheetData>
    <row r="1" spans="1:13" x14ac:dyDescent="0.25">
      <c r="A1" s="3" t="s">
        <v>0</v>
      </c>
      <c r="B1" t="s">
        <v>11</v>
      </c>
    </row>
    <row r="2" spans="1:13" x14ac:dyDescent="0.25">
      <c r="A2" s="3" t="s">
        <v>1</v>
      </c>
      <c r="B2" t="s">
        <v>7</v>
      </c>
    </row>
    <row r="4" spans="1:13" x14ac:dyDescent="0.25">
      <c r="A4" s="3" t="s">
        <v>122</v>
      </c>
      <c r="B4" s="3" t="s">
        <v>120</v>
      </c>
    </row>
    <row r="5" spans="1:13" x14ac:dyDescent="0.25">
      <c r="A5" s="3" t="s">
        <v>117</v>
      </c>
      <c r="B5" t="s">
        <v>103</v>
      </c>
      <c r="C5" t="s">
        <v>101</v>
      </c>
      <c r="D5" t="s">
        <v>109</v>
      </c>
      <c r="E5" t="s">
        <v>102</v>
      </c>
      <c r="F5" t="s">
        <v>105</v>
      </c>
      <c r="G5" t="s">
        <v>106</v>
      </c>
      <c r="H5" t="s">
        <v>100</v>
      </c>
      <c r="I5" t="s">
        <v>104</v>
      </c>
      <c r="J5" t="s">
        <v>107</v>
      </c>
      <c r="K5" t="s">
        <v>118</v>
      </c>
      <c r="L5" t="s">
        <v>110</v>
      </c>
      <c r="M5" t="s">
        <v>119</v>
      </c>
    </row>
    <row r="6" spans="1:13" x14ac:dyDescent="0.25">
      <c r="A6" s="4" t="s">
        <v>32</v>
      </c>
      <c r="B6" s="1"/>
      <c r="C6" s="1"/>
      <c r="D6" s="1"/>
      <c r="E6" s="1"/>
      <c r="F6" s="1"/>
      <c r="G6" s="6">
        <v>0</v>
      </c>
      <c r="H6" s="6">
        <v>44.086745520000001</v>
      </c>
      <c r="I6" s="1"/>
      <c r="J6" s="1"/>
      <c r="K6" s="1"/>
      <c r="L6" s="1"/>
      <c r="M6" s="1">
        <v>44.086745520000001</v>
      </c>
    </row>
    <row r="7" spans="1:13" x14ac:dyDescent="0.25">
      <c r="A7" s="4" t="s">
        <v>79</v>
      </c>
      <c r="B7" s="1"/>
      <c r="C7" s="1"/>
      <c r="D7" s="1"/>
      <c r="E7" s="1"/>
      <c r="F7" s="5">
        <v>0</v>
      </c>
      <c r="G7" s="5">
        <v>0</v>
      </c>
      <c r="H7" s="1"/>
      <c r="I7" s="1"/>
      <c r="J7" s="1"/>
      <c r="K7" s="1"/>
      <c r="L7" s="1"/>
      <c r="M7" s="1">
        <v>0</v>
      </c>
    </row>
    <row r="8" spans="1:13" x14ac:dyDescent="0.25">
      <c r="A8" s="4" t="s">
        <v>55</v>
      </c>
      <c r="B8" s="1"/>
      <c r="C8" s="1"/>
      <c r="D8" s="1"/>
      <c r="E8" s="1"/>
      <c r="F8" s="5">
        <v>0</v>
      </c>
      <c r="G8" s="5">
        <v>0</v>
      </c>
      <c r="H8" s="1"/>
      <c r="I8" s="1"/>
      <c r="J8" s="1"/>
      <c r="K8" s="1"/>
      <c r="L8" s="1"/>
      <c r="M8" s="1">
        <v>0</v>
      </c>
    </row>
    <row r="9" spans="1:13" x14ac:dyDescent="0.25">
      <c r="A9" s="4" t="s">
        <v>73</v>
      </c>
      <c r="B9" s="1"/>
      <c r="C9" s="1"/>
      <c r="D9" s="1"/>
      <c r="E9" s="1"/>
      <c r="F9" s="1"/>
      <c r="G9" s="1"/>
      <c r="H9" s="5">
        <v>355929.45482189901</v>
      </c>
      <c r="I9" s="1"/>
      <c r="J9" s="5">
        <v>27055.3332903419</v>
      </c>
      <c r="K9" s="1">
        <v>48.8394992761</v>
      </c>
      <c r="L9" s="1"/>
      <c r="M9" s="1">
        <v>383033.62761151697</v>
      </c>
    </row>
    <row r="10" spans="1:13" x14ac:dyDescent="0.25">
      <c r="A10" s="4" t="s">
        <v>47</v>
      </c>
      <c r="B10" s="1"/>
      <c r="C10" s="1"/>
      <c r="D10" s="1"/>
      <c r="E10" s="1"/>
      <c r="F10" s="1"/>
      <c r="G10" s="1"/>
      <c r="H10" s="5">
        <v>13717.192201252001</v>
      </c>
      <c r="I10" s="1"/>
      <c r="J10" s="5">
        <v>19.931031165</v>
      </c>
      <c r="K10" s="1"/>
      <c r="L10" s="1"/>
      <c r="M10" s="1">
        <v>13737.123232417001</v>
      </c>
    </row>
    <row r="11" spans="1:13" x14ac:dyDescent="0.25">
      <c r="A11" s="4" t="s">
        <v>35</v>
      </c>
      <c r="B11" s="5">
        <v>1284.1378455685499</v>
      </c>
      <c r="C11" s="1"/>
      <c r="D11" s="1"/>
      <c r="E11" s="1"/>
      <c r="F11" s="1"/>
      <c r="G11" s="1"/>
      <c r="H11" s="1"/>
      <c r="I11" s="1"/>
      <c r="J11" s="1"/>
      <c r="K11" s="1"/>
      <c r="L11" s="1"/>
      <c r="M11" s="1">
        <v>1284.1378455685499</v>
      </c>
    </row>
    <row r="12" spans="1:13" x14ac:dyDescent="0.25">
      <c r="A12" s="4" t="s">
        <v>88</v>
      </c>
      <c r="B12" s="1"/>
      <c r="C12" s="5">
        <v>5893.74187568455</v>
      </c>
      <c r="D12" s="1"/>
      <c r="E12" s="1"/>
      <c r="F12" s="1"/>
      <c r="G12" s="1"/>
      <c r="H12" s="1"/>
      <c r="I12" s="1"/>
      <c r="J12" s="5">
        <v>13172.202386959199</v>
      </c>
      <c r="K12" s="1">
        <v>152.16434156495001</v>
      </c>
      <c r="L12" s="1"/>
      <c r="M12" s="1">
        <v>19218.108604208697</v>
      </c>
    </row>
    <row r="13" spans="1:13" x14ac:dyDescent="0.25">
      <c r="A13" s="4" t="s">
        <v>90</v>
      </c>
      <c r="B13" s="1"/>
      <c r="C13" s="5">
        <v>0.851974315484752</v>
      </c>
      <c r="D13" s="1"/>
      <c r="E13" s="1"/>
      <c r="F13" s="1"/>
      <c r="G13" s="1"/>
      <c r="H13" s="1"/>
      <c r="I13" s="1"/>
      <c r="J13" s="1"/>
      <c r="K13" s="1"/>
      <c r="L13" s="1"/>
      <c r="M13" s="1">
        <v>0.851974315484752</v>
      </c>
    </row>
    <row r="14" spans="1:13" x14ac:dyDescent="0.25">
      <c r="A14" s="4" t="s">
        <v>52</v>
      </c>
      <c r="B14" s="1"/>
      <c r="C14" s="1"/>
      <c r="D14" s="5">
        <v>9.9314130129499993</v>
      </c>
      <c r="E14" s="1"/>
      <c r="F14" s="1"/>
      <c r="G14" s="1"/>
      <c r="H14" s="1"/>
      <c r="I14" s="1"/>
      <c r="J14" s="1"/>
      <c r="K14" s="1"/>
      <c r="L14" s="1"/>
      <c r="M14" s="1">
        <v>9.9314130129499993</v>
      </c>
    </row>
    <row r="15" spans="1:13" x14ac:dyDescent="0.25">
      <c r="A15" s="4" t="s">
        <v>95</v>
      </c>
      <c r="B15" s="1"/>
      <c r="C15" s="1"/>
      <c r="D15" s="1"/>
      <c r="E15" s="5">
        <v>986.00506824940101</v>
      </c>
      <c r="F15" s="1"/>
      <c r="G15" s="1"/>
      <c r="H15" s="1"/>
      <c r="I15" s="1"/>
      <c r="J15" s="1"/>
      <c r="K15" s="1"/>
      <c r="L15" s="1"/>
      <c r="M15" s="1">
        <v>986.00506824940101</v>
      </c>
    </row>
    <row r="16" spans="1:13" x14ac:dyDescent="0.25">
      <c r="A16" s="4" t="s">
        <v>60</v>
      </c>
      <c r="B16" s="1"/>
      <c r="C16" s="1"/>
      <c r="D16" s="1"/>
      <c r="E16" s="1"/>
      <c r="F16" s="1"/>
      <c r="G16" s="1"/>
      <c r="H16" s="1"/>
      <c r="I16" s="5">
        <v>43.465183342372001</v>
      </c>
      <c r="J16" s="1"/>
      <c r="K16" s="1"/>
      <c r="L16" s="1"/>
      <c r="M16" s="1">
        <v>43.465183342372001</v>
      </c>
    </row>
    <row r="17" spans="1:13" x14ac:dyDescent="0.25">
      <c r="A17" s="4" t="s">
        <v>38</v>
      </c>
      <c r="B17" s="1"/>
      <c r="C17" s="1"/>
      <c r="D17" s="1"/>
      <c r="E17" s="1"/>
      <c r="F17" s="1"/>
      <c r="G17" s="1"/>
      <c r="H17" s="1"/>
      <c r="I17" s="1"/>
      <c r="J17" s="1"/>
      <c r="K17" s="1"/>
      <c r="L17" s="1">
        <v>2.8573797823999998</v>
      </c>
      <c r="M17" s="1">
        <v>2.8573797823999998</v>
      </c>
    </row>
    <row r="18" spans="1:13" x14ac:dyDescent="0.25">
      <c r="A18" s="4" t="s">
        <v>72</v>
      </c>
      <c r="B18" s="1"/>
      <c r="C18" s="1"/>
      <c r="D18" s="1"/>
      <c r="E18" s="1"/>
      <c r="F18" s="1"/>
      <c r="G18" s="1"/>
      <c r="H18" s="1"/>
      <c r="I18" s="1"/>
      <c r="J18" s="7">
        <v>4001.15896926491</v>
      </c>
      <c r="K18" s="1">
        <v>27.799849999999999</v>
      </c>
      <c r="L18" s="1"/>
      <c r="M18" s="1">
        <v>4028.9588192649098</v>
      </c>
    </row>
    <row r="19" spans="1:13" x14ac:dyDescent="0.25">
      <c r="A19" s="4" t="s">
        <v>119</v>
      </c>
      <c r="B19" s="1">
        <v>1284.1378455685499</v>
      </c>
      <c r="C19" s="1">
        <v>5894.5938500000348</v>
      </c>
      <c r="D19" s="1">
        <v>9.9314130129499993</v>
      </c>
      <c r="E19" s="1">
        <v>986.00506824940101</v>
      </c>
      <c r="F19" s="1">
        <v>0</v>
      </c>
      <c r="G19" s="1">
        <v>0</v>
      </c>
      <c r="H19" s="1">
        <v>369690.73376867099</v>
      </c>
      <c r="I19" s="1">
        <v>43.465183342372001</v>
      </c>
      <c r="J19" s="1">
        <v>44248.625677731005</v>
      </c>
      <c r="K19" s="1">
        <v>228.80369084105001</v>
      </c>
      <c r="L19" s="1">
        <v>2.8573797823999998</v>
      </c>
      <c r="M19" s="1">
        <v>422389.15387719875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891D558BC6CE45BCCE0C5A666FB0F3" ma:contentTypeVersion="3" ma:contentTypeDescription="Create a new document." ma:contentTypeScope="" ma:versionID="82e290e31c8d659f4a68e5aed5c7644d">
  <xsd:schema xmlns:xsd="http://www.w3.org/2001/XMLSchema" xmlns:xs="http://www.w3.org/2001/XMLSchema" xmlns:p="http://schemas.microsoft.com/office/2006/metadata/properties" xmlns:ns2="854283a7-3fb6-477f-93d1-fdd87b0bdce4" targetNamespace="http://schemas.microsoft.com/office/2006/metadata/properties" ma:root="true" ma:fieldsID="1e97f0fd3c28a1fe33e5c36ac3c428d3" ns2:_="">
    <xsd:import namespace="854283a7-3fb6-477f-93d1-fdd87b0bdce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4283a7-3fb6-477f-93d1-fdd87b0bdc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A60B110-C585-4098-BFDF-177885108374}"/>
</file>

<file path=customXml/itemProps2.xml><?xml version="1.0" encoding="utf-8"?>
<ds:datastoreItem xmlns:ds="http://schemas.openxmlformats.org/officeDocument/2006/customXml" ds:itemID="{7DC074C3-CC52-4C33-B775-C4100E43CD38}"/>
</file>

<file path=customXml/itemProps3.xml><?xml version="1.0" encoding="utf-8"?>
<ds:datastoreItem xmlns:ds="http://schemas.openxmlformats.org/officeDocument/2006/customXml" ds:itemID="{400A7373-FA71-4358-844D-0C5A45478C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Input</vt:lpstr>
      <vt:lpstr>cgarant_bem</vt:lpstr>
      <vt:lpstr>cfin_bem</vt:lpstr>
      <vt:lpstr>CRE_OUTRO</vt:lpstr>
      <vt:lpstr>MORTGAGE</vt:lpstr>
      <vt:lpstr>Universo</vt:lpstr>
      <vt:lpstr>CRE_OUTRO - Emissões</vt:lpstr>
      <vt:lpstr>MORTGAGE - Emissões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Hélder Filipe Felicidade Fernandes</cp:lastModifiedBy>
  <cp:revision/>
  <dcterms:created xsi:type="dcterms:W3CDTF">2025-11-23T03:46:26Z</dcterms:created>
  <dcterms:modified xsi:type="dcterms:W3CDTF">2026-01-16T11:22:42Z</dcterms:modified>
  <cp:category/>
  <dc:identifier/>
  <cp:contentStatus/>
  <dc:language/>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41b88ec2-a72b-4523-9e84-0458a1764731_Enabled">
    <vt:lpwstr>true</vt:lpwstr>
  </property>
  <property fmtid="{D5CDD505-2E9C-101B-9397-08002B2CF9AE}" pid="5" name="MSIP_Label_41b88ec2-a72b-4523-9e84-0458a1764731_SetDate">
    <vt:lpwstr>2026-01-15T11:47:25Z</vt:lpwstr>
  </property>
  <property fmtid="{D5CDD505-2E9C-101B-9397-08002B2CF9AE}" pid="6" name="MSIP_Label_41b88ec2-a72b-4523-9e84-0458a1764731_Method">
    <vt:lpwstr>Privileged</vt:lpwstr>
  </property>
  <property fmtid="{D5CDD505-2E9C-101B-9397-08002B2CF9AE}" pid="7" name="MSIP_Label_41b88ec2-a72b-4523-9e84-0458a1764731_Name">
    <vt:lpwstr>Public O365</vt:lpwstr>
  </property>
  <property fmtid="{D5CDD505-2E9C-101B-9397-08002B2CF9AE}" pid="8" name="MSIP_Label_41b88ec2-a72b-4523-9e84-0458a1764731_SiteId">
    <vt:lpwstr>35595a02-4d6d-44ac-99e1-f9ab4cd872db</vt:lpwstr>
  </property>
  <property fmtid="{D5CDD505-2E9C-101B-9397-08002B2CF9AE}" pid="9" name="MSIP_Label_41b88ec2-a72b-4523-9e84-0458a1764731_ActionId">
    <vt:lpwstr>717c1b49-487b-46ab-bde2-1ecaaf9e960c</vt:lpwstr>
  </property>
  <property fmtid="{D5CDD505-2E9C-101B-9397-08002B2CF9AE}" pid="10" name="MSIP_Label_41b88ec2-a72b-4523-9e84-0458a1764731_ContentBits">
    <vt:lpwstr>0</vt:lpwstr>
  </property>
  <property fmtid="{D5CDD505-2E9C-101B-9397-08002B2CF9AE}" pid="11" name="MSIP_Label_41b88ec2-a72b-4523-9e84-0458a1764731_Tag">
    <vt:lpwstr>10, 0, 1, 1</vt:lpwstr>
  </property>
  <property fmtid="{D5CDD505-2E9C-101B-9397-08002B2CF9AE}" pid="12" name="ContentTypeId">
    <vt:lpwstr>0x01010085891D558BC6CE45BCCE0C5A666FB0F3</vt:lpwstr>
  </property>
</Properties>
</file>