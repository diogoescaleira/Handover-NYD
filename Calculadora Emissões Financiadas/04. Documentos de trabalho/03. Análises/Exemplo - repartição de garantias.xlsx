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0" documentId="8_{892750B2-296F-4613-8E01-15C6B26F367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xeml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1" l="1"/>
  <c r="AQ10" i="1" s="1"/>
  <c r="Y16" i="1" s="1"/>
  <c r="AF11" i="1"/>
  <c r="AQ11" i="1" s="1"/>
  <c r="AR11" i="1" s="1"/>
  <c r="Y17" i="1" l="1"/>
  <c r="AR10" i="1"/>
</calcChain>
</file>

<file path=xl/sharedStrings.xml><?xml version="1.0" encoding="utf-8"?>
<sst xmlns="http://schemas.openxmlformats.org/spreadsheetml/2006/main" count="191" uniqueCount="111">
  <si>
    <t>mavalia</t>
  </si>
  <si>
    <t>mavaliaa</t>
  </si>
  <si>
    <t>id_contrato</t>
  </si>
  <si>
    <t>cempresp</t>
  </si>
  <si>
    <t>ckbalres</t>
  </si>
  <si>
    <t>ckctares</t>
  </si>
  <si>
    <t>ckrefresp</t>
  </si>
  <si>
    <t>cempresa</t>
  </si>
  <si>
    <t>ckbalcao</t>
  </si>
  <si>
    <t>cknumcta</t>
  </si>
  <si>
    <t>comp_id_gar</t>
  </si>
  <si>
    <t>cempbem</t>
  </si>
  <si>
    <t>ckbalbem</t>
  </si>
  <si>
    <t>ckctabem</t>
  </si>
  <si>
    <t>ckrefbem</t>
  </si>
  <si>
    <t>zcliente_garante</t>
  </si>
  <si>
    <t>zcliente_ced</t>
  </si>
  <si>
    <t>cgarant_rpt</t>
  </si>
  <si>
    <t>cgarant_bem</t>
  </si>
  <si>
    <t>ctratcta</t>
  </si>
  <si>
    <t>ctipbem</t>
  </si>
  <si>
    <t>cfinbem</t>
  </si>
  <si>
    <t>montante</t>
  </si>
  <si>
    <t>msldreal</t>
  </si>
  <si>
    <t>total_divida</t>
  </si>
  <si>
    <t>montante_altrn_1</t>
  </si>
  <si>
    <t>msldreal_altrn_1</t>
  </si>
  <si>
    <t>mavalia_altrn_1</t>
  </si>
  <si>
    <t>total_divida_altrn_1</t>
  </si>
  <si>
    <t>centidade</t>
  </si>
  <si>
    <t>centidade_sit</t>
  </si>
  <si>
    <t>perc_rateio</t>
  </si>
  <si>
    <t>perc_rateio_altrn_1</t>
  </si>
  <si>
    <t>mavaliai_proc</t>
  </si>
  <si>
    <t>mavaliai_bem</t>
  </si>
  <si>
    <t>mavaliai_resp_bem</t>
  </si>
  <si>
    <t>dtvaliai_proc</t>
  </si>
  <si>
    <t>dtvaliai_bem</t>
  </si>
  <si>
    <t>dtvaliai_resp_bem</t>
  </si>
  <si>
    <t>per_cobert_ini_proc</t>
  </si>
  <si>
    <t>per_cobert_ini_bem</t>
  </si>
  <si>
    <t>per_cobert_ini_resp_bem</t>
  </si>
  <si>
    <t>per_cobert</t>
  </si>
  <si>
    <t>dtrcaval</t>
  </si>
  <si>
    <t>preco_aquisicao</t>
  </si>
  <si>
    <t>data_aquisicao</t>
  </si>
  <si>
    <t>origem</t>
  </si>
  <si>
    <t>tipologia</t>
  </si>
  <si>
    <t>htimest</t>
  </si>
  <si>
    <t>ref_date</t>
  </si>
  <si>
    <t>77678.49</t>
  </si>
  <si>
    <t>31000303381943096</t>
  </si>
  <si>
    <t>31</t>
  </si>
  <si>
    <t>0003</t>
  </si>
  <si>
    <t>03381943096</t>
  </si>
  <si>
    <t>000000000000000</t>
  </si>
  <si>
    <t>0030</t>
  </si>
  <si>
    <t>00490771870</t>
  </si>
  <si>
    <t>000000000000004</t>
  </si>
  <si>
    <t>0000</t>
  </si>
  <si>
    <t>00452760001</t>
  </si>
  <si>
    <t>0000000000</t>
  </si>
  <si>
    <t>091</t>
  </si>
  <si>
    <t>5101</t>
  </si>
  <si>
    <t>1130</t>
  </si>
  <si>
    <t>08</t>
  </si>
  <si>
    <t>NULL</t>
  </si>
  <si>
    <t>BST</t>
  </si>
  <si>
    <t>2007-10-19</t>
  </si>
  <si>
    <t>2025-04-30</t>
  </si>
  <si>
    <t>2007-11-30</t>
  </si>
  <si>
    <t>GP</t>
  </si>
  <si>
    <t>IMO</t>
  </si>
  <si>
    <t>2025-06-30</t>
  </si>
  <si>
    <t>169574.18</t>
  </si>
  <si>
    <t>12854230000</t>
  </si>
  <si>
    <t>1121</t>
  </si>
  <si>
    <t>01</t>
  </si>
  <si>
    <t>cbalcao</t>
  </si>
  <si>
    <t>cnumecta</t>
  </si>
  <si>
    <t>zdeposit</t>
  </si>
  <si>
    <t>zcliente</t>
  </si>
  <si>
    <t>cod_visao</t>
  </si>
  <si>
    <t>9001866187</t>
  </si>
  <si>
    <t>1</t>
  </si>
  <si>
    <t>chave</t>
  </si>
  <si>
    <t>purpose_code</t>
  </si>
  <si>
    <t>flag_perimetro</t>
  </si>
  <si>
    <t>sum_msaldo_final_ct</t>
  </si>
  <si>
    <t>chave_cto</t>
  </si>
  <si>
    <t>chave_bem</t>
  </si>
  <si>
    <t>flag_bem</t>
  </si>
  <si>
    <t>sum_mavaliaa</t>
  </si>
  <si>
    <t>preco_aquis</t>
  </si>
  <si>
    <t>num_bens</t>
  </si>
  <si>
    <t>cto_mavaliaa</t>
  </si>
  <si>
    <t>flag_cobert</t>
  </si>
  <si>
    <t>peso_colat_cobert</t>
  </si>
  <si>
    <t>peso_colat_n_cobert</t>
  </si>
  <si>
    <t>31000303381943096000000000000000</t>
  </si>
  <si>
    <t>Habitacao</t>
  </si>
  <si>
    <t>ST SGPS Cons;Individual Idcomb</t>
  </si>
  <si>
    <t>31003012854230000000000000000000</t>
  </si>
  <si>
    <t>MUG_IMO</t>
  </si>
  <si>
    <t>2</t>
  </si>
  <si>
    <t>SUM_COLAT_COBRE</t>
  </si>
  <si>
    <t>2.38334122513677837609</t>
  </si>
  <si>
    <t>31000000452760001000000000000000</t>
  </si>
  <si>
    <t>1.09176024040555577340</t>
  </si>
  <si>
    <r>
      <rPr>
        <b/>
        <u/>
        <sz val="11"/>
        <color theme="1"/>
        <rFont val="Calibri"/>
        <family val="2"/>
        <scheme val="minor"/>
      </rPr>
      <t>Tabela</t>
    </r>
    <r>
      <rPr>
        <b/>
        <sz val="11"/>
        <color theme="1"/>
        <rFont val="Calibri"/>
        <family val="2"/>
        <scheme val="minor"/>
      </rPr>
      <t xml:space="preserve"> : </t>
    </r>
    <r>
      <rPr>
        <sz val="11"/>
        <color theme="1"/>
        <rFont val="Calibri"/>
        <family val="2"/>
        <scheme val="minor"/>
      </rPr>
      <t>cd_garantias.gt018_rateio_aval</t>
    </r>
  </si>
  <si>
    <r>
      <rPr>
        <b/>
        <u/>
        <sz val="11"/>
        <color theme="1"/>
        <rFont val="Calibri"/>
        <family val="2"/>
        <scheme val="minor"/>
      </rPr>
      <t>Tabela</t>
    </r>
    <r>
      <rPr>
        <b/>
        <sz val="11"/>
        <color theme="1"/>
        <rFont val="Calibri"/>
        <family val="2"/>
        <scheme val="minor"/>
      </rPr>
      <t xml:space="preserve"> : </t>
    </r>
    <r>
      <rPr>
        <sz val="11"/>
        <color theme="1"/>
        <rFont val="Calibri"/>
        <family val="2"/>
        <scheme val="minor"/>
      </rPr>
      <t>auxiliar a P3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</si>
</sst>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0" xfId="0" applyNumberFormat="1"/>
    <xf numFmtId="49" fontId="0" fillId="0" borderId="0" xfId="0" applyNumberFormat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0" fillId="0" borderId="4" xfId="0" applyBorder="1"/>
    <xf numFmtId="4" fontId="0" fillId="0" borderId="4" xfId="0" applyNumberFormat="1" applyBorder="1"/>
    <xf numFmtId="0" fontId="0" fillId="2" borderId="4" xfId="0" applyFill="1" applyBorder="1"/>
    <xf numFmtId="4" fontId="0" fillId="3" borderId="4" xfId="0" applyNumberFormat="1" applyFill="1" applyBorder="1"/>
    <xf numFmtId="47" fontId="0" fillId="0" borderId="4" xfId="0" applyNumberFormat="1" applyBorder="1"/>
    <xf numFmtId="49" fontId="0" fillId="0" borderId="4" xfId="0" applyNumberFormat="1" applyBorder="1"/>
    <xf numFmtId="4" fontId="0" fillId="2" borderId="4" xfId="0" applyNumberFormat="1" applyFill="1" applyBorder="1"/>
    <xf numFmtId="0" fontId="0" fillId="5" borderId="0" xfId="0" applyFill="1"/>
    <xf numFmtId="0" fontId="0" fillId="6" borderId="0" xfId="0" applyFill="1"/>
    <xf numFmtId="0" fontId="1" fillId="0" borderId="0" xfId="0" applyFont="1"/>
    <xf numFmtId="4" fontId="0" fillId="7" borderId="4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8"/>
  <sheetViews>
    <sheetView showGridLines="0" tabSelected="1" zoomScale="110" zoomScaleNormal="110" workbookViewId="0"/>
  </sheetViews>
  <sheetFormatPr defaultColWidth="0" defaultRowHeight="14.5" x14ac:dyDescent="0.35"/>
  <cols>
    <col min="1" max="1" width="3.6328125" customWidth="1"/>
    <col min="2" max="18" width="10.90625" customWidth="1"/>
    <col min="19" max="19" width="0" hidden="1" customWidth="1"/>
    <col min="20" max="24" width="10.90625" customWidth="1"/>
    <col min="25" max="25" width="16.26953125" bestFit="1" customWidth="1"/>
    <col min="26" max="31" width="0" hidden="1" customWidth="1"/>
    <col min="32" max="32" width="10.90625" customWidth="1"/>
    <col min="33" max="42" width="0" hidden="1" customWidth="1"/>
    <col min="43" max="44" width="10.90625" customWidth="1"/>
    <col min="45" max="45" width="0" hidden="1" customWidth="1"/>
    <col min="46" max="49" width="10.90625" customWidth="1"/>
    <col min="50" max="50" width="0" hidden="1" customWidth="1"/>
    <col min="51" max="51" width="10.90625" customWidth="1"/>
    <col min="52" max="52" width="3.6328125" customWidth="1"/>
    <col min="59" max="16384" width="10.90625" hidden="1"/>
  </cols>
  <sheetData>
    <row r="1" spans="1:52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1:52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</row>
    <row r="4" spans="1:52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</row>
    <row r="5" spans="1:52" ht="2" customHeight="1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</row>
    <row r="7" spans="1:52" x14ac:dyDescent="0.35">
      <c r="B7" s="15" t="s">
        <v>109</v>
      </c>
    </row>
    <row r="8" spans="1:52" ht="5" customHeight="1" x14ac:dyDescent="0.35">
      <c r="B8" s="15"/>
    </row>
    <row r="9" spans="1:52" x14ac:dyDescent="0.35">
      <c r="B9" s="3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11</v>
      </c>
      <c r="L9" s="4" t="s">
        <v>12</v>
      </c>
      <c r="M9" s="4" t="s">
        <v>13</v>
      </c>
      <c r="N9" s="4" t="s">
        <v>14</v>
      </c>
      <c r="O9" s="4" t="s">
        <v>15</v>
      </c>
      <c r="P9" s="4" t="s">
        <v>16</v>
      </c>
      <c r="Q9" s="4" t="s">
        <v>17</v>
      </c>
      <c r="R9" s="4" t="s">
        <v>18</v>
      </c>
      <c r="S9" s="4" t="s">
        <v>19</v>
      </c>
      <c r="T9" s="4" t="s">
        <v>20</v>
      </c>
      <c r="U9" s="4" t="s">
        <v>21</v>
      </c>
      <c r="V9" s="4" t="s">
        <v>22</v>
      </c>
      <c r="W9" s="4" t="s">
        <v>23</v>
      </c>
      <c r="X9" s="4" t="s">
        <v>0</v>
      </c>
      <c r="Y9" s="4" t="s">
        <v>24</v>
      </c>
      <c r="Z9" s="4" t="s">
        <v>25</v>
      </c>
      <c r="AA9" s="4" t="s">
        <v>26</v>
      </c>
      <c r="AB9" s="4" t="s">
        <v>27</v>
      </c>
      <c r="AC9" s="4" t="s">
        <v>28</v>
      </c>
      <c r="AD9" s="4" t="s">
        <v>29</v>
      </c>
      <c r="AE9" s="4" t="s">
        <v>30</v>
      </c>
      <c r="AF9" s="4" t="s">
        <v>31</v>
      </c>
      <c r="AG9" s="4" t="s">
        <v>32</v>
      </c>
      <c r="AH9" s="4" t="s">
        <v>33</v>
      </c>
      <c r="AI9" s="4" t="s">
        <v>34</v>
      </c>
      <c r="AJ9" s="4" t="s">
        <v>35</v>
      </c>
      <c r="AK9" s="4" t="s">
        <v>36</v>
      </c>
      <c r="AL9" s="4" t="s">
        <v>37</v>
      </c>
      <c r="AM9" s="4" t="s">
        <v>38</v>
      </c>
      <c r="AN9" s="4" t="s">
        <v>39</v>
      </c>
      <c r="AO9" s="4" t="s">
        <v>40</v>
      </c>
      <c r="AP9" s="4" t="s">
        <v>41</v>
      </c>
      <c r="AQ9" s="4" t="s">
        <v>1</v>
      </c>
      <c r="AR9" s="4" t="s">
        <v>42</v>
      </c>
      <c r="AS9" s="4" t="s">
        <v>43</v>
      </c>
      <c r="AT9" s="4" t="s">
        <v>44</v>
      </c>
      <c r="AU9" s="4" t="s">
        <v>45</v>
      </c>
      <c r="AV9" s="4" t="s">
        <v>46</v>
      </c>
      <c r="AW9" s="4" t="s">
        <v>47</v>
      </c>
      <c r="AX9" s="4" t="s">
        <v>48</v>
      </c>
      <c r="AY9" s="5" t="s">
        <v>49</v>
      </c>
    </row>
    <row r="10" spans="1:52" x14ac:dyDescent="0.35"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55</v>
      </c>
      <c r="G10" s="6" t="s">
        <v>52</v>
      </c>
      <c r="H10" s="6" t="s">
        <v>56</v>
      </c>
      <c r="I10" s="6" t="s">
        <v>57</v>
      </c>
      <c r="J10" s="6" t="s">
        <v>58</v>
      </c>
      <c r="K10" s="6" t="s">
        <v>52</v>
      </c>
      <c r="L10" s="6" t="s">
        <v>56</v>
      </c>
      <c r="M10" s="6" t="s">
        <v>75</v>
      </c>
      <c r="N10" s="6" t="s">
        <v>55</v>
      </c>
      <c r="O10" s="6" t="s">
        <v>61</v>
      </c>
      <c r="P10" s="6" t="s">
        <v>61</v>
      </c>
      <c r="Q10" s="6" t="s">
        <v>62</v>
      </c>
      <c r="R10" s="6" t="s">
        <v>63</v>
      </c>
      <c r="S10" s="6"/>
      <c r="T10" s="6" t="s">
        <v>76</v>
      </c>
      <c r="U10" s="6" t="s">
        <v>77</v>
      </c>
      <c r="V10" s="16">
        <v>-71149.77</v>
      </c>
      <c r="W10" s="16">
        <v>71149.77</v>
      </c>
      <c r="X10" s="7">
        <v>245000</v>
      </c>
      <c r="Y10" s="7">
        <v>102796.86</v>
      </c>
      <c r="Z10" s="6" t="s">
        <v>66</v>
      </c>
      <c r="AA10" s="6" t="s">
        <v>66</v>
      </c>
      <c r="AB10" s="6" t="s">
        <v>66</v>
      </c>
      <c r="AC10" s="6" t="s">
        <v>66</v>
      </c>
      <c r="AD10" s="6" t="s">
        <v>67</v>
      </c>
      <c r="AE10" s="6"/>
      <c r="AF10" s="8">
        <f>W10/Y10*100</f>
        <v>69.21395264407883</v>
      </c>
      <c r="AG10" s="6" t="s">
        <v>66</v>
      </c>
      <c r="AH10" s="6">
        <v>247252.86</v>
      </c>
      <c r="AI10" s="6">
        <v>169574.3</v>
      </c>
      <c r="AJ10" s="6">
        <v>169574.3</v>
      </c>
      <c r="AK10" s="6" t="s">
        <v>68</v>
      </c>
      <c r="AL10" s="6" t="s">
        <v>68</v>
      </c>
      <c r="AM10" s="6" t="s">
        <v>68</v>
      </c>
      <c r="AN10" s="6">
        <v>126.11</v>
      </c>
      <c r="AO10" s="6">
        <v>86.490469000000004</v>
      </c>
      <c r="AP10" s="6">
        <v>86.490469000000004</v>
      </c>
      <c r="AQ10" s="9">
        <f>(X10*AF10)/100</f>
        <v>169574.18397799312</v>
      </c>
      <c r="AR10" s="6">
        <f>(AQ10/W10)*100</f>
        <v>238.33412810469113</v>
      </c>
      <c r="AS10" s="6" t="s">
        <v>69</v>
      </c>
      <c r="AT10" s="6">
        <v>114900</v>
      </c>
      <c r="AU10" s="6" t="s">
        <v>70</v>
      </c>
      <c r="AV10" s="6" t="s">
        <v>71</v>
      </c>
      <c r="AW10" s="6" t="s">
        <v>72</v>
      </c>
      <c r="AX10" s="10">
        <v>45839.737639039355</v>
      </c>
      <c r="AY10" s="6" t="s">
        <v>73</v>
      </c>
    </row>
    <row r="11" spans="1:52" x14ac:dyDescent="0.35">
      <c r="B11" s="6" t="s">
        <v>51</v>
      </c>
      <c r="C11" s="6" t="s">
        <v>52</v>
      </c>
      <c r="D11" s="6" t="s">
        <v>53</v>
      </c>
      <c r="E11" s="6" t="s">
        <v>54</v>
      </c>
      <c r="F11" s="6" t="s">
        <v>55</v>
      </c>
      <c r="G11" s="6" t="s">
        <v>52</v>
      </c>
      <c r="H11" s="6" t="s">
        <v>56</v>
      </c>
      <c r="I11" s="6" t="s">
        <v>57</v>
      </c>
      <c r="J11" s="6" t="s">
        <v>58</v>
      </c>
      <c r="K11" s="6" t="s">
        <v>52</v>
      </c>
      <c r="L11" s="6" t="s">
        <v>59</v>
      </c>
      <c r="M11" s="6" t="s">
        <v>60</v>
      </c>
      <c r="N11" s="6" t="s">
        <v>55</v>
      </c>
      <c r="O11" s="6" t="s">
        <v>61</v>
      </c>
      <c r="P11" s="6" t="s">
        <v>61</v>
      </c>
      <c r="Q11" s="6" t="s">
        <v>62</v>
      </c>
      <c r="R11" s="6" t="s">
        <v>63</v>
      </c>
      <c r="S11" s="6"/>
      <c r="T11" s="6" t="s">
        <v>64</v>
      </c>
      <c r="U11" s="6" t="s">
        <v>65</v>
      </c>
      <c r="V11" s="16">
        <v>-71149.77</v>
      </c>
      <c r="W11" s="16">
        <v>71149.77</v>
      </c>
      <c r="X11" s="7">
        <v>112229.53</v>
      </c>
      <c r="Y11" s="7">
        <v>102796.86</v>
      </c>
      <c r="Z11" s="6" t="s">
        <v>66</v>
      </c>
      <c r="AA11" s="6" t="s">
        <v>66</v>
      </c>
      <c r="AB11" s="6" t="s">
        <v>66</v>
      </c>
      <c r="AC11" s="6" t="s">
        <v>66</v>
      </c>
      <c r="AD11" s="6" t="s">
        <v>67</v>
      </c>
      <c r="AE11" s="6"/>
      <c r="AF11" s="8">
        <f>W11/Y11*100</f>
        <v>69.21395264407883</v>
      </c>
      <c r="AG11" s="6" t="s">
        <v>66</v>
      </c>
      <c r="AH11" s="6">
        <v>247252.86</v>
      </c>
      <c r="AI11" s="6">
        <v>77678.55</v>
      </c>
      <c r="AJ11" s="6">
        <v>77678.55</v>
      </c>
      <c r="AK11" s="6" t="s">
        <v>68</v>
      </c>
      <c r="AL11" s="6" t="s">
        <v>68</v>
      </c>
      <c r="AM11" s="6" t="s">
        <v>68</v>
      </c>
      <c r="AN11" s="6">
        <v>126.11</v>
      </c>
      <c r="AO11" s="6">
        <v>39.619529999999997</v>
      </c>
      <c r="AP11" s="6">
        <v>39.619529999999997</v>
      </c>
      <c r="AQ11" s="9">
        <f>(X11*AF11)/100</f>
        <v>77678.493746872249</v>
      </c>
      <c r="AR11" s="6">
        <f>(AQ11/W11)*100</f>
        <v>109.17602930673176</v>
      </c>
      <c r="AS11" s="6" t="s">
        <v>69</v>
      </c>
      <c r="AT11" s="6">
        <v>52600</v>
      </c>
      <c r="AU11" s="6" t="s">
        <v>70</v>
      </c>
      <c r="AV11" s="6" t="s">
        <v>71</v>
      </c>
      <c r="AW11" s="6" t="s">
        <v>72</v>
      </c>
      <c r="AX11" s="10">
        <v>45839.737639039355</v>
      </c>
      <c r="AY11" s="6" t="s">
        <v>73</v>
      </c>
    </row>
    <row r="13" spans="1:52" x14ac:dyDescent="0.35">
      <c r="B13" s="15" t="s">
        <v>110</v>
      </c>
    </row>
    <row r="14" spans="1:52" ht="5" customHeight="1" x14ac:dyDescent="0.35">
      <c r="B14" s="15"/>
    </row>
    <row r="15" spans="1:52" x14ac:dyDescent="0.35">
      <c r="B15" s="3" t="s">
        <v>7</v>
      </c>
      <c r="C15" s="4" t="s">
        <v>78</v>
      </c>
      <c r="D15" s="3" t="s">
        <v>79</v>
      </c>
      <c r="E15" s="4" t="s">
        <v>80</v>
      </c>
      <c r="F15" s="3" t="s">
        <v>85</v>
      </c>
      <c r="G15" s="4" t="s">
        <v>81</v>
      </c>
      <c r="H15" s="3" t="s">
        <v>86</v>
      </c>
      <c r="I15" s="4" t="s">
        <v>87</v>
      </c>
      <c r="J15" s="3" t="s">
        <v>88</v>
      </c>
      <c r="K15" s="4" t="s">
        <v>89</v>
      </c>
      <c r="L15" s="3" t="s">
        <v>11</v>
      </c>
      <c r="M15" s="4" t="s">
        <v>12</v>
      </c>
      <c r="N15" s="3" t="s">
        <v>13</v>
      </c>
      <c r="O15" s="4" t="s">
        <v>14</v>
      </c>
      <c r="P15" s="3" t="s">
        <v>90</v>
      </c>
      <c r="Q15" s="4" t="s">
        <v>91</v>
      </c>
      <c r="R15" s="3" t="s">
        <v>18</v>
      </c>
      <c r="S15" s="4" t="s">
        <v>92</v>
      </c>
      <c r="T15" s="3" t="s">
        <v>93</v>
      </c>
      <c r="U15" s="4" t="s">
        <v>44</v>
      </c>
      <c r="V15" s="3" t="s">
        <v>94</v>
      </c>
      <c r="W15" s="4" t="s">
        <v>95</v>
      </c>
      <c r="X15" s="3" t="s">
        <v>96</v>
      </c>
      <c r="Y15" s="4" t="s">
        <v>97</v>
      </c>
      <c r="Z15" s="2" t="s">
        <v>98</v>
      </c>
      <c r="AA15" s="2"/>
      <c r="AB15" s="2"/>
      <c r="AC15" s="2"/>
      <c r="AD15" s="2"/>
      <c r="AE15" s="2"/>
      <c r="AF15" s="2"/>
      <c r="AG15" s="2" t="s">
        <v>49</v>
      </c>
      <c r="AH15" s="2" t="s">
        <v>82</v>
      </c>
      <c r="AI15" s="2"/>
    </row>
    <row r="16" spans="1:52" x14ac:dyDescent="0.35">
      <c r="B16" s="11" t="s">
        <v>52</v>
      </c>
      <c r="C16" s="11" t="s">
        <v>53</v>
      </c>
      <c r="D16" s="11" t="s">
        <v>54</v>
      </c>
      <c r="E16" s="11" t="s">
        <v>55</v>
      </c>
      <c r="F16" s="11" t="s">
        <v>99</v>
      </c>
      <c r="G16" s="11" t="s">
        <v>83</v>
      </c>
      <c r="H16" s="11" t="s">
        <v>100</v>
      </c>
      <c r="I16" s="11" t="s">
        <v>101</v>
      </c>
      <c r="J16" s="16">
        <v>-71149.77</v>
      </c>
      <c r="K16" s="11" t="s">
        <v>99</v>
      </c>
      <c r="L16" s="11" t="s">
        <v>52</v>
      </c>
      <c r="M16" s="11" t="s">
        <v>56</v>
      </c>
      <c r="N16" s="11" t="s">
        <v>75</v>
      </c>
      <c r="O16" s="11" t="s">
        <v>55</v>
      </c>
      <c r="P16" s="11" t="s">
        <v>102</v>
      </c>
      <c r="Q16" s="11" t="s">
        <v>103</v>
      </c>
      <c r="R16" s="11" t="s">
        <v>63</v>
      </c>
      <c r="S16" s="11" t="s">
        <v>74</v>
      </c>
      <c r="T16" s="7">
        <v>114900</v>
      </c>
      <c r="U16" s="7">
        <v>114900</v>
      </c>
      <c r="V16" s="11" t="s">
        <v>104</v>
      </c>
      <c r="W16" s="7">
        <v>247252.67</v>
      </c>
      <c r="X16" s="11" t="s">
        <v>105</v>
      </c>
      <c r="Y16" s="12">
        <f>AQ10/W16</f>
        <v>0.68583358059588639</v>
      </c>
      <c r="Z16" s="2" t="s">
        <v>106</v>
      </c>
      <c r="AA16" s="2"/>
      <c r="AB16" s="2"/>
      <c r="AC16" s="2"/>
      <c r="AD16" s="2"/>
      <c r="AE16" s="2"/>
      <c r="AF16" s="2"/>
      <c r="AG16" s="2" t="s">
        <v>73</v>
      </c>
      <c r="AH16" s="2" t="s">
        <v>84</v>
      </c>
      <c r="AI16" s="2"/>
    </row>
    <row r="17" spans="2:35" x14ac:dyDescent="0.35">
      <c r="B17" s="11" t="s">
        <v>52</v>
      </c>
      <c r="C17" s="11" t="s">
        <v>53</v>
      </c>
      <c r="D17" s="11" t="s">
        <v>54</v>
      </c>
      <c r="E17" s="11" t="s">
        <v>55</v>
      </c>
      <c r="F17" s="11" t="s">
        <v>99</v>
      </c>
      <c r="G17" s="11" t="s">
        <v>83</v>
      </c>
      <c r="H17" s="11" t="s">
        <v>100</v>
      </c>
      <c r="I17" s="11" t="s">
        <v>101</v>
      </c>
      <c r="J17" s="16">
        <v>-71149.77</v>
      </c>
      <c r="K17" s="11" t="s">
        <v>99</v>
      </c>
      <c r="L17" s="11" t="s">
        <v>52</v>
      </c>
      <c r="M17" s="11" t="s">
        <v>59</v>
      </c>
      <c r="N17" s="11" t="s">
        <v>60</v>
      </c>
      <c r="O17" s="11" t="s">
        <v>55</v>
      </c>
      <c r="P17" s="11" t="s">
        <v>107</v>
      </c>
      <c r="Q17" s="11" t="s">
        <v>103</v>
      </c>
      <c r="R17" s="11" t="s">
        <v>63</v>
      </c>
      <c r="S17" s="11" t="s">
        <v>50</v>
      </c>
      <c r="T17" s="7">
        <v>52600</v>
      </c>
      <c r="U17" s="7">
        <v>52600</v>
      </c>
      <c r="V17" s="11" t="s">
        <v>104</v>
      </c>
      <c r="W17" s="7">
        <v>247252.67</v>
      </c>
      <c r="X17" s="11" t="s">
        <v>105</v>
      </c>
      <c r="Y17" s="12">
        <f>AQ11/W17</f>
        <v>0.31416645064691212</v>
      </c>
      <c r="Z17" s="2" t="s">
        <v>108</v>
      </c>
      <c r="AA17" s="2"/>
      <c r="AB17" s="2"/>
      <c r="AC17" s="2"/>
      <c r="AD17" s="2"/>
      <c r="AE17" s="2"/>
      <c r="AF17" s="2"/>
      <c r="AG17" s="2" t="s">
        <v>73</v>
      </c>
      <c r="AH17" s="2" t="s">
        <v>84</v>
      </c>
      <c r="AI17" s="2"/>
    </row>
    <row r="18" spans="2:35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73</v>
      </c>
      <c r="AH18" s="2" t="s">
        <v>84</v>
      </c>
      <c r="AI1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bb4eaf818698e58ad858804133008897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ce051f2e5afddf42433ef921ff730ac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FFD887-5C95-4331-AE5A-B19D180B35D1}"/>
</file>

<file path=customXml/itemProps2.xml><?xml version="1.0" encoding="utf-8"?>
<ds:datastoreItem xmlns:ds="http://schemas.openxmlformats.org/officeDocument/2006/customXml" ds:itemID="{69B8C607-40BA-475D-A431-7EB7E55723B4}"/>
</file>

<file path=customXml/itemProps3.xml><?xml version="1.0" encoding="utf-8"?>
<ds:datastoreItem xmlns:ds="http://schemas.openxmlformats.org/officeDocument/2006/customXml" ds:itemID="{1C9FFF32-E9F5-4241-93D2-EB777670DB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Exemlo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2025-11-23T03:46:26Z</dcterms:created>
  <dcterms:modified xsi:type="dcterms:W3CDTF">2025-12-05T15:33:46Z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2025-12-04T19:46:03Z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d01e75d7-24b0-4d7c-b057-ef6b7e6649e0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MSIP_Label_0c2abd79-57a9-4473-8700-c843f76a1e37_Tag">
    <vt:lpwstr>10, 0, 1, 1</vt:lpwstr>
  </property>
  <property fmtid="{D5CDD505-2E9C-101B-9397-08002B2CF9AE}" pid="12" name="ContentTypeId">
    <vt:lpwstr>0x01010085891D558BC6CE45BCCE0C5A666FB0F3</vt:lpwstr>
  </property>
</Properties>
</file>