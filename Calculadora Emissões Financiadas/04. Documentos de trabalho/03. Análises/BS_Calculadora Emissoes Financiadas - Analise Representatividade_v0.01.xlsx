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804781\Downloads\"/>
    </mc:Choice>
  </mc:AlternateContent>
  <xr:revisionPtr revIDLastSave="0" documentId="13_ncr:1_{D472ECE8-FF80-4589-B87C-DF94C7BEC0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Dist. finalidade - Op2b" sheetId="1" r:id="rId1"/>
    <sheet name="2. CRE - Residencial" sheetId="2" r:id="rId2"/>
    <sheet name="3. CRE&amp;RRE - Area m2" sheetId="3" r:id="rId3"/>
    <sheet name="4. CRE&amp;RRE - tco2 por m2" sheetId="6" r:id="rId4"/>
    <sheet name="6. % Info Área" sheetId="4" r:id="rId5"/>
    <sheet name="8. PAqui &lt; MAval" sheetId="5" r:id="rId6"/>
  </sheets>
  <definedNames>
    <definedName name="_xlnm._FilterDatabase" localSheetId="0" hidden="1">'1. Dist. finalidade - Op2b'!$B$4:$H$60</definedName>
    <definedName name="_xlnm._FilterDatabase" localSheetId="1" hidden="1">'2. CRE - Residencial'!$B$4:$G$8</definedName>
    <definedName name="_xlnm._FilterDatabase" localSheetId="2" hidden="1">'3. CRE&amp;RRE - Area m2'!$B$4:$E$16</definedName>
    <definedName name="_xlnm._FilterDatabase" localSheetId="3" hidden="1">'4. CRE&amp;RRE - tco2 por m2'!$B$4:$F$54</definedName>
    <definedName name="_xlnm._FilterDatabase" localSheetId="4" hidden="1">'6. % Info Área'!$B$4:$G$8</definedName>
    <definedName name="_xlnm._FilterDatabase" localSheetId="5" hidden="1">'8. PAqui &lt; MAval'!$B$4:$G$257</definedName>
  </definedName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E8" i="4"/>
  <c r="E7" i="4"/>
  <c r="G6" i="4"/>
  <c r="G5" i="4"/>
  <c r="E6" i="4"/>
  <c r="E5" i="4"/>
</calcChain>
</file>

<file path=xl/sharedStrings.xml><?xml version="1.0" encoding="utf-8"?>
<sst xmlns="http://schemas.openxmlformats.org/spreadsheetml/2006/main" count="1235" uniqueCount="101">
  <si>
    <t>purpose_code</t>
  </si>
  <si>
    <t>property_purpose_code</t>
  </si>
  <si>
    <t>cgarant_bem</t>
  </si>
  <si>
    <t>Habitacao</t>
  </si>
  <si>
    <t>01</t>
  </si>
  <si>
    <t>CRE_OUTRO</t>
  </si>
  <si>
    <t>06</t>
  </si>
  <si>
    <t>NULL</t>
  </si>
  <si>
    <t>02</t>
  </si>
  <si>
    <t>08</t>
  </si>
  <si>
    <t>07</t>
  </si>
  <si>
    <t>03</t>
  </si>
  <si>
    <t>10</t>
  </si>
  <si>
    <t>05</t>
  </si>
  <si>
    <t>09</t>
  </si>
  <si>
    <t>04</t>
  </si>
  <si>
    <t>11</t>
  </si>
  <si>
    <t>13</t>
  </si>
  <si>
    <t>Descritivo finalidade</t>
  </si>
  <si>
    <t>Descritivo cgarant</t>
  </si>
  <si>
    <t xml:space="preserve">Estacionamento </t>
  </si>
  <si>
    <t>Comercio</t>
  </si>
  <si>
    <t>Outras</t>
  </si>
  <si>
    <t xml:space="preserve">Garagem </t>
  </si>
  <si>
    <t>Escritorio</t>
  </si>
  <si>
    <t>Educacao</t>
  </si>
  <si>
    <t>Industria</t>
  </si>
  <si>
    <t>Hotel</t>
  </si>
  <si>
    <t>Armazem</t>
  </si>
  <si>
    <t>Saude</t>
  </si>
  <si>
    <t>Agricultura</t>
  </si>
  <si>
    <t>Imóvel ou Fração p/ Habitação</t>
  </si>
  <si>
    <t>Imóvel ou Fração p/ Estacionamento em Imo. Residencial</t>
  </si>
  <si>
    <t>Terreno com finalidade indefinida</t>
  </si>
  <si>
    <t>Imóvel p/ Comércio</t>
  </si>
  <si>
    <t>Imóvel p/ Saúde</t>
  </si>
  <si>
    <t>Imóvel ou Fração p/ Habitação - em construção</t>
  </si>
  <si>
    <t>Imóvel p/ Educação</t>
  </si>
  <si>
    <t>Imóvel p/ Comercio - em construção</t>
  </si>
  <si>
    <t>Imóvel p/ Escritório</t>
  </si>
  <si>
    <t>Imóvel p/ Indústria</t>
  </si>
  <si>
    <t>Imóvel ou Fração p/ Estacionamento ligados à exploração</t>
  </si>
  <si>
    <t>Imóvel p/ Hotel</t>
  </si>
  <si>
    <t>Imóvel p/ Armazém</t>
  </si>
  <si>
    <t>Imóvel p/ Armazém - em construção</t>
  </si>
  <si>
    <t>Imóvel p/ Escritório - em construção</t>
  </si>
  <si>
    <t>Imóvel p/ Indústria - em construção</t>
  </si>
  <si>
    <t>Imóveis com finalidade indefinida</t>
  </si>
  <si>
    <t>Imóvel p/ Hotel - em construção</t>
  </si>
  <si>
    <t>analise_mont_aval</t>
  </si>
  <si>
    <t>M. AVALIACAO &gt;= 1M</t>
  </si>
  <si>
    <t>M. AVALIACAO &lt; 500K</t>
  </si>
  <si>
    <t>analise_area_m2</t>
  </si>
  <si>
    <t>AREA &gt;= 500 m2 e &lt;1000m2</t>
  </si>
  <si>
    <t>AREA &gt;= 100 m2 e &lt;200m2</t>
  </si>
  <si>
    <t>AREA &gt;= 200 m2 e &lt;500m2</t>
  </si>
  <si>
    <t>AREA &gt;= 50 m2 e &lt;100m2</t>
  </si>
  <si>
    <t>AREA &gt;= 1000m2</t>
  </si>
  <si>
    <t>AREA &lt; 50 m2</t>
  </si>
  <si>
    <t>analise_area</t>
  </si>
  <si>
    <t>IMOVEL COM ÁREA</t>
  </si>
  <si>
    <t>IMOVEL SEM ÁREA</t>
  </si>
  <si>
    <t>% #Bens</t>
  </si>
  <si>
    <t>M. AVALIACAO &gt;=500K e &lt; 1M</t>
  </si>
  <si>
    <t>analise_pa_maval</t>
  </si>
  <si>
    <t>PRECO AQUIS = M. AVALIACAO</t>
  </si>
  <si>
    <t>PRECO AQUIS &lt; M. AVALIACAO</t>
  </si>
  <si>
    <t>PRECO AQUIS &gt; M. AVALIACAO</t>
  </si>
  <si>
    <t>Year &lt; 2000</t>
  </si>
  <si>
    <t>Year &gt;= 2000</t>
  </si>
  <si>
    <t>SEM PRECO AQ.</t>
  </si>
  <si>
    <t>#1: Distribuicao CRE e RRE por finalidade em numero e valor</t>
  </si>
  <si>
    <t>#2: CRE com colateral finaldade RE - Distribuição de valor de avaliação</t>
  </si>
  <si>
    <t>#3: CRE &amp; RRE - Distribuiçao do valor da área</t>
  </si>
  <si>
    <t>#6: % de imoveis sem area vs com area em ambos</t>
  </si>
  <si>
    <t>racio_cenario_1</t>
  </si>
  <si>
    <t>racio_cenario_2</t>
  </si>
  <si>
    <t>INTENS &gt;= 60</t>
  </si>
  <si>
    <t>INTENS &gt;= 20 e &lt; 30</t>
  </si>
  <si>
    <t>INTENS &gt;= 30 e &lt; 40</t>
  </si>
  <si>
    <t>INTENS &gt;= 50 e &lt; 60</t>
  </si>
  <si>
    <t>INTENS &gt;= 10 e &lt; 20</t>
  </si>
  <si>
    <t>INTENS &gt;= 40 e &lt; 50</t>
  </si>
  <si>
    <t>INTENS &lt; 10</t>
  </si>
  <si>
    <t>SEM RACIO</t>
  </si>
  <si>
    <t>#4: CRE &amp; RRE - Distribuiçao de tco2 por m2</t>
  </si>
  <si>
    <t>Exposição não coberta por colateral</t>
  </si>
  <si>
    <t>Descritivo finalidade bem</t>
  </si>
  <si>
    <t>Descritivo cgarant bem</t>
  </si>
  <si>
    <t>Exposição (€)</t>
  </si>
  <si>
    <t>Exposição (%)</t>
  </si>
  <si>
    <t>Bucket Antiguidade</t>
  </si>
  <si>
    <t>Ano abertura</t>
  </si>
  <si>
    <t>#8: Distribuicao dos p. Aquisicao &lt;  q valor avaliacao - por antiguidade financiamento (data de início da operação)</t>
  </si>
  <si>
    <t># Bens</t>
  </si>
  <si>
    <t>(All)</t>
  </si>
  <si>
    <t>Row Labels</t>
  </si>
  <si>
    <t>Column Labels</t>
  </si>
  <si>
    <t>Sum of Exposição (€)</t>
  </si>
  <si>
    <t>Total</t>
  </si>
  <si>
    <t>Não usado para calcular emissões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</si>
</sst>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0" fontId="0" fillId="0" borderId="1" xfId="1" applyNumberFormat="1" applyFont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0" fillId="3" borderId="1" xfId="0" applyFill="1" applyBorder="1"/>
    <xf numFmtId="4" fontId="0" fillId="3" borderId="1" xfId="0" applyNumberFormat="1" applyFill="1" applyBorder="1"/>
    <xf numFmtId="3" fontId="0" fillId="3" borderId="1" xfId="0" applyNumberFormat="1" applyFill="1" applyBorder="1"/>
    <xf numFmtId="10" fontId="0" fillId="3" borderId="1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3" borderId="0" xfId="0" applyNumberFormat="1" applyFill="1"/>
    <xf numFmtId="0" fontId="0" fillId="4" borderId="1" xfId="0" applyFill="1" applyBorder="1"/>
    <xf numFmtId="4" fontId="0" fillId="4" borderId="1" xfId="0" applyNumberFormat="1" applyFill="1" applyBorder="1"/>
    <xf numFmtId="3" fontId="0" fillId="4" borderId="1" xfId="0" applyNumberFormat="1" applyFill="1" applyBorder="1"/>
    <xf numFmtId="10" fontId="0" fillId="4" borderId="1" xfId="1" applyNumberFormat="1" applyFont="1" applyFill="1" applyBorder="1"/>
  </cellXfs>
  <cellStyles count="2">
    <cellStyle name="Normal" xfId="0" builtinId="0"/>
    <cellStyle name="Percent" xfId="1" builtinId="5"/>
  </cellStyles>
  <dxfs count="1"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Rita Geraldo de Caguerelho" refreshedDate="46013.00567997685" createdVersion="8" refreshedVersion="8" minRefreshableVersion="3" recordCount="253" xr:uid="{7BAF3189-5B83-4944-9865-DF380708788B}">
  <cacheSource type="worksheet">
    <worksheetSource ref="B4:G257" sheet="8. PAqui &lt; MAval"/>
  </cacheSource>
  <cacheFields count="6">
    <cacheField name="purpose_code" numFmtId="0">
      <sharedItems count="2">
        <s v="Habitacao"/>
        <s v="CRE_OUTRO"/>
      </sharedItems>
    </cacheField>
    <cacheField name="analise_pa_maval" numFmtId="0">
      <sharedItems count="4">
        <s v="PRECO AQUIS = M. AVALIACAO"/>
        <s v="PRECO AQUIS &lt; M. AVALIACAO"/>
        <s v="PRECO AQUIS &gt; M. AVALIACAO"/>
        <s v="SEM PRECO AQ."/>
      </sharedItems>
    </cacheField>
    <cacheField name="Ano abertura" numFmtId="0">
      <sharedItems containsSemiMixedTypes="0" containsString="0" containsNumber="1" containsInteger="1" minValue="1982" maxValue="2024" count="40">
        <n v="1997"/>
        <n v="1991"/>
        <n v="1999"/>
        <n v="1988"/>
        <n v="1995"/>
        <n v="1990"/>
        <n v="1994"/>
        <n v="1998"/>
        <n v="1993"/>
        <n v="1992"/>
        <n v="1996"/>
        <n v="1989"/>
        <n v="1987"/>
        <n v="1982"/>
        <n v="1986"/>
        <n v="2018"/>
        <n v="2020"/>
        <n v="2014"/>
        <n v="2023"/>
        <n v="2002"/>
        <n v="2006"/>
        <n v="2003"/>
        <n v="2008"/>
        <n v="2005"/>
        <n v="2017"/>
        <n v="2021"/>
        <n v="2000"/>
        <n v="2013"/>
        <n v="2007"/>
        <n v="2019"/>
        <n v="2022"/>
        <n v="2015"/>
        <n v="2010"/>
        <n v="2011"/>
        <n v="2001"/>
        <n v="2009"/>
        <n v="2024"/>
        <n v="2016"/>
        <n v="2012"/>
        <n v="2004"/>
      </sharedItems>
    </cacheField>
    <cacheField name="Bucket Antiguidade" numFmtId="0">
      <sharedItems count="2">
        <s v="Year &lt; 2000"/>
        <s v="Year &gt;= 2000"/>
      </sharedItems>
    </cacheField>
    <cacheField name="Exposição (€)" numFmtId="4">
      <sharedItems containsSemiMixedTypes="0" containsString="0" containsNumber="1" minValue="-3732450880.2571402" maxValue="0"/>
    </cacheField>
    <cacheField name="# Bens" numFmtId="3">
      <sharedItems containsSemiMixedTypes="0" containsString="0" containsNumber="1" containsInteger="1" minValue="0" maxValue="285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x v="0"/>
    <x v="0"/>
    <x v="0"/>
    <n v="-1474226.43"/>
    <n v="91"/>
  </r>
  <r>
    <x v="0"/>
    <x v="1"/>
    <x v="1"/>
    <x v="0"/>
    <n v="-69023.070000000007"/>
    <n v="15"/>
  </r>
  <r>
    <x v="0"/>
    <x v="2"/>
    <x v="2"/>
    <x v="0"/>
    <n v="-3505843.6317583802"/>
    <n v="198"/>
  </r>
  <r>
    <x v="0"/>
    <x v="2"/>
    <x v="3"/>
    <x v="0"/>
    <n v="-9579.84"/>
    <n v="1"/>
  </r>
  <r>
    <x v="0"/>
    <x v="3"/>
    <x v="4"/>
    <x v="0"/>
    <n v="-44924.570939167701"/>
    <n v="10"/>
  </r>
  <r>
    <x v="0"/>
    <x v="2"/>
    <x v="5"/>
    <x v="0"/>
    <n v="-212.58"/>
    <n v="1"/>
  </r>
  <r>
    <x v="1"/>
    <x v="1"/>
    <x v="2"/>
    <x v="0"/>
    <n v="-142212.98000000001"/>
    <n v="8"/>
  </r>
  <r>
    <x v="0"/>
    <x v="1"/>
    <x v="5"/>
    <x v="0"/>
    <n v="-38451.08"/>
    <n v="11"/>
  </r>
  <r>
    <x v="0"/>
    <x v="1"/>
    <x v="6"/>
    <x v="0"/>
    <n v="-1397959.02"/>
    <n v="135"/>
  </r>
  <r>
    <x v="1"/>
    <x v="3"/>
    <x v="7"/>
    <x v="0"/>
    <n v="-495.26"/>
    <n v="1"/>
  </r>
  <r>
    <x v="1"/>
    <x v="2"/>
    <x v="8"/>
    <x v="0"/>
    <n v="-90.06"/>
    <n v="1"/>
  </r>
  <r>
    <x v="0"/>
    <x v="0"/>
    <x v="1"/>
    <x v="0"/>
    <n v="-11365.52"/>
    <n v="1"/>
  </r>
  <r>
    <x v="0"/>
    <x v="0"/>
    <x v="4"/>
    <x v="0"/>
    <n v="-501705.33"/>
    <n v="47"/>
  </r>
  <r>
    <x v="0"/>
    <x v="0"/>
    <x v="2"/>
    <x v="0"/>
    <n v="-3135698.49"/>
    <n v="163"/>
  </r>
  <r>
    <x v="1"/>
    <x v="2"/>
    <x v="7"/>
    <x v="0"/>
    <n v="-15.74"/>
    <n v="2"/>
  </r>
  <r>
    <x v="0"/>
    <x v="1"/>
    <x v="9"/>
    <x v="0"/>
    <n v="-159370.019999999"/>
    <n v="28"/>
  </r>
  <r>
    <x v="0"/>
    <x v="0"/>
    <x v="8"/>
    <x v="0"/>
    <n v="-34174.4649171239"/>
    <n v="3"/>
  </r>
  <r>
    <x v="0"/>
    <x v="3"/>
    <x v="7"/>
    <x v="0"/>
    <n v="-3595656.4541262002"/>
    <n v="229"/>
  </r>
  <r>
    <x v="0"/>
    <x v="3"/>
    <x v="2"/>
    <x v="0"/>
    <n v="-3640734.1973553798"/>
    <n v="269"/>
  </r>
  <r>
    <x v="0"/>
    <x v="1"/>
    <x v="4"/>
    <x v="0"/>
    <n v="-2598369.48"/>
    <n v="239"/>
  </r>
  <r>
    <x v="1"/>
    <x v="1"/>
    <x v="7"/>
    <x v="0"/>
    <n v="-31481.81"/>
    <n v="8"/>
  </r>
  <r>
    <x v="1"/>
    <x v="2"/>
    <x v="2"/>
    <x v="0"/>
    <n v="0"/>
    <n v="3"/>
  </r>
  <r>
    <x v="1"/>
    <x v="2"/>
    <x v="9"/>
    <x v="0"/>
    <n v="-28.62"/>
    <n v="1"/>
  </r>
  <r>
    <x v="0"/>
    <x v="3"/>
    <x v="10"/>
    <x v="0"/>
    <n v="-289360.79460998601"/>
    <n v="30"/>
  </r>
  <r>
    <x v="0"/>
    <x v="3"/>
    <x v="3"/>
    <x v="0"/>
    <n v="-528.13"/>
    <n v="1"/>
  </r>
  <r>
    <x v="0"/>
    <x v="3"/>
    <x v="11"/>
    <x v="0"/>
    <n v="-5930.42"/>
    <n v="1"/>
  </r>
  <r>
    <x v="1"/>
    <x v="3"/>
    <x v="4"/>
    <x v="0"/>
    <n v="-352618.239999999"/>
    <n v="6"/>
  </r>
  <r>
    <x v="0"/>
    <x v="1"/>
    <x v="7"/>
    <x v="0"/>
    <n v="-17221083.1913062"/>
    <n v="1157"/>
  </r>
  <r>
    <x v="0"/>
    <x v="3"/>
    <x v="0"/>
    <x v="0"/>
    <n v="-2295962.1082007098"/>
    <n v="150"/>
  </r>
  <r>
    <x v="1"/>
    <x v="3"/>
    <x v="11"/>
    <x v="0"/>
    <n v="-54.48"/>
    <n v="1"/>
  </r>
  <r>
    <x v="1"/>
    <x v="1"/>
    <x v="0"/>
    <x v="0"/>
    <n v="-250.85"/>
    <n v="2"/>
  </r>
  <r>
    <x v="0"/>
    <x v="3"/>
    <x v="12"/>
    <x v="0"/>
    <n v="-2152.1002883075198"/>
    <n v="1"/>
  </r>
  <r>
    <x v="0"/>
    <x v="3"/>
    <x v="13"/>
    <x v="0"/>
    <n v="-11.65"/>
    <n v="1"/>
  </r>
  <r>
    <x v="1"/>
    <x v="2"/>
    <x v="10"/>
    <x v="0"/>
    <n v="-2146.39"/>
    <n v="1"/>
  </r>
  <r>
    <x v="0"/>
    <x v="1"/>
    <x v="14"/>
    <x v="0"/>
    <n v="-4505.7"/>
    <n v="2"/>
  </r>
  <r>
    <x v="0"/>
    <x v="2"/>
    <x v="7"/>
    <x v="0"/>
    <n v="-1304429.47999285"/>
    <n v="75"/>
  </r>
  <r>
    <x v="1"/>
    <x v="1"/>
    <x v="9"/>
    <x v="0"/>
    <n v="-2179.7600000000002"/>
    <n v="1"/>
  </r>
  <r>
    <x v="0"/>
    <x v="1"/>
    <x v="10"/>
    <x v="0"/>
    <n v="-5546232.20539001"/>
    <n v="479"/>
  </r>
  <r>
    <x v="1"/>
    <x v="3"/>
    <x v="8"/>
    <x v="0"/>
    <n v="-0.53"/>
    <n v="2"/>
  </r>
  <r>
    <x v="0"/>
    <x v="1"/>
    <x v="2"/>
    <x v="0"/>
    <n v="-70996524.360886201"/>
    <n v="3947"/>
  </r>
  <r>
    <x v="0"/>
    <x v="0"/>
    <x v="5"/>
    <x v="0"/>
    <n v="-10104.16"/>
    <n v="1"/>
  </r>
  <r>
    <x v="0"/>
    <x v="1"/>
    <x v="8"/>
    <x v="0"/>
    <n v="-514453.57999999903"/>
    <n v="60"/>
  </r>
  <r>
    <x v="1"/>
    <x v="3"/>
    <x v="0"/>
    <x v="0"/>
    <n v="-985.66"/>
    <n v="2"/>
  </r>
  <r>
    <x v="0"/>
    <x v="1"/>
    <x v="0"/>
    <x v="0"/>
    <n v="-8900322.5217992794"/>
    <n v="711"/>
  </r>
  <r>
    <x v="0"/>
    <x v="0"/>
    <x v="10"/>
    <x v="0"/>
    <n v="-1145354.23"/>
    <n v="76"/>
  </r>
  <r>
    <x v="1"/>
    <x v="3"/>
    <x v="2"/>
    <x v="0"/>
    <n v="-859"/>
    <n v="1"/>
  </r>
  <r>
    <x v="0"/>
    <x v="1"/>
    <x v="12"/>
    <x v="0"/>
    <n v="-22110.889711692402"/>
    <n v="7"/>
  </r>
  <r>
    <x v="0"/>
    <x v="1"/>
    <x v="3"/>
    <x v="0"/>
    <n v="-33784.76"/>
    <n v="8"/>
  </r>
  <r>
    <x v="0"/>
    <x v="1"/>
    <x v="11"/>
    <x v="0"/>
    <n v="-27876.76"/>
    <n v="6"/>
  </r>
  <r>
    <x v="0"/>
    <x v="3"/>
    <x v="5"/>
    <x v="0"/>
    <n v="-4400.95"/>
    <n v="1"/>
  </r>
  <r>
    <x v="0"/>
    <x v="2"/>
    <x v="6"/>
    <x v="0"/>
    <n v="-34927.019999999997"/>
    <n v="4"/>
  </r>
  <r>
    <x v="1"/>
    <x v="3"/>
    <x v="1"/>
    <x v="0"/>
    <n v="-151182.98000000001"/>
    <n v="1"/>
  </r>
  <r>
    <x v="0"/>
    <x v="3"/>
    <x v="8"/>
    <x v="0"/>
    <n v="-29244.595082876"/>
    <n v="3"/>
  </r>
  <r>
    <x v="0"/>
    <x v="3"/>
    <x v="9"/>
    <x v="0"/>
    <n v="-1182.3399999999999"/>
    <n v="0"/>
  </r>
  <r>
    <x v="0"/>
    <x v="2"/>
    <x v="4"/>
    <x v="0"/>
    <n v="-20040.9090608322"/>
    <n v="6"/>
  </r>
  <r>
    <x v="0"/>
    <x v="3"/>
    <x v="6"/>
    <x v="0"/>
    <n v="-186251.929999999"/>
    <n v="18"/>
  </r>
  <r>
    <x v="0"/>
    <x v="2"/>
    <x v="10"/>
    <x v="0"/>
    <n v="-282096.78999999998"/>
    <n v="22"/>
  </r>
  <r>
    <x v="0"/>
    <x v="2"/>
    <x v="12"/>
    <x v="0"/>
    <n v="-7745.99"/>
    <n v="2"/>
  </r>
  <r>
    <x v="0"/>
    <x v="0"/>
    <x v="7"/>
    <x v="0"/>
    <n v="-2012530.3845746799"/>
    <n v="123"/>
  </r>
  <r>
    <x v="0"/>
    <x v="0"/>
    <x v="6"/>
    <x v="0"/>
    <n v="-280975.71999999997"/>
    <n v="20"/>
  </r>
  <r>
    <x v="0"/>
    <x v="2"/>
    <x v="0"/>
    <x v="0"/>
    <n v="-421558.79"/>
    <n v="30"/>
  </r>
  <r>
    <x v="1"/>
    <x v="0"/>
    <x v="15"/>
    <x v="1"/>
    <n v="-664208.71"/>
    <n v="14"/>
  </r>
  <r>
    <x v="1"/>
    <x v="2"/>
    <x v="16"/>
    <x v="1"/>
    <n v="-7140428.1449026801"/>
    <n v="56"/>
  </r>
  <r>
    <x v="1"/>
    <x v="1"/>
    <x v="17"/>
    <x v="1"/>
    <n v="-14358202.1953052"/>
    <n v="107"/>
  </r>
  <r>
    <x v="0"/>
    <x v="0"/>
    <x v="18"/>
    <x v="1"/>
    <n v="-43431462.239999898"/>
    <n v="316"/>
  </r>
  <r>
    <x v="1"/>
    <x v="1"/>
    <x v="19"/>
    <x v="1"/>
    <n v="-166423.533667435"/>
    <n v="10"/>
  </r>
  <r>
    <x v="0"/>
    <x v="3"/>
    <x v="20"/>
    <x v="1"/>
    <n v="-11686635.4268155"/>
    <n v="332"/>
  </r>
  <r>
    <x v="0"/>
    <x v="0"/>
    <x v="21"/>
    <x v="1"/>
    <n v="-8446377.0850000009"/>
    <n v="229"/>
  </r>
  <r>
    <x v="1"/>
    <x v="1"/>
    <x v="22"/>
    <x v="1"/>
    <n v="-4962358.7199999904"/>
    <n v="76"/>
  </r>
  <r>
    <x v="0"/>
    <x v="3"/>
    <x v="23"/>
    <x v="1"/>
    <n v="-7768824.2278409302"/>
    <n v="271"/>
  </r>
  <r>
    <x v="1"/>
    <x v="0"/>
    <x v="24"/>
    <x v="1"/>
    <n v="-799836.93"/>
    <n v="9"/>
  </r>
  <r>
    <x v="0"/>
    <x v="1"/>
    <x v="25"/>
    <x v="1"/>
    <n v="-1850349708.6796501"/>
    <n v="16220"/>
  </r>
  <r>
    <x v="0"/>
    <x v="3"/>
    <x v="26"/>
    <x v="1"/>
    <n v="-4103215.00150633"/>
    <n v="356"/>
  </r>
  <r>
    <x v="0"/>
    <x v="0"/>
    <x v="26"/>
    <x v="1"/>
    <n v="-2697318.9992030398"/>
    <n v="141"/>
  </r>
  <r>
    <x v="1"/>
    <x v="1"/>
    <x v="27"/>
    <x v="1"/>
    <n v="-12179125.124680599"/>
    <n v="85"/>
  </r>
  <r>
    <x v="0"/>
    <x v="1"/>
    <x v="28"/>
    <x v="1"/>
    <n v="-882488026.87868798"/>
    <n v="15490"/>
  </r>
  <r>
    <x v="0"/>
    <x v="3"/>
    <x v="29"/>
    <x v="1"/>
    <n v="-20536148.314956799"/>
    <n v="206"/>
  </r>
  <r>
    <x v="0"/>
    <x v="0"/>
    <x v="30"/>
    <x v="1"/>
    <n v="-61835416.859999903"/>
    <n v="471"/>
  </r>
  <r>
    <x v="1"/>
    <x v="0"/>
    <x v="31"/>
    <x v="1"/>
    <n v="-291485.63"/>
    <n v="7"/>
  </r>
  <r>
    <x v="1"/>
    <x v="3"/>
    <x v="30"/>
    <x v="1"/>
    <n v="-174593889.36999899"/>
    <n v="278"/>
  </r>
  <r>
    <x v="0"/>
    <x v="2"/>
    <x v="30"/>
    <x v="1"/>
    <n v="-236995751.44562501"/>
    <n v="1799"/>
  </r>
  <r>
    <x v="0"/>
    <x v="0"/>
    <x v="32"/>
    <x v="1"/>
    <n v="-7652509.6699999999"/>
    <n v="111"/>
  </r>
  <r>
    <x v="1"/>
    <x v="1"/>
    <x v="33"/>
    <x v="1"/>
    <n v="-3852772.1797478902"/>
    <n v="44"/>
  </r>
  <r>
    <x v="1"/>
    <x v="3"/>
    <x v="27"/>
    <x v="1"/>
    <n v="-15092711.1698296"/>
    <n v="46"/>
  </r>
  <r>
    <x v="1"/>
    <x v="2"/>
    <x v="15"/>
    <x v="1"/>
    <n v="-5395709.8842292102"/>
    <n v="99"/>
  </r>
  <r>
    <x v="0"/>
    <x v="1"/>
    <x v="34"/>
    <x v="1"/>
    <n v="-130172157.34182499"/>
    <n v="6140"/>
  </r>
  <r>
    <x v="1"/>
    <x v="3"/>
    <x v="20"/>
    <x v="1"/>
    <n v="-11161291.4515684"/>
    <n v="28"/>
  </r>
  <r>
    <x v="0"/>
    <x v="3"/>
    <x v="16"/>
    <x v="1"/>
    <n v="-36496418.327987298"/>
    <n v="300"/>
  </r>
  <r>
    <x v="1"/>
    <x v="1"/>
    <x v="26"/>
    <x v="1"/>
    <n v="-289747.884002782"/>
    <n v="7"/>
  </r>
  <r>
    <x v="0"/>
    <x v="2"/>
    <x v="27"/>
    <x v="1"/>
    <n v="-15266751.9021533"/>
    <n v="231"/>
  </r>
  <r>
    <x v="0"/>
    <x v="2"/>
    <x v="28"/>
    <x v="1"/>
    <n v="-129262306.91347"/>
    <n v="1990"/>
  </r>
  <r>
    <x v="0"/>
    <x v="3"/>
    <x v="35"/>
    <x v="1"/>
    <n v="-19700071.673923001"/>
    <n v="482"/>
  </r>
  <r>
    <x v="0"/>
    <x v="2"/>
    <x v="26"/>
    <x v="1"/>
    <n v="-6325887.3873375896"/>
    <n v="329"/>
  </r>
  <r>
    <x v="1"/>
    <x v="3"/>
    <x v="36"/>
    <x v="1"/>
    <n v="-464573421.169999"/>
    <n v="569"/>
  </r>
  <r>
    <x v="1"/>
    <x v="0"/>
    <x v="16"/>
    <x v="1"/>
    <n v="-814759.50845572294"/>
    <n v="5"/>
  </r>
  <r>
    <x v="0"/>
    <x v="1"/>
    <x v="18"/>
    <x v="1"/>
    <n v="-1930034754.46842"/>
    <n v="15609"/>
  </r>
  <r>
    <x v="1"/>
    <x v="3"/>
    <x v="25"/>
    <x v="1"/>
    <n v="-112910948.499999"/>
    <n v="197"/>
  </r>
  <r>
    <x v="1"/>
    <x v="3"/>
    <x v="21"/>
    <x v="1"/>
    <n v="-148651.799999999"/>
    <n v="6"/>
  </r>
  <r>
    <x v="0"/>
    <x v="2"/>
    <x v="37"/>
    <x v="1"/>
    <n v="-46812401.9951206"/>
    <n v="599"/>
  </r>
  <r>
    <x v="1"/>
    <x v="0"/>
    <x v="38"/>
    <x v="1"/>
    <n v="-178108.43"/>
    <n v="3"/>
  </r>
  <r>
    <x v="1"/>
    <x v="0"/>
    <x v="36"/>
    <x v="1"/>
    <n v="-11982065.5164659"/>
    <n v="8"/>
  </r>
  <r>
    <x v="0"/>
    <x v="3"/>
    <x v="21"/>
    <x v="1"/>
    <n v="-14425723.0825407"/>
    <n v="459"/>
  </r>
  <r>
    <x v="0"/>
    <x v="3"/>
    <x v="39"/>
    <x v="1"/>
    <n v="-6297262.0770177096"/>
    <n v="232"/>
  </r>
  <r>
    <x v="0"/>
    <x v="1"/>
    <x v="17"/>
    <x v="1"/>
    <n v="-157915082.19931901"/>
    <n v="2436"/>
  </r>
  <r>
    <x v="1"/>
    <x v="1"/>
    <x v="37"/>
    <x v="1"/>
    <n v="-19612481.784083702"/>
    <n v="201"/>
  </r>
  <r>
    <x v="0"/>
    <x v="0"/>
    <x v="24"/>
    <x v="1"/>
    <n v="-15484046.5775354"/>
    <n v="181"/>
  </r>
  <r>
    <x v="0"/>
    <x v="0"/>
    <x v="39"/>
    <x v="1"/>
    <n v="-5433263.1900000004"/>
    <n v="109"/>
  </r>
  <r>
    <x v="0"/>
    <x v="2"/>
    <x v="20"/>
    <x v="1"/>
    <n v="-111082715.237973"/>
    <n v="1889"/>
  </r>
  <r>
    <x v="0"/>
    <x v="3"/>
    <x v="34"/>
    <x v="1"/>
    <n v="-5145682.9878074303"/>
    <n v="357"/>
  </r>
  <r>
    <x v="0"/>
    <x v="2"/>
    <x v="31"/>
    <x v="1"/>
    <n v="-31331774.2168574"/>
    <n v="450"/>
  </r>
  <r>
    <x v="0"/>
    <x v="3"/>
    <x v="32"/>
    <x v="1"/>
    <n v="-24864089.9227488"/>
    <n v="541"/>
  </r>
  <r>
    <x v="0"/>
    <x v="1"/>
    <x v="15"/>
    <x v="1"/>
    <n v="-938567285.25170004"/>
    <n v="9951"/>
  </r>
  <r>
    <x v="0"/>
    <x v="0"/>
    <x v="15"/>
    <x v="1"/>
    <n v="-18829275.103824198"/>
    <n v="196"/>
  </r>
  <r>
    <x v="0"/>
    <x v="0"/>
    <x v="38"/>
    <x v="1"/>
    <n v="-3744573.1399999899"/>
    <n v="51"/>
  </r>
  <r>
    <x v="0"/>
    <x v="3"/>
    <x v="17"/>
    <x v="1"/>
    <n v="-11155318.2974947"/>
    <n v="159"/>
  </r>
  <r>
    <x v="1"/>
    <x v="3"/>
    <x v="28"/>
    <x v="1"/>
    <n v="-2418885.6099999901"/>
    <n v="20"/>
  </r>
  <r>
    <x v="1"/>
    <x v="3"/>
    <x v="24"/>
    <x v="1"/>
    <n v="-63777977.175945103"/>
    <n v="261"/>
  </r>
  <r>
    <x v="1"/>
    <x v="1"/>
    <x v="36"/>
    <x v="1"/>
    <n v="-40742003.827749103"/>
    <n v="149"/>
  </r>
  <r>
    <x v="0"/>
    <x v="0"/>
    <x v="29"/>
    <x v="1"/>
    <n v="-26749124.122568201"/>
    <n v="266"/>
  </r>
  <r>
    <x v="1"/>
    <x v="3"/>
    <x v="34"/>
    <x v="1"/>
    <n v="-623.78"/>
    <n v="1"/>
  </r>
  <r>
    <x v="1"/>
    <x v="1"/>
    <x v="23"/>
    <x v="1"/>
    <n v="-771618.17144109705"/>
    <n v="20"/>
  </r>
  <r>
    <x v="0"/>
    <x v="0"/>
    <x v="17"/>
    <x v="1"/>
    <n v="-4616700.5599999996"/>
    <n v="52"/>
  </r>
  <r>
    <x v="1"/>
    <x v="2"/>
    <x v="26"/>
    <x v="1"/>
    <n v="-299623.475997217"/>
    <n v="5"/>
  </r>
  <r>
    <x v="0"/>
    <x v="2"/>
    <x v="29"/>
    <x v="1"/>
    <n v="-121647859.145943"/>
    <n v="1147"/>
  </r>
  <r>
    <x v="1"/>
    <x v="3"/>
    <x v="23"/>
    <x v="1"/>
    <n v="-245651.23"/>
    <n v="2"/>
  </r>
  <r>
    <x v="1"/>
    <x v="1"/>
    <x v="28"/>
    <x v="1"/>
    <n v="-2733831.1199999899"/>
    <n v="48"/>
  </r>
  <r>
    <x v="1"/>
    <x v="2"/>
    <x v="25"/>
    <x v="1"/>
    <n v="-8696826.79045498"/>
    <n v="75"/>
  </r>
  <r>
    <x v="0"/>
    <x v="3"/>
    <x v="18"/>
    <x v="1"/>
    <n v="-35053116.970062003"/>
    <n v="276"/>
  </r>
  <r>
    <x v="0"/>
    <x v="2"/>
    <x v="21"/>
    <x v="1"/>
    <n v="-41104604.121311799"/>
    <n v="1034"/>
  </r>
  <r>
    <x v="0"/>
    <x v="0"/>
    <x v="23"/>
    <x v="1"/>
    <n v="-7697788.4699999997"/>
    <n v="145"/>
  </r>
  <r>
    <x v="1"/>
    <x v="3"/>
    <x v="22"/>
    <x v="1"/>
    <n v="-24083897.153312799"/>
    <n v="18"/>
  </r>
  <r>
    <x v="1"/>
    <x v="3"/>
    <x v="16"/>
    <x v="1"/>
    <n v="-162579308.359999"/>
    <n v="208"/>
  </r>
  <r>
    <x v="0"/>
    <x v="1"/>
    <x v="21"/>
    <x v="1"/>
    <n v="-220464986.74114701"/>
    <n v="6026"/>
  </r>
  <r>
    <x v="1"/>
    <x v="0"/>
    <x v="30"/>
    <x v="1"/>
    <n v="-1444454.6599999899"/>
    <n v="10"/>
  </r>
  <r>
    <x v="0"/>
    <x v="2"/>
    <x v="17"/>
    <x v="1"/>
    <n v="-21538270.623185899"/>
    <n v="302"/>
  </r>
  <r>
    <x v="1"/>
    <x v="1"/>
    <x v="18"/>
    <x v="1"/>
    <n v="-22447294.3654745"/>
    <n v="130"/>
  </r>
  <r>
    <x v="1"/>
    <x v="2"/>
    <x v="27"/>
    <x v="1"/>
    <n v="-3956686.52548968"/>
    <n v="39"/>
  </r>
  <r>
    <x v="0"/>
    <x v="3"/>
    <x v="28"/>
    <x v="1"/>
    <n v="-14092244.298097"/>
    <n v="384"/>
  </r>
  <r>
    <x v="1"/>
    <x v="1"/>
    <x v="30"/>
    <x v="1"/>
    <n v="-38101519.591742702"/>
    <n v="216"/>
  </r>
  <r>
    <x v="1"/>
    <x v="0"/>
    <x v="17"/>
    <x v="1"/>
    <n v="-545987.63"/>
    <n v="6"/>
  </r>
  <r>
    <x v="0"/>
    <x v="3"/>
    <x v="27"/>
    <x v="1"/>
    <n v="-8050617.5565277403"/>
    <n v="138"/>
  </r>
  <r>
    <x v="0"/>
    <x v="1"/>
    <x v="23"/>
    <x v="1"/>
    <n v="-499029895.84292102"/>
    <n v="10772"/>
  </r>
  <r>
    <x v="1"/>
    <x v="2"/>
    <x v="18"/>
    <x v="1"/>
    <n v="-4094499.2927131001"/>
    <n v="35"/>
  </r>
  <r>
    <x v="1"/>
    <x v="2"/>
    <x v="35"/>
    <x v="1"/>
    <n v="-4072828.00169132"/>
    <n v="52"/>
  </r>
  <r>
    <x v="1"/>
    <x v="1"/>
    <x v="38"/>
    <x v="1"/>
    <n v="-14687630.218414599"/>
    <n v="57"/>
  </r>
  <r>
    <x v="0"/>
    <x v="3"/>
    <x v="30"/>
    <x v="1"/>
    <n v="-54229030.140000001"/>
    <n v="395"/>
  </r>
  <r>
    <x v="1"/>
    <x v="2"/>
    <x v="33"/>
    <x v="1"/>
    <n v="-2933786.8602521"/>
    <n v="23"/>
  </r>
  <r>
    <x v="1"/>
    <x v="0"/>
    <x v="29"/>
    <x v="1"/>
    <n v="-140385.83203448201"/>
    <n v="4"/>
  </r>
  <r>
    <x v="0"/>
    <x v="1"/>
    <x v="38"/>
    <x v="1"/>
    <n v="-112709886.205887"/>
    <n v="2175"/>
  </r>
  <r>
    <x v="0"/>
    <x v="1"/>
    <x v="30"/>
    <x v="1"/>
    <n v="-2298301064.70437"/>
    <n v="18397"/>
  </r>
  <r>
    <x v="1"/>
    <x v="3"/>
    <x v="26"/>
    <x v="1"/>
    <n v="-120532.33"/>
    <n v="1"/>
  </r>
  <r>
    <x v="0"/>
    <x v="1"/>
    <x v="22"/>
    <x v="1"/>
    <n v="-718893353.11320698"/>
    <n v="12733"/>
  </r>
  <r>
    <x v="1"/>
    <x v="0"/>
    <x v="21"/>
    <x v="1"/>
    <n v="-7.96"/>
    <n v="1"/>
  </r>
  <r>
    <x v="1"/>
    <x v="3"/>
    <x v="29"/>
    <x v="1"/>
    <n v="-199243501.799999"/>
    <n v="294"/>
  </r>
  <r>
    <x v="0"/>
    <x v="1"/>
    <x v="32"/>
    <x v="1"/>
    <n v="-564759150.17577696"/>
    <n v="9122"/>
  </r>
  <r>
    <x v="0"/>
    <x v="1"/>
    <x v="26"/>
    <x v="1"/>
    <n v="-85056095.571952999"/>
    <n v="4660"/>
  </r>
  <r>
    <x v="0"/>
    <x v="3"/>
    <x v="24"/>
    <x v="1"/>
    <n v="-12539290.6674603"/>
    <n v="192"/>
  </r>
  <r>
    <x v="1"/>
    <x v="2"/>
    <x v="30"/>
    <x v="1"/>
    <n v="-6398940.1782572297"/>
    <n v="59"/>
  </r>
  <r>
    <x v="0"/>
    <x v="3"/>
    <x v="38"/>
    <x v="1"/>
    <n v="-4991709.5655666701"/>
    <n v="100"/>
  </r>
  <r>
    <x v="1"/>
    <x v="2"/>
    <x v="19"/>
    <x v="1"/>
    <n v="-197073.916332564"/>
    <n v="4"/>
  </r>
  <r>
    <x v="1"/>
    <x v="3"/>
    <x v="39"/>
    <x v="1"/>
    <n v="-57122.699999999903"/>
    <n v="16"/>
  </r>
  <r>
    <x v="0"/>
    <x v="3"/>
    <x v="31"/>
    <x v="1"/>
    <n v="-11029707.158855701"/>
    <n v="159"/>
  </r>
  <r>
    <x v="1"/>
    <x v="1"/>
    <x v="20"/>
    <x v="1"/>
    <n v="-2658494.4984315298"/>
    <n v="24"/>
  </r>
  <r>
    <x v="1"/>
    <x v="2"/>
    <x v="20"/>
    <x v="1"/>
    <n v="-137257.28"/>
    <n v="10"/>
  </r>
  <r>
    <x v="0"/>
    <x v="2"/>
    <x v="19"/>
    <x v="1"/>
    <n v="-14700266.4591175"/>
    <n v="587"/>
  </r>
  <r>
    <x v="1"/>
    <x v="3"/>
    <x v="18"/>
    <x v="1"/>
    <n v="-218054654.049999"/>
    <n v="243"/>
  </r>
  <r>
    <x v="1"/>
    <x v="1"/>
    <x v="32"/>
    <x v="1"/>
    <n v="-7376264.2853961"/>
    <n v="115"/>
  </r>
  <r>
    <x v="0"/>
    <x v="1"/>
    <x v="27"/>
    <x v="1"/>
    <n v="-120992073.612699"/>
    <n v="2091"/>
  </r>
  <r>
    <x v="0"/>
    <x v="3"/>
    <x v="33"/>
    <x v="1"/>
    <n v="-22170278.5380059"/>
    <n v="383"/>
  </r>
  <r>
    <x v="0"/>
    <x v="2"/>
    <x v="18"/>
    <x v="1"/>
    <n v="-170433308.86150801"/>
    <n v="1304"/>
  </r>
  <r>
    <x v="0"/>
    <x v="2"/>
    <x v="35"/>
    <x v="1"/>
    <n v="-50124604.266939498"/>
    <n v="916"/>
  </r>
  <r>
    <x v="0"/>
    <x v="2"/>
    <x v="25"/>
    <x v="1"/>
    <n v="-194813446.994425"/>
    <n v="1549"/>
  </r>
  <r>
    <x v="1"/>
    <x v="3"/>
    <x v="38"/>
    <x v="1"/>
    <n v="-9936057.3130114991"/>
    <n v="67"/>
  </r>
  <r>
    <x v="0"/>
    <x v="2"/>
    <x v="23"/>
    <x v="1"/>
    <n v="-89607903.7150179"/>
    <n v="1771"/>
  </r>
  <r>
    <x v="0"/>
    <x v="0"/>
    <x v="25"/>
    <x v="1"/>
    <n v="-54925751.280000001"/>
    <n v="439"/>
  </r>
  <r>
    <x v="0"/>
    <x v="0"/>
    <x v="34"/>
    <x v="1"/>
    <n v="-1246176.61621805"/>
    <n v="59"/>
  </r>
  <r>
    <x v="0"/>
    <x v="3"/>
    <x v="36"/>
    <x v="1"/>
    <n v="-29658680.3062611"/>
    <n v="448"/>
  </r>
  <r>
    <x v="1"/>
    <x v="2"/>
    <x v="37"/>
    <x v="1"/>
    <n v="-6294215.7213442596"/>
    <n v="95"/>
  </r>
  <r>
    <x v="1"/>
    <x v="2"/>
    <x v="24"/>
    <x v="1"/>
    <n v="-16108805.056888301"/>
    <n v="91"/>
  </r>
  <r>
    <x v="0"/>
    <x v="1"/>
    <x v="19"/>
    <x v="1"/>
    <n v="-218346062.480598"/>
    <n v="8568"/>
  </r>
  <r>
    <x v="1"/>
    <x v="0"/>
    <x v="35"/>
    <x v="1"/>
    <n v="-10668.7090152409"/>
    <n v="3"/>
  </r>
  <r>
    <x v="1"/>
    <x v="2"/>
    <x v="36"/>
    <x v="1"/>
    <n v="-17392476.225784801"/>
    <n v="42"/>
  </r>
  <r>
    <x v="1"/>
    <x v="2"/>
    <x v="38"/>
    <x v="1"/>
    <n v="-1143460.82857384"/>
    <n v="16"/>
  </r>
  <r>
    <x v="0"/>
    <x v="2"/>
    <x v="38"/>
    <x v="1"/>
    <n v="-12836310.1285454"/>
    <n v="244"/>
  </r>
  <r>
    <x v="1"/>
    <x v="1"/>
    <x v="25"/>
    <x v="1"/>
    <n v="-66823500.677543499"/>
    <n v="262"/>
  </r>
  <r>
    <x v="1"/>
    <x v="1"/>
    <x v="39"/>
    <x v="1"/>
    <n v="-96482.55"/>
    <n v="9"/>
  </r>
  <r>
    <x v="0"/>
    <x v="2"/>
    <x v="24"/>
    <x v="1"/>
    <n v="-76481006.498354897"/>
    <n v="865"/>
  </r>
  <r>
    <x v="1"/>
    <x v="2"/>
    <x v="21"/>
    <x v="1"/>
    <n v="-275927.39"/>
    <n v="9"/>
  </r>
  <r>
    <x v="1"/>
    <x v="3"/>
    <x v="33"/>
    <x v="1"/>
    <n v="-5162495.9400000004"/>
    <n v="34"/>
  </r>
  <r>
    <x v="1"/>
    <x v="2"/>
    <x v="23"/>
    <x v="1"/>
    <n v="-236431.768558902"/>
    <n v="8"/>
  </r>
  <r>
    <x v="1"/>
    <x v="0"/>
    <x v="26"/>
    <x v="1"/>
    <n v="0"/>
    <n v="3"/>
  </r>
  <r>
    <x v="0"/>
    <x v="2"/>
    <x v="15"/>
    <x v="1"/>
    <n v="-98359069.362301603"/>
    <n v="1042"/>
  </r>
  <r>
    <x v="0"/>
    <x v="3"/>
    <x v="19"/>
    <x v="1"/>
    <n v="-8587263.0631303303"/>
    <n v="411"/>
  </r>
  <r>
    <x v="1"/>
    <x v="2"/>
    <x v="32"/>
    <x v="1"/>
    <n v="-2809633.3346038898"/>
    <n v="41"/>
  </r>
  <r>
    <x v="1"/>
    <x v="2"/>
    <x v="28"/>
    <x v="1"/>
    <n v="-1488428.6399999899"/>
    <n v="22"/>
  </r>
  <r>
    <x v="0"/>
    <x v="1"/>
    <x v="16"/>
    <x v="1"/>
    <n v="-1400300694.16909"/>
    <n v="13055"/>
  </r>
  <r>
    <x v="1"/>
    <x v="2"/>
    <x v="29"/>
    <x v="1"/>
    <n v="-13477247.1140933"/>
    <n v="89"/>
  </r>
  <r>
    <x v="1"/>
    <x v="3"/>
    <x v="17"/>
    <x v="1"/>
    <n v="-15853208.939999901"/>
    <n v="90"/>
  </r>
  <r>
    <x v="1"/>
    <x v="3"/>
    <x v="37"/>
    <x v="1"/>
    <n v="-68102480.072877005"/>
    <n v="184"/>
  </r>
  <r>
    <x v="0"/>
    <x v="0"/>
    <x v="19"/>
    <x v="1"/>
    <n v="-914838.58621056005"/>
    <n v="36"/>
  </r>
  <r>
    <x v="0"/>
    <x v="2"/>
    <x v="39"/>
    <x v="1"/>
    <n v="-69585414.750971004"/>
    <n v="1457"/>
  </r>
  <r>
    <x v="0"/>
    <x v="0"/>
    <x v="33"/>
    <x v="1"/>
    <n v="-4217139.7469509495"/>
    <n v="66"/>
  </r>
  <r>
    <x v="0"/>
    <x v="3"/>
    <x v="22"/>
    <x v="1"/>
    <n v="-20382089.2695654"/>
    <n v="545"/>
  </r>
  <r>
    <x v="0"/>
    <x v="2"/>
    <x v="22"/>
    <x v="1"/>
    <n v="-86813940.992624506"/>
    <n v="1379"/>
  </r>
  <r>
    <x v="1"/>
    <x v="3"/>
    <x v="35"/>
    <x v="1"/>
    <n v="-7238644.8101197798"/>
    <n v="58"/>
  </r>
  <r>
    <x v="0"/>
    <x v="1"/>
    <x v="39"/>
    <x v="1"/>
    <n v="-364190910.095676"/>
    <n v="8244"/>
  </r>
  <r>
    <x v="0"/>
    <x v="1"/>
    <x v="20"/>
    <x v="1"/>
    <n v="-605147015.42643702"/>
    <n v="11377"/>
  </r>
  <r>
    <x v="0"/>
    <x v="1"/>
    <x v="36"/>
    <x v="1"/>
    <n v="-3732450880.2571402"/>
    <n v="28558"/>
  </r>
  <r>
    <x v="1"/>
    <x v="0"/>
    <x v="18"/>
    <x v="1"/>
    <n v="-40206.161812297702"/>
    <n v="1"/>
  </r>
  <r>
    <x v="1"/>
    <x v="2"/>
    <x v="31"/>
    <x v="1"/>
    <n v="-6666754.0391285401"/>
    <n v="86"/>
  </r>
  <r>
    <x v="0"/>
    <x v="2"/>
    <x v="34"/>
    <x v="1"/>
    <n v="-7741722.1841487996"/>
    <n v="374"/>
  </r>
  <r>
    <x v="0"/>
    <x v="0"/>
    <x v="28"/>
    <x v="1"/>
    <n v="-13608667.7097439"/>
    <n v="217"/>
  </r>
  <r>
    <x v="0"/>
    <x v="0"/>
    <x v="27"/>
    <x v="1"/>
    <n v="-3301617.5786192999"/>
    <n v="49"/>
  </r>
  <r>
    <x v="1"/>
    <x v="1"/>
    <x v="34"/>
    <x v="1"/>
    <n v="-19542.9293507806"/>
    <n v="5"/>
  </r>
  <r>
    <x v="0"/>
    <x v="1"/>
    <x v="33"/>
    <x v="1"/>
    <n v="-247462148.22156101"/>
    <n v="4392"/>
  </r>
  <r>
    <x v="1"/>
    <x v="0"/>
    <x v="32"/>
    <x v="1"/>
    <n v="-7291.8"/>
    <n v="5"/>
  </r>
  <r>
    <x v="0"/>
    <x v="2"/>
    <x v="16"/>
    <x v="1"/>
    <n v="-142261513.220864"/>
    <n v="1266"/>
  </r>
  <r>
    <x v="1"/>
    <x v="2"/>
    <x v="39"/>
    <x v="1"/>
    <n v="-84386.67"/>
    <n v="3"/>
  </r>
  <r>
    <x v="0"/>
    <x v="1"/>
    <x v="35"/>
    <x v="1"/>
    <n v="-510800364.07860202"/>
    <n v="9070"/>
  </r>
  <r>
    <x v="0"/>
    <x v="1"/>
    <x v="29"/>
    <x v="1"/>
    <n v="-915380941.46652997"/>
    <n v="9314"/>
  </r>
  <r>
    <x v="1"/>
    <x v="1"/>
    <x v="35"/>
    <x v="1"/>
    <n v="-6213820.4991736403"/>
    <n v="80"/>
  </r>
  <r>
    <x v="0"/>
    <x v="3"/>
    <x v="37"/>
    <x v="1"/>
    <n v="-7654260.1459545698"/>
    <n v="167"/>
  </r>
  <r>
    <x v="1"/>
    <x v="3"/>
    <x v="19"/>
    <x v="1"/>
    <n v="-45007.229999999901"/>
    <n v="7"/>
  </r>
  <r>
    <x v="0"/>
    <x v="0"/>
    <x v="31"/>
    <x v="1"/>
    <n v="-7350570.1699999999"/>
    <n v="98"/>
  </r>
  <r>
    <x v="1"/>
    <x v="0"/>
    <x v="27"/>
    <x v="1"/>
    <n v="-271984.01"/>
    <n v="3"/>
  </r>
  <r>
    <x v="1"/>
    <x v="2"/>
    <x v="34"/>
    <x v="1"/>
    <n v="-0.74064921936425898"/>
    <n v="4"/>
  </r>
  <r>
    <x v="0"/>
    <x v="0"/>
    <x v="35"/>
    <x v="1"/>
    <n v="-5997640.9705349701"/>
    <n v="109"/>
  </r>
  <r>
    <x v="1"/>
    <x v="3"/>
    <x v="15"/>
    <x v="1"/>
    <n v="-228227232.704063"/>
    <n v="270"/>
  </r>
  <r>
    <x v="1"/>
    <x v="0"/>
    <x v="25"/>
    <x v="1"/>
    <n v="-1888012.6320014901"/>
    <n v="17"/>
  </r>
  <r>
    <x v="1"/>
    <x v="1"/>
    <x v="15"/>
    <x v="1"/>
    <n v="-24485071.8377681"/>
    <n v="197"/>
  </r>
  <r>
    <x v="0"/>
    <x v="1"/>
    <x v="37"/>
    <x v="1"/>
    <n v="-473460454.08413202"/>
    <n v="6011"/>
  </r>
  <r>
    <x v="1"/>
    <x v="2"/>
    <x v="17"/>
    <x v="1"/>
    <n v="-4641827.3346947404"/>
    <n v="51"/>
  </r>
  <r>
    <x v="0"/>
    <x v="1"/>
    <x v="31"/>
    <x v="1"/>
    <n v="-319972800.61428601"/>
    <n v="4374"/>
  </r>
  <r>
    <x v="0"/>
    <x v="1"/>
    <x v="24"/>
    <x v="1"/>
    <n v="-773209622.54664898"/>
    <n v="8630"/>
  </r>
  <r>
    <x v="0"/>
    <x v="0"/>
    <x v="16"/>
    <x v="1"/>
    <n v="-40392142.902050897"/>
    <n v="376"/>
  </r>
  <r>
    <x v="0"/>
    <x v="2"/>
    <x v="36"/>
    <x v="1"/>
    <n v="-358132617.92659497"/>
    <n v="2412"/>
  </r>
  <r>
    <x v="1"/>
    <x v="1"/>
    <x v="29"/>
    <x v="1"/>
    <n v="-27672505.403872099"/>
    <n v="212"/>
  </r>
  <r>
    <x v="0"/>
    <x v="0"/>
    <x v="36"/>
    <x v="1"/>
    <n v="-94750854.560000002"/>
    <n v="536"/>
  </r>
  <r>
    <x v="0"/>
    <x v="0"/>
    <x v="20"/>
    <x v="1"/>
    <n v="-9873442.6400000006"/>
    <n v="163"/>
  </r>
  <r>
    <x v="0"/>
    <x v="2"/>
    <x v="32"/>
    <x v="1"/>
    <n v="-45950950.161474101"/>
    <n v="754"/>
  </r>
  <r>
    <x v="0"/>
    <x v="0"/>
    <x v="22"/>
    <x v="1"/>
    <n v="-9347716.2646025103"/>
    <n v="147"/>
  </r>
  <r>
    <x v="1"/>
    <x v="1"/>
    <x v="21"/>
    <x v="1"/>
    <n v="-81863.570000000007"/>
    <n v="6"/>
  </r>
  <r>
    <x v="0"/>
    <x v="3"/>
    <x v="15"/>
    <x v="1"/>
    <n v="-12224760.7921733"/>
    <n v="165"/>
  </r>
  <r>
    <x v="1"/>
    <x v="3"/>
    <x v="32"/>
    <x v="1"/>
    <n v="-9487479.3099999893"/>
    <n v="66"/>
  </r>
  <r>
    <x v="1"/>
    <x v="1"/>
    <x v="31"/>
    <x v="1"/>
    <n v="-28708694.431726798"/>
    <n v="298"/>
  </r>
  <r>
    <x v="1"/>
    <x v="1"/>
    <x v="24"/>
    <x v="1"/>
    <n v="-27523845.0671665"/>
    <n v="243"/>
  </r>
  <r>
    <x v="0"/>
    <x v="0"/>
    <x v="37"/>
    <x v="1"/>
    <n v="-9734290.1447927393"/>
    <n v="122"/>
  </r>
  <r>
    <x v="1"/>
    <x v="3"/>
    <x v="31"/>
    <x v="1"/>
    <n v="-55577228.079144597"/>
    <n v="128"/>
  </r>
  <r>
    <x v="0"/>
    <x v="2"/>
    <x v="33"/>
    <x v="1"/>
    <n v="-15771985.343481701"/>
    <n v="312"/>
  </r>
  <r>
    <x v="0"/>
    <x v="3"/>
    <x v="25"/>
    <x v="1"/>
    <n v="-44739635.175915599"/>
    <n v="340"/>
  </r>
  <r>
    <x v="1"/>
    <x v="1"/>
    <x v="16"/>
    <x v="1"/>
    <n v="-34487331.356641501"/>
    <n v="202"/>
  </r>
  <r>
    <x v="1"/>
    <x v="2"/>
    <x v="22"/>
    <x v="1"/>
    <n v="-1881555.80668719"/>
    <n v="45"/>
  </r>
  <r>
    <x v="1"/>
    <x v="0"/>
    <x v="37"/>
    <x v="1"/>
    <n v="-732938.8816949150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0E373-98FB-4955-98A9-9B45135B2597}" name="PivotTable8" cacheId="1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>
  <location ref="I4:L10" firstHeaderRow="1" firstDataRow="2" firstDataCol="1" rowPageCount="1" colPageCount="1"/>
  <pivotFields count="6">
    <pivotField axis="axisPage" showAll="0" defaultSubtotal="0">
      <items count="2">
        <item x="1"/>
        <item x="0"/>
      </items>
    </pivotField>
    <pivotField axis="axisRow" showAll="0" defaultSubtotal="0">
      <items count="4">
        <item x="1"/>
        <item x="0"/>
        <item x="2"/>
        <item x="3"/>
      </items>
    </pivotField>
    <pivotField showAll="0" defaultSubtotal="0">
      <items count="40">
        <item x="13"/>
        <item x="14"/>
        <item x="12"/>
        <item x="3"/>
        <item x="11"/>
        <item x="5"/>
        <item x="1"/>
        <item x="9"/>
        <item x="8"/>
        <item x="6"/>
        <item x="4"/>
        <item x="10"/>
        <item x="0"/>
        <item x="7"/>
        <item x="2"/>
        <item x="26"/>
        <item x="34"/>
        <item x="19"/>
        <item x="21"/>
        <item x="39"/>
        <item x="23"/>
        <item x="20"/>
        <item x="28"/>
        <item x="22"/>
        <item x="35"/>
        <item x="32"/>
        <item x="33"/>
        <item x="38"/>
        <item x="27"/>
        <item x="17"/>
        <item x="31"/>
        <item x="37"/>
        <item x="24"/>
        <item x="15"/>
        <item x="29"/>
        <item x="16"/>
        <item x="25"/>
        <item x="30"/>
        <item x="18"/>
        <item x="36"/>
      </items>
    </pivotField>
    <pivotField axis="axisCol" showAll="0" defaultSubtotal="0">
      <items count="2">
        <item x="0"/>
        <item x="1"/>
      </items>
    </pivotField>
    <pivotField dataField="1" numFmtId="4" showAll="0" defaultSubtotal="0"/>
    <pivotField numFmtId="3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Exposição (€)" fld="4" baseField="0" baseItem="0" numFmtId="4"/>
  </dataFields>
  <formats count="1">
    <format dxfId="0">
      <pivotArea collapsedLevelsAreSubtotals="1" fieldPosition="0">
        <references count="2">
          <reference field="1" count="1">
            <x v="3"/>
          </reference>
          <reference field="3" count="0" selected="0"/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workbookViewId="0"/>
  </sheetViews>
  <sheetFormatPr defaultColWidth="10.90625" defaultRowHeight="14.5" x14ac:dyDescent="0.35"/>
  <cols>
    <col min="1" max="1" width="3.6328125" customWidth="1"/>
    <col min="2" max="2" width="12.7265625" bestFit="1" customWidth="1"/>
    <col min="3" max="3" width="21.26953125" bestFit="1" customWidth="1"/>
    <col min="4" max="4" width="17.90625" bestFit="1" customWidth="1"/>
    <col min="5" max="5" width="11.7265625" bestFit="1" customWidth="1"/>
    <col min="6" max="6" width="15.7265625" bestFit="1" customWidth="1"/>
    <col min="7" max="7" width="16.36328125" bestFit="1" customWidth="1"/>
    <col min="8" max="8" width="10.54296875" bestFit="1" customWidth="1"/>
  </cols>
  <sheetData>
    <row r="1" spans="1:9" ht="4" customHeight="1" x14ac:dyDescent="0.35"/>
    <row r="2" spans="1:9" x14ac:dyDescent="0.35">
      <c r="B2" s="11" t="s">
        <v>71</v>
      </c>
    </row>
    <row r="3" spans="1:9" ht="4" customHeight="1" x14ac:dyDescent="0.35"/>
    <row r="4" spans="1:9" x14ac:dyDescent="0.35">
      <c r="A4" s="2"/>
      <c r="B4" s="8" t="s">
        <v>0</v>
      </c>
      <c r="C4" s="8" t="s">
        <v>1</v>
      </c>
      <c r="D4" s="9" t="s">
        <v>87</v>
      </c>
      <c r="E4" s="8" t="s">
        <v>2</v>
      </c>
      <c r="F4" s="9" t="s">
        <v>88</v>
      </c>
      <c r="G4" s="10" t="s">
        <v>89</v>
      </c>
      <c r="H4" s="9" t="s">
        <v>94</v>
      </c>
    </row>
    <row r="5" spans="1:9" x14ac:dyDescent="0.35">
      <c r="B5" s="3" t="s">
        <v>3</v>
      </c>
      <c r="C5" s="3" t="s">
        <v>4</v>
      </c>
      <c r="D5" s="4" t="s">
        <v>3</v>
      </c>
      <c r="E5" s="4">
        <v>5101</v>
      </c>
      <c r="F5" s="4" t="s">
        <v>31</v>
      </c>
      <c r="G5" s="5">
        <v>-22483765008.3773</v>
      </c>
      <c r="H5" s="6">
        <v>253191</v>
      </c>
      <c r="I5" s="1"/>
    </row>
    <row r="6" spans="1:9" x14ac:dyDescent="0.35">
      <c r="B6" s="3" t="s">
        <v>3</v>
      </c>
      <c r="C6" s="3" t="s">
        <v>4</v>
      </c>
      <c r="D6" s="4" t="s">
        <v>3</v>
      </c>
      <c r="E6" s="4">
        <v>5102</v>
      </c>
      <c r="F6" s="4" t="s">
        <v>36</v>
      </c>
      <c r="G6" s="5">
        <v>-709085121.96771395</v>
      </c>
      <c r="H6" s="6">
        <v>7175</v>
      </c>
    </row>
    <row r="7" spans="1:9" x14ac:dyDescent="0.35">
      <c r="B7" s="3" t="s">
        <v>5</v>
      </c>
      <c r="C7" s="3" t="s">
        <v>9</v>
      </c>
      <c r="D7" s="4" t="s">
        <v>22</v>
      </c>
      <c r="E7" s="4">
        <v>5201</v>
      </c>
      <c r="F7" s="4" t="s">
        <v>34</v>
      </c>
      <c r="G7" s="5">
        <v>-649015587.91307998</v>
      </c>
      <c r="H7" s="6">
        <v>592</v>
      </c>
    </row>
    <row r="8" spans="1:9" x14ac:dyDescent="0.35">
      <c r="B8" s="3" t="s">
        <v>5</v>
      </c>
      <c r="C8" s="3" t="s">
        <v>8</v>
      </c>
      <c r="D8" s="4" t="s">
        <v>21</v>
      </c>
      <c r="E8" s="4">
        <v>5201</v>
      </c>
      <c r="F8" s="4" t="s">
        <v>34</v>
      </c>
      <c r="G8" s="5">
        <v>-576428862.22294295</v>
      </c>
      <c r="H8" s="6">
        <v>1960</v>
      </c>
    </row>
    <row r="9" spans="1:9" x14ac:dyDescent="0.35">
      <c r="B9" s="3" t="s">
        <v>5</v>
      </c>
      <c r="C9" s="3" t="s">
        <v>4</v>
      </c>
      <c r="D9" s="4" t="s">
        <v>3</v>
      </c>
      <c r="E9" s="4">
        <v>5101</v>
      </c>
      <c r="F9" s="4" t="s">
        <v>31</v>
      </c>
      <c r="G9" s="5">
        <v>-355860056.58960098</v>
      </c>
      <c r="H9" s="6">
        <v>1640</v>
      </c>
    </row>
    <row r="10" spans="1:9" x14ac:dyDescent="0.35">
      <c r="B10" s="3" t="s">
        <v>5</v>
      </c>
      <c r="C10" s="3" t="s">
        <v>15</v>
      </c>
      <c r="D10" s="4" t="s">
        <v>28</v>
      </c>
      <c r="E10" s="4">
        <v>5205</v>
      </c>
      <c r="F10" s="4" t="s">
        <v>43</v>
      </c>
      <c r="G10" s="5">
        <v>-298671010.88652802</v>
      </c>
      <c r="H10" s="6">
        <v>1364</v>
      </c>
    </row>
    <row r="11" spans="1:9" x14ac:dyDescent="0.35">
      <c r="B11" s="3" t="s">
        <v>5</v>
      </c>
      <c r="C11" s="3" t="s">
        <v>11</v>
      </c>
      <c r="D11" s="4" t="s">
        <v>24</v>
      </c>
      <c r="E11" s="4">
        <v>5203</v>
      </c>
      <c r="F11" s="4" t="s">
        <v>39</v>
      </c>
      <c r="G11" s="5">
        <v>-105843613.05870201</v>
      </c>
      <c r="H11" s="6">
        <v>428</v>
      </c>
    </row>
    <row r="12" spans="1:9" x14ac:dyDescent="0.35">
      <c r="B12" s="3" t="s">
        <v>5</v>
      </c>
      <c r="C12" s="3" t="s">
        <v>9</v>
      </c>
      <c r="D12" s="4" t="s">
        <v>22</v>
      </c>
      <c r="E12" s="4">
        <v>5101</v>
      </c>
      <c r="F12" s="4" t="s">
        <v>31</v>
      </c>
      <c r="G12" s="5">
        <v>-102760923.08102401</v>
      </c>
      <c r="H12" s="6">
        <v>153</v>
      </c>
    </row>
    <row r="13" spans="1:9" x14ac:dyDescent="0.35">
      <c r="B13" s="3" t="s">
        <v>5</v>
      </c>
      <c r="C13" s="3" t="s">
        <v>13</v>
      </c>
      <c r="D13" s="4" t="s">
        <v>26</v>
      </c>
      <c r="E13" s="4">
        <v>5207</v>
      </c>
      <c r="F13" s="4" t="s">
        <v>40</v>
      </c>
      <c r="G13" s="5">
        <v>-72340117.283434093</v>
      </c>
      <c r="H13" s="6">
        <v>137</v>
      </c>
    </row>
    <row r="14" spans="1:9" x14ac:dyDescent="0.35">
      <c r="B14" s="3" t="s">
        <v>5</v>
      </c>
      <c r="C14" s="3" t="s">
        <v>7</v>
      </c>
      <c r="D14" s="4"/>
      <c r="E14" s="3" t="s">
        <v>7</v>
      </c>
      <c r="F14" s="4"/>
      <c r="G14" s="5">
        <v>-52787540.299999997</v>
      </c>
      <c r="H14" s="6">
        <v>0</v>
      </c>
      <c r="I14" t="s">
        <v>86</v>
      </c>
    </row>
    <row r="15" spans="1:9" x14ac:dyDescent="0.35">
      <c r="B15" s="3" t="s">
        <v>3</v>
      </c>
      <c r="C15" s="3" t="s">
        <v>7</v>
      </c>
      <c r="D15" s="4"/>
      <c r="E15" s="3" t="s">
        <v>7</v>
      </c>
      <c r="F15" s="4"/>
      <c r="G15" s="5">
        <v>-36675990.390000001</v>
      </c>
      <c r="H15" s="6">
        <v>0</v>
      </c>
      <c r="I15" t="s">
        <v>86</v>
      </c>
    </row>
    <row r="16" spans="1:9" x14ac:dyDescent="0.35">
      <c r="B16" s="3" t="s">
        <v>5</v>
      </c>
      <c r="C16" s="3" t="s">
        <v>16</v>
      </c>
      <c r="D16" s="4" t="s">
        <v>29</v>
      </c>
      <c r="E16" s="4">
        <v>5215</v>
      </c>
      <c r="F16" s="4" t="s">
        <v>35</v>
      </c>
      <c r="G16" s="5">
        <v>-36524052.3699999</v>
      </c>
      <c r="H16" s="6">
        <v>11</v>
      </c>
    </row>
    <row r="17" spans="2:9" x14ac:dyDescent="0.35">
      <c r="B17" s="3" t="s">
        <v>3</v>
      </c>
      <c r="C17" s="3" t="s">
        <v>9</v>
      </c>
      <c r="D17" s="4" t="s">
        <v>22</v>
      </c>
      <c r="E17" s="4">
        <v>5101</v>
      </c>
      <c r="F17" s="4" t="s">
        <v>31</v>
      </c>
      <c r="G17" s="5">
        <v>-31961416.094600499</v>
      </c>
      <c r="H17" s="6">
        <v>1445</v>
      </c>
    </row>
    <row r="18" spans="2:9" x14ac:dyDescent="0.35">
      <c r="B18" s="3" t="s">
        <v>5</v>
      </c>
      <c r="C18" s="3" t="s">
        <v>14</v>
      </c>
      <c r="D18" s="4" t="s">
        <v>27</v>
      </c>
      <c r="E18" s="4">
        <v>5211</v>
      </c>
      <c r="F18" s="4" t="s">
        <v>42</v>
      </c>
      <c r="G18" s="5">
        <v>-27611413.8320546</v>
      </c>
      <c r="H18" s="6">
        <v>18</v>
      </c>
    </row>
    <row r="19" spans="2:9" x14ac:dyDescent="0.35">
      <c r="B19" s="3" t="s">
        <v>3</v>
      </c>
      <c r="C19" s="3" t="s">
        <v>8</v>
      </c>
      <c r="D19" s="4" t="s">
        <v>21</v>
      </c>
      <c r="E19" s="4">
        <v>5201</v>
      </c>
      <c r="F19" s="4" t="s">
        <v>34</v>
      </c>
      <c r="G19" s="5">
        <v>-25907409.804633599</v>
      </c>
      <c r="H19" s="6">
        <v>666</v>
      </c>
    </row>
    <row r="20" spans="2:9" x14ac:dyDescent="0.35">
      <c r="B20" s="3" t="s">
        <v>5</v>
      </c>
      <c r="C20" s="3" t="s">
        <v>9</v>
      </c>
      <c r="D20" s="4" t="s">
        <v>22</v>
      </c>
      <c r="E20" s="4">
        <v>5202</v>
      </c>
      <c r="F20" s="4" t="s">
        <v>38</v>
      </c>
      <c r="G20" s="5">
        <v>-21878544.7184579</v>
      </c>
      <c r="H20" s="6">
        <v>8</v>
      </c>
    </row>
    <row r="21" spans="2:9" x14ac:dyDescent="0.35">
      <c r="B21" s="3" t="s">
        <v>5</v>
      </c>
      <c r="C21" s="3"/>
      <c r="D21" s="4"/>
      <c r="E21" s="4">
        <v>5201</v>
      </c>
      <c r="F21" s="4" t="s">
        <v>34</v>
      </c>
      <c r="G21" s="5">
        <v>-18368292.5926334</v>
      </c>
      <c r="H21" s="6">
        <v>93</v>
      </c>
    </row>
    <row r="22" spans="2:9" x14ac:dyDescent="0.35">
      <c r="B22" s="3" t="s">
        <v>5</v>
      </c>
      <c r="C22" s="3" t="s">
        <v>9</v>
      </c>
      <c r="D22" s="4" t="s">
        <v>22</v>
      </c>
      <c r="E22" s="4">
        <v>5300</v>
      </c>
      <c r="F22" s="4" t="s">
        <v>33</v>
      </c>
      <c r="G22" s="5">
        <v>-15367333.7534448</v>
      </c>
      <c r="H22" s="6">
        <v>156</v>
      </c>
    </row>
    <row r="23" spans="2:9" x14ac:dyDescent="0.35">
      <c r="B23" s="3" t="s">
        <v>5</v>
      </c>
      <c r="C23" s="3" t="s">
        <v>6</v>
      </c>
      <c r="D23" s="4" t="s">
        <v>20</v>
      </c>
      <c r="E23" s="4">
        <v>5209</v>
      </c>
      <c r="F23" s="4" t="s">
        <v>41</v>
      </c>
      <c r="G23" s="5">
        <v>-11011710.6119837</v>
      </c>
      <c r="H23" s="6">
        <v>144</v>
      </c>
      <c r="I23" t="s">
        <v>100</v>
      </c>
    </row>
    <row r="24" spans="2:9" x14ac:dyDescent="0.35">
      <c r="B24" s="3" t="s">
        <v>5</v>
      </c>
      <c r="C24" s="3" t="s">
        <v>14</v>
      </c>
      <c r="D24" s="4" t="s">
        <v>27</v>
      </c>
      <c r="E24" s="4">
        <v>5212</v>
      </c>
      <c r="F24" s="4" t="s">
        <v>48</v>
      </c>
      <c r="G24" s="5">
        <v>-8387009.2699999996</v>
      </c>
      <c r="H24" s="6">
        <v>2</v>
      </c>
    </row>
    <row r="25" spans="2:9" x14ac:dyDescent="0.35">
      <c r="B25" s="3" t="s">
        <v>3</v>
      </c>
      <c r="C25" s="3" t="s">
        <v>15</v>
      </c>
      <c r="D25" s="4" t="s">
        <v>28</v>
      </c>
      <c r="E25" s="4">
        <v>5205</v>
      </c>
      <c r="F25" s="4" t="s">
        <v>43</v>
      </c>
      <c r="G25" s="5">
        <v>-6162600.2846490601</v>
      </c>
      <c r="H25" s="6">
        <v>138</v>
      </c>
    </row>
    <row r="26" spans="2:9" x14ac:dyDescent="0.35">
      <c r="B26" s="3" t="s">
        <v>5</v>
      </c>
      <c r="C26" s="3" t="s">
        <v>4</v>
      </c>
      <c r="D26" s="4" t="s">
        <v>3</v>
      </c>
      <c r="E26" s="4">
        <v>5102</v>
      </c>
      <c r="F26" s="4" t="s">
        <v>36</v>
      </c>
      <c r="G26" s="5">
        <v>-6046537.9941060897</v>
      </c>
      <c r="H26" s="6">
        <v>16</v>
      </c>
    </row>
    <row r="27" spans="2:9" x14ac:dyDescent="0.35">
      <c r="B27" s="3" t="s">
        <v>5</v>
      </c>
      <c r="C27" s="3" t="s">
        <v>11</v>
      </c>
      <c r="D27" s="4" t="s">
        <v>24</v>
      </c>
      <c r="E27" s="4">
        <v>5204</v>
      </c>
      <c r="F27" s="4" t="s">
        <v>45</v>
      </c>
      <c r="G27" s="5">
        <v>-6020880.0817346396</v>
      </c>
      <c r="H27" s="6">
        <v>2</v>
      </c>
    </row>
    <row r="28" spans="2:9" x14ac:dyDescent="0.35">
      <c r="B28" s="3" t="s">
        <v>3</v>
      </c>
      <c r="C28" s="3" t="s">
        <v>9</v>
      </c>
      <c r="D28" s="4" t="s">
        <v>22</v>
      </c>
      <c r="E28" s="4">
        <v>5201</v>
      </c>
      <c r="F28" s="4" t="s">
        <v>34</v>
      </c>
      <c r="G28" s="5">
        <v>-4663532.5177857503</v>
      </c>
      <c r="H28" s="6">
        <v>132</v>
      </c>
    </row>
    <row r="29" spans="2:9" x14ac:dyDescent="0.35">
      <c r="B29" s="3" t="s">
        <v>5</v>
      </c>
      <c r="C29" s="3" t="s">
        <v>10</v>
      </c>
      <c r="D29" s="4" t="s">
        <v>23</v>
      </c>
      <c r="E29" s="4">
        <v>5209</v>
      </c>
      <c r="F29" s="4" t="s">
        <v>41</v>
      </c>
      <c r="G29" s="5">
        <v>-4482250.4710747199</v>
      </c>
      <c r="H29" s="6">
        <v>96</v>
      </c>
      <c r="I29" t="s">
        <v>100</v>
      </c>
    </row>
    <row r="30" spans="2:9" x14ac:dyDescent="0.35">
      <c r="B30" s="3" t="s">
        <v>3</v>
      </c>
      <c r="C30" s="3" t="s">
        <v>11</v>
      </c>
      <c r="D30" s="4" t="s">
        <v>24</v>
      </c>
      <c r="E30" s="4">
        <v>5203</v>
      </c>
      <c r="F30" s="4" t="s">
        <v>39</v>
      </c>
      <c r="G30" s="5">
        <v>-4097961.0242947899</v>
      </c>
      <c r="H30" s="6">
        <v>103</v>
      </c>
    </row>
    <row r="31" spans="2:9" x14ac:dyDescent="0.35">
      <c r="B31" s="3" t="s">
        <v>5</v>
      </c>
      <c r="C31" s="3" t="s">
        <v>15</v>
      </c>
      <c r="D31" s="4" t="s">
        <v>28</v>
      </c>
      <c r="E31" s="4">
        <v>5206</v>
      </c>
      <c r="F31" s="4" t="s">
        <v>44</v>
      </c>
      <c r="G31" s="5">
        <v>-3821520.43</v>
      </c>
      <c r="H31" s="6">
        <v>9</v>
      </c>
    </row>
    <row r="32" spans="2:9" x14ac:dyDescent="0.35">
      <c r="B32" s="3" t="s">
        <v>5</v>
      </c>
      <c r="C32" s="3" t="s">
        <v>8</v>
      </c>
      <c r="D32" s="4" t="s">
        <v>21</v>
      </c>
      <c r="E32" s="4">
        <v>5202</v>
      </c>
      <c r="F32" s="4" t="s">
        <v>38</v>
      </c>
      <c r="G32" s="5">
        <v>-3743679.81</v>
      </c>
      <c r="H32" s="6">
        <v>3</v>
      </c>
    </row>
    <row r="33" spans="2:9" x14ac:dyDescent="0.35">
      <c r="B33" s="3" t="s">
        <v>5</v>
      </c>
      <c r="C33" s="3" t="s">
        <v>9</v>
      </c>
      <c r="D33" s="4" t="s">
        <v>22</v>
      </c>
      <c r="E33" s="4">
        <v>5000</v>
      </c>
      <c r="F33" s="4" t="s">
        <v>47</v>
      </c>
      <c r="G33" s="5">
        <v>-3399958.4130074298</v>
      </c>
      <c r="H33" s="6">
        <v>5</v>
      </c>
    </row>
    <row r="34" spans="2:9" x14ac:dyDescent="0.35">
      <c r="B34" s="3" t="s">
        <v>5</v>
      </c>
      <c r="C34" s="3" t="s">
        <v>12</v>
      </c>
      <c r="D34" s="4" t="s">
        <v>25</v>
      </c>
      <c r="E34" s="4">
        <v>5213</v>
      </c>
      <c r="F34" s="4" t="s">
        <v>37</v>
      </c>
      <c r="G34" s="5">
        <v>-2152835.1914285701</v>
      </c>
      <c r="H34" s="6">
        <v>5</v>
      </c>
    </row>
    <row r="35" spans="2:9" x14ac:dyDescent="0.35">
      <c r="B35" s="3" t="s">
        <v>5</v>
      </c>
      <c r="C35" s="3" t="s">
        <v>13</v>
      </c>
      <c r="D35" s="4" t="s">
        <v>26</v>
      </c>
      <c r="E35" s="4">
        <v>5208</v>
      </c>
      <c r="F35" s="4" t="s">
        <v>46</v>
      </c>
      <c r="G35" s="5">
        <v>-1585102.39</v>
      </c>
      <c r="H35" s="6">
        <v>2</v>
      </c>
    </row>
    <row r="36" spans="2:9" x14ac:dyDescent="0.35">
      <c r="B36" s="3" t="s">
        <v>3</v>
      </c>
      <c r="C36" s="3" t="s">
        <v>10</v>
      </c>
      <c r="D36" s="4" t="s">
        <v>23</v>
      </c>
      <c r="E36" s="4">
        <v>5103</v>
      </c>
      <c r="F36" s="4" t="s">
        <v>32</v>
      </c>
      <c r="G36" s="5">
        <v>-1507872.6469012799</v>
      </c>
      <c r="H36" s="6">
        <v>299</v>
      </c>
      <c r="I36" t="s">
        <v>100</v>
      </c>
    </row>
    <row r="37" spans="2:9" x14ac:dyDescent="0.35">
      <c r="B37" s="3" t="s">
        <v>3</v>
      </c>
      <c r="C37" s="3" t="s">
        <v>9</v>
      </c>
      <c r="D37" s="4" t="s">
        <v>22</v>
      </c>
      <c r="E37" s="4">
        <v>5300</v>
      </c>
      <c r="F37" s="4" t="s">
        <v>33</v>
      </c>
      <c r="G37" s="5">
        <v>-1038375.25150912</v>
      </c>
      <c r="H37" s="6">
        <v>31</v>
      </c>
    </row>
    <row r="38" spans="2:9" x14ac:dyDescent="0.35">
      <c r="B38" s="3" t="s">
        <v>3</v>
      </c>
      <c r="C38" s="3" t="s">
        <v>6</v>
      </c>
      <c r="D38" s="4" t="s">
        <v>20</v>
      </c>
      <c r="E38" s="4">
        <v>5103</v>
      </c>
      <c r="F38" s="4" t="s">
        <v>32</v>
      </c>
      <c r="G38" s="5">
        <v>-1030086.6063682101</v>
      </c>
      <c r="H38" s="6">
        <v>197</v>
      </c>
      <c r="I38" t="s">
        <v>100</v>
      </c>
    </row>
    <row r="39" spans="2:9" x14ac:dyDescent="0.35">
      <c r="B39" s="3" t="s">
        <v>5</v>
      </c>
      <c r="C39" s="3" t="s">
        <v>6</v>
      </c>
      <c r="D39" s="4" t="s">
        <v>20</v>
      </c>
      <c r="E39" s="4">
        <v>5103</v>
      </c>
      <c r="F39" s="4" t="s">
        <v>32</v>
      </c>
      <c r="G39" s="5">
        <v>-949729.37</v>
      </c>
      <c r="H39" s="6">
        <v>3</v>
      </c>
      <c r="I39" t="s">
        <v>100</v>
      </c>
    </row>
    <row r="40" spans="2:9" x14ac:dyDescent="0.35">
      <c r="B40" s="3" t="s">
        <v>5</v>
      </c>
      <c r="C40" s="3" t="s">
        <v>17</v>
      </c>
      <c r="D40" s="4" t="s">
        <v>30</v>
      </c>
      <c r="E40" s="4">
        <v>89</v>
      </c>
      <c r="F40" s="4"/>
      <c r="G40" s="5">
        <v>-408890.18718012102</v>
      </c>
      <c r="H40" s="6">
        <v>1</v>
      </c>
    </row>
    <row r="41" spans="2:9" x14ac:dyDescent="0.35">
      <c r="B41" s="3" t="s">
        <v>3</v>
      </c>
      <c r="C41" s="3" t="s">
        <v>9</v>
      </c>
      <c r="D41" s="4" t="s">
        <v>22</v>
      </c>
      <c r="E41" s="4">
        <v>5102</v>
      </c>
      <c r="F41" s="4" t="s">
        <v>36</v>
      </c>
      <c r="G41" s="5">
        <v>-361042.22</v>
      </c>
      <c r="H41" s="6">
        <v>25</v>
      </c>
    </row>
    <row r="42" spans="2:9" x14ac:dyDescent="0.35">
      <c r="B42" s="3" t="s">
        <v>3</v>
      </c>
      <c r="C42" s="3" t="s">
        <v>10</v>
      </c>
      <c r="D42" s="4" t="s">
        <v>23</v>
      </c>
      <c r="E42" s="4">
        <v>5209</v>
      </c>
      <c r="F42" s="4" t="s">
        <v>41</v>
      </c>
      <c r="G42" s="5">
        <v>-327201.31120385398</v>
      </c>
      <c r="H42" s="6">
        <v>32</v>
      </c>
      <c r="I42" t="s">
        <v>100</v>
      </c>
    </row>
    <row r="43" spans="2:9" x14ac:dyDescent="0.35">
      <c r="B43" s="3" t="s">
        <v>5</v>
      </c>
      <c r="C43" s="3" t="s">
        <v>9</v>
      </c>
      <c r="D43" s="4" t="s">
        <v>22</v>
      </c>
      <c r="E43" s="4">
        <v>5102</v>
      </c>
      <c r="F43" s="4" t="s">
        <v>36</v>
      </c>
      <c r="G43" s="5">
        <v>-323430.45</v>
      </c>
      <c r="H43" s="6">
        <v>2</v>
      </c>
    </row>
    <row r="44" spans="2:9" x14ac:dyDescent="0.35">
      <c r="B44" s="3" t="s">
        <v>5</v>
      </c>
      <c r="C44" s="3" t="s">
        <v>17</v>
      </c>
      <c r="D44" s="4" t="s">
        <v>30</v>
      </c>
      <c r="E44" s="4">
        <v>82</v>
      </c>
      <c r="F44" s="4"/>
      <c r="G44" s="5">
        <v>-200118.019999999</v>
      </c>
      <c r="H44" s="6">
        <v>4</v>
      </c>
    </row>
    <row r="45" spans="2:9" x14ac:dyDescent="0.35">
      <c r="B45" s="3" t="s">
        <v>3</v>
      </c>
      <c r="C45" s="3" t="s">
        <v>13</v>
      </c>
      <c r="D45" s="4" t="s">
        <v>26</v>
      </c>
      <c r="E45" s="4">
        <v>5207</v>
      </c>
      <c r="F45" s="4" t="s">
        <v>40</v>
      </c>
      <c r="G45" s="5">
        <v>-168410.06315332401</v>
      </c>
      <c r="H45" s="6">
        <v>4</v>
      </c>
    </row>
    <row r="46" spans="2:9" x14ac:dyDescent="0.35">
      <c r="B46" s="3" t="s">
        <v>3</v>
      </c>
      <c r="C46" s="3" t="s">
        <v>4</v>
      </c>
      <c r="D46" s="4" t="s">
        <v>3</v>
      </c>
      <c r="E46" s="4">
        <v>5000</v>
      </c>
      <c r="F46" s="4" t="s">
        <v>47</v>
      </c>
      <c r="G46" s="5">
        <v>-139036.328669551</v>
      </c>
      <c r="H46" s="6">
        <v>2</v>
      </c>
    </row>
    <row r="47" spans="2:9" x14ac:dyDescent="0.35">
      <c r="B47" s="3" t="s">
        <v>3</v>
      </c>
      <c r="C47" s="3" t="s">
        <v>12</v>
      </c>
      <c r="D47" s="4" t="s">
        <v>25</v>
      </c>
      <c r="E47" s="4">
        <v>5213</v>
      </c>
      <c r="F47" s="4" t="s">
        <v>37</v>
      </c>
      <c r="G47" s="5">
        <v>-93777.47</v>
      </c>
      <c r="H47" s="6">
        <v>1</v>
      </c>
    </row>
    <row r="48" spans="2:9" x14ac:dyDescent="0.35">
      <c r="B48" s="3" t="s">
        <v>5</v>
      </c>
      <c r="C48" s="3"/>
      <c r="D48" s="4"/>
      <c r="E48" s="4">
        <v>5101</v>
      </c>
      <c r="F48" s="4" t="s">
        <v>31</v>
      </c>
      <c r="G48" s="5">
        <v>-75319.89</v>
      </c>
      <c r="H48" s="6">
        <v>15</v>
      </c>
    </row>
    <row r="49" spans="2:9" x14ac:dyDescent="0.35">
      <c r="B49" s="3" t="s">
        <v>3</v>
      </c>
      <c r="C49" s="3" t="s">
        <v>8</v>
      </c>
      <c r="D49" s="4" t="s">
        <v>21</v>
      </c>
      <c r="E49" s="4">
        <v>5202</v>
      </c>
      <c r="F49" s="4" t="s">
        <v>38</v>
      </c>
      <c r="G49" s="5">
        <v>-64929.65</v>
      </c>
      <c r="H49" s="6">
        <v>1</v>
      </c>
    </row>
    <row r="50" spans="2:9" x14ac:dyDescent="0.35">
      <c r="B50" s="3" t="s">
        <v>3</v>
      </c>
      <c r="C50" s="3"/>
      <c r="D50" s="4"/>
      <c r="E50" s="4">
        <v>5101</v>
      </c>
      <c r="F50" s="4" t="s">
        <v>31</v>
      </c>
      <c r="G50" s="5">
        <v>-33082.684760346601</v>
      </c>
      <c r="H50" s="6">
        <v>11</v>
      </c>
    </row>
    <row r="51" spans="2:9" x14ac:dyDescent="0.35">
      <c r="B51" s="3" t="s">
        <v>3</v>
      </c>
      <c r="C51" s="3" t="s">
        <v>6</v>
      </c>
      <c r="D51" s="4" t="s">
        <v>20</v>
      </c>
      <c r="E51" s="4">
        <v>5209</v>
      </c>
      <c r="F51" s="4" t="s">
        <v>41</v>
      </c>
      <c r="G51" s="5">
        <v>-23359.165998231099</v>
      </c>
      <c r="H51" s="6">
        <v>5</v>
      </c>
      <c r="I51" t="s">
        <v>100</v>
      </c>
    </row>
    <row r="52" spans="2:9" x14ac:dyDescent="0.35">
      <c r="B52" s="3" t="s">
        <v>3</v>
      </c>
      <c r="C52" s="3" t="s">
        <v>10</v>
      </c>
      <c r="D52" s="4" t="s">
        <v>23</v>
      </c>
      <c r="E52" s="4">
        <v>5000</v>
      </c>
      <c r="F52" s="4" t="s">
        <v>47</v>
      </c>
      <c r="G52" s="5">
        <v>-5144.1601031829596</v>
      </c>
      <c r="H52" s="6">
        <v>1</v>
      </c>
      <c r="I52" t="s">
        <v>100</v>
      </c>
    </row>
    <row r="53" spans="2:9" x14ac:dyDescent="0.35">
      <c r="B53" s="3" t="s">
        <v>3</v>
      </c>
      <c r="C53" s="3" t="s">
        <v>16</v>
      </c>
      <c r="D53" s="4" t="s">
        <v>29</v>
      </c>
      <c r="E53" s="4">
        <v>5215</v>
      </c>
      <c r="F53" s="4" t="s">
        <v>35</v>
      </c>
      <c r="G53" s="5">
        <v>-3640.1</v>
      </c>
      <c r="H53" s="6">
        <v>1</v>
      </c>
    </row>
    <row r="54" spans="2:9" x14ac:dyDescent="0.35">
      <c r="B54" s="3" t="s">
        <v>3</v>
      </c>
      <c r="C54" s="3"/>
      <c r="D54" s="4"/>
      <c r="E54" s="4">
        <v>5201</v>
      </c>
      <c r="F54" s="4" t="s">
        <v>34</v>
      </c>
      <c r="G54" s="5">
        <v>-2554.7800000000002</v>
      </c>
      <c r="H54" s="6">
        <v>29</v>
      </c>
    </row>
    <row r="55" spans="2:9" x14ac:dyDescent="0.35">
      <c r="B55" s="3" t="s">
        <v>5</v>
      </c>
      <c r="C55" s="3" t="s">
        <v>6</v>
      </c>
      <c r="D55" s="4" t="s">
        <v>20</v>
      </c>
      <c r="E55" s="4">
        <v>5000</v>
      </c>
      <c r="F55" s="4" t="s">
        <v>47</v>
      </c>
      <c r="G55" s="5">
        <v>-567.31364063622505</v>
      </c>
      <c r="H55" s="6">
        <v>1</v>
      </c>
      <c r="I55" t="s">
        <v>100</v>
      </c>
    </row>
    <row r="56" spans="2:9" x14ac:dyDescent="0.35">
      <c r="B56" s="3" t="s">
        <v>5</v>
      </c>
      <c r="C56" s="3" t="s">
        <v>9</v>
      </c>
      <c r="D56" s="4" t="s">
        <v>22</v>
      </c>
      <c r="E56" s="4">
        <v>5213</v>
      </c>
      <c r="F56" s="4" t="s">
        <v>37</v>
      </c>
      <c r="G56" s="5">
        <v>-194.52</v>
      </c>
      <c r="H56" s="6">
        <v>1</v>
      </c>
    </row>
    <row r="57" spans="2:9" x14ac:dyDescent="0.35">
      <c r="B57" s="3" t="s">
        <v>5</v>
      </c>
      <c r="C57" s="3" t="s">
        <v>9</v>
      </c>
      <c r="D57" s="4" t="s">
        <v>22</v>
      </c>
      <c r="E57" s="4">
        <v>5215</v>
      </c>
      <c r="F57" s="4" t="s">
        <v>35</v>
      </c>
      <c r="G57" s="5">
        <v>-46.12</v>
      </c>
      <c r="H57" s="6">
        <v>1</v>
      </c>
    </row>
    <row r="58" spans="2:9" x14ac:dyDescent="0.35">
      <c r="B58" s="3" t="s">
        <v>5</v>
      </c>
      <c r="C58" s="3"/>
      <c r="D58" s="4"/>
      <c r="E58" s="4">
        <v>5300</v>
      </c>
      <c r="F58" s="4" t="s">
        <v>33</v>
      </c>
      <c r="G58" s="5">
        <v>-15.1199999999999</v>
      </c>
      <c r="H58" s="6">
        <v>19</v>
      </c>
    </row>
    <row r="59" spans="2:9" x14ac:dyDescent="0.35">
      <c r="B59" s="3" t="s">
        <v>3</v>
      </c>
      <c r="C59" s="3"/>
      <c r="D59" s="4"/>
      <c r="E59" s="4">
        <v>5300</v>
      </c>
      <c r="F59" s="4" t="s">
        <v>33</v>
      </c>
      <c r="G59" s="5">
        <v>0</v>
      </c>
      <c r="H59" s="6">
        <v>1</v>
      </c>
    </row>
    <row r="60" spans="2:9" x14ac:dyDescent="0.35">
      <c r="B60" s="3" t="s">
        <v>5</v>
      </c>
      <c r="C60" s="3"/>
      <c r="D60" s="4"/>
      <c r="E60" s="4">
        <v>5000</v>
      </c>
      <c r="F60" s="4" t="s">
        <v>47</v>
      </c>
      <c r="G60" s="5">
        <v>0</v>
      </c>
      <c r="H60" s="6">
        <v>3</v>
      </c>
    </row>
  </sheetData>
  <autoFilter ref="B4:H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CDEF-0651-42DA-BB94-B30C2C872203}">
  <dimension ref="B1:G10"/>
  <sheetViews>
    <sheetView showGridLines="0" workbookViewId="0"/>
  </sheetViews>
  <sheetFormatPr defaultRowHeight="14.5" x14ac:dyDescent="0.35"/>
  <cols>
    <col min="1" max="1" width="3.6328125" customWidth="1"/>
    <col min="2" max="2" width="11.08984375" bestFit="1" customWidth="1"/>
    <col min="3" max="3" width="9.1796875" bestFit="1" customWidth="1"/>
    <col min="4" max="4" width="40.7265625" bestFit="1" customWidth="1"/>
    <col min="5" max="5" width="26.08984375" bestFit="1" customWidth="1"/>
    <col min="6" max="6" width="13.90625" bestFit="1" customWidth="1"/>
    <col min="7" max="7" width="8.81640625" bestFit="1" customWidth="1"/>
  </cols>
  <sheetData>
    <row r="1" spans="2:7" ht="4" customHeight="1" x14ac:dyDescent="0.35"/>
    <row r="2" spans="2:7" x14ac:dyDescent="0.35">
      <c r="B2" s="11" t="s">
        <v>72</v>
      </c>
    </row>
    <row r="3" spans="2:7" ht="4" customHeight="1" x14ac:dyDescent="0.35"/>
    <row r="4" spans="2:7" x14ac:dyDescent="0.35">
      <c r="B4" s="8" t="s">
        <v>0</v>
      </c>
      <c r="C4" s="9" t="s">
        <v>18</v>
      </c>
      <c r="D4" s="9" t="s">
        <v>19</v>
      </c>
      <c r="E4" s="8" t="s">
        <v>49</v>
      </c>
      <c r="F4" s="10" t="s">
        <v>89</v>
      </c>
      <c r="G4" s="9" t="s">
        <v>94</v>
      </c>
    </row>
    <row r="5" spans="2:7" x14ac:dyDescent="0.35">
      <c r="B5" s="4" t="s">
        <v>5</v>
      </c>
      <c r="C5" s="4" t="s">
        <v>3</v>
      </c>
      <c r="D5" s="4" t="s">
        <v>36</v>
      </c>
      <c r="E5" s="4" t="s">
        <v>51</v>
      </c>
      <c r="F5" s="5">
        <v>-306646.00410609198</v>
      </c>
      <c r="G5" s="6">
        <v>5</v>
      </c>
    </row>
    <row r="6" spans="2:7" x14ac:dyDescent="0.35">
      <c r="B6" s="4" t="s">
        <v>5</v>
      </c>
      <c r="C6" s="4" t="s">
        <v>3</v>
      </c>
      <c r="D6" s="4" t="s">
        <v>31</v>
      </c>
      <c r="E6" s="4" t="s">
        <v>51</v>
      </c>
      <c r="F6" s="5">
        <v>-98709463.367400795</v>
      </c>
      <c r="G6" s="6">
        <v>1173</v>
      </c>
    </row>
    <row r="7" spans="2:7" x14ac:dyDescent="0.35">
      <c r="B7" s="4" t="s">
        <v>5</v>
      </c>
      <c r="C7" s="4" t="s">
        <v>3</v>
      </c>
      <c r="D7" s="4" t="s">
        <v>31</v>
      </c>
      <c r="E7" s="4" t="s">
        <v>63</v>
      </c>
      <c r="F7" s="5">
        <v>-74232705.780722797</v>
      </c>
      <c r="G7" s="6">
        <v>276</v>
      </c>
    </row>
    <row r="8" spans="2:7" x14ac:dyDescent="0.35">
      <c r="B8" s="4" t="s">
        <v>5</v>
      </c>
      <c r="C8" s="4" t="s">
        <v>3</v>
      </c>
      <c r="D8" s="4" t="s">
        <v>36</v>
      </c>
      <c r="E8" s="4" t="s">
        <v>63</v>
      </c>
      <c r="F8" s="5">
        <v>-545148.68999999994</v>
      </c>
      <c r="G8" s="6">
        <v>5</v>
      </c>
    </row>
    <row r="9" spans="2:7" x14ac:dyDescent="0.35">
      <c r="B9" s="4" t="s">
        <v>5</v>
      </c>
      <c r="C9" s="4" t="s">
        <v>3</v>
      </c>
      <c r="D9" s="4" t="s">
        <v>31</v>
      </c>
      <c r="E9" s="4" t="s">
        <v>50</v>
      </c>
      <c r="F9" s="5">
        <v>-182917887.441477</v>
      </c>
      <c r="G9" s="6">
        <v>191</v>
      </c>
    </row>
    <row r="10" spans="2:7" x14ac:dyDescent="0.35">
      <c r="B10" s="4" t="s">
        <v>5</v>
      </c>
      <c r="C10" s="4" t="s">
        <v>3</v>
      </c>
      <c r="D10" s="4" t="s">
        <v>36</v>
      </c>
      <c r="E10" s="4" t="s">
        <v>50</v>
      </c>
      <c r="F10" s="5">
        <v>-5194743.3</v>
      </c>
      <c r="G10" s="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C42-338A-45B0-8676-034BF8F80023}">
  <dimension ref="B1:J16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24.08984375" bestFit="1" customWidth="1"/>
    <col min="4" max="4" width="16.36328125" bestFit="1" customWidth="1"/>
    <col min="5" max="5" width="10.54296875" bestFit="1" customWidth="1"/>
    <col min="10" max="10" width="16.36328125" bestFit="1" customWidth="1"/>
  </cols>
  <sheetData>
    <row r="1" spans="2:10" ht="4" customHeight="1" x14ac:dyDescent="0.35"/>
    <row r="2" spans="2:10" x14ac:dyDescent="0.35">
      <c r="B2" s="11" t="s">
        <v>73</v>
      </c>
    </row>
    <row r="3" spans="2:10" ht="4" customHeight="1" x14ac:dyDescent="0.35"/>
    <row r="4" spans="2:10" x14ac:dyDescent="0.35">
      <c r="B4" s="8" t="s">
        <v>0</v>
      </c>
      <c r="C4" s="8" t="s">
        <v>52</v>
      </c>
      <c r="D4" s="10" t="s">
        <v>89</v>
      </c>
      <c r="E4" s="9" t="s">
        <v>94</v>
      </c>
    </row>
    <row r="5" spans="2:10" x14ac:dyDescent="0.35">
      <c r="B5" s="4" t="s">
        <v>3</v>
      </c>
      <c r="C5" s="4" t="s">
        <v>58</v>
      </c>
      <c r="D5" s="5">
        <v>-859080332.72360504</v>
      </c>
      <c r="E5" s="6">
        <v>19840</v>
      </c>
      <c r="J5" s="1"/>
    </row>
    <row r="6" spans="2:10" x14ac:dyDescent="0.35">
      <c r="B6" s="4" t="s">
        <v>5</v>
      </c>
      <c r="C6" s="4" t="s">
        <v>58</v>
      </c>
      <c r="D6" s="5">
        <v>-578653105.00241303</v>
      </c>
      <c r="E6" s="6">
        <v>3775</v>
      </c>
      <c r="J6" s="1"/>
    </row>
    <row r="7" spans="2:10" x14ac:dyDescent="0.35">
      <c r="B7" s="4" t="s">
        <v>3</v>
      </c>
      <c r="C7" s="4" t="s">
        <v>54</v>
      </c>
      <c r="D7" s="5">
        <v>-12083810926.608299</v>
      </c>
      <c r="E7" s="6">
        <v>123798</v>
      </c>
      <c r="J7" s="1"/>
    </row>
    <row r="8" spans="2:10" x14ac:dyDescent="0.35">
      <c r="B8" s="4" t="s">
        <v>5</v>
      </c>
      <c r="C8" s="4" t="s">
        <v>54</v>
      </c>
      <c r="D8" s="5">
        <v>-93312872.293618098</v>
      </c>
      <c r="E8" s="6">
        <v>606</v>
      </c>
      <c r="J8" s="1"/>
    </row>
    <row r="9" spans="2:10" x14ac:dyDescent="0.35">
      <c r="B9" s="4" t="s">
        <v>5</v>
      </c>
      <c r="C9" s="4" t="s">
        <v>55</v>
      </c>
      <c r="D9" s="5">
        <v>-160650571.207142</v>
      </c>
      <c r="E9" s="6">
        <v>528</v>
      </c>
      <c r="J9" s="1"/>
    </row>
    <row r="10" spans="2:10" x14ac:dyDescent="0.35">
      <c r="B10" s="4" t="s">
        <v>3</v>
      </c>
      <c r="C10" s="4" t="s">
        <v>55</v>
      </c>
      <c r="D10" s="5">
        <v>-3558470949.5352302</v>
      </c>
      <c r="E10" s="6">
        <v>26984</v>
      </c>
      <c r="J10" s="1"/>
    </row>
    <row r="11" spans="2:10" x14ac:dyDescent="0.35">
      <c r="B11" s="4" t="s">
        <v>5</v>
      </c>
      <c r="C11" s="4" t="s">
        <v>56</v>
      </c>
      <c r="D11" s="5">
        <v>-39929866.782024398</v>
      </c>
      <c r="E11" s="6">
        <v>487</v>
      </c>
      <c r="J11" s="1"/>
    </row>
    <row r="12" spans="2:10" x14ac:dyDescent="0.35">
      <c r="B12" s="19" t="s">
        <v>3</v>
      </c>
      <c r="C12" s="19" t="s">
        <v>56</v>
      </c>
      <c r="D12" s="20">
        <v>-6603535227.1763201</v>
      </c>
      <c r="E12" s="21">
        <v>91165</v>
      </c>
      <c r="J12" s="1"/>
    </row>
    <row r="13" spans="2:10" x14ac:dyDescent="0.35">
      <c r="B13" s="4" t="s">
        <v>3</v>
      </c>
      <c r="C13" s="4" t="s">
        <v>53</v>
      </c>
      <c r="D13" s="5">
        <v>-110837834.05183101</v>
      </c>
      <c r="E13" s="6">
        <v>647</v>
      </c>
      <c r="J13" s="1"/>
    </row>
    <row r="14" spans="2:10" x14ac:dyDescent="0.35">
      <c r="B14" s="4" t="s">
        <v>5</v>
      </c>
      <c r="C14" s="4" t="s">
        <v>53</v>
      </c>
      <c r="D14" s="5">
        <v>-160209876.85699299</v>
      </c>
      <c r="E14" s="6">
        <v>366</v>
      </c>
      <c r="J14" s="1"/>
    </row>
    <row r="15" spans="2:10" x14ac:dyDescent="0.35">
      <c r="B15" s="4" t="s">
        <v>5</v>
      </c>
      <c r="C15" s="4" t="s">
        <v>57</v>
      </c>
      <c r="D15" s="5">
        <v>-1284079054.0471699</v>
      </c>
      <c r="E15" s="6">
        <v>888</v>
      </c>
      <c r="J15" s="1"/>
    </row>
    <row r="16" spans="2:10" x14ac:dyDescent="0.35">
      <c r="B16" s="12" t="s">
        <v>3</v>
      </c>
      <c r="C16" s="12" t="s">
        <v>57</v>
      </c>
      <c r="D16" s="13">
        <v>-51812628.523810796</v>
      </c>
      <c r="E16" s="14">
        <v>522</v>
      </c>
      <c r="J16" s="1"/>
    </row>
  </sheetData>
  <autoFilter ref="B4:E16" xr:uid="{70D89C42-338A-45B0-8676-034BF8F8002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CD34-AEBC-4B90-AC67-D49EA275D302}">
  <dimension ref="B1:F54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4" width="17.26953125" bestFit="1" customWidth="1"/>
    <col min="5" max="5" width="15.36328125" bestFit="1" customWidth="1"/>
    <col min="6" max="6" width="11.1796875" bestFit="1" customWidth="1"/>
  </cols>
  <sheetData>
    <row r="1" spans="2:6" ht="4" customHeight="1" x14ac:dyDescent="0.35"/>
    <row r="2" spans="2:6" x14ac:dyDescent="0.35">
      <c r="B2" s="11" t="s">
        <v>85</v>
      </c>
    </row>
    <row r="3" spans="2:6" ht="4" customHeight="1" x14ac:dyDescent="0.35"/>
    <row r="4" spans="2:6" x14ac:dyDescent="0.35">
      <c r="B4" s="8" t="s">
        <v>0</v>
      </c>
      <c r="C4" s="8" t="s">
        <v>75</v>
      </c>
      <c r="D4" s="9" t="s">
        <v>76</v>
      </c>
      <c r="E4" s="10" t="s">
        <v>89</v>
      </c>
      <c r="F4" s="9" t="s">
        <v>94</v>
      </c>
    </row>
    <row r="5" spans="2:6" x14ac:dyDescent="0.35">
      <c r="B5" s="4" t="s">
        <v>3</v>
      </c>
      <c r="C5" s="4" t="s">
        <v>83</v>
      </c>
      <c r="D5" s="5" t="s">
        <v>77</v>
      </c>
      <c r="E5" s="5">
        <v>-58115.194065747601</v>
      </c>
      <c r="F5" s="6">
        <v>4</v>
      </c>
    </row>
    <row r="6" spans="2:6" x14ac:dyDescent="0.35">
      <c r="B6" s="4" t="s">
        <v>3</v>
      </c>
      <c r="C6" s="4" t="s">
        <v>83</v>
      </c>
      <c r="D6" s="5" t="s">
        <v>80</v>
      </c>
      <c r="E6" s="5">
        <v>-7039.0522922249002</v>
      </c>
      <c r="F6" s="6">
        <v>1</v>
      </c>
    </row>
    <row r="7" spans="2:6" x14ac:dyDescent="0.35">
      <c r="B7" s="4" t="s">
        <v>3</v>
      </c>
      <c r="C7" s="4" t="s">
        <v>83</v>
      </c>
      <c r="D7" s="5" t="s">
        <v>83</v>
      </c>
      <c r="E7" s="5">
        <v>-6520224144.3175201</v>
      </c>
      <c r="F7" s="6">
        <v>48394</v>
      </c>
    </row>
    <row r="8" spans="2:6" x14ac:dyDescent="0.35">
      <c r="B8" s="4" t="s">
        <v>5</v>
      </c>
      <c r="C8" s="4" t="s">
        <v>83</v>
      </c>
      <c r="D8" s="5" t="s">
        <v>83</v>
      </c>
      <c r="E8" s="5">
        <v>-46858924.971891902</v>
      </c>
      <c r="F8" s="6">
        <v>165</v>
      </c>
    </row>
    <row r="9" spans="2:6" x14ac:dyDescent="0.35">
      <c r="B9" s="4" t="s">
        <v>3</v>
      </c>
      <c r="C9" s="4" t="s">
        <v>83</v>
      </c>
      <c r="D9" s="5" t="s">
        <v>78</v>
      </c>
      <c r="E9" s="5">
        <v>-128.59</v>
      </c>
      <c r="F9" s="6">
        <v>1</v>
      </c>
    </row>
    <row r="10" spans="2:6" x14ac:dyDescent="0.35">
      <c r="B10" s="4" t="s">
        <v>3</v>
      </c>
      <c r="C10" s="4" t="s">
        <v>83</v>
      </c>
      <c r="D10" s="5" t="s">
        <v>79</v>
      </c>
      <c r="E10" s="5">
        <v>-325945.03496999398</v>
      </c>
      <c r="F10" s="6">
        <v>22</v>
      </c>
    </row>
    <row r="11" spans="2:6" x14ac:dyDescent="0.35">
      <c r="B11" s="4" t="s">
        <v>5</v>
      </c>
      <c r="C11" s="4" t="s">
        <v>83</v>
      </c>
      <c r="D11" s="5" t="s">
        <v>79</v>
      </c>
      <c r="E11" s="5">
        <v>-36689052.841839299</v>
      </c>
      <c r="F11" s="6">
        <v>247</v>
      </c>
    </row>
    <row r="12" spans="2:6" x14ac:dyDescent="0.35">
      <c r="B12" s="4" t="s">
        <v>3</v>
      </c>
      <c r="C12" s="4" t="s">
        <v>83</v>
      </c>
      <c r="D12" s="5" t="s">
        <v>81</v>
      </c>
      <c r="E12" s="5">
        <v>-9724757776.7007408</v>
      </c>
      <c r="F12" s="6">
        <v>154099</v>
      </c>
    </row>
    <row r="13" spans="2:6" x14ac:dyDescent="0.35">
      <c r="B13" s="4" t="s">
        <v>5</v>
      </c>
      <c r="C13" s="4" t="s">
        <v>83</v>
      </c>
      <c r="D13" s="5" t="s">
        <v>78</v>
      </c>
      <c r="E13" s="5">
        <v>-8083816.7064144202</v>
      </c>
      <c r="F13" s="6">
        <v>22</v>
      </c>
    </row>
    <row r="14" spans="2:6" x14ac:dyDescent="0.35">
      <c r="B14" s="4" t="s">
        <v>3</v>
      </c>
      <c r="C14" s="4" t="s">
        <v>83</v>
      </c>
      <c r="D14" s="5" t="s">
        <v>82</v>
      </c>
      <c r="E14" s="5">
        <v>-1579670.56688609</v>
      </c>
      <c r="F14" s="6">
        <v>107</v>
      </c>
    </row>
    <row r="15" spans="2:6" x14ac:dyDescent="0.35">
      <c r="B15" s="4" t="s">
        <v>5</v>
      </c>
      <c r="C15" s="4" t="s">
        <v>83</v>
      </c>
      <c r="D15" s="5" t="s">
        <v>82</v>
      </c>
      <c r="E15" s="5">
        <v>-294261024.25547999</v>
      </c>
      <c r="F15" s="6">
        <v>516</v>
      </c>
    </row>
    <row r="16" spans="2:6" x14ac:dyDescent="0.35">
      <c r="B16" s="4" t="s">
        <v>5</v>
      </c>
      <c r="C16" s="4" t="s">
        <v>83</v>
      </c>
      <c r="D16" s="5" t="s">
        <v>80</v>
      </c>
      <c r="E16" s="5">
        <v>-33537.238457932901</v>
      </c>
      <c r="F16" s="6">
        <v>1</v>
      </c>
    </row>
    <row r="17" spans="2:6" x14ac:dyDescent="0.35">
      <c r="B17" s="4" t="s">
        <v>5</v>
      </c>
      <c r="C17" s="4" t="s">
        <v>83</v>
      </c>
      <c r="D17" s="5" t="s">
        <v>77</v>
      </c>
      <c r="E17" s="5">
        <v>-6248090.6393628502</v>
      </c>
      <c r="F17" s="6">
        <v>52</v>
      </c>
    </row>
    <row r="18" spans="2:6" x14ac:dyDescent="0.35">
      <c r="B18" s="4" t="s">
        <v>5</v>
      </c>
      <c r="C18" s="4" t="s">
        <v>83</v>
      </c>
      <c r="D18" s="5" t="s">
        <v>81</v>
      </c>
      <c r="E18" s="5">
        <v>-344602150.46796399</v>
      </c>
      <c r="F18" s="6">
        <v>956</v>
      </c>
    </row>
    <row r="19" spans="2:6" x14ac:dyDescent="0.35">
      <c r="B19" s="4" t="s">
        <v>5</v>
      </c>
      <c r="C19" s="4" t="s">
        <v>81</v>
      </c>
      <c r="D19" s="5" t="s">
        <v>82</v>
      </c>
      <c r="E19" s="5">
        <v>-294527341.922333</v>
      </c>
      <c r="F19" s="6">
        <v>386</v>
      </c>
    </row>
    <row r="20" spans="2:6" x14ac:dyDescent="0.35">
      <c r="B20" s="4" t="s">
        <v>3</v>
      </c>
      <c r="C20" s="4" t="s">
        <v>81</v>
      </c>
      <c r="D20" s="5" t="s">
        <v>77</v>
      </c>
      <c r="E20" s="5">
        <v>-4550.6099999999997</v>
      </c>
      <c r="F20" s="6">
        <v>1</v>
      </c>
    </row>
    <row r="21" spans="2:6" x14ac:dyDescent="0.35">
      <c r="B21" s="4" t="s">
        <v>5</v>
      </c>
      <c r="C21" s="4" t="s">
        <v>81</v>
      </c>
      <c r="D21" s="5" t="s">
        <v>81</v>
      </c>
      <c r="E21" s="5">
        <v>-42530244.025643602</v>
      </c>
      <c r="F21" s="6">
        <v>97</v>
      </c>
    </row>
    <row r="22" spans="2:6" x14ac:dyDescent="0.35">
      <c r="B22" s="4" t="s">
        <v>5</v>
      </c>
      <c r="C22" s="4" t="s">
        <v>81</v>
      </c>
      <c r="D22" s="5" t="s">
        <v>77</v>
      </c>
      <c r="E22" s="5">
        <v>-6014276.0127786696</v>
      </c>
      <c r="F22" s="6">
        <v>20</v>
      </c>
    </row>
    <row r="23" spans="2:6" x14ac:dyDescent="0.35">
      <c r="B23" s="4" t="s">
        <v>5</v>
      </c>
      <c r="C23" s="4" t="s">
        <v>81</v>
      </c>
      <c r="D23" s="5" t="s">
        <v>79</v>
      </c>
      <c r="E23" s="5">
        <v>-49455516.424374901</v>
      </c>
      <c r="F23" s="6">
        <v>155</v>
      </c>
    </row>
    <row r="24" spans="2:6" x14ac:dyDescent="0.35">
      <c r="B24" s="4" t="s">
        <v>3</v>
      </c>
      <c r="C24" s="4" t="s">
        <v>81</v>
      </c>
      <c r="D24" s="5" t="s">
        <v>82</v>
      </c>
      <c r="E24" s="5">
        <v>-2479657.9686804102</v>
      </c>
      <c r="F24" s="6">
        <v>81</v>
      </c>
    </row>
    <row r="25" spans="2:6" x14ac:dyDescent="0.35">
      <c r="B25" s="4" t="s">
        <v>3</v>
      </c>
      <c r="C25" s="4" t="s">
        <v>81</v>
      </c>
      <c r="D25" s="5" t="s">
        <v>79</v>
      </c>
      <c r="E25" s="5">
        <v>-521036.39687847497</v>
      </c>
      <c r="F25" s="6">
        <v>18</v>
      </c>
    </row>
    <row r="26" spans="2:6" x14ac:dyDescent="0.35">
      <c r="B26" s="4" t="s">
        <v>5</v>
      </c>
      <c r="C26" s="4" t="s">
        <v>81</v>
      </c>
      <c r="D26" s="5" t="s">
        <v>78</v>
      </c>
      <c r="E26" s="5">
        <v>-56161215.6154944</v>
      </c>
      <c r="F26" s="6">
        <v>45</v>
      </c>
    </row>
    <row r="27" spans="2:6" x14ac:dyDescent="0.35">
      <c r="B27" s="4" t="s">
        <v>3</v>
      </c>
      <c r="C27" s="4" t="s">
        <v>81</v>
      </c>
      <c r="D27" s="5" t="s">
        <v>81</v>
      </c>
      <c r="E27" s="5">
        <v>-6521516575.5998602</v>
      </c>
      <c r="F27" s="6">
        <v>65337</v>
      </c>
    </row>
    <row r="28" spans="2:6" x14ac:dyDescent="0.35">
      <c r="B28" s="4" t="s">
        <v>5</v>
      </c>
      <c r="C28" s="4" t="s">
        <v>81</v>
      </c>
      <c r="D28" s="5" t="s">
        <v>80</v>
      </c>
      <c r="E28" s="5">
        <v>-1233053.79</v>
      </c>
      <c r="F28" s="6">
        <v>5</v>
      </c>
    </row>
    <row r="29" spans="2:6" x14ac:dyDescent="0.35">
      <c r="B29" s="4" t="s">
        <v>5</v>
      </c>
      <c r="C29" s="4" t="s">
        <v>78</v>
      </c>
      <c r="D29" s="5" t="s">
        <v>79</v>
      </c>
      <c r="E29" s="5">
        <v>-45298527.497905202</v>
      </c>
      <c r="F29" s="6">
        <v>72</v>
      </c>
    </row>
    <row r="30" spans="2:6" x14ac:dyDescent="0.35">
      <c r="B30" s="4" t="s">
        <v>5</v>
      </c>
      <c r="C30" s="4" t="s">
        <v>78</v>
      </c>
      <c r="D30" s="5" t="s">
        <v>77</v>
      </c>
      <c r="E30" s="5">
        <v>-23898397.129999898</v>
      </c>
      <c r="F30" s="6">
        <v>20</v>
      </c>
    </row>
    <row r="31" spans="2:6" x14ac:dyDescent="0.35">
      <c r="B31" s="4" t="s">
        <v>3</v>
      </c>
      <c r="C31" s="4" t="s">
        <v>78</v>
      </c>
      <c r="D31" s="5" t="s">
        <v>82</v>
      </c>
      <c r="E31" s="5">
        <v>-2237269.0860690898</v>
      </c>
      <c r="F31" s="6">
        <v>53</v>
      </c>
    </row>
    <row r="32" spans="2:6" x14ac:dyDescent="0.35">
      <c r="B32" s="4" t="s">
        <v>3</v>
      </c>
      <c r="C32" s="4" t="s">
        <v>78</v>
      </c>
      <c r="D32" s="5" t="s">
        <v>80</v>
      </c>
      <c r="E32" s="5">
        <v>-29141.331259951799</v>
      </c>
      <c r="F32" s="6">
        <v>1</v>
      </c>
    </row>
    <row r="33" spans="2:6" x14ac:dyDescent="0.35">
      <c r="B33" s="4" t="s">
        <v>5</v>
      </c>
      <c r="C33" s="4" t="s">
        <v>78</v>
      </c>
      <c r="D33" s="5" t="s">
        <v>80</v>
      </c>
      <c r="E33" s="5">
        <v>-1112154.79</v>
      </c>
      <c r="F33" s="6">
        <v>3</v>
      </c>
    </row>
    <row r="34" spans="2:6" x14ac:dyDescent="0.35">
      <c r="B34" s="4" t="s">
        <v>3</v>
      </c>
      <c r="C34" s="4" t="s">
        <v>78</v>
      </c>
      <c r="D34" s="5" t="s">
        <v>77</v>
      </c>
      <c r="E34" s="5">
        <v>-119333.644809843</v>
      </c>
      <c r="F34" s="6">
        <v>3</v>
      </c>
    </row>
    <row r="35" spans="2:6" x14ac:dyDescent="0.35">
      <c r="B35" s="4" t="s">
        <v>3</v>
      </c>
      <c r="C35" s="4" t="s">
        <v>78</v>
      </c>
      <c r="D35" s="5" t="s">
        <v>79</v>
      </c>
      <c r="E35" s="5">
        <v>-335587.17953867198</v>
      </c>
      <c r="F35" s="6">
        <v>6</v>
      </c>
    </row>
    <row r="36" spans="2:6" x14ac:dyDescent="0.35">
      <c r="B36" s="4" t="s">
        <v>5</v>
      </c>
      <c r="C36" s="4" t="s">
        <v>78</v>
      </c>
      <c r="D36" s="5" t="s">
        <v>82</v>
      </c>
      <c r="E36" s="5">
        <v>-276127076.38187897</v>
      </c>
      <c r="F36" s="6">
        <v>371</v>
      </c>
    </row>
    <row r="37" spans="2:6" x14ac:dyDescent="0.35">
      <c r="B37" s="4" t="s">
        <v>5</v>
      </c>
      <c r="C37" s="4" t="s">
        <v>79</v>
      </c>
      <c r="D37" s="5" t="s">
        <v>77</v>
      </c>
      <c r="E37" s="5">
        <v>-15569334.5040855</v>
      </c>
      <c r="F37" s="6">
        <v>28</v>
      </c>
    </row>
    <row r="38" spans="2:6" x14ac:dyDescent="0.35">
      <c r="B38" s="4" t="s">
        <v>3</v>
      </c>
      <c r="C38" s="4" t="s">
        <v>79</v>
      </c>
      <c r="D38" s="5" t="s">
        <v>79</v>
      </c>
      <c r="E38" s="5">
        <v>-301267.41999999899</v>
      </c>
      <c r="F38" s="6">
        <v>5</v>
      </c>
    </row>
    <row r="39" spans="2:6" x14ac:dyDescent="0.35">
      <c r="B39" s="4" t="s">
        <v>5</v>
      </c>
      <c r="C39" s="4" t="s">
        <v>79</v>
      </c>
      <c r="D39" s="5" t="s">
        <v>79</v>
      </c>
      <c r="E39" s="5">
        <v>-5966523.4099999899</v>
      </c>
      <c r="F39" s="6">
        <v>15</v>
      </c>
    </row>
    <row r="40" spans="2:6" x14ac:dyDescent="0.35">
      <c r="B40" s="4" t="s">
        <v>5</v>
      </c>
      <c r="C40" s="4" t="s">
        <v>79</v>
      </c>
      <c r="D40" s="5" t="s">
        <v>80</v>
      </c>
      <c r="E40" s="5">
        <v>-1705732.6751943401</v>
      </c>
      <c r="F40" s="6">
        <v>5</v>
      </c>
    </row>
    <row r="41" spans="2:6" x14ac:dyDescent="0.35">
      <c r="B41" s="4" t="s">
        <v>3</v>
      </c>
      <c r="C41" s="4" t="s">
        <v>79</v>
      </c>
      <c r="D41" s="5" t="s">
        <v>77</v>
      </c>
      <c r="E41" s="5">
        <v>-88090.480569836</v>
      </c>
      <c r="F41" s="6">
        <v>2</v>
      </c>
    </row>
    <row r="42" spans="2:6" x14ac:dyDescent="0.35">
      <c r="B42" s="4" t="s">
        <v>3</v>
      </c>
      <c r="C42" s="4" t="s">
        <v>79</v>
      </c>
      <c r="D42" s="5" t="s">
        <v>82</v>
      </c>
      <c r="E42" s="5">
        <v>-2790970.7660291502</v>
      </c>
      <c r="F42" s="6">
        <v>54</v>
      </c>
    </row>
    <row r="43" spans="2:6" x14ac:dyDescent="0.35">
      <c r="B43" s="4" t="s">
        <v>5</v>
      </c>
      <c r="C43" s="4" t="s">
        <v>79</v>
      </c>
      <c r="D43" s="5" t="s">
        <v>82</v>
      </c>
      <c r="E43" s="5">
        <v>-154882094.05783099</v>
      </c>
      <c r="F43" s="6">
        <v>133</v>
      </c>
    </row>
    <row r="44" spans="2:6" x14ac:dyDescent="0.35">
      <c r="B44" s="4" t="s">
        <v>5</v>
      </c>
      <c r="C44" s="4" t="s">
        <v>82</v>
      </c>
      <c r="D44" s="5" t="s">
        <v>82</v>
      </c>
      <c r="E44" s="5">
        <v>-46152828.019069999</v>
      </c>
      <c r="F44" s="6">
        <v>60</v>
      </c>
    </row>
    <row r="45" spans="2:6" x14ac:dyDescent="0.35">
      <c r="B45" s="4" t="s">
        <v>3</v>
      </c>
      <c r="C45" s="4" t="s">
        <v>82</v>
      </c>
      <c r="D45" s="5" t="s">
        <v>82</v>
      </c>
      <c r="E45" s="5">
        <v>-1411824.5469458499</v>
      </c>
      <c r="F45" s="6">
        <v>47</v>
      </c>
    </row>
    <row r="46" spans="2:6" x14ac:dyDescent="0.35">
      <c r="B46" s="4" t="s">
        <v>3</v>
      </c>
      <c r="C46" s="4" t="s">
        <v>82</v>
      </c>
      <c r="D46" s="5" t="s">
        <v>77</v>
      </c>
      <c r="E46" s="5">
        <v>-140637.30999999901</v>
      </c>
      <c r="F46" s="6">
        <v>4</v>
      </c>
    </row>
    <row r="47" spans="2:6" x14ac:dyDescent="0.35">
      <c r="B47" s="4" t="s">
        <v>5</v>
      </c>
      <c r="C47" s="4" t="s">
        <v>82</v>
      </c>
      <c r="D47" s="5" t="s">
        <v>77</v>
      </c>
      <c r="E47" s="5">
        <v>-6873987.7660883898</v>
      </c>
      <c r="F47" s="6">
        <v>14</v>
      </c>
    </row>
    <row r="48" spans="2:6" x14ac:dyDescent="0.35">
      <c r="B48" s="4" t="s">
        <v>5</v>
      </c>
      <c r="C48" s="4" t="s">
        <v>80</v>
      </c>
      <c r="D48" s="5" t="s">
        <v>77</v>
      </c>
      <c r="E48" s="5">
        <v>-4453477.6739310902</v>
      </c>
      <c r="F48" s="6">
        <v>5</v>
      </c>
    </row>
    <row r="49" spans="2:6" x14ac:dyDescent="0.35">
      <c r="B49" s="4" t="s">
        <v>3</v>
      </c>
      <c r="C49" s="4" t="s">
        <v>80</v>
      </c>
      <c r="D49" s="5" t="s">
        <v>77</v>
      </c>
      <c r="E49" s="5">
        <v>-15996.27</v>
      </c>
      <c r="F49" s="6">
        <v>1</v>
      </c>
    </row>
    <row r="50" spans="2:6" x14ac:dyDescent="0.35">
      <c r="B50" s="4" t="s">
        <v>5</v>
      </c>
      <c r="C50" s="4" t="s">
        <v>77</v>
      </c>
      <c r="D50" s="5" t="s">
        <v>77</v>
      </c>
      <c r="E50" s="5">
        <v>-6114216.6667500203</v>
      </c>
      <c r="F50" s="6">
        <v>31</v>
      </c>
    </row>
    <row r="51" spans="2:6" x14ac:dyDescent="0.35">
      <c r="B51" s="4" t="s">
        <v>3</v>
      </c>
      <c r="C51" s="4" t="s">
        <v>77</v>
      </c>
      <c r="D51" s="5" t="s">
        <v>77</v>
      </c>
      <c r="E51" s="5">
        <v>-34999.999999999898</v>
      </c>
      <c r="F51" s="6">
        <v>1</v>
      </c>
    </row>
    <row r="52" spans="2:6" x14ac:dyDescent="0.35">
      <c r="B52" s="4" t="s">
        <v>5</v>
      </c>
      <c r="C52" s="4" t="s">
        <v>84</v>
      </c>
      <c r="D52" s="5" t="s">
        <v>84</v>
      </c>
      <c r="E52" s="5">
        <v>-611214548.77128804</v>
      </c>
      <c r="F52" s="6">
        <v>3782</v>
      </c>
    </row>
    <row r="53" spans="2:6" x14ac:dyDescent="0.35">
      <c r="B53" s="19" t="s">
        <v>3</v>
      </c>
      <c r="C53" s="19" t="s">
        <v>84</v>
      </c>
      <c r="D53" s="20" t="s">
        <v>81</v>
      </c>
      <c r="E53" s="20">
        <v>0</v>
      </c>
      <c r="F53" s="21">
        <v>1</v>
      </c>
    </row>
    <row r="54" spans="2:6" x14ac:dyDescent="0.35">
      <c r="B54" s="4" t="s">
        <v>3</v>
      </c>
      <c r="C54" s="4" t="s">
        <v>84</v>
      </c>
      <c r="D54" s="5" t="s">
        <v>84</v>
      </c>
      <c r="E54" s="5">
        <v>-528137794.832596</v>
      </c>
      <c r="F54" s="6">
        <v>14252</v>
      </c>
    </row>
  </sheetData>
  <autoFilter ref="B4:F54" xr:uid="{F01CCD34-AEBC-4B90-AC67-D49EA275D302}">
    <sortState xmlns:xlrd2="http://schemas.microsoft.com/office/spreadsheetml/2017/richdata2" ref="B5:F54">
      <sortCondition ref="C4:C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2988-727F-40FC-A13E-70E95FF34F0C}">
  <dimension ref="B1:G16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17.08984375" bestFit="1" customWidth="1"/>
    <col min="4" max="4" width="16.36328125" bestFit="1" customWidth="1"/>
    <col min="5" max="5" width="16.36328125" customWidth="1"/>
    <col min="6" max="6" width="10.54296875" bestFit="1" customWidth="1"/>
    <col min="7" max="7" width="9.7265625" customWidth="1"/>
  </cols>
  <sheetData>
    <row r="1" spans="2:7" ht="4" customHeight="1" x14ac:dyDescent="0.35"/>
    <row r="2" spans="2:7" x14ac:dyDescent="0.35">
      <c r="B2" s="11" t="s">
        <v>74</v>
      </c>
    </row>
    <row r="3" spans="2:7" ht="4" customHeight="1" x14ac:dyDescent="0.35"/>
    <row r="4" spans="2:7" x14ac:dyDescent="0.35">
      <c r="B4" s="8" t="s">
        <v>0</v>
      </c>
      <c r="C4" s="8" t="s">
        <v>59</v>
      </c>
      <c r="D4" s="10" t="s">
        <v>89</v>
      </c>
      <c r="E4" s="10" t="s">
        <v>90</v>
      </c>
      <c r="F4" s="9" t="s">
        <v>94</v>
      </c>
      <c r="G4" s="8" t="s">
        <v>62</v>
      </c>
    </row>
    <row r="5" spans="2:7" x14ac:dyDescent="0.35">
      <c r="B5" s="12" t="s">
        <v>5</v>
      </c>
      <c r="C5" s="12" t="s">
        <v>61</v>
      </c>
      <c r="D5" s="13">
        <v>-541425664.16458905</v>
      </c>
      <c r="E5" s="15">
        <f>D5/SUM($D$5:$D$6)</f>
        <v>0.23369190437080692</v>
      </c>
      <c r="F5" s="14">
        <v>3537</v>
      </c>
      <c r="G5" s="15">
        <f>F5/SUM($F$5:$F$6)</f>
        <v>0.53187969924812029</v>
      </c>
    </row>
    <row r="6" spans="2:7" x14ac:dyDescent="0.35">
      <c r="B6" s="19" t="s">
        <v>5</v>
      </c>
      <c r="C6" s="19" t="s">
        <v>60</v>
      </c>
      <c r="D6" s="20">
        <v>-1775409682.02477</v>
      </c>
      <c r="E6" s="22">
        <f>D6/SUM($D$5:$D$6)</f>
        <v>0.766308095629193</v>
      </c>
      <c r="F6" s="21">
        <v>3113</v>
      </c>
      <c r="G6" s="22">
        <f>F6/SUM($F$5:$F$6)</f>
        <v>0.46812030075187971</v>
      </c>
    </row>
    <row r="7" spans="2:7" x14ac:dyDescent="0.35">
      <c r="B7" s="4" t="s">
        <v>3</v>
      </c>
      <c r="C7" s="4" t="s">
        <v>60</v>
      </c>
      <c r="D7" s="5">
        <v>-22779024072.037102</v>
      </c>
      <c r="E7" s="7">
        <f>D7/SUM($D$7:$D$8)</f>
        <v>0.97900406915629401</v>
      </c>
      <c r="F7" s="6">
        <v>249240</v>
      </c>
      <c r="G7" s="7">
        <f>F7/SUM($F$7:$F$8)</f>
        <v>0.9478391822205996</v>
      </c>
    </row>
    <row r="8" spans="2:7" x14ac:dyDescent="0.35">
      <c r="B8" s="4" t="s">
        <v>3</v>
      </c>
      <c r="C8" s="4" t="s">
        <v>61</v>
      </c>
      <c r="D8" s="5">
        <v>-488523826.58202201</v>
      </c>
      <c r="E8" s="7">
        <f>D8/SUM($D$7:$D$8)</f>
        <v>2.0995930843705914E-2</v>
      </c>
      <c r="F8" s="6">
        <v>13716</v>
      </c>
      <c r="G8" s="7">
        <f>F8/SUM($F$7:$F$8)</f>
        <v>5.2160817779400355E-2</v>
      </c>
    </row>
    <row r="12" spans="2:7" x14ac:dyDescent="0.35">
      <c r="D12" s="1"/>
    </row>
    <row r="13" spans="2:7" x14ac:dyDescent="0.35">
      <c r="D13" s="1"/>
    </row>
    <row r="14" spans="2:7" x14ac:dyDescent="0.35">
      <c r="D14" s="1"/>
    </row>
    <row r="15" spans="2:7" x14ac:dyDescent="0.35">
      <c r="D15" s="1"/>
    </row>
    <row r="16" spans="2:7" x14ac:dyDescent="0.35">
      <c r="D16" s="1"/>
    </row>
  </sheetData>
  <autoFilter ref="B4:G8" xr:uid="{5F582988-727F-40FC-A13E-70E95FF34F0C}">
    <sortState xmlns:xlrd2="http://schemas.microsoft.com/office/spreadsheetml/2017/richdata2" ref="B5:G8">
      <sortCondition ref="B4:B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0EC7-734D-40F2-91B7-2276DF393C06}">
  <dimension ref="B1:L257"/>
  <sheetViews>
    <sheetView showGridLines="0" workbookViewId="0"/>
  </sheetViews>
  <sheetFormatPr defaultRowHeight="14.5" x14ac:dyDescent="0.35"/>
  <cols>
    <col min="1" max="1" width="3.6328125" customWidth="1"/>
    <col min="2" max="2" width="12.7265625" bestFit="1" customWidth="1"/>
    <col min="3" max="3" width="26.7265625" bestFit="1" customWidth="1"/>
    <col min="4" max="4" width="11.90625" bestFit="1" customWidth="1"/>
    <col min="5" max="5" width="17" bestFit="1" customWidth="1"/>
    <col min="6" max="6" width="15.36328125" bestFit="1" customWidth="1"/>
    <col min="7" max="7" width="10.54296875" bestFit="1" customWidth="1"/>
    <col min="9" max="9" width="26.7265625" bestFit="1" customWidth="1"/>
    <col min="10" max="10" width="15.26953125" bestFit="1" customWidth="1"/>
    <col min="11" max="12" width="16.453125" bestFit="1" customWidth="1"/>
    <col min="13" max="49" width="4.81640625" bestFit="1" customWidth="1"/>
    <col min="50" max="50" width="10.7265625" bestFit="1" customWidth="1"/>
  </cols>
  <sheetData>
    <row r="1" spans="2:12" ht="4" customHeight="1" x14ac:dyDescent="0.35"/>
    <row r="2" spans="2:12" x14ac:dyDescent="0.35">
      <c r="B2" s="11" t="s">
        <v>93</v>
      </c>
      <c r="I2" s="16" t="s">
        <v>0</v>
      </c>
      <c r="J2" t="s">
        <v>95</v>
      </c>
    </row>
    <row r="3" spans="2:12" ht="4" customHeight="1" x14ac:dyDescent="0.35"/>
    <row r="4" spans="2:12" x14ac:dyDescent="0.35">
      <c r="B4" s="9" t="s">
        <v>0</v>
      </c>
      <c r="C4" s="9" t="s">
        <v>64</v>
      </c>
      <c r="D4" s="9" t="s">
        <v>92</v>
      </c>
      <c r="E4" s="9" t="s">
        <v>91</v>
      </c>
      <c r="F4" s="10" t="s">
        <v>89</v>
      </c>
      <c r="G4" s="9" t="s">
        <v>94</v>
      </c>
      <c r="I4" s="16" t="s">
        <v>98</v>
      </c>
      <c r="J4" s="16" t="s">
        <v>97</v>
      </c>
    </row>
    <row r="5" spans="2:12" x14ac:dyDescent="0.35">
      <c r="B5" s="4" t="s">
        <v>3</v>
      </c>
      <c r="C5" s="4" t="s">
        <v>66</v>
      </c>
      <c r="D5" s="4">
        <v>1991</v>
      </c>
      <c r="E5" s="4" t="s">
        <v>68</v>
      </c>
      <c r="F5" s="5">
        <v>-69023.070000000007</v>
      </c>
      <c r="G5" s="6">
        <v>15</v>
      </c>
      <c r="I5" s="16" t="s">
        <v>96</v>
      </c>
      <c r="J5" t="s">
        <v>68</v>
      </c>
      <c r="K5" t="s">
        <v>69</v>
      </c>
      <c r="L5" t="s">
        <v>99</v>
      </c>
    </row>
    <row r="6" spans="2:12" x14ac:dyDescent="0.35">
      <c r="B6" s="4" t="s">
        <v>5</v>
      </c>
      <c r="C6" s="4" t="s">
        <v>66</v>
      </c>
      <c r="D6" s="4">
        <v>1999</v>
      </c>
      <c r="E6" s="4" t="s">
        <v>68</v>
      </c>
      <c r="F6" s="5">
        <v>-142212.98000000001</v>
      </c>
      <c r="G6" s="6">
        <v>8</v>
      </c>
      <c r="I6" s="17" t="s">
        <v>66</v>
      </c>
      <c r="J6" s="1">
        <v>-107706192.03909339</v>
      </c>
      <c r="K6" s="1">
        <v>-20471507840.051643</v>
      </c>
      <c r="L6" s="1">
        <v>-20579214032.090736</v>
      </c>
    </row>
    <row r="7" spans="2:12" x14ac:dyDescent="0.35">
      <c r="B7" s="4" t="s">
        <v>3</v>
      </c>
      <c r="C7" s="4" t="s">
        <v>66</v>
      </c>
      <c r="D7" s="4">
        <v>1990</v>
      </c>
      <c r="E7" s="4" t="s">
        <v>68</v>
      </c>
      <c r="F7" s="5">
        <v>-38451.08</v>
      </c>
      <c r="G7" s="6">
        <v>11</v>
      </c>
      <c r="I7" s="17" t="s">
        <v>65</v>
      </c>
      <c r="J7" s="1">
        <v>-8606134.7294918057</v>
      </c>
      <c r="K7" s="1">
        <v>-482091108.18933451</v>
      </c>
      <c r="L7" s="1">
        <v>-490697242.91882634</v>
      </c>
    </row>
    <row r="8" spans="2:12" x14ac:dyDescent="0.35">
      <c r="B8" s="4" t="s">
        <v>3</v>
      </c>
      <c r="C8" s="4" t="s">
        <v>66</v>
      </c>
      <c r="D8" s="4">
        <v>1994</v>
      </c>
      <c r="E8" s="4" t="s">
        <v>68</v>
      </c>
      <c r="F8" s="5">
        <v>-1397959.02</v>
      </c>
      <c r="G8" s="6">
        <v>135</v>
      </c>
      <c r="I8" s="17" t="s">
        <v>67</v>
      </c>
      <c r="J8" s="1">
        <v>-5588715.8408120628</v>
      </c>
      <c r="K8" s="1">
        <v>-2310807194.8766742</v>
      </c>
      <c r="L8" s="1">
        <v>-2316395910.7174864</v>
      </c>
    </row>
    <row r="9" spans="2:12" x14ac:dyDescent="0.35">
      <c r="B9" s="4" t="s">
        <v>3</v>
      </c>
      <c r="C9" s="4" t="s">
        <v>66</v>
      </c>
      <c r="D9" s="4">
        <v>1992</v>
      </c>
      <c r="E9" s="4" t="s">
        <v>68</v>
      </c>
      <c r="F9" s="5">
        <v>-159370.019999999</v>
      </c>
      <c r="G9" s="6">
        <v>28</v>
      </c>
      <c r="I9" s="17" t="s">
        <v>70</v>
      </c>
      <c r="J9" s="18">
        <v>-10602536.390602626</v>
      </c>
      <c r="K9" s="18">
        <v>-2296274975.0380807</v>
      </c>
      <c r="L9" s="1">
        <v>-2306877511.4286833</v>
      </c>
    </row>
    <row r="10" spans="2:12" x14ac:dyDescent="0.35">
      <c r="B10" s="4" t="s">
        <v>3</v>
      </c>
      <c r="C10" s="4" t="s">
        <v>66</v>
      </c>
      <c r="D10" s="4">
        <v>1995</v>
      </c>
      <c r="E10" s="4" t="s">
        <v>68</v>
      </c>
      <c r="F10" s="5">
        <v>-2598369.48</v>
      </c>
      <c r="G10" s="6">
        <v>239</v>
      </c>
      <c r="I10" s="17" t="s">
        <v>99</v>
      </c>
      <c r="J10" s="1">
        <v>-132503578.99999988</v>
      </c>
      <c r="K10" s="1">
        <v>-25560681118.155735</v>
      </c>
      <c r="L10" s="1">
        <v>-25693184697.155735</v>
      </c>
    </row>
    <row r="11" spans="2:12" x14ac:dyDescent="0.35">
      <c r="B11" s="4" t="s">
        <v>5</v>
      </c>
      <c r="C11" s="4" t="s">
        <v>66</v>
      </c>
      <c r="D11" s="4">
        <v>1998</v>
      </c>
      <c r="E11" s="4" t="s">
        <v>68</v>
      </c>
      <c r="F11" s="5">
        <v>-31481.81</v>
      </c>
      <c r="G11" s="6">
        <v>8</v>
      </c>
    </row>
    <row r="12" spans="2:12" x14ac:dyDescent="0.35">
      <c r="B12" s="4" t="s">
        <v>3</v>
      </c>
      <c r="C12" s="4" t="s">
        <v>66</v>
      </c>
      <c r="D12" s="4">
        <v>1998</v>
      </c>
      <c r="E12" s="4" t="s">
        <v>68</v>
      </c>
      <c r="F12" s="5">
        <v>-17221083.1913062</v>
      </c>
      <c r="G12" s="6">
        <v>1157</v>
      </c>
    </row>
    <row r="13" spans="2:12" x14ac:dyDescent="0.35">
      <c r="B13" s="4" t="s">
        <v>5</v>
      </c>
      <c r="C13" s="4" t="s">
        <v>66</v>
      </c>
      <c r="D13" s="4">
        <v>1997</v>
      </c>
      <c r="E13" s="4" t="s">
        <v>68</v>
      </c>
      <c r="F13" s="5">
        <v>-250.85</v>
      </c>
      <c r="G13" s="6">
        <v>2</v>
      </c>
    </row>
    <row r="14" spans="2:12" x14ac:dyDescent="0.35">
      <c r="B14" s="4" t="s">
        <v>3</v>
      </c>
      <c r="C14" s="4" t="s">
        <v>66</v>
      </c>
      <c r="D14" s="4">
        <v>1986</v>
      </c>
      <c r="E14" s="4" t="s">
        <v>68</v>
      </c>
      <c r="F14" s="5">
        <v>-4505.7</v>
      </c>
      <c r="G14" s="6">
        <v>2</v>
      </c>
    </row>
    <row r="15" spans="2:12" x14ac:dyDescent="0.35">
      <c r="B15" s="4" t="s">
        <v>5</v>
      </c>
      <c r="C15" s="4" t="s">
        <v>66</v>
      </c>
      <c r="D15" s="4">
        <v>1992</v>
      </c>
      <c r="E15" s="4" t="s">
        <v>68</v>
      </c>
      <c r="F15" s="5">
        <v>-2179.7600000000002</v>
      </c>
      <c r="G15" s="6">
        <v>1</v>
      </c>
    </row>
    <row r="16" spans="2:12" x14ac:dyDescent="0.35">
      <c r="B16" s="4" t="s">
        <v>3</v>
      </c>
      <c r="C16" s="4" t="s">
        <v>66</v>
      </c>
      <c r="D16" s="4">
        <v>1996</v>
      </c>
      <c r="E16" s="4" t="s">
        <v>68</v>
      </c>
      <c r="F16" s="5">
        <v>-5546232.20539001</v>
      </c>
      <c r="G16" s="6">
        <v>479</v>
      </c>
    </row>
    <row r="17" spans="2:7" x14ac:dyDescent="0.35">
      <c r="B17" s="4" t="s">
        <v>3</v>
      </c>
      <c r="C17" s="4" t="s">
        <v>66</v>
      </c>
      <c r="D17" s="4">
        <v>1999</v>
      </c>
      <c r="E17" s="4" t="s">
        <v>68</v>
      </c>
      <c r="F17" s="5">
        <v>-70996524.360886201</v>
      </c>
      <c r="G17" s="6">
        <v>3947</v>
      </c>
    </row>
    <row r="18" spans="2:7" x14ac:dyDescent="0.35">
      <c r="B18" s="4" t="s">
        <v>3</v>
      </c>
      <c r="C18" s="4" t="s">
        <v>66</v>
      </c>
      <c r="D18" s="4">
        <v>1993</v>
      </c>
      <c r="E18" s="4" t="s">
        <v>68</v>
      </c>
      <c r="F18" s="5">
        <v>-514453.57999999903</v>
      </c>
      <c r="G18" s="6">
        <v>60</v>
      </c>
    </row>
    <row r="19" spans="2:7" x14ac:dyDescent="0.35">
      <c r="B19" s="4" t="s">
        <v>3</v>
      </c>
      <c r="C19" s="4" t="s">
        <v>66</v>
      </c>
      <c r="D19" s="4">
        <v>1997</v>
      </c>
      <c r="E19" s="4" t="s">
        <v>68</v>
      </c>
      <c r="F19" s="5">
        <v>-8900322.5217992794</v>
      </c>
      <c r="G19" s="6">
        <v>711</v>
      </c>
    </row>
    <row r="20" spans="2:7" x14ac:dyDescent="0.35">
      <c r="B20" s="4" t="s">
        <v>3</v>
      </c>
      <c r="C20" s="4" t="s">
        <v>66</v>
      </c>
      <c r="D20" s="4">
        <v>1987</v>
      </c>
      <c r="E20" s="4" t="s">
        <v>68</v>
      </c>
      <c r="F20" s="5">
        <v>-22110.889711692402</v>
      </c>
      <c r="G20" s="6">
        <v>7</v>
      </c>
    </row>
    <row r="21" spans="2:7" x14ac:dyDescent="0.35">
      <c r="B21" s="4" t="s">
        <v>3</v>
      </c>
      <c r="C21" s="4" t="s">
        <v>66</v>
      </c>
      <c r="D21" s="4">
        <v>1988</v>
      </c>
      <c r="E21" s="4" t="s">
        <v>68</v>
      </c>
      <c r="F21" s="5">
        <v>-33784.76</v>
      </c>
      <c r="G21" s="6">
        <v>8</v>
      </c>
    </row>
    <row r="22" spans="2:7" x14ac:dyDescent="0.35">
      <c r="B22" s="4" t="s">
        <v>3</v>
      </c>
      <c r="C22" s="4" t="s">
        <v>66</v>
      </c>
      <c r="D22" s="4">
        <v>1989</v>
      </c>
      <c r="E22" s="4" t="s">
        <v>68</v>
      </c>
      <c r="F22" s="5">
        <v>-27876.76</v>
      </c>
      <c r="G22" s="6">
        <v>6</v>
      </c>
    </row>
    <row r="23" spans="2:7" x14ac:dyDescent="0.35">
      <c r="B23" s="4" t="s">
        <v>5</v>
      </c>
      <c r="C23" s="4" t="s">
        <v>66</v>
      </c>
      <c r="D23" s="4">
        <v>2014</v>
      </c>
      <c r="E23" s="4" t="s">
        <v>69</v>
      </c>
      <c r="F23" s="5">
        <v>-14358202.1953052</v>
      </c>
      <c r="G23" s="6">
        <v>107</v>
      </c>
    </row>
    <row r="24" spans="2:7" x14ac:dyDescent="0.35">
      <c r="B24" s="4" t="s">
        <v>5</v>
      </c>
      <c r="C24" s="4" t="s">
        <v>66</v>
      </c>
      <c r="D24" s="4">
        <v>2002</v>
      </c>
      <c r="E24" s="4" t="s">
        <v>69</v>
      </c>
      <c r="F24" s="5">
        <v>-166423.533667435</v>
      </c>
      <c r="G24" s="6">
        <v>10</v>
      </c>
    </row>
    <row r="25" spans="2:7" x14ac:dyDescent="0.35">
      <c r="B25" s="4" t="s">
        <v>5</v>
      </c>
      <c r="C25" s="4" t="s">
        <v>66</v>
      </c>
      <c r="D25" s="4">
        <v>2008</v>
      </c>
      <c r="E25" s="4" t="s">
        <v>69</v>
      </c>
      <c r="F25" s="5">
        <v>-4962358.7199999904</v>
      </c>
      <c r="G25" s="6">
        <v>76</v>
      </c>
    </row>
    <row r="26" spans="2:7" x14ac:dyDescent="0.35">
      <c r="B26" s="4" t="s">
        <v>3</v>
      </c>
      <c r="C26" s="4" t="s">
        <v>66</v>
      </c>
      <c r="D26" s="4">
        <v>2021</v>
      </c>
      <c r="E26" s="4" t="s">
        <v>69</v>
      </c>
      <c r="F26" s="5">
        <v>-1850349708.6796501</v>
      </c>
      <c r="G26" s="6">
        <v>16220</v>
      </c>
    </row>
    <row r="27" spans="2:7" x14ac:dyDescent="0.35">
      <c r="B27" s="4" t="s">
        <v>5</v>
      </c>
      <c r="C27" s="4" t="s">
        <v>66</v>
      </c>
      <c r="D27" s="4">
        <v>2013</v>
      </c>
      <c r="E27" s="4" t="s">
        <v>69</v>
      </c>
      <c r="F27" s="5">
        <v>-12179125.124680599</v>
      </c>
      <c r="G27" s="6">
        <v>85</v>
      </c>
    </row>
    <row r="28" spans="2:7" x14ac:dyDescent="0.35">
      <c r="B28" s="4" t="s">
        <v>3</v>
      </c>
      <c r="C28" s="4" t="s">
        <v>66</v>
      </c>
      <c r="D28" s="4">
        <v>2007</v>
      </c>
      <c r="E28" s="4" t="s">
        <v>69</v>
      </c>
      <c r="F28" s="5">
        <v>-882488026.87868798</v>
      </c>
      <c r="G28" s="6">
        <v>15490</v>
      </c>
    </row>
    <row r="29" spans="2:7" x14ac:dyDescent="0.35">
      <c r="B29" s="4" t="s">
        <v>5</v>
      </c>
      <c r="C29" s="4" t="s">
        <v>66</v>
      </c>
      <c r="D29" s="4">
        <v>2011</v>
      </c>
      <c r="E29" s="4" t="s">
        <v>69</v>
      </c>
      <c r="F29" s="5">
        <v>-3852772.1797478902</v>
      </c>
      <c r="G29" s="6">
        <v>44</v>
      </c>
    </row>
    <row r="30" spans="2:7" x14ac:dyDescent="0.35">
      <c r="B30" s="4" t="s">
        <v>3</v>
      </c>
      <c r="C30" s="4" t="s">
        <v>66</v>
      </c>
      <c r="D30" s="4">
        <v>2001</v>
      </c>
      <c r="E30" s="4" t="s">
        <v>69</v>
      </c>
      <c r="F30" s="5">
        <v>-130172157.34182499</v>
      </c>
      <c r="G30" s="6">
        <v>6140</v>
      </c>
    </row>
    <row r="31" spans="2:7" x14ac:dyDescent="0.35">
      <c r="B31" s="4" t="s">
        <v>5</v>
      </c>
      <c r="C31" s="4" t="s">
        <v>66</v>
      </c>
      <c r="D31" s="4">
        <v>2000</v>
      </c>
      <c r="E31" s="4" t="s">
        <v>69</v>
      </c>
      <c r="F31" s="5">
        <v>-289747.884002782</v>
      </c>
      <c r="G31" s="6">
        <v>7</v>
      </c>
    </row>
    <row r="32" spans="2:7" x14ac:dyDescent="0.35">
      <c r="B32" s="4" t="s">
        <v>3</v>
      </c>
      <c r="C32" s="4" t="s">
        <v>66</v>
      </c>
      <c r="D32" s="4">
        <v>2023</v>
      </c>
      <c r="E32" s="4" t="s">
        <v>69</v>
      </c>
      <c r="F32" s="5">
        <v>-1930034754.46842</v>
      </c>
      <c r="G32" s="6">
        <v>15609</v>
      </c>
    </row>
    <row r="33" spans="2:7" x14ac:dyDescent="0.35">
      <c r="B33" s="4" t="s">
        <v>3</v>
      </c>
      <c r="C33" s="4" t="s">
        <v>66</v>
      </c>
      <c r="D33" s="4">
        <v>2014</v>
      </c>
      <c r="E33" s="4" t="s">
        <v>69</v>
      </c>
      <c r="F33" s="5">
        <v>-157915082.19931901</v>
      </c>
      <c r="G33" s="6">
        <v>2436</v>
      </c>
    </row>
    <row r="34" spans="2:7" x14ac:dyDescent="0.35">
      <c r="B34" s="4" t="s">
        <v>5</v>
      </c>
      <c r="C34" s="4" t="s">
        <v>66</v>
      </c>
      <c r="D34" s="4">
        <v>2016</v>
      </c>
      <c r="E34" s="4" t="s">
        <v>69</v>
      </c>
      <c r="F34" s="5">
        <v>-19612481.784083702</v>
      </c>
      <c r="G34" s="6">
        <v>201</v>
      </c>
    </row>
    <row r="35" spans="2:7" x14ac:dyDescent="0.35">
      <c r="B35" s="4" t="s">
        <v>3</v>
      </c>
      <c r="C35" s="4" t="s">
        <v>66</v>
      </c>
      <c r="D35" s="4">
        <v>2018</v>
      </c>
      <c r="E35" s="4" t="s">
        <v>69</v>
      </c>
      <c r="F35" s="5">
        <v>-938567285.25170004</v>
      </c>
      <c r="G35" s="6">
        <v>9951</v>
      </c>
    </row>
    <row r="36" spans="2:7" x14ac:dyDescent="0.35">
      <c r="B36" s="4" t="s">
        <v>5</v>
      </c>
      <c r="C36" s="4" t="s">
        <v>66</v>
      </c>
      <c r="D36" s="4">
        <v>2024</v>
      </c>
      <c r="E36" s="4" t="s">
        <v>69</v>
      </c>
      <c r="F36" s="5">
        <v>-40742003.827749103</v>
      </c>
      <c r="G36" s="6">
        <v>149</v>
      </c>
    </row>
    <row r="37" spans="2:7" x14ac:dyDescent="0.35">
      <c r="B37" s="4" t="s">
        <v>5</v>
      </c>
      <c r="C37" s="4" t="s">
        <v>66</v>
      </c>
      <c r="D37" s="4">
        <v>2005</v>
      </c>
      <c r="E37" s="4" t="s">
        <v>69</v>
      </c>
      <c r="F37" s="5">
        <v>-771618.17144109705</v>
      </c>
      <c r="G37" s="6">
        <v>20</v>
      </c>
    </row>
    <row r="38" spans="2:7" x14ac:dyDescent="0.35">
      <c r="B38" s="4" t="s">
        <v>5</v>
      </c>
      <c r="C38" s="4" t="s">
        <v>66</v>
      </c>
      <c r="D38" s="4">
        <v>2007</v>
      </c>
      <c r="E38" s="4" t="s">
        <v>69</v>
      </c>
      <c r="F38" s="5">
        <v>-2733831.1199999899</v>
      </c>
      <c r="G38" s="6">
        <v>48</v>
      </c>
    </row>
    <row r="39" spans="2:7" x14ac:dyDescent="0.35">
      <c r="B39" s="4" t="s">
        <v>3</v>
      </c>
      <c r="C39" s="4" t="s">
        <v>66</v>
      </c>
      <c r="D39" s="4">
        <v>2003</v>
      </c>
      <c r="E39" s="4" t="s">
        <v>69</v>
      </c>
      <c r="F39" s="5">
        <v>-220464986.74114701</v>
      </c>
      <c r="G39" s="6">
        <v>6026</v>
      </c>
    </row>
    <row r="40" spans="2:7" x14ac:dyDescent="0.35">
      <c r="B40" s="4" t="s">
        <v>5</v>
      </c>
      <c r="C40" s="4" t="s">
        <v>66</v>
      </c>
      <c r="D40" s="4">
        <v>2023</v>
      </c>
      <c r="E40" s="4" t="s">
        <v>69</v>
      </c>
      <c r="F40" s="5">
        <v>-22447294.3654745</v>
      </c>
      <c r="G40" s="6">
        <v>130</v>
      </c>
    </row>
    <row r="41" spans="2:7" x14ac:dyDescent="0.35">
      <c r="B41" s="4" t="s">
        <v>5</v>
      </c>
      <c r="C41" s="4" t="s">
        <v>66</v>
      </c>
      <c r="D41" s="4">
        <v>2022</v>
      </c>
      <c r="E41" s="4" t="s">
        <v>69</v>
      </c>
      <c r="F41" s="5">
        <v>-38101519.591742702</v>
      </c>
      <c r="G41" s="6">
        <v>216</v>
      </c>
    </row>
    <row r="42" spans="2:7" x14ac:dyDescent="0.35">
      <c r="B42" s="4" t="s">
        <v>3</v>
      </c>
      <c r="C42" s="4" t="s">
        <v>66</v>
      </c>
      <c r="D42" s="4">
        <v>2005</v>
      </c>
      <c r="E42" s="4" t="s">
        <v>69</v>
      </c>
      <c r="F42" s="5">
        <v>-499029895.84292102</v>
      </c>
      <c r="G42" s="6">
        <v>10772</v>
      </c>
    </row>
    <row r="43" spans="2:7" x14ac:dyDescent="0.35">
      <c r="B43" s="4" t="s">
        <v>5</v>
      </c>
      <c r="C43" s="4" t="s">
        <v>66</v>
      </c>
      <c r="D43" s="4">
        <v>2012</v>
      </c>
      <c r="E43" s="4" t="s">
        <v>69</v>
      </c>
      <c r="F43" s="5">
        <v>-14687630.218414599</v>
      </c>
      <c r="G43" s="6">
        <v>57</v>
      </c>
    </row>
    <row r="44" spans="2:7" x14ac:dyDescent="0.35">
      <c r="B44" s="4" t="s">
        <v>3</v>
      </c>
      <c r="C44" s="4" t="s">
        <v>66</v>
      </c>
      <c r="D44" s="4">
        <v>2012</v>
      </c>
      <c r="E44" s="4" t="s">
        <v>69</v>
      </c>
      <c r="F44" s="5">
        <v>-112709886.205887</v>
      </c>
      <c r="G44" s="6">
        <v>2175</v>
      </c>
    </row>
    <row r="45" spans="2:7" x14ac:dyDescent="0.35">
      <c r="B45" s="4" t="s">
        <v>3</v>
      </c>
      <c r="C45" s="4" t="s">
        <v>66</v>
      </c>
      <c r="D45" s="4">
        <v>2022</v>
      </c>
      <c r="E45" s="4" t="s">
        <v>69</v>
      </c>
      <c r="F45" s="5">
        <v>-2298301064.70437</v>
      </c>
      <c r="G45" s="6">
        <v>18397</v>
      </c>
    </row>
    <row r="46" spans="2:7" x14ac:dyDescent="0.35">
      <c r="B46" s="4" t="s">
        <v>3</v>
      </c>
      <c r="C46" s="4" t="s">
        <v>66</v>
      </c>
      <c r="D46" s="4">
        <v>2008</v>
      </c>
      <c r="E46" s="4" t="s">
        <v>69</v>
      </c>
      <c r="F46" s="5">
        <v>-718893353.11320698</v>
      </c>
      <c r="G46" s="6">
        <v>12733</v>
      </c>
    </row>
    <row r="47" spans="2:7" x14ac:dyDescent="0.35">
      <c r="B47" s="4" t="s">
        <v>3</v>
      </c>
      <c r="C47" s="4" t="s">
        <v>66</v>
      </c>
      <c r="D47" s="4">
        <v>2010</v>
      </c>
      <c r="E47" s="4" t="s">
        <v>69</v>
      </c>
      <c r="F47" s="5">
        <v>-564759150.17577696</v>
      </c>
      <c r="G47" s="6">
        <v>9122</v>
      </c>
    </row>
    <row r="48" spans="2:7" x14ac:dyDescent="0.35">
      <c r="B48" s="4" t="s">
        <v>3</v>
      </c>
      <c r="C48" s="4" t="s">
        <v>66</v>
      </c>
      <c r="D48" s="4">
        <v>2000</v>
      </c>
      <c r="E48" s="4" t="s">
        <v>69</v>
      </c>
      <c r="F48" s="5">
        <v>-85056095.571952999</v>
      </c>
      <c r="G48" s="6">
        <v>4660</v>
      </c>
    </row>
    <row r="49" spans="2:7" x14ac:dyDescent="0.35">
      <c r="B49" s="4" t="s">
        <v>5</v>
      </c>
      <c r="C49" s="4" t="s">
        <v>66</v>
      </c>
      <c r="D49" s="4">
        <v>2006</v>
      </c>
      <c r="E49" s="4" t="s">
        <v>69</v>
      </c>
      <c r="F49" s="5">
        <v>-2658494.4984315298</v>
      </c>
      <c r="G49" s="6">
        <v>24</v>
      </c>
    </row>
    <row r="50" spans="2:7" x14ac:dyDescent="0.35">
      <c r="B50" s="4" t="s">
        <v>5</v>
      </c>
      <c r="C50" s="4" t="s">
        <v>66</v>
      </c>
      <c r="D50" s="4">
        <v>2010</v>
      </c>
      <c r="E50" s="4" t="s">
        <v>69</v>
      </c>
      <c r="F50" s="5">
        <v>-7376264.2853961</v>
      </c>
      <c r="G50" s="6">
        <v>115</v>
      </c>
    </row>
    <row r="51" spans="2:7" x14ac:dyDescent="0.35">
      <c r="B51" s="4" t="s">
        <v>3</v>
      </c>
      <c r="C51" s="4" t="s">
        <v>66</v>
      </c>
      <c r="D51" s="4">
        <v>2013</v>
      </c>
      <c r="E51" s="4" t="s">
        <v>69</v>
      </c>
      <c r="F51" s="5">
        <v>-120992073.612699</v>
      </c>
      <c r="G51" s="6">
        <v>2091</v>
      </c>
    </row>
    <row r="52" spans="2:7" x14ac:dyDescent="0.35">
      <c r="B52" s="4" t="s">
        <v>3</v>
      </c>
      <c r="C52" s="4" t="s">
        <v>66</v>
      </c>
      <c r="D52" s="4">
        <v>2002</v>
      </c>
      <c r="E52" s="4" t="s">
        <v>69</v>
      </c>
      <c r="F52" s="5">
        <v>-218346062.480598</v>
      </c>
      <c r="G52" s="6">
        <v>8568</v>
      </c>
    </row>
    <row r="53" spans="2:7" x14ac:dyDescent="0.35">
      <c r="B53" s="4" t="s">
        <v>5</v>
      </c>
      <c r="C53" s="4" t="s">
        <v>66</v>
      </c>
      <c r="D53" s="4">
        <v>2021</v>
      </c>
      <c r="E53" s="4" t="s">
        <v>69</v>
      </c>
      <c r="F53" s="5">
        <v>-66823500.677543499</v>
      </c>
      <c r="G53" s="6">
        <v>262</v>
      </c>
    </row>
    <row r="54" spans="2:7" x14ac:dyDescent="0.35">
      <c r="B54" s="4" t="s">
        <v>5</v>
      </c>
      <c r="C54" s="4" t="s">
        <v>66</v>
      </c>
      <c r="D54" s="4">
        <v>2004</v>
      </c>
      <c r="E54" s="4" t="s">
        <v>69</v>
      </c>
      <c r="F54" s="5">
        <v>-96482.55</v>
      </c>
      <c r="G54" s="6">
        <v>9</v>
      </c>
    </row>
    <row r="55" spans="2:7" x14ac:dyDescent="0.35">
      <c r="B55" s="4" t="s">
        <v>3</v>
      </c>
      <c r="C55" s="4" t="s">
        <v>66</v>
      </c>
      <c r="D55" s="4">
        <v>2020</v>
      </c>
      <c r="E55" s="4" t="s">
        <v>69</v>
      </c>
      <c r="F55" s="5">
        <v>-1400300694.16909</v>
      </c>
      <c r="G55" s="6">
        <v>13055</v>
      </c>
    </row>
    <row r="56" spans="2:7" x14ac:dyDescent="0.35">
      <c r="B56" s="4" t="s">
        <v>3</v>
      </c>
      <c r="C56" s="4" t="s">
        <v>66</v>
      </c>
      <c r="D56" s="4">
        <v>2004</v>
      </c>
      <c r="E56" s="4" t="s">
        <v>69</v>
      </c>
      <c r="F56" s="5">
        <v>-364190910.095676</v>
      </c>
      <c r="G56" s="6">
        <v>8244</v>
      </c>
    </row>
    <row r="57" spans="2:7" x14ac:dyDescent="0.35">
      <c r="B57" s="4" t="s">
        <v>3</v>
      </c>
      <c r="C57" s="4" t="s">
        <v>66</v>
      </c>
      <c r="D57" s="4">
        <v>2006</v>
      </c>
      <c r="E57" s="4" t="s">
        <v>69</v>
      </c>
      <c r="F57" s="5">
        <v>-605147015.42643702</v>
      </c>
      <c r="G57" s="6">
        <v>11377</v>
      </c>
    </row>
    <row r="58" spans="2:7" x14ac:dyDescent="0.35">
      <c r="B58" s="4" t="s">
        <v>3</v>
      </c>
      <c r="C58" s="4" t="s">
        <v>66</v>
      </c>
      <c r="D58" s="4">
        <v>2024</v>
      </c>
      <c r="E58" s="4" t="s">
        <v>69</v>
      </c>
      <c r="F58" s="5">
        <v>-3732450880.2571402</v>
      </c>
      <c r="G58" s="6">
        <v>28558</v>
      </c>
    </row>
    <row r="59" spans="2:7" x14ac:dyDescent="0.35">
      <c r="B59" s="4" t="s">
        <v>5</v>
      </c>
      <c r="C59" s="4" t="s">
        <v>66</v>
      </c>
      <c r="D59" s="4">
        <v>2001</v>
      </c>
      <c r="E59" s="4" t="s">
        <v>69</v>
      </c>
      <c r="F59" s="5">
        <v>-19542.9293507806</v>
      </c>
      <c r="G59" s="6">
        <v>5</v>
      </c>
    </row>
    <row r="60" spans="2:7" x14ac:dyDescent="0.35">
      <c r="B60" s="4" t="s">
        <v>3</v>
      </c>
      <c r="C60" s="4" t="s">
        <v>66</v>
      </c>
      <c r="D60" s="4">
        <v>2011</v>
      </c>
      <c r="E60" s="4" t="s">
        <v>69</v>
      </c>
      <c r="F60" s="5">
        <v>-247462148.22156101</v>
      </c>
      <c r="G60" s="6">
        <v>4392</v>
      </c>
    </row>
    <row r="61" spans="2:7" x14ac:dyDescent="0.35">
      <c r="B61" s="4" t="s">
        <v>3</v>
      </c>
      <c r="C61" s="4" t="s">
        <v>66</v>
      </c>
      <c r="D61" s="4">
        <v>2009</v>
      </c>
      <c r="E61" s="4" t="s">
        <v>69</v>
      </c>
      <c r="F61" s="5">
        <v>-510800364.07860202</v>
      </c>
      <c r="G61" s="6">
        <v>9070</v>
      </c>
    </row>
    <row r="62" spans="2:7" x14ac:dyDescent="0.35">
      <c r="B62" s="4" t="s">
        <v>3</v>
      </c>
      <c r="C62" s="4" t="s">
        <v>66</v>
      </c>
      <c r="D62" s="4">
        <v>2019</v>
      </c>
      <c r="E62" s="4" t="s">
        <v>69</v>
      </c>
      <c r="F62" s="5">
        <v>-915380941.46652997</v>
      </c>
      <c r="G62" s="6">
        <v>9314</v>
      </c>
    </row>
    <row r="63" spans="2:7" x14ac:dyDescent="0.35">
      <c r="B63" s="4" t="s">
        <v>5</v>
      </c>
      <c r="C63" s="4" t="s">
        <v>66</v>
      </c>
      <c r="D63" s="4">
        <v>2009</v>
      </c>
      <c r="E63" s="4" t="s">
        <v>69</v>
      </c>
      <c r="F63" s="5">
        <v>-6213820.4991736403</v>
      </c>
      <c r="G63" s="6">
        <v>80</v>
      </c>
    </row>
    <row r="64" spans="2:7" x14ac:dyDescent="0.35">
      <c r="B64" s="4" t="s">
        <v>5</v>
      </c>
      <c r="C64" s="4" t="s">
        <v>66</v>
      </c>
      <c r="D64" s="4">
        <v>2018</v>
      </c>
      <c r="E64" s="4" t="s">
        <v>69</v>
      </c>
      <c r="F64" s="5">
        <v>-24485071.8377681</v>
      </c>
      <c r="G64" s="6">
        <v>197</v>
      </c>
    </row>
    <row r="65" spans="2:7" x14ac:dyDescent="0.35">
      <c r="B65" s="4" t="s">
        <v>3</v>
      </c>
      <c r="C65" s="4" t="s">
        <v>66</v>
      </c>
      <c r="D65" s="4">
        <v>2016</v>
      </c>
      <c r="E65" s="4" t="s">
        <v>69</v>
      </c>
      <c r="F65" s="5">
        <v>-473460454.08413202</v>
      </c>
      <c r="G65" s="6">
        <v>6011</v>
      </c>
    </row>
    <row r="66" spans="2:7" x14ac:dyDescent="0.35">
      <c r="B66" s="4" t="s">
        <v>3</v>
      </c>
      <c r="C66" s="4" t="s">
        <v>66</v>
      </c>
      <c r="D66" s="4">
        <v>2015</v>
      </c>
      <c r="E66" s="4" t="s">
        <v>69</v>
      </c>
      <c r="F66" s="5">
        <v>-319972800.61428601</v>
      </c>
      <c r="G66" s="6">
        <v>4374</v>
      </c>
    </row>
    <row r="67" spans="2:7" x14ac:dyDescent="0.35">
      <c r="B67" s="4" t="s">
        <v>3</v>
      </c>
      <c r="C67" s="4" t="s">
        <v>66</v>
      </c>
      <c r="D67" s="4">
        <v>2017</v>
      </c>
      <c r="E67" s="4" t="s">
        <v>69</v>
      </c>
      <c r="F67" s="5">
        <v>-773209622.54664898</v>
      </c>
      <c r="G67" s="6">
        <v>8630</v>
      </c>
    </row>
    <row r="68" spans="2:7" x14ac:dyDescent="0.35">
      <c r="B68" s="4" t="s">
        <v>5</v>
      </c>
      <c r="C68" s="4" t="s">
        <v>66</v>
      </c>
      <c r="D68" s="4">
        <v>2019</v>
      </c>
      <c r="E68" s="4" t="s">
        <v>69</v>
      </c>
      <c r="F68" s="5">
        <v>-27672505.403872099</v>
      </c>
      <c r="G68" s="6">
        <v>212</v>
      </c>
    </row>
    <row r="69" spans="2:7" x14ac:dyDescent="0.35">
      <c r="B69" s="4" t="s">
        <v>5</v>
      </c>
      <c r="C69" s="4" t="s">
        <v>66</v>
      </c>
      <c r="D69" s="4">
        <v>2003</v>
      </c>
      <c r="E69" s="4" t="s">
        <v>69</v>
      </c>
      <c r="F69" s="5">
        <v>-81863.570000000007</v>
      </c>
      <c r="G69" s="6">
        <v>6</v>
      </c>
    </row>
    <row r="70" spans="2:7" x14ac:dyDescent="0.35">
      <c r="B70" s="4" t="s">
        <v>5</v>
      </c>
      <c r="C70" s="4" t="s">
        <v>66</v>
      </c>
      <c r="D70" s="4">
        <v>2015</v>
      </c>
      <c r="E70" s="4" t="s">
        <v>69</v>
      </c>
      <c r="F70" s="5">
        <v>-28708694.431726798</v>
      </c>
      <c r="G70" s="6">
        <v>298</v>
      </c>
    </row>
    <row r="71" spans="2:7" x14ac:dyDescent="0.35">
      <c r="B71" s="4" t="s">
        <v>5</v>
      </c>
      <c r="C71" s="4" t="s">
        <v>66</v>
      </c>
      <c r="D71" s="4">
        <v>2017</v>
      </c>
      <c r="E71" s="4" t="s">
        <v>69</v>
      </c>
      <c r="F71" s="5">
        <v>-27523845.0671665</v>
      </c>
      <c r="G71" s="6">
        <v>243</v>
      </c>
    </row>
    <row r="72" spans="2:7" x14ac:dyDescent="0.35">
      <c r="B72" s="4" t="s">
        <v>5</v>
      </c>
      <c r="C72" s="4" t="s">
        <v>66</v>
      </c>
      <c r="D72" s="4">
        <v>2020</v>
      </c>
      <c r="E72" s="4" t="s">
        <v>69</v>
      </c>
      <c r="F72" s="5">
        <v>-34487331.356641501</v>
      </c>
      <c r="G72" s="6">
        <v>202</v>
      </c>
    </row>
    <row r="73" spans="2:7" x14ac:dyDescent="0.35">
      <c r="B73" s="4" t="s">
        <v>3</v>
      </c>
      <c r="C73" s="4" t="s">
        <v>65</v>
      </c>
      <c r="D73" s="4">
        <v>1997</v>
      </c>
      <c r="E73" s="4" t="s">
        <v>68</v>
      </c>
      <c r="F73" s="5">
        <v>-1474226.43</v>
      </c>
      <c r="G73" s="6">
        <v>91</v>
      </c>
    </row>
    <row r="74" spans="2:7" x14ac:dyDescent="0.35">
      <c r="B74" s="4" t="s">
        <v>3</v>
      </c>
      <c r="C74" s="4" t="s">
        <v>65</v>
      </c>
      <c r="D74" s="4">
        <v>1991</v>
      </c>
      <c r="E74" s="4" t="s">
        <v>68</v>
      </c>
      <c r="F74" s="5">
        <v>-11365.52</v>
      </c>
      <c r="G74" s="6">
        <v>1</v>
      </c>
    </row>
    <row r="75" spans="2:7" x14ac:dyDescent="0.35">
      <c r="B75" s="4" t="s">
        <v>3</v>
      </c>
      <c r="C75" s="4" t="s">
        <v>65</v>
      </c>
      <c r="D75" s="4">
        <v>1995</v>
      </c>
      <c r="E75" s="4" t="s">
        <v>68</v>
      </c>
      <c r="F75" s="5">
        <v>-501705.33</v>
      </c>
      <c r="G75" s="6">
        <v>47</v>
      </c>
    </row>
    <row r="76" spans="2:7" x14ac:dyDescent="0.35">
      <c r="B76" s="4" t="s">
        <v>3</v>
      </c>
      <c r="C76" s="4" t="s">
        <v>65</v>
      </c>
      <c r="D76" s="4">
        <v>1999</v>
      </c>
      <c r="E76" s="4" t="s">
        <v>68</v>
      </c>
      <c r="F76" s="5">
        <v>-3135698.49</v>
      </c>
      <c r="G76" s="6">
        <v>163</v>
      </c>
    </row>
    <row r="77" spans="2:7" x14ac:dyDescent="0.35">
      <c r="B77" s="4" t="s">
        <v>3</v>
      </c>
      <c r="C77" s="4" t="s">
        <v>65</v>
      </c>
      <c r="D77" s="4">
        <v>1993</v>
      </c>
      <c r="E77" s="4" t="s">
        <v>68</v>
      </c>
      <c r="F77" s="5">
        <v>-34174.4649171239</v>
      </c>
      <c r="G77" s="6">
        <v>3</v>
      </c>
    </row>
    <row r="78" spans="2:7" x14ac:dyDescent="0.35">
      <c r="B78" s="4" t="s">
        <v>3</v>
      </c>
      <c r="C78" s="4" t="s">
        <v>65</v>
      </c>
      <c r="D78" s="4">
        <v>1990</v>
      </c>
      <c r="E78" s="4" t="s">
        <v>68</v>
      </c>
      <c r="F78" s="5">
        <v>-10104.16</v>
      </c>
      <c r="G78" s="6">
        <v>1</v>
      </c>
    </row>
    <row r="79" spans="2:7" x14ac:dyDescent="0.35">
      <c r="B79" s="4" t="s">
        <v>3</v>
      </c>
      <c r="C79" s="4" t="s">
        <v>65</v>
      </c>
      <c r="D79" s="4">
        <v>1996</v>
      </c>
      <c r="E79" s="4" t="s">
        <v>68</v>
      </c>
      <c r="F79" s="5">
        <v>-1145354.23</v>
      </c>
      <c r="G79" s="6">
        <v>76</v>
      </c>
    </row>
    <row r="80" spans="2:7" x14ac:dyDescent="0.35">
      <c r="B80" s="4" t="s">
        <v>3</v>
      </c>
      <c r="C80" s="4" t="s">
        <v>65</v>
      </c>
      <c r="D80" s="4">
        <v>1998</v>
      </c>
      <c r="E80" s="4" t="s">
        <v>68</v>
      </c>
      <c r="F80" s="5">
        <v>-2012530.3845746799</v>
      </c>
      <c r="G80" s="6">
        <v>123</v>
      </c>
    </row>
    <row r="81" spans="2:7" x14ac:dyDescent="0.35">
      <c r="B81" s="4" t="s">
        <v>3</v>
      </c>
      <c r="C81" s="4" t="s">
        <v>65</v>
      </c>
      <c r="D81" s="4">
        <v>1994</v>
      </c>
      <c r="E81" s="4" t="s">
        <v>68</v>
      </c>
      <c r="F81" s="5">
        <v>-280975.71999999997</v>
      </c>
      <c r="G81" s="6">
        <v>20</v>
      </c>
    </row>
    <row r="82" spans="2:7" x14ac:dyDescent="0.35">
      <c r="B82" s="4" t="s">
        <v>5</v>
      </c>
      <c r="C82" s="4" t="s">
        <v>65</v>
      </c>
      <c r="D82" s="4">
        <v>2018</v>
      </c>
      <c r="E82" s="4" t="s">
        <v>69</v>
      </c>
      <c r="F82" s="5">
        <v>-664208.71</v>
      </c>
      <c r="G82" s="6">
        <v>14</v>
      </c>
    </row>
    <row r="83" spans="2:7" x14ac:dyDescent="0.35">
      <c r="B83" s="4" t="s">
        <v>3</v>
      </c>
      <c r="C83" s="4" t="s">
        <v>65</v>
      </c>
      <c r="D83" s="4">
        <v>2023</v>
      </c>
      <c r="E83" s="4" t="s">
        <v>69</v>
      </c>
      <c r="F83" s="5">
        <v>-43431462.239999898</v>
      </c>
      <c r="G83" s="6">
        <v>316</v>
      </c>
    </row>
    <row r="84" spans="2:7" x14ac:dyDescent="0.35">
      <c r="B84" s="4" t="s">
        <v>3</v>
      </c>
      <c r="C84" s="4" t="s">
        <v>65</v>
      </c>
      <c r="D84" s="4">
        <v>2003</v>
      </c>
      <c r="E84" s="4" t="s">
        <v>69</v>
      </c>
      <c r="F84" s="5">
        <v>-8446377.0850000009</v>
      </c>
      <c r="G84" s="6">
        <v>229</v>
      </c>
    </row>
    <row r="85" spans="2:7" x14ac:dyDescent="0.35">
      <c r="B85" s="4" t="s">
        <v>5</v>
      </c>
      <c r="C85" s="4" t="s">
        <v>65</v>
      </c>
      <c r="D85" s="4">
        <v>2017</v>
      </c>
      <c r="E85" s="4" t="s">
        <v>69</v>
      </c>
      <c r="F85" s="5">
        <v>-799836.93</v>
      </c>
      <c r="G85" s="6">
        <v>9</v>
      </c>
    </row>
    <row r="86" spans="2:7" x14ac:dyDescent="0.35">
      <c r="B86" s="4" t="s">
        <v>3</v>
      </c>
      <c r="C86" s="4" t="s">
        <v>65</v>
      </c>
      <c r="D86" s="4">
        <v>2000</v>
      </c>
      <c r="E86" s="4" t="s">
        <v>69</v>
      </c>
      <c r="F86" s="5">
        <v>-2697318.9992030398</v>
      </c>
      <c r="G86" s="6">
        <v>141</v>
      </c>
    </row>
    <row r="87" spans="2:7" x14ac:dyDescent="0.35">
      <c r="B87" s="4" t="s">
        <v>3</v>
      </c>
      <c r="C87" s="4" t="s">
        <v>65</v>
      </c>
      <c r="D87" s="4">
        <v>2022</v>
      </c>
      <c r="E87" s="4" t="s">
        <v>69</v>
      </c>
      <c r="F87" s="5">
        <v>-61835416.859999903</v>
      </c>
      <c r="G87" s="6">
        <v>471</v>
      </c>
    </row>
    <row r="88" spans="2:7" x14ac:dyDescent="0.35">
      <c r="B88" s="4" t="s">
        <v>5</v>
      </c>
      <c r="C88" s="4" t="s">
        <v>65</v>
      </c>
      <c r="D88" s="4">
        <v>2015</v>
      </c>
      <c r="E88" s="4" t="s">
        <v>69</v>
      </c>
      <c r="F88" s="5">
        <v>-291485.63</v>
      </c>
      <c r="G88" s="6">
        <v>7</v>
      </c>
    </row>
    <row r="89" spans="2:7" x14ac:dyDescent="0.35">
      <c r="B89" s="4" t="s">
        <v>3</v>
      </c>
      <c r="C89" s="4" t="s">
        <v>65</v>
      </c>
      <c r="D89" s="4">
        <v>2010</v>
      </c>
      <c r="E89" s="4" t="s">
        <v>69</v>
      </c>
      <c r="F89" s="5">
        <v>-7652509.6699999999</v>
      </c>
      <c r="G89" s="6">
        <v>111</v>
      </c>
    </row>
    <row r="90" spans="2:7" x14ac:dyDescent="0.35">
      <c r="B90" s="4" t="s">
        <v>5</v>
      </c>
      <c r="C90" s="4" t="s">
        <v>65</v>
      </c>
      <c r="D90" s="4">
        <v>2020</v>
      </c>
      <c r="E90" s="4" t="s">
        <v>69</v>
      </c>
      <c r="F90" s="5">
        <v>-814759.50845572294</v>
      </c>
      <c r="G90" s="6">
        <v>5</v>
      </c>
    </row>
    <row r="91" spans="2:7" x14ac:dyDescent="0.35">
      <c r="B91" s="4" t="s">
        <v>5</v>
      </c>
      <c r="C91" s="4" t="s">
        <v>65</v>
      </c>
      <c r="D91" s="4">
        <v>2012</v>
      </c>
      <c r="E91" s="4" t="s">
        <v>69</v>
      </c>
      <c r="F91" s="5">
        <v>-178108.43</v>
      </c>
      <c r="G91" s="6">
        <v>3</v>
      </c>
    </row>
    <row r="92" spans="2:7" x14ac:dyDescent="0.35">
      <c r="B92" s="4" t="s">
        <v>5</v>
      </c>
      <c r="C92" s="4" t="s">
        <v>65</v>
      </c>
      <c r="D92" s="4">
        <v>2024</v>
      </c>
      <c r="E92" s="4" t="s">
        <v>69</v>
      </c>
      <c r="F92" s="5">
        <v>-11982065.5164659</v>
      </c>
      <c r="G92" s="6">
        <v>8</v>
      </c>
    </row>
    <row r="93" spans="2:7" x14ac:dyDescent="0.35">
      <c r="B93" s="4" t="s">
        <v>3</v>
      </c>
      <c r="C93" s="4" t="s">
        <v>65</v>
      </c>
      <c r="D93" s="4">
        <v>2017</v>
      </c>
      <c r="E93" s="4" t="s">
        <v>69</v>
      </c>
      <c r="F93" s="5">
        <v>-15484046.5775354</v>
      </c>
      <c r="G93" s="6">
        <v>181</v>
      </c>
    </row>
    <row r="94" spans="2:7" x14ac:dyDescent="0.35">
      <c r="B94" s="4" t="s">
        <v>3</v>
      </c>
      <c r="C94" s="4" t="s">
        <v>65</v>
      </c>
      <c r="D94" s="4">
        <v>2004</v>
      </c>
      <c r="E94" s="4" t="s">
        <v>69</v>
      </c>
      <c r="F94" s="5">
        <v>-5433263.1900000004</v>
      </c>
      <c r="G94" s="6">
        <v>109</v>
      </c>
    </row>
    <row r="95" spans="2:7" x14ac:dyDescent="0.35">
      <c r="B95" s="4" t="s">
        <v>3</v>
      </c>
      <c r="C95" s="4" t="s">
        <v>65</v>
      </c>
      <c r="D95" s="4">
        <v>2018</v>
      </c>
      <c r="E95" s="4" t="s">
        <v>69</v>
      </c>
      <c r="F95" s="5">
        <v>-18829275.103824198</v>
      </c>
      <c r="G95" s="6">
        <v>196</v>
      </c>
    </row>
    <row r="96" spans="2:7" x14ac:dyDescent="0.35">
      <c r="B96" s="4" t="s">
        <v>3</v>
      </c>
      <c r="C96" s="4" t="s">
        <v>65</v>
      </c>
      <c r="D96" s="4">
        <v>2012</v>
      </c>
      <c r="E96" s="4" t="s">
        <v>69</v>
      </c>
      <c r="F96" s="5">
        <v>-3744573.1399999899</v>
      </c>
      <c r="G96" s="6">
        <v>51</v>
      </c>
    </row>
    <row r="97" spans="2:7" x14ac:dyDescent="0.35">
      <c r="B97" s="4" t="s">
        <v>3</v>
      </c>
      <c r="C97" s="4" t="s">
        <v>65</v>
      </c>
      <c r="D97" s="4">
        <v>2019</v>
      </c>
      <c r="E97" s="4" t="s">
        <v>69</v>
      </c>
      <c r="F97" s="5">
        <v>-26749124.122568201</v>
      </c>
      <c r="G97" s="6">
        <v>266</v>
      </c>
    </row>
    <row r="98" spans="2:7" x14ac:dyDescent="0.35">
      <c r="B98" s="4" t="s">
        <v>3</v>
      </c>
      <c r="C98" s="4" t="s">
        <v>65</v>
      </c>
      <c r="D98" s="4">
        <v>2014</v>
      </c>
      <c r="E98" s="4" t="s">
        <v>69</v>
      </c>
      <c r="F98" s="5">
        <v>-4616700.5599999996</v>
      </c>
      <c r="G98" s="6">
        <v>52</v>
      </c>
    </row>
    <row r="99" spans="2:7" x14ac:dyDescent="0.35">
      <c r="B99" s="4" t="s">
        <v>3</v>
      </c>
      <c r="C99" s="4" t="s">
        <v>65</v>
      </c>
      <c r="D99" s="4">
        <v>2005</v>
      </c>
      <c r="E99" s="4" t="s">
        <v>69</v>
      </c>
      <c r="F99" s="5">
        <v>-7697788.4699999997</v>
      </c>
      <c r="G99" s="6">
        <v>145</v>
      </c>
    </row>
    <row r="100" spans="2:7" x14ac:dyDescent="0.35">
      <c r="B100" s="4" t="s">
        <v>5</v>
      </c>
      <c r="C100" s="4" t="s">
        <v>65</v>
      </c>
      <c r="D100" s="4">
        <v>2022</v>
      </c>
      <c r="E100" s="4" t="s">
        <v>69</v>
      </c>
      <c r="F100" s="5">
        <v>-1444454.6599999899</v>
      </c>
      <c r="G100" s="6">
        <v>10</v>
      </c>
    </row>
    <row r="101" spans="2:7" x14ac:dyDescent="0.35">
      <c r="B101" s="4" t="s">
        <v>5</v>
      </c>
      <c r="C101" s="4" t="s">
        <v>65</v>
      </c>
      <c r="D101" s="4">
        <v>2014</v>
      </c>
      <c r="E101" s="4" t="s">
        <v>69</v>
      </c>
      <c r="F101" s="5">
        <v>-545987.63</v>
      </c>
      <c r="G101" s="6">
        <v>6</v>
      </c>
    </row>
    <row r="102" spans="2:7" x14ac:dyDescent="0.35">
      <c r="B102" s="4" t="s">
        <v>5</v>
      </c>
      <c r="C102" s="4" t="s">
        <v>65</v>
      </c>
      <c r="D102" s="4">
        <v>2019</v>
      </c>
      <c r="E102" s="4" t="s">
        <v>69</v>
      </c>
      <c r="F102" s="5">
        <v>-140385.83203448201</v>
      </c>
      <c r="G102" s="6">
        <v>4</v>
      </c>
    </row>
    <row r="103" spans="2:7" x14ac:dyDescent="0.35">
      <c r="B103" s="4" t="s">
        <v>5</v>
      </c>
      <c r="C103" s="4" t="s">
        <v>65</v>
      </c>
      <c r="D103" s="4">
        <v>2003</v>
      </c>
      <c r="E103" s="4" t="s">
        <v>69</v>
      </c>
      <c r="F103" s="5">
        <v>-7.96</v>
      </c>
      <c r="G103" s="6">
        <v>1</v>
      </c>
    </row>
    <row r="104" spans="2:7" x14ac:dyDescent="0.35">
      <c r="B104" s="4" t="s">
        <v>3</v>
      </c>
      <c r="C104" s="4" t="s">
        <v>65</v>
      </c>
      <c r="D104" s="4">
        <v>2021</v>
      </c>
      <c r="E104" s="4" t="s">
        <v>69</v>
      </c>
      <c r="F104" s="5">
        <v>-54925751.280000001</v>
      </c>
      <c r="G104" s="6">
        <v>439</v>
      </c>
    </row>
    <row r="105" spans="2:7" x14ac:dyDescent="0.35">
      <c r="B105" s="4" t="s">
        <v>3</v>
      </c>
      <c r="C105" s="4" t="s">
        <v>65</v>
      </c>
      <c r="D105" s="4">
        <v>2001</v>
      </c>
      <c r="E105" s="4" t="s">
        <v>69</v>
      </c>
      <c r="F105" s="5">
        <v>-1246176.61621805</v>
      </c>
      <c r="G105" s="6">
        <v>59</v>
      </c>
    </row>
    <row r="106" spans="2:7" x14ac:dyDescent="0.35">
      <c r="B106" s="4" t="s">
        <v>5</v>
      </c>
      <c r="C106" s="4" t="s">
        <v>65</v>
      </c>
      <c r="D106" s="4">
        <v>2009</v>
      </c>
      <c r="E106" s="4" t="s">
        <v>69</v>
      </c>
      <c r="F106" s="5">
        <v>-10668.7090152409</v>
      </c>
      <c r="G106" s="6">
        <v>3</v>
      </c>
    </row>
    <row r="107" spans="2:7" x14ac:dyDescent="0.35">
      <c r="B107" s="4" t="s">
        <v>5</v>
      </c>
      <c r="C107" s="4" t="s">
        <v>65</v>
      </c>
      <c r="D107" s="4">
        <v>2000</v>
      </c>
      <c r="E107" s="4" t="s">
        <v>69</v>
      </c>
      <c r="F107" s="5">
        <v>0</v>
      </c>
      <c r="G107" s="6">
        <v>3</v>
      </c>
    </row>
    <row r="108" spans="2:7" x14ac:dyDescent="0.35">
      <c r="B108" s="4" t="s">
        <v>3</v>
      </c>
      <c r="C108" s="4" t="s">
        <v>65</v>
      </c>
      <c r="D108" s="4">
        <v>2002</v>
      </c>
      <c r="E108" s="4" t="s">
        <v>69</v>
      </c>
      <c r="F108" s="5">
        <v>-914838.58621056005</v>
      </c>
      <c r="G108" s="6">
        <v>36</v>
      </c>
    </row>
    <row r="109" spans="2:7" x14ac:dyDescent="0.35">
      <c r="B109" s="4" t="s">
        <v>3</v>
      </c>
      <c r="C109" s="4" t="s">
        <v>65</v>
      </c>
      <c r="D109" s="4">
        <v>2011</v>
      </c>
      <c r="E109" s="4" t="s">
        <v>69</v>
      </c>
      <c r="F109" s="5">
        <v>-4217139.7469509495</v>
      </c>
      <c r="G109" s="6">
        <v>66</v>
      </c>
    </row>
    <row r="110" spans="2:7" x14ac:dyDescent="0.35">
      <c r="B110" s="4" t="s">
        <v>5</v>
      </c>
      <c r="C110" s="4" t="s">
        <v>65</v>
      </c>
      <c r="D110" s="4">
        <v>2023</v>
      </c>
      <c r="E110" s="4" t="s">
        <v>69</v>
      </c>
      <c r="F110" s="5">
        <v>-40206.161812297702</v>
      </c>
      <c r="G110" s="6">
        <v>1</v>
      </c>
    </row>
    <row r="111" spans="2:7" x14ac:dyDescent="0.35">
      <c r="B111" s="4" t="s">
        <v>3</v>
      </c>
      <c r="C111" s="4" t="s">
        <v>65</v>
      </c>
      <c r="D111" s="4">
        <v>2007</v>
      </c>
      <c r="E111" s="4" t="s">
        <v>69</v>
      </c>
      <c r="F111" s="5">
        <v>-13608667.7097439</v>
      </c>
      <c r="G111" s="6">
        <v>217</v>
      </c>
    </row>
    <row r="112" spans="2:7" x14ac:dyDescent="0.35">
      <c r="B112" s="4" t="s">
        <v>3</v>
      </c>
      <c r="C112" s="4" t="s">
        <v>65</v>
      </c>
      <c r="D112" s="4">
        <v>2013</v>
      </c>
      <c r="E112" s="4" t="s">
        <v>69</v>
      </c>
      <c r="F112" s="5">
        <v>-3301617.5786192999</v>
      </c>
      <c r="G112" s="6">
        <v>49</v>
      </c>
    </row>
    <row r="113" spans="2:7" x14ac:dyDescent="0.35">
      <c r="B113" s="4" t="s">
        <v>5</v>
      </c>
      <c r="C113" s="4" t="s">
        <v>65</v>
      </c>
      <c r="D113" s="4">
        <v>2010</v>
      </c>
      <c r="E113" s="4" t="s">
        <v>69</v>
      </c>
      <c r="F113" s="5">
        <v>-7291.8</v>
      </c>
      <c r="G113" s="6">
        <v>5</v>
      </c>
    </row>
    <row r="114" spans="2:7" x14ac:dyDescent="0.35">
      <c r="B114" s="4" t="s">
        <v>3</v>
      </c>
      <c r="C114" s="4" t="s">
        <v>65</v>
      </c>
      <c r="D114" s="4">
        <v>2015</v>
      </c>
      <c r="E114" s="4" t="s">
        <v>69</v>
      </c>
      <c r="F114" s="5">
        <v>-7350570.1699999999</v>
      </c>
      <c r="G114" s="6">
        <v>98</v>
      </c>
    </row>
    <row r="115" spans="2:7" x14ac:dyDescent="0.35">
      <c r="B115" s="4" t="s">
        <v>5</v>
      </c>
      <c r="C115" s="4" t="s">
        <v>65</v>
      </c>
      <c r="D115" s="4">
        <v>2013</v>
      </c>
      <c r="E115" s="4" t="s">
        <v>69</v>
      </c>
      <c r="F115" s="5">
        <v>-271984.01</v>
      </c>
      <c r="G115" s="6">
        <v>3</v>
      </c>
    </row>
    <row r="116" spans="2:7" x14ac:dyDescent="0.35">
      <c r="B116" s="4" t="s">
        <v>3</v>
      </c>
      <c r="C116" s="4" t="s">
        <v>65</v>
      </c>
      <c r="D116" s="4">
        <v>2009</v>
      </c>
      <c r="E116" s="4" t="s">
        <v>69</v>
      </c>
      <c r="F116" s="5">
        <v>-5997640.9705349701</v>
      </c>
      <c r="G116" s="6">
        <v>109</v>
      </c>
    </row>
    <row r="117" spans="2:7" x14ac:dyDescent="0.35">
      <c r="B117" s="4" t="s">
        <v>5</v>
      </c>
      <c r="C117" s="4" t="s">
        <v>65</v>
      </c>
      <c r="D117" s="4">
        <v>2021</v>
      </c>
      <c r="E117" s="4" t="s">
        <v>69</v>
      </c>
      <c r="F117" s="5">
        <v>-1888012.6320014901</v>
      </c>
      <c r="G117" s="6">
        <v>17</v>
      </c>
    </row>
    <row r="118" spans="2:7" x14ac:dyDescent="0.35">
      <c r="B118" s="4" t="s">
        <v>3</v>
      </c>
      <c r="C118" s="4" t="s">
        <v>65</v>
      </c>
      <c r="D118" s="4">
        <v>2020</v>
      </c>
      <c r="E118" s="4" t="s">
        <v>69</v>
      </c>
      <c r="F118" s="5">
        <v>-40392142.902050897</v>
      </c>
      <c r="G118" s="6">
        <v>376</v>
      </c>
    </row>
    <row r="119" spans="2:7" x14ac:dyDescent="0.35">
      <c r="B119" s="4" t="s">
        <v>3</v>
      </c>
      <c r="C119" s="4" t="s">
        <v>65</v>
      </c>
      <c r="D119" s="4">
        <v>2024</v>
      </c>
      <c r="E119" s="4" t="s">
        <v>69</v>
      </c>
      <c r="F119" s="5">
        <v>-94750854.560000002</v>
      </c>
      <c r="G119" s="6">
        <v>536</v>
      </c>
    </row>
    <row r="120" spans="2:7" x14ac:dyDescent="0.35">
      <c r="B120" s="4" t="s">
        <v>3</v>
      </c>
      <c r="C120" s="4" t="s">
        <v>65</v>
      </c>
      <c r="D120" s="4">
        <v>2006</v>
      </c>
      <c r="E120" s="4" t="s">
        <v>69</v>
      </c>
      <c r="F120" s="5">
        <v>-9873442.6400000006</v>
      </c>
      <c r="G120" s="6">
        <v>163</v>
      </c>
    </row>
    <row r="121" spans="2:7" x14ac:dyDescent="0.35">
      <c r="B121" s="4" t="s">
        <v>3</v>
      </c>
      <c r="C121" s="4" t="s">
        <v>65</v>
      </c>
      <c r="D121" s="4">
        <v>2008</v>
      </c>
      <c r="E121" s="4" t="s">
        <v>69</v>
      </c>
      <c r="F121" s="5">
        <v>-9347716.2646025103</v>
      </c>
      <c r="G121" s="6">
        <v>147</v>
      </c>
    </row>
    <row r="122" spans="2:7" x14ac:dyDescent="0.35">
      <c r="B122" s="4" t="s">
        <v>3</v>
      </c>
      <c r="C122" s="4" t="s">
        <v>65</v>
      </c>
      <c r="D122" s="4">
        <v>2016</v>
      </c>
      <c r="E122" s="4" t="s">
        <v>69</v>
      </c>
      <c r="F122" s="5">
        <v>-9734290.1447927393</v>
      </c>
      <c r="G122" s="6">
        <v>122</v>
      </c>
    </row>
    <row r="123" spans="2:7" x14ac:dyDescent="0.35">
      <c r="B123" s="4" t="s">
        <v>5</v>
      </c>
      <c r="C123" s="4" t="s">
        <v>65</v>
      </c>
      <c r="D123" s="4">
        <v>2016</v>
      </c>
      <c r="E123" s="4" t="s">
        <v>69</v>
      </c>
      <c r="F123" s="5">
        <v>-732938.88169491501</v>
      </c>
      <c r="G123" s="6">
        <v>10</v>
      </c>
    </row>
    <row r="124" spans="2:7" x14ac:dyDescent="0.35">
      <c r="B124" s="4" t="s">
        <v>3</v>
      </c>
      <c r="C124" s="4" t="s">
        <v>67</v>
      </c>
      <c r="D124" s="4">
        <v>1999</v>
      </c>
      <c r="E124" s="4" t="s">
        <v>68</v>
      </c>
      <c r="F124" s="5">
        <v>-3505843.6317583802</v>
      </c>
      <c r="G124" s="6">
        <v>198</v>
      </c>
    </row>
    <row r="125" spans="2:7" x14ac:dyDescent="0.35">
      <c r="B125" s="4" t="s">
        <v>3</v>
      </c>
      <c r="C125" s="4" t="s">
        <v>67</v>
      </c>
      <c r="D125" s="4">
        <v>1988</v>
      </c>
      <c r="E125" s="4" t="s">
        <v>68</v>
      </c>
      <c r="F125" s="5">
        <v>-9579.84</v>
      </c>
      <c r="G125" s="6">
        <v>1</v>
      </c>
    </row>
    <row r="126" spans="2:7" x14ac:dyDescent="0.35">
      <c r="B126" s="4" t="s">
        <v>3</v>
      </c>
      <c r="C126" s="4" t="s">
        <v>67</v>
      </c>
      <c r="D126" s="4">
        <v>1990</v>
      </c>
      <c r="E126" s="4" t="s">
        <v>68</v>
      </c>
      <c r="F126" s="5">
        <v>-212.58</v>
      </c>
      <c r="G126" s="6">
        <v>1</v>
      </c>
    </row>
    <row r="127" spans="2:7" x14ac:dyDescent="0.35">
      <c r="B127" s="4" t="s">
        <v>5</v>
      </c>
      <c r="C127" s="4" t="s">
        <v>67</v>
      </c>
      <c r="D127" s="4">
        <v>1993</v>
      </c>
      <c r="E127" s="4" t="s">
        <v>68</v>
      </c>
      <c r="F127" s="5">
        <v>-90.06</v>
      </c>
      <c r="G127" s="6">
        <v>1</v>
      </c>
    </row>
    <row r="128" spans="2:7" x14ac:dyDescent="0.35">
      <c r="B128" s="4" t="s">
        <v>5</v>
      </c>
      <c r="C128" s="4" t="s">
        <v>67</v>
      </c>
      <c r="D128" s="4">
        <v>1998</v>
      </c>
      <c r="E128" s="4" t="s">
        <v>68</v>
      </c>
      <c r="F128" s="5">
        <v>-15.74</v>
      </c>
      <c r="G128" s="6">
        <v>2</v>
      </c>
    </row>
    <row r="129" spans="2:7" x14ac:dyDescent="0.35">
      <c r="B129" s="4" t="s">
        <v>5</v>
      </c>
      <c r="C129" s="4" t="s">
        <v>67</v>
      </c>
      <c r="D129" s="4">
        <v>1999</v>
      </c>
      <c r="E129" s="4" t="s">
        <v>68</v>
      </c>
      <c r="F129" s="5">
        <v>0</v>
      </c>
      <c r="G129" s="6">
        <v>3</v>
      </c>
    </row>
    <row r="130" spans="2:7" x14ac:dyDescent="0.35">
      <c r="B130" s="4" t="s">
        <v>5</v>
      </c>
      <c r="C130" s="4" t="s">
        <v>67</v>
      </c>
      <c r="D130" s="4">
        <v>1992</v>
      </c>
      <c r="E130" s="4" t="s">
        <v>68</v>
      </c>
      <c r="F130" s="5">
        <v>-28.62</v>
      </c>
      <c r="G130" s="6">
        <v>1</v>
      </c>
    </row>
    <row r="131" spans="2:7" x14ac:dyDescent="0.35">
      <c r="B131" s="4" t="s">
        <v>5</v>
      </c>
      <c r="C131" s="4" t="s">
        <v>67</v>
      </c>
      <c r="D131" s="4">
        <v>1996</v>
      </c>
      <c r="E131" s="4" t="s">
        <v>68</v>
      </c>
      <c r="F131" s="5">
        <v>-2146.39</v>
      </c>
      <c r="G131" s="6">
        <v>1</v>
      </c>
    </row>
    <row r="132" spans="2:7" x14ac:dyDescent="0.35">
      <c r="B132" s="4" t="s">
        <v>3</v>
      </c>
      <c r="C132" s="4" t="s">
        <v>67</v>
      </c>
      <c r="D132" s="4">
        <v>1998</v>
      </c>
      <c r="E132" s="4" t="s">
        <v>68</v>
      </c>
      <c r="F132" s="5">
        <v>-1304429.47999285</v>
      </c>
      <c r="G132" s="6">
        <v>75</v>
      </c>
    </row>
    <row r="133" spans="2:7" x14ac:dyDescent="0.35">
      <c r="B133" s="4" t="s">
        <v>3</v>
      </c>
      <c r="C133" s="4" t="s">
        <v>67</v>
      </c>
      <c r="D133" s="4">
        <v>1994</v>
      </c>
      <c r="E133" s="4" t="s">
        <v>68</v>
      </c>
      <c r="F133" s="5">
        <v>-34927.019999999997</v>
      </c>
      <c r="G133" s="6">
        <v>4</v>
      </c>
    </row>
    <row r="134" spans="2:7" x14ac:dyDescent="0.35">
      <c r="B134" s="4" t="s">
        <v>3</v>
      </c>
      <c r="C134" s="4" t="s">
        <v>67</v>
      </c>
      <c r="D134" s="4">
        <v>1995</v>
      </c>
      <c r="E134" s="4" t="s">
        <v>68</v>
      </c>
      <c r="F134" s="5">
        <v>-20040.9090608322</v>
      </c>
      <c r="G134" s="6">
        <v>6</v>
      </c>
    </row>
    <row r="135" spans="2:7" x14ac:dyDescent="0.35">
      <c r="B135" s="4" t="s">
        <v>3</v>
      </c>
      <c r="C135" s="4" t="s">
        <v>67</v>
      </c>
      <c r="D135" s="4">
        <v>1996</v>
      </c>
      <c r="E135" s="4" t="s">
        <v>68</v>
      </c>
      <c r="F135" s="5">
        <v>-282096.78999999998</v>
      </c>
      <c r="G135" s="6">
        <v>22</v>
      </c>
    </row>
    <row r="136" spans="2:7" x14ac:dyDescent="0.35">
      <c r="B136" s="4" t="s">
        <v>3</v>
      </c>
      <c r="C136" s="4" t="s">
        <v>67</v>
      </c>
      <c r="D136" s="4">
        <v>1987</v>
      </c>
      <c r="E136" s="4" t="s">
        <v>68</v>
      </c>
      <c r="F136" s="5">
        <v>-7745.99</v>
      </c>
      <c r="G136" s="6">
        <v>2</v>
      </c>
    </row>
    <row r="137" spans="2:7" x14ac:dyDescent="0.35">
      <c r="B137" s="4" t="s">
        <v>3</v>
      </c>
      <c r="C137" s="4" t="s">
        <v>67</v>
      </c>
      <c r="D137" s="4">
        <v>1997</v>
      </c>
      <c r="E137" s="4" t="s">
        <v>68</v>
      </c>
      <c r="F137" s="5">
        <v>-421558.79</v>
      </c>
      <c r="G137" s="6">
        <v>30</v>
      </c>
    </row>
    <row r="138" spans="2:7" x14ac:dyDescent="0.35">
      <c r="B138" s="4" t="s">
        <v>5</v>
      </c>
      <c r="C138" s="4" t="s">
        <v>67</v>
      </c>
      <c r="D138" s="4">
        <v>2020</v>
      </c>
      <c r="E138" s="4" t="s">
        <v>69</v>
      </c>
      <c r="F138" s="5">
        <v>-7140428.1449026801</v>
      </c>
      <c r="G138" s="6">
        <v>56</v>
      </c>
    </row>
    <row r="139" spans="2:7" x14ac:dyDescent="0.35">
      <c r="B139" s="4" t="s">
        <v>3</v>
      </c>
      <c r="C139" s="4" t="s">
        <v>67</v>
      </c>
      <c r="D139" s="4">
        <v>2022</v>
      </c>
      <c r="E139" s="4" t="s">
        <v>69</v>
      </c>
      <c r="F139" s="5">
        <v>-236995751.44562501</v>
      </c>
      <c r="G139" s="6">
        <v>1799</v>
      </c>
    </row>
    <row r="140" spans="2:7" x14ac:dyDescent="0.35">
      <c r="B140" s="4" t="s">
        <v>5</v>
      </c>
      <c r="C140" s="4" t="s">
        <v>67</v>
      </c>
      <c r="D140" s="4">
        <v>2018</v>
      </c>
      <c r="E140" s="4" t="s">
        <v>69</v>
      </c>
      <c r="F140" s="5">
        <v>-5395709.8842292102</v>
      </c>
      <c r="G140" s="6">
        <v>99</v>
      </c>
    </row>
    <row r="141" spans="2:7" x14ac:dyDescent="0.35">
      <c r="B141" s="4" t="s">
        <v>3</v>
      </c>
      <c r="C141" s="4" t="s">
        <v>67</v>
      </c>
      <c r="D141" s="4">
        <v>2013</v>
      </c>
      <c r="E141" s="4" t="s">
        <v>69</v>
      </c>
      <c r="F141" s="5">
        <v>-15266751.9021533</v>
      </c>
      <c r="G141" s="6">
        <v>231</v>
      </c>
    </row>
    <row r="142" spans="2:7" x14ac:dyDescent="0.35">
      <c r="B142" s="4" t="s">
        <v>3</v>
      </c>
      <c r="C142" s="4" t="s">
        <v>67</v>
      </c>
      <c r="D142" s="4">
        <v>2007</v>
      </c>
      <c r="E142" s="4" t="s">
        <v>69</v>
      </c>
      <c r="F142" s="5">
        <v>-129262306.91347</v>
      </c>
      <c r="G142" s="6">
        <v>1990</v>
      </c>
    </row>
    <row r="143" spans="2:7" x14ac:dyDescent="0.35">
      <c r="B143" s="4" t="s">
        <v>3</v>
      </c>
      <c r="C143" s="4" t="s">
        <v>67</v>
      </c>
      <c r="D143" s="4">
        <v>2000</v>
      </c>
      <c r="E143" s="4" t="s">
        <v>69</v>
      </c>
      <c r="F143" s="5">
        <v>-6325887.3873375896</v>
      </c>
      <c r="G143" s="6">
        <v>329</v>
      </c>
    </row>
    <row r="144" spans="2:7" x14ac:dyDescent="0.35">
      <c r="B144" s="4" t="s">
        <v>3</v>
      </c>
      <c r="C144" s="4" t="s">
        <v>67</v>
      </c>
      <c r="D144" s="4">
        <v>2016</v>
      </c>
      <c r="E144" s="4" t="s">
        <v>69</v>
      </c>
      <c r="F144" s="5">
        <v>-46812401.9951206</v>
      </c>
      <c r="G144" s="6">
        <v>599</v>
      </c>
    </row>
    <row r="145" spans="2:7" x14ac:dyDescent="0.35">
      <c r="B145" s="4" t="s">
        <v>3</v>
      </c>
      <c r="C145" s="4" t="s">
        <v>67</v>
      </c>
      <c r="D145" s="4">
        <v>2006</v>
      </c>
      <c r="E145" s="4" t="s">
        <v>69</v>
      </c>
      <c r="F145" s="5">
        <v>-111082715.237973</v>
      </c>
      <c r="G145" s="6">
        <v>1889</v>
      </c>
    </row>
    <row r="146" spans="2:7" x14ac:dyDescent="0.35">
      <c r="B146" s="4" t="s">
        <v>3</v>
      </c>
      <c r="C146" s="4" t="s">
        <v>67</v>
      </c>
      <c r="D146" s="4">
        <v>2015</v>
      </c>
      <c r="E146" s="4" t="s">
        <v>69</v>
      </c>
      <c r="F146" s="5">
        <v>-31331774.2168574</v>
      </c>
      <c r="G146" s="6">
        <v>450</v>
      </c>
    </row>
    <row r="147" spans="2:7" x14ac:dyDescent="0.35">
      <c r="B147" s="4" t="s">
        <v>5</v>
      </c>
      <c r="C147" s="4" t="s">
        <v>67</v>
      </c>
      <c r="D147" s="4">
        <v>2000</v>
      </c>
      <c r="E147" s="4" t="s">
        <v>69</v>
      </c>
      <c r="F147" s="5">
        <v>-299623.475997217</v>
      </c>
      <c r="G147" s="6">
        <v>5</v>
      </c>
    </row>
    <row r="148" spans="2:7" x14ac:dyDescent="0.35">
      <c r="B148" s="4" t="s">
        <v>3</v>
      </c>
      <c r="C148" s="4" t="s">
        <v>67</v>
      </c>
      <c r="D148" s="4">
        <v>2019</v>
      </c>
      <c r="E148" s="4" t="s">
        <v>69</v>
      </c>
      <c r="F148" s="5">
        <v>-121647859.145943</v>
      </c>
      <c r="G148" s="6">
        <v>1147</v>
      </c>
    </row>
    <row r="149" spans="2:7" x14ac:dyDescent="0.35">
      <c r="B149" s="4" t="s">
        <v>5</v>
      </c>
      <c r="C149" s="4" t="s">
        <v>67</v>
      </c>
      <c r="D149" s="4">
        <v>2021</v>
      </c>
      <c r="E149" s="4" t="s">
        <v>69</v>
      </c>
      <c r="F149" s="5">
        <v>-8696826.79045498</v>
      </c>
      <c r="G149" s="6">
        <v>75</v>
      </c>
    </row>
    <row r="150" spans="2:7" x14ac:dyDescent="0.35">
      <c r="B150" s="4" t="s">
        <v>3</v>
      </c>
      <c r="C150" s="4" t="s">
        <v>67</v>
      </c>
      <c r="D150" s="4">
        <v>2003</v>
      </c>
      <c r="E150" s="4" t="s">
        <v>69</v>
      </c>
      <c r="F150" s="5">
        <v>-41104604.121311799</v>
      </c>
      <c r="G150" s="6">
        <v>1034</v>
      </c>
    </row>
    <row r="151" spans="2:7" x14ac:dyDescent="0.35">
      <c r="B151" s="4" t="s">
        <v>3</v>
      </c>
      <c r="C151" s="4" t="s">
        <v>67</v>
      </c>
      <c r="D151" s="4">
        <v>2014</v>
      </c>
      <c r="E151" s="4" t="s">
        <v>69</v>
      </c>
      <c r="F151" s="5">
        <v>-21538270.623185899</v>
      </c>
      <c r="G151" s="6">
        <v>302</v>
      </c>
    </row>
    <row r="152" spans="2:7" x14ac:dyDescent="0.35">
      <c r="B152" s="4" t="s">
        <v>5</v>
      </c>
      <c r="C152" s="4" t="s">
        <v>67</v>
      </c>
      <c r="D152" s="4">
        <v>2013</v>
      </c>
      <c r="E152" s="4" t="s">
        <v>69</v>
      </c>
      <c r="F152" s="5">
        <v>-3956686.52548968</v>
      </c>
      <c r="G152" s="6">
        <v>39</v>
      </c>
    </row>
    <row r="153" spans="2:7" x14ac:dyDescent="0.35">
      <c r="B153" s="4" t="s">
        <v>5</v>
      </c>
      <c r="C153" s="4" t="s">
        <v>67</v>
      </c>
      <c r="D153" s="4">
        <v>2023</v>
      </c>
      <c r="E153" s="4" t="s">
        <v>69</v>
      </c>
      <c r="F153" s="5">
        <v>-4094499.2927131001</v>
      </c>
      <c r="G153" s="6">
        <v>35</v>
      </c>
    </row>
    <row r="154" spans="2:7" x14ac:dyDescent="0.35">
      <c r="B154" s="4" t="s">
        <v>5</v>
      </c>
      <c r="C154" s="4" t="s">
        <v>67</v>
      </c>
      <c r="D154" s="4">
        <v>2009</v>
      </c>
      <c r="E154" s="4" t="s">
        <v>69</v>
      </c>
      <c r="F154" s="5">
        <v>-4072828.00169132</v>
      </c>
      <c r="G154" s="6">
        <v>52</v>
      </c>
    </row>
    <row r="155" spans="2:7" x14ac:dyDescent="0.35">
      <c r="B155" s="4" t="s">
        <v>5</v>
      </c>
      <c r="C155" s="4" t="s">
        <v>67</v>
      </c>
      <c r="D155" s="4">
        <v>2011</v>
      </c>
      <c r="E155" s="4" t="s">
        <v>69</v>
      </c>
      <c r="F155" s="5">
        <v>-2933786.8602521</v>
      </c>
      <c r="G155" s="6">
        <v>23</v>
      </c>
    </row>
    <row r="156" spans="2:7" x14ac:dyDescent="0.35">
      <c r="B156" s="4" t="s">
        <v>5</v>
      </c>
      <c r="C156" s="4" t="s">
        <v>67</v>
      </c>
      <c r="D156" s="4">
        <v>2022</v>
      </c>
      <c r="E156" s="4" t="s">
        <v>69</v>
      </c>
      <c r="F156" s="5">
        <v>-6398940.1782572297</v>
      </c>
      <c r="G156" s="6">
        <v>59</v>
      </c>
    </row>
    <row r="157" spans="2:7" x14ac:dyDescent="0.35">
      <c r="B157" s="4" t="s">
        <v>5</v>
      </c>
      <c r="C157" s="4" t="s">
        <v>67</v>
      </c>
      <c r="D157" s="4">
        <v>2002</v>
      </c>
      <c r="E157" s="4" t="s">
        <v>69</v>
      </c>
      <c r="F157" s="5">
        <v>-197073.916332564</v>
      </c>
      <c r="G157" s="6">
        <v>4</v>
      </c>
    </row>
    <row r="158" spans="2:7" x14ac:dyDescent="0.35">
      <c r="B158" s="4" t="s">
        <v>5</v>
      </c>
      <c r="C158" s="4" t="s">
        <v>67</v>
      </c>
      <c r="D158" s="4">
        <v>2006</v>
      </c>
      <c r="E158" s="4" t="s">
        <v>69</v>
      </c>
      <c r="F158" s="5">
        <v>-137257.28</v>
      </c>
      <c r="G158" s="6">
        <v>10</v>
      </c>
    </row>
    <row r="159" spans="2:7" x14ac:dyDescent="0.35">
      <c r="B159" s="4" t="s">
        <v>3</v>
      </c>
      <c r="C159" s="4" t="s">
        <v>67</v>
      </c>
      <c r="D159" s="4">
        <v>2002</v>
      </c>
      <c r="E159" s="4" t="s">
        <v>69</v>
      </c>
      <c r="F159" s="5">
        <v>-14700266.4591175</v>
      </c>
      <c r="G159" s="6">
        <v>587</v>
      </c>
    </row>
    <row r="160" spans="2:7" x14ac:dyDescent="0.35">
      <c r="B160" s="4" t="s">
        <v>3</v>
      </c>
      <c r="C160" s="4" t="s">
        <v>67</v>
      </c>
      <c r="D160" s="4">
        <v>2023</v>
      </c>
      <c r="E160" s="4" t="s">
        <v>69</v>
      </c>
      <c r="F160" s="5">
        <v>-170433308.86150801</v>
      </c>
      <c r="G160" s="6">
        <v>1304</v>
      </c>
    </row>
    <row r="161" spans="2:7" x14ac:dyDescent="0.35">
      <c r="B161" s="4" t="s">
        <v>3</v>
      </c>
      <c r="C161" s="4" t="s">
        <v>67</v>
      </c>
      <c r="D161" s="4">
        <v>2009</v>
      </c>
      <c r="E161" s="4" t="s">
        <v>69</v>
      </c>
      <c r="F161" s="5">
        <v>-50124604.266939498</v>
      </c>
      <c r="G161" s="6">
        <v>916</v>
      </c>
    </row>
    <row r="162" spans="2:7" x14ac:dyDescent="0.35">
      <c r="B162" s="4" t="s">
        <v>3</v>
      </c>
      <c r="C162" s="4" t="s">
        <v>67</v>
      </c>
      <c r="D162" s="4">
        <v>2021</v>
      </c>
      <c r="E162" s="4" t="s">
        <v>69</v>
      </c>
      <c r="F162" s="5">
        <v>-194813446.994425</v>
      </c>
      <c r="G162" s="6">
        <v>1549</v>
      </c>
    </row>
    <row r="163" spans="2:7" x14ac:dyDescent="0.35">
      <c r="B163" s="4" t="s">
        <v>3</v>
      </c>
      <c r="C163" s="4" t="s">
        <v>67</v>
      </c>
      <c r="D163" s="4">
        <v>2005</v>
      </c>
      <c r="E163" s="4" t="s">
        <v>69</v>
      </c>
      <c r="F163" s="5">
        <v>-89607903.7150179</v>
      </c>
      <c r="G163" s="6">
        <v>1771</v>
      </c>
    </row>
    <row r="164" spans="2:7" x14ac:dyDescent="0.35">
      <c r="B164" s="4" t="s">
        <v>5</v>
      </c>
      <c r="C164" s="4" t="s">
        <v>67</v>
      </c>
      <c r="D164" s="4">
        <v>2016</v>
      </c>
      <c r="E164" s="4" t="s">
        <v>69</v>
      </c>
      <c r="F164" s="5">
        <v>-6294215.7213442596</v>
      </c>
      <c r="G164" s="6">
        <v>95</v>
      </c>
    </row>
    <row r="165" spans="2:7" x14ac:dyDescent="0.35">
      <c r="B165" s="4" t="s">
        <v>5</v>
      </c>
      <c r="C165" s="4" t="s">
        <v>67</v>
      </c>
      <c r="D165" s="4">
        <v>2017</v>
      </c>
      <c r="E165" s="4" t="s">
        <v>69</v>
      </c>
      <c r="F165" s="5">
        <v>-16108805.056888301</v>
      </c>
      <c r="G165" s="6">
        <v>91</v>
      </c>
    </row>
    <row r="166" spans="2:7" x14ac:dyDescent="0.35">
      <c r="B166" s="4" t="s">
        <v>5</v>
      </c>
      <c r="C166" s="4" t="s">
        <v>67</v>
      </c>
      <c r="D166" s="4">
        <v>2024</v>
      </c>
      <c r="E166" s="4" t="s">
        <v>69</v>
      </c>
      <c r="F166" s="5">
        <v>-17392476.225784801</v>
      </c>
      <c r="G166" s="6">
        <v>42</v>
      </c>
    </row>
    <row r="167" spans="2:7" x14ac:dyDescent="0.35">
      <c r="B167" s="4" t="s">
        <v>5</v>
      </c>
      <c r="C167" s="4" t="s">
        <v>67</v>
      </c>
      <c r="D167" s="4">
        <v>2012</v>
      </c>
      <c r="E167" s="4" t="s">
        <v>69</v>
      </c>
      <c r="F167" s="5">
        <v>-1143460.82857384</v>
      </c>
      <c r="G167" s="6">
        <v>16</v>
      </c>
    </row>
    <row r="168" spans="2:7" x14ac:dyDescent="0.35">
      <c r="B168" s="4" t="s">
        <v>3</v>
      </c>
      <c r="C168" s="4" t="s">
        <v>67</v>
      </c>
      <c r="D168" s="4">
        <v>2012</v>
      </c>
      <c r="E168" s="4" t="s">
        <v>69</v>
      </c>
      <c r="F168" s="5">
        <v>-12836310.1285454</v>
      </c>
      <c r="G168" s="6">
        <v>244</v>
      </c>
    </row>
    <row r="169" spans="2:7" x14ac:dyDescent="0.35">
      <c r="B169" s="4" t="s">
        <v>3</v>
      </c>
      <c r="C169" s="4" t="s">
        <v>67</v>
      </c>
      <c r="D169" s="4">
        <v>2017</v>
      </c>
      <c r="E169" s="4" t="s">
        <v>69</v>
      </c>
      <c r="F169" s="5">
        <v>-76481006.498354897</v>
      </c>
      <c r="G169" s="6">
        <v>865</v>
      </c>
    </row>
    <row r="170" spans="2:7" x14ac:dyDescent="0.35">
      <c r="B170" s="4" t="s">
        <v>5</v>
      </c>
      <c r="C170" s="4" t="s">
        <v>67</v>
      </c>
      <c r="D170" s="4">
        <v>2003</v>
      </c>
      <c r="E170" s="4" t="s">
        <v>69</v>
      </c>
      <c r="F170" s="5">
        <v>-275927.39</v>
      </c>
      <c r="G170" s="6">
        <v>9</v>
      </c>
    </row>
    <row r="171" spans="2:7" x14ac:dyDescent="0.35">
      <c r="B171" s="4" t="s">
        <v>5</v>
      </c>
      <c r="C171" s="4" t="s">
        <v>67</v>
      </c>
      <c r="D171" s="4">
        <v>2005</v>
      </c>
      <c r="E171" s="4" t="s">
        <v>69</v>
      </c>
      <c r="F171" s="5">
        <v>-236431.768558902</v>
      </c>
      <c r="G171" s="6">
        <v>8</v>
      </c>
    </row>
    <row r="172" spans="2:7" x14ac:dyDescent="0.35">
      <c r="B172" s="4" t="s">
        <v>3</v>
      </c>
      <c r="C172" s="4" t="s">
        <v>67</v>
      </c>
      <c r="D172" s="4">
        <v>2018</v>
      </c>
      <c r="E172" s="4" t="s">
        <v>69</v>
      </c>
      <c r="F172" s="5">
        <v>-98359069.362301603</v>
      </c>
      <c r="G172" s="6">
        <v>1042</v>
      </c>
    </row>
    <row r="173" spans="2:7" x14ac:dyDescent="0.35">
      <c r="B173" s="4" t="s">
        <v>5</v>
      </c>
      <c r="C173" s="4" t="s">
        <v>67</v>
      </c>
      <c r="D173" s="4">
        <v>2010</v>
      </c>
      <c r="E173" s="4" t="s">
        <v>69</v>
      </c>
      <c r="F173" s="5">
        <v>-2809633.3346038898</v>
      </c>
      <c r="G173" s="6">
        <v>41</v>
      </c>
    </row>
    <row r="174" spans="2:7" x14ac:dyDescent="0.35">
      <c r="B174" s="4" t="s">
        <v>5</v>
      </c>
      <c r="C174" s="4" t="s">
        <v>67</v>
      </c>
      <c r="D174" s="4">
        <v>2007</v>
      </c>
      <c r="E174" s="4" t="s">
        <v>69</v>
      </c>
      <c r="F174" s="5">
        <v>-1488428.6399999899</v>
      </c>
      <c r="G174" s="6">
        <v>22</v>
      </c>
    </row>
    <row r="175" spans="2:7" x14ac:dyDescent="0.35">
      <c r="B175" s="4" t="s">
        <v>5</v>
      </c>
      <c r="C175" s="4" t="s">
        <v>67</v>
      </c>
      <c r="D175" s="4">
        <v>2019</v>
      </c>
      <c r="E175" s="4" t="s">
        <v>69</v>
      </c>
      <c r="F175" s="5">
        <v>-13477247.1140933</v>
      </c>
      <c r="G175" s="6">
        <v>89</v>
      </c>
    </row>
    <row r="176" spans="2:7" x14ac:dyDescent="0.35">
      <c r="B176" s="4" t="s">
        <v>3</v>
      </c>
      <c r="C176" s="4" t="s">
        <v>67</v>
      </c>
      <c r="D176" s="4">
        <v>2004</v>
      </c>
      <c r="E176" s="4" t="s">
        <v>69</v>
      </c>
      <c r="F176" s="5">
        <v>-69585414.750971004</v>
      </c>
      <c r="G176" s="6">
        <v>1457</v>
      </c>
    </row>
    <row r="177" spans="2:7" x14ac:dyDescent="0.35">
      <c r="B177" s="4" t="s">
        <v>3</v>
      </c>
      <c r="C177" s="4" t="s">
        <v>67</v>
      </c>
      <c r="D177" s="4">
        <v>2008</v>
      </c>
      <c r="E177" s="4" t="s">
        <v>69</v>
      </c>
      <c r="F177" s="5">
        <v>-86813940.992624506</v>
      </c>
      <c r="G177" s="6">
        <v>1379</v>
      </c>
    </row>
    <row r="178" spans="2:7" x14ac:dyDescent="0.35">
      <c r="B178" s="4" t="s">
        <v>5</v>
      </c>
      <c r="C178" s="4" t="s">
        <v>67</v>
      </c>
      <c r="D178" s="4">
        <v>2015</v>
      </c>
      <c r="E178" s="4" t="s">
        <v>69</v>
      </c>
      <c r="F178" s="5">
        <v>-6666754.0391285401</v>
      </c>
      <c r="G178" s="6">
        <v>86</v>
      </c>
    </row>
    <row r="179" spans="2:7" x14ac:dyDescent="0.35">
      <c r="B179" s="4" t="s">
        <v>3</v>
      </c>
      <c r="C179" s="4" t="s">
        <v>67</v>
      </c>
      <c r="D179" s="4">
        <v>2001</v>
      </c>
      <c r="E179" s="4" t="s">
        <v>69</v>
      </c>
      <c r="F179" s="5">
        <v>-7741722.1841487996</v>
      </c>
      <c r="G179" s="6">
        <v>374</v>
      </c>
    </row>
    <row r="180" spans="2:7" x14ac:dyDescent="0.35">
      <c r="B180" s="4" t="s">
        <v>3</v>
      </c>
      <c r="C180" s="4" t="s">
        <v>67</v>
      </c>
      <c r="D180" s="4">
        <v>2020</v>
      </c>
      <c r="E180" s="4" t="s">
        <v>69</v>
      </c>
      <c r="F180" s="5">
        <v>-142261513.220864</v>
      </c>
      <c r="G180" s="6">
        <v>1266</v>
      </c>
    </row>
    <row r="181" spans="2:7" x14ac:dyDescent="0.35">
      <c r="B181" s="4" t="s">
        <v>5</v>
      </c>
      <c r="C181" s="4" t="s">
        <v>67</v>
      </c>
      <c r="D181" s="4">
        <v>2004</v>
      </c>
      <c r="E181" s="4" t="s">
        <v>69</v>
      </c>
      <c r="F181" s="5">
        <v>-84386.67</v>
      </c>
      <c r="G181" s="6">
        <v>3</v>
      </c>
    </row>
    <row r="182" spans="2:7" x14ac:dyDescent="0.35">
      <c r="B182" s="4" t="s">
        <v>5</v>
      </c>
      <c r="C182" s="4" t="s">
        <v>67</v>
      </c>
      <c r="D182" s="4">
        <v>2001</v>
      </c>
      <c r="E182" s="4" t="s">
        <v>69</v>
      </c>
      <c r="F182" s="5">
        <v>-0.74064921936425898</v>
      </c>
      <c r="G182" s="6">
        <v>4</v>
      </c>
    </row>
    <row r="183" spans="2:7" x14ac:dyDescent="0.35">
      <c r="B183" s="4" t="s">
        <v>5</v>
      </c>
      <c r="C183" s="4" t="s">
        <v>67</v>
      </c>
      <c r="D183" s="4">
        <v>2014</v>
      </c>
      <c r="E183" s="4" t="s">
        <v>69</v>
      </c>
      <c r="F183" s="5">
        <v>-4641827.3346947404</v>
      </c>
      <c r="G183" s="6">
        <v>51</v>
      </c>
    </row>
    <row r="184" spans="2:7" x14ac:dyDescent="0.35">
      <c r="B184" s="4" t="s">
        <v>3</v>
      </c>
      <c r="C184" s="4" t="s">
        <v>67</v>
      </c>
      <c r="D184" s="4">
        <v>2024</v>
      </c>
      <c r="E184" s="4" t="s">
        <v>69</v>
      </c>
      <c r="F184" s="5">
        <v>-358132617.92659497</v>
      </c>
      <c r="G184" s="6">
        <v>2412</v>
      </c>
    </row>
    <row r="185" spans="2:7" x14ac:dyDescent="0.35">
      <c r="B185" s="4" t="s">
        <v>3</v>
      </c>
      <c r="C185" s="4" t="s">
        <v>67</v>
      </c>
      <c r="D185" s="4">
        <v>2010</v>
      </c>
      <c r="E185" s="4" t="s">
        <v>69</v>
      </c>
      <c r="F185" s="5">
        <v>-45950950.161474101</v>
      </c>
      <c r="G185" s="6">
        <v>754</v>
      </c>
    </row>
    <row r="186" spans="2:7" x14ac:dyDescent="0.35">
      <c r="B186" s="4" t="s">
        <v>3</v>
      </c>
      <c r="C186" s="4" t="s">
        <v>67</v>
      </c>
      <c r="D186" s="4">
        <v>2011</v>
      </c>
      <c r="E186" s="4" t="s">
        <v>69</v>
      </c>
      <c r="F186" s="5">
        <v>-15771985.343481701</v>
      </c>
      <c r="G186" s="6">
        <v>312</v>
      </c>
    </row>
    <row r="187" spans="2:7" x14ac:dyDescent="0.35">
      <c r="B187" s="4" t="s">
        <v>5</v>
      </c>
      <c r="C187" s="4" t="s">
        <v>67</v>
      </c>
      <c r="D187" s="4">
        <v>2008</v>
      </c>
      <c r="E187" s="4" t="s">
        <v>69</v>
      </c>
      <c r="F187" s="5">
        <v>-1881555.80668719</v>
      </c>
      <c r="G187" s="6">
        <v>45</v>
      </c>
    </row>
    <row r="188" spans="2:7" x14ac:dyDescent="0.35">
      <c r="B188" s="4" t="s">
        <v>3</v>
      </c>
      <c r="C188" s="4" t="s">
        <v>70</v>
      </c>
      <c r="D188" s="4">
        <v>1995</v>
      </c>
      <c r="E188" s="4" t="s">
        <v>68</v>
      </c>
      <c r="F188" s="5">
        <v>-44924.570939167701</v>
      </c>
      <c r="G188" s="6">
        <v>10</v>
      </c>
    </row>
    <row r="189" spans="2:7" x14ac:dyDescent="0.35">
      <c r="B189" s="4" t="s">
        <v>5</v>
      </c>
      <c r="C189" s="4" t="s">
        <v>70</v>
      </c>
      <c r="D189" s="4">
        <v>1998</v>
      </c>
      <c r="E189" s="4" t="s">
        <v>68</v>
      </c>
      <c r="F189" s="5">
        <v>-495.26</v>
      </c>
      <c r="G189" s="6">
        <v>1</v>
      </c>
    </row>
    <row r="190" spans="2:7" x14ac:dyDescent="0.35">
      <c r="B190" s="4" t="s">
        <v>3</v>
      </c>
      <c r="C190" s="4" t="s">
        <v>70</v>
      </c>
      <c r="D190" s="4">
        <v>1998</v>
      </c>
      <c r="E190" s="4" t="s">
        <v>68</v>
      </c>
      <c r="F190" s="5">
        <v>-3595656.4541262002</v>
      </c>
      <c r="G190" s="6">
        <v>229</v>
      </c>
    </row>
    <row r="191" spans="2:7" x14ac:dyDescent="0.35">
      <c r="B191" s="4" t="s">
        <v>3</v>
      </c>
      <c r="C191" s="4" t="s">
        <v>70</v>
      </c>
      <c r="D191" s="4">
        <v>1999</v>
      </c>
      <c r="E191" s="4" t="s">
        <v>68</v>
      </c>
      <c r="F191" s="5">
        <v>-3640734.1973553798</v>
      </c>
      <c r="G191" s="6">
        <v>269</v>
      </c>
    </row>
    <row r="192" spans="2:7" x14ac:dyDescent="0.35">
      <c r="B192" s="4" t="s">
        <v>3</v>
      </c>
      <c r="C192" s="4" t="s">
        <v>70</v>
      </c>
      <c r="D192" s="4">
        <v>1996</v>
      </c>
      <c r="E192" s="4" t="s">
        <v>68</v>
      </c>
      <c r="F192" s="5">
        <v>-289360.79460998601</v>
      </c>
      <c r="G192" s="6">
        <v>30</v>
      </c>
    </row>
    <row r="193" spans="2:7" x14ac:dyDescent="0.35">
      <c r="B193" s="4" t="s">
        <v>3</v>
      </c>
      <c r="C193" s="4" t="s">
        <v>70</v>
      </c>
      <c r="D193" s="4">
        <v>1988</v>
      </c>
      <c r="E193" s="4" t="s">
        <v>68</v>
      </c>
      <c r="F193" s="5">
        <v>-528.13</v>
      </c>
      <c r="G193" s="6">
        <v>1</v>
      </c>
    </row>
    <row r="194" spans="2:7" x14ac:dyDescent="0.35">
      <c r="B194" s="4" t="s">
        <v>3</v>
      </c>
      <c r="C194" s="4" t="s">
        <v>70</v>
      </c>
      <c r="D194" s="4">
        <v>1989</v>
      </c>
      <c r="E194" s="4" t="s">
        <v>68</v>
      </c>
      <c r="F194" s="5">
        <v>-5930.42</v>
      </c>
      <c r="G194" s="6">
        <v>1</v>
      </c>
    </row>
    <row r="195" spans="2:7" x14ac:dyDescent="0.35">
      <c r="B195" s="4" t="s">
        <v>5</v>
      </c>
      <c r="C195" s="4" t="s">
        <v>70</v>
      </c>
      <c r="D195" s="4">
        <v>1995</v>
      </c>
      <c r="E195" s="4" t="s">
        <v>68</v>
      </c>
      <c r="F195" s="5">
        <v>-352618.239999999</v>
      </c>
      <c r="G195" s="6">
        <v>6</v>
      </c>
    </row>
    <row r="196" spans="2:7" x14ac:dyDescent="0.35">
      <c r="B196" s="4" t="s">
        <v>3</v>
      </c>
      <c r="C196" s="4" t="s">
        <v>70</v>
      </c>
      <c r="D196" s="4">
        <v>1997</v>
      </c>
      <c r="E196" s="4" t="s">
        <v>68</v>
      </c>
      <c r="F196" s="5">
        <v>-2295962.1082007098</v>
      </c>
      <c r="G196" s="6">
        <v>150</v>
      </c>
    </row>
    <row r="197" spans="2:7" x14ac:dyDescent="0.35">
      <c r="B197" s="4" t="s">
        <v>5</v>
      </c>
      <c r="C197" s="4" t="s">
        <v>70</v>
      </c>
      <c r="D197" s="4">
        <v>1989</v>
      </c>
      <c r="E197" s="4" t="s">
        <v>68</v>
      </c>
      <c r="F197" s="5">
        <v>-54.48</v>
      </c>
      <c r="G197" s="6">
        <v>1</v>
      </c>
    </row>
    <row r="198" spans="2:7" x14ac:dyDescent="0.35">
      <c r="B198" s="4" t="s">
        <v>3</v>
      </c>
      <c r="C198" s="4" t="s">
        <v>70</v>
      </c>
      <c r="D198" s="4">
        <v>1987</v>
      </c>
      <c r="E198" s="4" t="s">
        <v>68</v>
      </c>
      <c r="F198" s="5">
        <v>-2152.1002883075198</v>
      </c>
      <c r="G198" s="6">
        <v>1</v>
      </c>
    </row>
    <row r="199" spans="2:7" x14ac:dyDescent="0.35">
      <c r="B199" s="4" t="s">
        <v>3</v>
      </c>
      <c r="C199" s="4" t="s">
        <v>70</v>
      </c>
      <c r="D199" s="4">
        <v>1982</v>
      </c>
      <c r="E199" s="4" t="s">
        <v>68</v>
      </c>
      <c r="F199" s="5">
        <v>-11.65</v>
      </c>
      <c r="G199" s="6">
        <v>1</v>
      </c>
    </row>
    <row r="200" spans="2:7" x14ac:dyDescent="0.35">
      <c r="B200" s="4" t="s">
        <v>5</v>
      </c>
      <c r="C200" s="4" t="s">
        <v>70</v>
      </c>
      <c r="D200" s="4">
        <v>1993</v>
      </c>
      <c r="E200" s="4" t="s">
        <v>68</v>
      </c>
      <c r="F200" s="5">
        <v>-0.53</v>
      </c>
      <c r="G200" s="6">
        <v>2</v>
      </c>
    </row>
    <row r="201" spans="2:7" x14ac:dyDescent="0.35">
      <c r="B201" s="4" t="s">
        <v>5</v>
      </c>
      <c r="C201" s="4" t="s">
        <v>70</v>
      </c>
      <c r="D201" s="4">
        <v>1997</v>
      </c>
      <c r="E201" s="4" t="s">
        <v>68</v>
      </c>
      <c r="F201" s="5">
        <v>-985.66</v>
      </c>
      <c r="G201" s="6">
        <v>2</v>
      </c>
    </row>
    <row r="202" spans="2:7" x14ac:dyDescent="0.35">
      <c r="B202" s="4" t="s">
        <v>5</v>
      </c>
      <c r="C202" s="4" t="s">
        <v>70</v>
      </c>
      <c r="D202" s="4">
        <v>1999</v>
      </c>
      <c r="E202" s="4" t="s">
        <v>68</v>
      </c>
      <c r="F202" s="5">
        <v>-859</v>
      </c>
      <c r="G202" s="6">
        <v>1</v>
      </c>
    </row>
    <row r="203" spans="2:7" x14ac:dyDescent="0.35">
      <c r="B203" s="4" t="s">
        <v>3</v>
      </c>
      <c r="C203" s="4" t="s">
        <v>70</v>
      </c>
      <c r="D203" s="4">
        <v>1990</v>
      </c>
      <c r="E203" s="4" t="s">
        <v>68</v>
      </c>
      <c r="F203" s="5">
        <v>-4400.95</v>
      </c>
      <c r="G203" s="6">
        <v>1</v>
      </c>
    </row>
    <row r="204" spans="2:7" x14ac:dyDescent="0.35">
      <c r="B204" s="4" t="s">
        <v>5</v>
      </c>
      <c r="C204" s="4" t="s">
        <v>70</v>
      </c>
      <c r="D204" s="4">
        <v>1991</v>
      </c>
      <c r="E204" s="4" t="s">
        <v>68</v>
      </c>
      <c r="F204" s="5">
        <v>-151182.98000000001</v>
      </c>
      <c r="G204" s="6">
        <v>1</v>
      </c>
    </row>
    <row r="205" spans="2:7" x14ac:dyDescent="0.35">
      <c r="B205" s="4" t="s">
        <v>3</v>
      </c>
      <c r="C205" s="4" t="s">
        <v>70</v>
      </c>
      <c r="D205" s="4">
        <v>1993</v>
      </c>
      <c r="E205" s="4" t="s">
        <v>68</v>
      </c>
      <c r="F205" s="5">
        <v>-29244.595082876</v>
      </c>
      <c r="G205" s="6">
        <v>3</v>
      </c>
    </row>
    <row r="206" spans="2:7" x14ac:dyDescent="0.35">
      <c r="B206" s="4" t="s">
        <v>3</v>
      </c>
      <c r="C206" s="4" t="s">
        <v>70</v>
      </c>
      <c r="D206" s="4">
        <v>1992</v>
      </c>
      <c r="E206" s="4" t="s">
        <v>68</v>
      </c>
      <c r="F206" s="5">
        <v>-1182.3399999999999</v>
      </c>
      <c r="G206" s="6">
        <v>0</v>
      </c>
    </row>
    <row r="207" spans="2:7" x14ac:dyDescent="0.35">
      <c r="B207" s="4" t="s">
        <v>3</v>
      </c>
      <c r="C207" s="4" t="s">
        <v>70</v>
      </c>
      <c r="D207" s="4">
        <v>1994</v>
      </c>
      <c r="E207" s="4" t="s">
        <v>68</v>
      </c>
      <c r="F207" s="5">
        <v>-186251.929999999</v>
      </c>
      <c r="G207" s="6">
        <v>18</v>
      </c>
    </row>
    <row r="208" spans="2:7" x14ac:dyDescent="0.35">
      <c r="B208" s="4" t="s">
        <v>3</v>
      </c>
      <c r="C208" s="4" t="s">
        <v>70</v>
      </c>
      <c r="D208" s="4">
        <v>2006</v>
      </c>
      <c r="E208" s="4" t="s">
        <v>69</v>
      </c>
      <c r="F208" s="5">
        <v>-11686635.4268155</v>
      </c>
      <c r="G208" s="6">
        <v>332</v>
      </c>
    </row>
    <row r="209" spans="2:7" x14ac:dyDescent="0.35">
      <c r="B209" s="4" t="s">
        <v>3</v>
      </c>
      <c r="C209" s="4" t="s">
        <v>70</v>
      </c>
      <c r="D209" s="4">
        <v>2005</v>
      </c>
      <c r="E209" s="4" t="s">
        <v>69</v>
      </c>
      <c r="F209" s="5">
        <v>-7768824.2278409302</v>
      </c>
      <c r="G209" s="6">
        <v>271</v>
      </c>
    </row>
    <row r="210" spans="2:7" x14ac:dyDescent="0.35">
      <c r="B210" s="4" t="s">
        <v>3</v>
      </c>
      <c r="C210" s="4" t="s">
        <v>70</v>
      </c>
      <c r="D210" s="4">
        <v>2000</v>
      </c>
      <c r="E210" s="4" t="s">
        <v>69</v>
      </c>
      <c r="F210" s="5">
        <v>-4103215.00150633</v>
      </c>
      <c r="G210" s="6">
        <v>356</v>
      </c>
    </row>
    <row r="211" spans="2:7" x14ac:dyDescent="0.35">
      <c r="B211" s="4" t="s">
        <v>3</v>
      </c>
      <c r="C211" s="4" t="s">
        <v>70</v>
      </c>
      <c r="D211" s="4">
        <v>2019</v>
      </c>
      <c r="E211" s="4" t="s">
        <v>69</v>
      </c>
      <c r="F211" s="5">
        <v>-20536148.314956799</v>
      </c>
      <c r="G211" s="6">
        <v>206</v>
      </c>
    </row>
    <row r="212" spans="2:7" x14ac:dyDescent="0.35">
      <c r="B212" s="4" t="s">
        <v>5</v>
      </c>
      <c r="C212" s="4" t="s">
        <v>70</v>
      </c>
      <c r="D212" s="4">
        <v>2022</v>
      </c>
      <c r="E212" s="4" t="s">
        <v>69</v>
      </c>
      <c r="F212" s="5">
        <v>-174593889.36999899</v>
      </c>
      <c r="G212" s="6">
        <v>278</v>
      </c>
    </row>
    <row r="213" spans="2:7" x14ac:dyDescent="0.35">
      <c r="B213" s="4" t="s">
        <v>5</v>
      </c>
      <c r="C213" s="4" t="s">
        <v>70</v>
      </c>
      <c r="D213" s="4">
        <v>2013</v>
      </c>
      <c r="E213" s="4" t="s">
        <v>69</v>
      </c>
      <c r="F213" s="5">
        <v>-15092711.1698296</v>
      </c>
      <c r="G213" s="6">
        <v>46</v>
      </c>
    </row>
    <row r="214" spans="2:7" x14ac:dyDescent="0.35">
      <c r="B214" s="4" t="s">
        <v>5</v>
      </c>
      <c r="C214" s="4" t="s">
        <v>70</v>
      </c>
      <c r="D214" s="4">
        <v>2006</v>
      </c>
      <c r="E214" s="4" t="s">
        <v>69</v>
      </c>
      <c r="F214" s="5">
        <v>-11161291.4515684</v>
      </c>
      <c r="G214" s="6">
        <v>28</v>
      </c>
    </row>
    <row r="215" spans="2:7" x14ac:dyDescent="0.35">
      <c r="B215" s="4" t="s">
        <v>3</v>
      </c>
      <c r="C215" s="4" t="s">
        <v>70</v>
      </c>
      <c r="D215" s="4">
        <v>2020</v>
      </c>
      <c r="E215" s="4" t="s">
        <v>69</v>
      </c>
      <c r="F215" s="5">
        <v>-36496418.327987298</v>
      </c>
      <c r="G215" s="6">
        <v>300</v>
      </c>
    </row>
    <row r="216" spans="2:7" x14ac:dyDescent="0.35">
      <c r="B216" s="4" t="s">
        <v>3</v>
      </c>
      <c r="C216" s="4" t="s">
        <v>70</v>
      </c>
      <c r="D216" s="4">
        <v>2009</v>
      </c>
      <c r="E216" s="4" t="s">
        <v>69</v>
      </c>
      <c r="F216" s="5">
        <v>-19700071.673923001</v>
      </c>
      <c r="G216" s="6">
        <v>482</v>
      </c>
    </row>
    <row r="217" spans="2:7" x14ac:dyDescent="0.35">
      <c r="B217" s="4" t="s">
        <v>5</v>
      </c>
      <c r="C217" s="4" t="s">
        <v>70</v>
      </c>
      <c r="D217" s="4">
        <v>2024</v>
      </c>
      <c r="E217" s="4" t="s">
        <v>69</v>
      </c>
      <c r="F217" s="5">
        <v>-464573421.169999</v>
      </c>
      <c r="G217" s="6">
        <v>569</v>
      </c>
    </row>
    <row r="218" spans="2:7" x14ac:dyDescent="0.35">
      <c r="B218" s="4" t="s">
        <v>5</v>
      </c>
      <c r="C218" s="4" t="s">
        <v>70</v>
      </c>
      <c r="D218" s="4">
        <v>2021</v>
      </c>
      <c r="E218" s="4" t="s">
        <v>69</v>
      </c>
      <c r="F218" s="5">
        <v>-112910948.499999</v>
      </c>
      <c r="G218" s="6">
        <v>197</v>
      </c>
    </row>
    <row r="219" spans="2:7" x14ac:dyDescent="0.35">
      <c r="B219" s="4" t="s">
        <v>5</v>
      </c>
      <c r="C219" s="4" t="s">
        <v>70</v>
      </c>
      <c r="D219" s="4">
        <v>2003</v>
      </c>
      <c r="E219" s="4" t="s">
        <v>69</v>
      </c>
      <c r="F219" s="5">
        <v>-148651.799999999</v>
      </c>
      <c r="G219" s="6">
        <v>6</v>
      </c>
    </row>
    <row r="220" spans="2:7" x14ac:dyDescent="0.35">
      <c r="B220" s="4" t="s">
        <v>3</v>
      </c>
      <c r="C220" s="4" t="s">
        <v>70</v>
      </c>
      <c r="D220" s="4">
        <v>2003</v>
      </c>
      <c r="E220" s="4" t="s">
        <v>69</v>
      </c>
      <c r="F220" s="5">
        <v>-14425723.0825407</v>
      </c>
      <c r="G220" s="6">
        <v>459</v>
      </c>
    </row>
    <row r="221" spans="2:7" x14ac:dyDescent="0.35">
      <c r="B221" s="4" t="s">
        <v>3</v>
      </c>
      <c r="C221" s="4" t="s">
        <v>70</v>
      </c>
      <c r="D221" s="4">
        <v>2004</v>
      </c>
      <c r="E221" s="4" t="s">
        <v>69</v>
      </c>
      <c r="F221" s="5">
        <v>-6297262.0770177096</v>
      </c>
      <c r="G221" s="6">
        <v>232</v>
      </c>
    </row>
    <row r="222" spans="2:7" x14ac:dyDescent="0.35">
      <c r="B222" s="4" t="s">
        <v>3</v>
      </c>
      <c r="C222" s="4" t="s">
        <v>70</v>
      </c>
      <c r="D222" s="4">
        <v>2001</v>
      </c>
      <c r="E222" s="4" t="s">
        <v>69</v>
      </c>
      <c r="F222" s="5">
        <v>-5145682.9878074303</v>
      </c>
      <c r="G222" s="6">
        <v>357</v>
      </c>
    </row>
    <row r="223" spans="2:7" x14ac:dyDescent="0.35">
      <c r="B223" s="4" t="s">
        <v>3</v>
      </c>
      <c r="C223" s="4" t="s">
        <v>70</v>
      </c>
      <c r="D223" s="4">
        <v>2010</v>
      </c>
      <c r="E223" s="4" t="s">
        <v>69</v>
      </c>
      <c r="F223" s="5">
        <v>-24864089.9227488</v>
      </c>
      <c r="G223" s="6">
        <v>541</v>
      </c>
    </row>
    <row r="224" spans="2:7" x14ac:dyDescent="0.35">
      <c r="B224" s="4" t="s">
        <v>3</v>
      </c>
      <c r="C224" s="4" t="s">
        <v>70</v>
      </c>
      <c r="D224" s="4">
        <v>2014</v>
      </c>
      <c r="E224" s="4" t="s">
        <v>69</v>
      </c>
      <c r="F224" s="5">
        <v>-11155318.2974947</v>
      </c>
      <c r="G224" s="6">
        <v>159</v>
      </c>
    </row>
    <row r="225" spans="2:7" x14ac:dyDescent="0.35">
      <c r="B225" s="4" t="s">
        <v>5</v>
      </c>
      <c r="C225" s="4" t="s">
        <v>70</v>
      </c>
      <c r="D225" s="4">
        <v>2007</v>
      </c>
      <c r="E225" s="4" t="s">
        <v>69</v>
      </c>
      <c r="F225" s="5">
        <v>-2418885.6099999901</v>
      </c>
      <c r="G225" s="6">
        <v>20</v>
      </c>
    </row>
    <row r="226" spans="2:7" x14ac:dyDescent="0.35">
      <c r="B226" s="4" t="s">
        <v>5</v>
      </c>
      <c r="C226" s="4" t="s">
        <v>70</v>
      </c>
      <c r="D226" s="4">
        <v>2017</v>
      </c>
      <c r="E226" s="4" t="s">
        <v>69</v>
      </c>
      <c r="F226" s="5">
        <v>-63777977.175945103</v>
      </c>
      <c r="G226" s="6">
        <v>261</v>
      </c>
    </row>
    <row r="227" spans="2:7" x14ac:dyDescent="0.35">
      <c r="B227" s="4" t="s">
        <v>5</v>
      </c>
      <c r="C227" s="4" t="s">
        <v>70</v>
      </c>
      <c r="D227" s="4">
        <v>2001</v>
      </c>
      <c r="E227" s="4" t="s">
        <v>69</v>
      </c>
      <c r="F227" s="5">
        <v>-623.78</v>
      </c>
      <c r="G227" s="6">
        <v>1</v>
      </c>
    </row>
    <row r="228" spans="2:7" x14ac:dyDescent="0.35">
      <c r="B228" s="4" t="s">
        <v>5</v>
      </c>
      <c r="C228" s="4" t="s">
        <v>70</v>
      </c>
      <c r="D228" s="4">
        <v>2005</v>
      </c>
      <c r="E228" s="4" t="s">
        <v>69</v>
      </c>
      <c r="F228" s="5">
        <v>-245651.23</v>
      </c>
      <c r="G228" s="6">
        <v>2</v>
      </c>
    </row>
    <row r="229" spans="2:7" x14ac:dyDescent="0.35">
      <c r="B229" s="4" t="s">
        <v>3</v>
      </c>
      <c r="C229" s="4" t="s">
        <v>70</v>
      </c>
      <c r="D229" s="4">
        <v>2023</v>
      </c>
      <c r="E229" s="4" t="s">
        <v>69</v>
      </c>
      <c r="F229" s="5">
        <v>-35053116.970062003</v>
      </c>
      <c r="G229" s="6">
        <v>276</v>
      </c>
    </row>
    <row r="230" spans="2:7" x14ac:dyDescent="0.35">
      <c r="B230" s="4" t="s">
        <v>5</v>
      </c>
      <c r="C230" s="4" t="s">
        <v>70</v>
      </c>
      <c r="D230" s="4">
        <v>2008</v>
      </c>
      <c r="E230" s="4" t="s">
        <v>69</v>
      </c>
      <c r="F230" s="5">
        <v>-24083897.153312799</v>
      </c>
      <c r="G230" s="6">
        <v>18</v>
      </c>
    </row>
    <row r="231" spans="2:7" x14ac:dyDescent="0.35">
      <c r="B231" s="4" t="s">
        <v>5</v>
      </c>
      <c r="C231" s="4" t="s">
        <v>70</v>
      </c>
      <c r="D231" s="4">
        <v>2020</v>
      </c>
      <c r="E231" s="4" t="s">
        <v>69</v>
      </c>
      <c r="F231" s="5">
        <v>-162579308.359999</v>
      </c>
      <c r="G231" s="6">
        <v>208</v>
      </c>
    </row>
    <row r="232" spans="2:7" x14ac:dyDescent="0.35">
      <c r="B232" s="4" t="s">
        <v>3</v>
      </c>
      <c r="C232" s="4" t="s">
        <v>70</v>
      </c>
      <c r="D232" s="4">
        <v>2007</v>
      </c>
      <c r="E232" s="4" t="s">
        <v>69</v>
      </c>
      <c r="F232" s="5">
        <v>-14092244.298097</v>
      </c>
      <c r="G232" s="6">
        <v>384</v>
      </c>
    </row>
    <row r="233" spans="2:7" x14ac:dyDescent="0.35">
      <c r="B233" s="4" t="s">
        <v>3</v>
      </c>
      <c r="C233" s="4" t="s">
        <v>70</v>
      </c>
      <c r="D233" s="4">
        <v>2013</v>
      </c>
      <c r="E233" s="4" t="s">
        <v>69</v>
      </c>
      <c r="F233" s="5">
        <v>-8050617.5565277403</v>
      </c>
      <c r="G233" s="6">
        <v>138</v>
      </c>
    </row>
    <row r="234" spans="2:7" x14ac:dyDescent="0.35">
      <c r="B234" s="4" t="s">
        <v>3</v>
      </c>
      <c r="C234" s="4" t="s">
        <v>70</v>
      </c>
      <c r="D234" s="4">
        <v>2022</v>
      </c>
      <c r="E234" s="4" t="s">
        <v>69</v>
      </c>
      <c r="F234" s="5">
        <v>-54229030.140000001</v>
      </c>
      <c r="G234" s="6">
        <v>395</v>
      </c>
    </row>
    <row r="235" spans="2:7" x14ac:dyDescent="0.35">
      <c r="B235" s="4" t="s">
        <v>5</v>
      </c>
      <c r="C235" s="4" t="s">
        <v>70</v>
      </c>
      <c r="D235" s="4">
        <v>2000</v>
      </c>
      <c r="E235" s="4" t="s">
        <v>69</v>
      </c>
      <c r="F235" s="5">
        <v>-120532.33</v>
      </c>
      <c r="G235" s="6">
        <v>1</v>
      </c>
    </row>
    <row r="236" spans="2:7" x14ac:dyDescent="0.35">
      <c r="B236" s="4" t="s">
        <v>5</v>
      </c>
      <c r="C236" s="4" t="s">
        <v>70</v>
      </c>
      <c r="D236" s="4">
        <v>2019</v>
      </c>
      <c r="E236" s="4" t="s">
        <v>69</v>
      </c>
      <c r="F236" s="5">
        <v>-199243501.799999</v>
      </c>
      <c r="G236" s="6">
        <v>294</v>
      </c>
    </row>
    <row r="237" spans="2:7" x14ac:dyDescent="0.35">
      <c r="B237" s="4" t="s">
        <v>3</v>
      </c>
      <c r="C237" s="4" t="s">
        <v>70</v>
      </c>
      <c r="D237" s="4">
        <v>2017</v>
      </c>
      <c r="E237" s="4" t="s">
        <v>69</v>
      </c>
      <c r="F237" s="5">
        <v>-12539290.6674603</v>
      </c>
      <c r="G237" s="6">
        <v>192</v>
      </c>
    </row>
    <row r="238" spans="2:7" x14ac:dyDescent="0.35">
      <c r="B238" s="4" t="s">
        <v>3</v>
      </c>
      <c r="C238" s="4" t="s">
        <v>70</v>
      </c>
      <c r="D238" s="4">
        <v>2012</v>
      </c>
      <c r="E238" s="4" t="s">
        <v>69</v>
      </c>
      <c r="F238" s="5">
        <v>-4991709.5655666701</v>
      </c>
      <c r="G238" s="6">
        <v>100</v>
      </c>
    </row>
    <row r="239" spans="2:7" x14ac:dyDescent="0.35">
      <c r="B239" s="4" t="s">
        <v>5</v>
      </c>
      <c r="C239" s="4" t="s">
        <v>70</v>
      </c>
      <c r="D239" s="4">
        <v>2004</v>
      </c>
      <c r="E239" s="4" t="s">
        <v>69</v>
      </c>
      <c r="F239" s="5">
        <v>-57122.699999999903</v>
      </c>
      <c r="G239" s="6">
        <v>16</v>
      </c>
    </row>
    <row r="240" spans="2:7" x14ac:dyDescent="0.35">
      <c r="B240" s="4" t="s">
        <v>3</v>
      </c>
      <c r="C240" s="4" t="s">
        <v>70</v>
      </c>
      <c r="D240" s="4">
        <v>2015</v>
      </c>
      <c r="E240" s="4" t="s">
        <v>69</v>
      </c>
      <c r="F240" s="5">
        <v>-11029707.158855701</v>
      </c>
      <c r="G240" s="6">
        <v>159</v>
      </c>
    </row>
    <row r="241" spans="2:7" x14ac:dyDescent="0.35">
      <c r="B241" s="4" t="s">
        <v>5</v>
      </c>
      <c r="C241" s="4" t="s">
        <v>70</v>
      </c>
      <c r="D241" s="4">
        <v>2023</v>
      </c>
      <c r="E241" s="4" t="s">
        <v>69</v>
      </c>
      <c r="F241" s="5">
        <v>-218054654.049999</v>
      </c>
      <c r="G241" s="6">
        <v>243</v>
      </c>
    </row>
    <row r="242" spans="2:7" x14ac:dyDescent="0.35">
      <c r="B242" s="4" t="s">
        <v>3</v>
      </c>
      <c r="C242" s="4" t="s">
        <v>70</v>
      </c>
      <c r="D242" s="4">
        <v>2011</v>
      </c>
      <c r="E242" s="4" t="s">
        <v>69</v>
      </c>
      <c r="F242" s="5">
        <v>-22170278.5380059</v>
      </c>
      <c r="G242" s="6">
        <v>383</v>
      </c>
    </row>
    <row r="243" spans="2:7" x14ac:dyDescent="0.35">
      <c r="B243" s="4" t="s">
        <v>5</v>
      </c>
      <c r="C243" s="4" t="s">
        <v>70</v>
      </c>
      <c r="D243" s="4">
        <v>2012</v>
      </c>
      <c r="E243" s="4" t="s">
        <v>69</v>
      </c>
      <c r="F243" s="5">
        <v>-9936057.3130114991</v>
      </c>
      <c r="G243" s="6">
        <v>67</v>
      </c>
    </row>
    <row r="244" spans="2:7" x14ac:dyDescent="0.35">
      <c r="B244" s="4" t="s">
        <v>3</v>
      </c>
      <c r="C244" s="4" t="s">
        <v>70</v>
      </c>
      <c r="D244" s="4">
        <v>2024</v>
      </c>
      <c r="E244" s="4" t="s">
        <v>69</v>
      </c>
      <c r="F244" s="5">
        <v>-29658680.3062611</v>
      </c>
      <c r="G244" s="6">
        <v>448</v>
      </c>
    </row>
    <row r="245" spans="2:7" x14ac:dyDescent="0.35">
      <c r="B245" s="4" t="s">
        <v>5</v>
      </c>
      <c r="C245" s="4" t="s">
        <v>70</v>
      </c>
      <c r="D245" s="4">
        <v>2011</v>
      </c>
      <c r="E245" s="4" t="s">
        <v>69</v>
      </c>
      <c r="F245" s="5">
        <v>-5162495.9400000004</v>
      </c>
      <c r="G245" s="6">
        <v>34</v>
      </c>
    </row>
    <row r="246" spans="2:7" x14ac:dyDescent="0.35">
      <c r="B246" s="4" t="s">
        <v>3</v>
      </c>
      <c r="C246" s="4" t="s">
        <v>70</v>
      </c>
      <c r="D246" s="4">
        <v>2002</v>
      </c>
      <c r="E246" s="4" t="s">
        <v>69</v>
      </c>
      <c r="F246" s="5">
        <v>-8587263.0631303303</v>
      </c>
      <c r="G246" s="6">
        <v>411</v>
      </c>
    </row>
    <row r="247" spans="2:7" x14ac:dyDescent="0.35">
      <c r="B247" s="4" t="s">
        <v>5</v>
      </c>
      <c r="C247" s="4" t="s">
        <v>70</v>
      </c>
      <c r="D247" s="4">
        <v>2014</v>
      </c>
      <c r="E247" s="4" t="s">
        <v>69</v>
      </c>
      <c r="F247" s="5">
        <v>-15853208.939999901</v>
      </c>
      <c r="G247" s="6">
        <v>90</v>
      </c>
    </row>
    <row r="248" spans="2:7" x14ac:dyDescent="0.35">
      <c r="B248" s="4" t="s">
        <v>5</v>
      </c>
      <c r="C248" s="4" t="s">
        <v>70</v>
      </c>
      <c r="D248" s="4">
        <v>2016</v>
      </c>
      <c r="E248" s="4" t="s">
        <v>69</v>
      </c>
      <c r="F248" s="5">
        <v>-68102480.072877005</v>
      </c>
      <c r="G248" s="6">
        <v>184</v>
      </c>
    </row>
    <row r="249" spans="2:7" x14ac:dyDescent="0.35">
      <c r="B249" s="4" t="s">
        <v>3</v>
      </c>
      <c r="C249" s="4" t="s">
        <v>70</v>
      </c>
      <c r="D249" s="4">
        <v>2008</v>
      </c>
      <c r="E249" s="4" t="s">
        <v>69</v>
      </c>
      <c r="F249" s="5">
        <v>-20382089.2695654</v>
      </c>
      <c r="G249" s="6">
        <v>545</v>
      </c>
    </row>
    <row r="250" spans="2:7" x14ac:dyDescent="0.35">
      <c r="B250" s="4" t="s">
        <v>5</v>
      </c>
      <c r="C250" s="4" t="s">
        <v>70</v>
      </c>
      <c r="D250" s="4">
        <v>2009</v>
      </c>
      <c r="E250" s="4" t="s">
        <v>69</v>
      </c>
      <c r="F250" s="5">
        <v>-7238644.8101197798</v>
      </c>
      <c r="G250" s="6">
        <v>58</v>
      </c>
    </row>
    <row r="251" spans="2:7" x14ac:dyDescent="0.35">
      <c r="B251" s="4" t="s">
        <v>3</v>
      </c>
      <c r="C251" s="4" t="s">
        <v>70</v>
      </c>
      <c r="D251" s="4">
        <v>2016</v>
      </c>
      <c r="E251" s="4" t="s">
        <v>69</v>
      </c>
      <c r="F251" s="5">
        <v>-7654260.1459545698</v>
      </c>
      <c r="G251" s="6">
        <v>167</v>
      </c>
    </row>
    <row r="252" spans="2:7" x14ac:dyDescent="0.35">
      <c r="B252" s="4" t="s">
        <v>5</v>
      </c>
      <c r="C252" s="4" t="s">
        <v>70</v>
      </c>
      <c r="D252" s="4">
        <v>2002</v>
      </c>
      <c r="E252" s="4" t="s">
        <v>69</v>
      </c>
      <c r="F252" s="5">
        <v>-45007.229999999901</v>
      </c>
      <c r="G252" s="6">
        <v>7</v>
      </c>
    </row>
    <row r="253" spans="2:7" x14ac:dyDescent="0.35">
      <c r="B253" s="4" t="s">
        <v>5</v>
      </c>
      <c r="C253" s="4" t="s">
        <v>70</v>
      </c>
      <c r="D253" s="4">
        <v>2018</v>
      </c>
      <c r="E253" s="4" t="s">
        <v>69</v>
      </c>
      <c r="F253" s="5">
        <v>-228227232.704063</v>
      </c>
      <c r="G253" s="6">
        <v>270</v>
      </c>
    </row>
    <row r="254" spans="2:7" x14ac:dyDescent="0.35">
      <c r="B254" s="4" t="s">
        <v>3</v>
      </c>
      <c r="C254" s="4" t="s">
        <v>70</v>
      </c>
      <c r="D254" s="4">
        <v>2018</v>
      </c>
      <c r="E254" s="4" t="s">
        <v>69</v>
      </c>
      <c r="F254" s="5">
        <v>-12224760.7921733</v>
      </c>
      <c r="G254" s="6">
        <v>165</v>
      </c>
    </row>
    <row r="255" spans="2:7" x14ac:dyDescent="0.35">
      <c r="B255" s="4" t="s">
        <v>5</v>
      </c>
      <c r="C255" s="4" t="s">
        <v>70</v>
      </c>
      <c r="D255" s="4">
        <v>2010</v>
      </c>
      <c r="E255" s="4" t="s">
        <v>69</v>
      </c>
      <c r="F255" s="5">
        <v>-9487479.3099999893</v>
      </c>
      <c r="G255" s="6">
        <v>66</v>
      </c>
    </row>
    <row r="256" spans="2:7" x14ac:dyDescent="0.35">
      <c r="B256" s="4" t="s">
        <v>5</v>
      </c>
      <c r="C256" s="4" t="s">
        <v>70</v>
      </c>
      <c r="D256" s="4">
        <v>2015</v>
      </c>
      <c r="E256" s="4" t="s">
        <v>69</v>
      </c>
      <c r="F256" s="5">
        <v>-55577228.079144597</v>
      </c>
      <c r="G256" s="6">
        <v>128</v>
      </c>
    </row>
    <row r="257" spans="2:7" x14ac:dyDescent="0.35">
      <c r="B257" s="4" t="s">
        <v>3</v>
      </c>
      <c r="C257" s="4" t="s">
        <v>70</v>
      </c>
      <c r="D257" s="4">
        <v>2021</v>
      </c>
      <c r="E257" s="4" t="s">
        <v>69</v>
      </c>
      <c r="F257" s="5">
        <v>-44739635.175915599</v>
      </c>
      <c r="G257" s="6">
        <v>340</v>
      </c>
    </row>
  </sheetData>
  <autoFilter ref="B4:G257" xr:uid="{8A910EC7-734D-40F2-91B7-2276DF393C06}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1E7A82-9029-4CCE-BA22-DA7E00A95EFA}"/>
</file>

<file path=customXml/itemProps2.xml><?xml version="1.0" encoding="utf-8"?>
<ds:datastoreItem xmlns:ds="http://schemas.openxmlformats.org/officeDocument/2006/customXml" ds:itemID="{B26941D1-09B2-460F-8E23-DA6F850FFEC8}"/>
</file>

<file path=customXml/itemProps3.xml><?xml version="1.0" encoding="utf-8"?>
<ds:datastoreItem xmlns:ds="http://schemas.openxmlformats.org/officeDocument/2006/customXml" ds:itemID="{1DFBC511-493A-467A-B6E8-2E351EAB1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Dist. finalidade - Op2b</vt:lpstr>
      <vt:lpstr>2. CRE - Residencial</vt:lpstr>
      <vt:lpstr>3. CRE&amp;RRE - Area m2</vt:lpstr>
      <vt:lpstr>4. CRE&amp;RRE - tco2 por m2</vt:lpstr>
      <vt:lpstr>6. % Info Área</vt:lpstr>
      <vt:lpstr>8. PAqui &lt; MAval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cp:lastPrinted>2025-12-21T22:38:28Z</cp:lastPrinted>
  <dcterms:created xsi:type="dcterms:W3CDTF">2025-11-23T03:46:26Z</dcterms:created>
  <dcterms:modified xsi:type="dcterms:W3CDTF">2025-12-22T01:25:21Z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2025-12-21T21:01:48Z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1a57ce46-3029-417f-be97-3fea34dc73e4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