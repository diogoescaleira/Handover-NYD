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03. Análises/"/>
    </mc:Choice>
  </mc:AlternateContent>
  <xr:revisionPtr revIDLastSave="3" documentId="8_{6A000B2B-FC40-4554-B657-6D828F3C1942}" xr6:coauthVersionLast="47" xr6:coauthVersionMax="47" xr10:uidLastSave="{F797091D-C4FF-44A1-BFE4-4BF43B37F00D}"/>
  <bookViews>
    <workbookView minimized="1" xWindow="2190" yWindow="4290" windowWidth="21600" windowHeight="11295" activeTab="3" xr2:uid="{00000000-000D-0000-FFFF-FFFF00000000}"/>
  </bookViews>
  <sheets>
    <sheet name="aux1" sheetId="1" r:id="rId1"/>
    <sheet name="aux2" sheetId="2" r:id="rId2"/>
    <sheet name="input mortgage" sheetId="3" r:id="rId3"/>
    <sheet name="input cre" sheetId="4" r:id="rId4"/>
  </sheets>
  <definedNames>
    <definedName name="_xlnm._FilterDatabase" localSheetId="0" hidden="1">'aux1'!$A$2:$H$35</definedName>
    <definedName name="_xlnm._FilterDatabase" localSheetId="1" hidden="1">'aux2'!$A$2:$H$34</definedName>
    <definedName name="_xlnm._FilterDatabase" localSheetId="3" hidden="1">'input cre'!$A$1:$P$33</definedName>
    <definedName name="_xlnm._FilterDatabase" localSheetId="2" hidden="1">'input mortgage'!$A$1:$P$35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2" l="1"/>
  <c r="H8" i="2"/>
  <c r="H34" i="2"/>
  <c r="H32" i="2"/>
  <c r="H31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5" i="2"/>
  <c r="H14" i="2"/>
  <c r="H13" i="2"/>
  <c r="H12" i="2"/>
  <c r="H11" i="2"/>
  <c r="H10" i="2"/>
  <c r="H9" i="2"/>
  <c r="H7" i="2"/>
  <c r="H6" i="2"/>
  <c r="H5" i="2"/>
  <c r="H4" i="2"/>
  <c r="H3" i="2"/>
  <c r="G1" i="2"/>
  <c r="F1" i="2"/>
  <c r="E1" i="2"/>
  <c r="H1" i="1"/>
  <c r="G1" i="1"/>
  <c r="F1" i="1"/>
</calcChain>
</file>

<file path=xl/sharedStrings.xml><?xml version="1.0" encoding="utf-8"?>
<sst xmlns="http://schemas.openxmlformats.org/spreadsheetml/2006/main" count="1220" uniqueCount="75">
  <si>
    <t>purpose_code</t>
  </si>
  <si>
    <t>contraparte</t>
  </si>
  <si>
    <t>origem_scp1_emss</t>
  </si>
  <si>
    <t>origem_scp1_emss_op2a</t>
  </si>
  <si>
    <t>origem_scp1_emss_op2b</t>
  </si>
  <si>
    <t>valor_bruto</t>
  </si>
  <si>
    <t>sum(emiss_op2a)</t>
  </si>
  <si>
    <t>sum(emiss_op2b)</t>
  </si>
  <si>
    <t>CRE_FC</t>
  </si>
  <si>
    <t>outras instituicoes financeiras</t>
  </si>
  <si>
    <t>RE_DQS5_3</t>
  </si>
  <si>
    <t>CRE_OUTRO</t>
  </si>
  <si>
    <t>MISS</t>
  </si>
  <si>
    <t>RE_DQS3_2A</t>
  </si>
  <si>
    <t>NULL</t>
  </si>
  <si>
    <t>outras empresas nao financeiras</t>
  </si>
  <si>
    <t>RE_DQS4_2B</t>
  </si>
  <si>
    <t>Habitacao</t>
  </si>
  <si>
    <t>particulares</t>
  </si>
  <si>
    <t>Nao Aplicavel</t>
  </si>
  <si>
    <t>diff</t>
  </si>
  <si>
    <t>nome_pais</t>
  </si>
  <si>
    <t>nome_estado</t>
  </si>
  <si>
    <t>tipo_bem</t>
  </si>
  <si>
    <t>tipo_finalidade_bem</t>
  </si>
  <si>
    <t>epc</t>
  </si>
  <si>
    <t>nome_unidade_funcional</t>
  </si>
  <si>
    <t>unidade_funcional</t>
  </si>
  <si>
    <t>nome_fator_emissao</t>
  </si>
  <si>
    <t>unidade_fator_de_emissao</t>
  </si>
  <si>
    <t>scp1_ftr_emss</t>
  </si>
  <si>
    <t>scp2_ftr_emss</t>
  </si>
  <si>
    <t>score_qualidade</t>
  </si>
  <si>
    <t>classe_ativo</t>
  </si>
  <si>
    <t>tipo_fator_emissao</t>
  </si>
  <si>
    <t>regiao</t>
  </si>
  <si>
    <t>ano_fator_emissao</t>
  </si>
  <si>
    <t>Portugal</t>
  </si>
  <si>
    <t>Residential buildings</t>
  </si>
  <si>
    <t>Residential Total</t>
  </si>
  <si>
    <t>Floor area</t>
  </si>
  <si>
    <t>m²</t>
  </si>
  <si>
    <t>Emission Intensity per m²</t>
  </si>
  <si>
    <t>tCO2e/m²</t>
  </si>
  <si>
    <t>Residential real estate</t>
  </si>
  <si>
    <t>Emissions</t>
  </si>
  <si>
    <t>Europe</t>
  </si>
  <si>
    <t>Dwelling</t>
  </si>
  <si>
    <t>#</t>
  </si>
  <si>
    <t>Emission Intensity per #</t>
  </si>
  <si>
    <t>tCO2e/Housing unit</t>
  </si>
  <si>
    <t>Spain</t>
  </si>
  <si>
    <t/>
  </si>
  <si>
    <t>Residential</t>
  </si>
  <si>
    <t>Residential total</t>
  </si>
  <si>
    <t>A+</t>
  </si>
  <si>
    <t>Emission intensity per MWh</t>
  </si>
  <si>
    <t>3</t>
  </si>
  <si>
    <t>A</t>
  </si>
  <si>
    <t>B</t>
  </si>
  <si>
    <t>tCO2e/#</t>
  </si>
  <si>
    <t>B-</t>
  </si>
  <si>
    <t>C</t>
  </si>
  <si>
    <t>D</t>
  </si>
  <si>
    <t>E</t>
  </si>
  <si>
    <t>F</t>
  </si>
  <si>
    <t>Cadiz. Almeria. Valencia. Sevilla. Bilbao. Barcelona. Granada. Toledo. Lugo. Zamora. Madrid. Burgos</t>
  </si>
  <si>
    <t>G</t>
  </si>
  <si>
    <t>Non-residential buildings</t>
  </si>
  <si>
    <t>Retail High-street</t>
  </si>
  <si>
    <t>Commercial real estate</t>
  </si>
  <si>
    <t>Non-residential</t>
  </si>
  <si>
    <t>Retail - high street</t>
  </si>
  <si>
    <t xml:space="preserve">Valor de fora de âmbito </t>
  </si>
  <si>
    <t>Espanha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</si>
</sst>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0000000000000000"/>
    <numFmt numFmtId="165" formatCode="_-* #,##0_-;\-* #,##0_-;_-* &quot;-&quot;??_-;_-@_-"/>
    <numFmt numFmtId="166" formatCode="#,##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" fontId="0" fillId="0" borderId="0" xfId="0" applyNumberFormat="1"/>
    <xf numFmtId="0" fontId="2" fillId="0" borderId="0" xfId="0" applyFont="1"/>
    <xf numFmtId="4" fontId="2" fillId="0" borderId="0" xfId="0" applyNumberFormat="1" applyFont="1"/>
    <xf numFmtId="164" fontId="0" fillId="0" borderId="0" xfId="0" applyNumberFormat="1"/>
    <xf numFmtId="0" fontId="0" fillId="0" borderId="1" xfId="0" applyBorder="1"/>
    <xf numFmtId="0" fontId="3" fillId="0" borderId="1" xfId="0" applyFont="1" applyBorder="1"/>
    <xf numFmtId="165" fontId="0" fillId="0" borderId="1" xfId="1" applyNumberFormat="1" applyFont="1" applyFill="1" applyBorder="1" applyAlignment="1" applyProtection="1">
      <alignment horizontal="right"/>
    </xf>
    <xf numFmtId="166" fontId="0" fillId="0" borderId="1" xfId="0" applyNumberFormat="1" applyBorder="1"/>
    <xf numFmtId="4" fontId="0" fillId="2" borderId="0" xfId="0" applyNumberFormat="1" applyFill="1"/>
    <xf numFmtId="0" fontId="0" fillId="2" borderId="0" xfId="0" applyFill="1"/>
    <xf numFmtId="0" fontId="2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workbookViewId="0">
      <selection activeCell="A2" sqref="A2"/>
    </sheetView>
  </sheetViews>
  <sheetFormatPr defaultColWidth="11.42578125" defaultRowHeight="15" x14ac:dyDescent="0.25"/>
  <cols>
    <col min="1" max="1" width="13.7109375" bestFit="1" customWidth="1"/>
    <col min="2" max="2" width="30.140625" bestFit="1" customWidth="1"/>
    <col min="3" max="3" width="18" bestFit="1" customWidth="1"/>
    <col min="4" max="4" width="23.42578125" bestFit="1" customWidth="1"/>
    <col min="5" max="5" width="23.5703125" bestFit="1" customWidth="1"/>
    <col min="6" max="6" width="16" bestFit="1" customWidth="1"/>
    <col min="7" max="7" width="19" bestFit="1" customWidth="1"/>
    <col min="8" max="8" width="19.140625" bestFit="1" customWidth="1"/>
  </cols>
  <sheetData>
    <row r="1" spans="1:8" x14ac:dyDescent="0.25">
      <c r="F1" s="1">
        <f>+SUBTOTAL(9,F3:F35)</f>
        <v>25456588192.149632</v>
      </c>
      <c r="G1" s="1">
        <f t="shared" ref="G1:H1" si="0">+SUBTOTAL(9,G3:G35)</f>
        <v>679087.62450590066</v>
      </c>
      <c r="H1" s="1">
        <f t="shared" si="0"/>
        <v>536031.70813782129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5">
      <c r="A3" t="s">
        <v>8</v>
      </c>
      <c r="B3" t="s">
        <v>9</v>
      </c>
      <c r="C3" t="s">
        <v>10</v>
      </c>
      <c r="D3" t="s">
        <v>10</v>
      </c>
      <c r="E3" t="s">
        <v>10</v>
      </c>
      <c r="F3" s="1">
        <v>19545098.5699999</v>
      </c>
      <c r="G3" s="1">
        <v>30.203697763259999</v>
      </c>
      <c r="H3" s="1">
        <v>55.917646884450001</v>
      </c>
    </row>
    <row r="4" spans="1:8" x14ac:dyDescent="0.25">
      <c r="A4" t="s">
        <v>11</v>
      </c>
      <c r="B4" t="s">
        <v>9</v>
      </c>
      <c r="C4" t="s">
        <v>12</v>
      </c>
      <c r="D4" t="s">
        <v>13</v>
      </c>
      <c r="E4" t="s">
        <v>12</v>
      </c>
      <c r="F4" s="1">
        <v>557086.54</v>
      </c>
      <c r="G4" s="1">
        <v>31.587348395199999</v>
      </c>
      <c r="H4" s="1" t="s">
        <v>14</v>
      </c>
    </row>
    <row r="5" spans="1:8" x14ac:dyDescent="0.25">
      <c r="A5" t="s">
        <v>11</v>
      </c>
      <c r="B5" t="s">
        <v>9</v>
      </c>
      <c r="C5" t="s">
        <v>13</v>
      </c>
      <c r="D5" t="s">
        <v>13</v>
      </c>
      <c r="E5" t="s">
        <v>13</v>
      </c>
      <c r="F5" s="1">
        <v>1412390.29999999</v>
      </c>
      <c r="G5" s="1">
        <v>0.59187400999999995</v>
      </c>
      <c r="H5" s="1">
        <v>0.45822503999999997</v>
      </c>
    </row>
    <row r="6" spans="1:8" x14ac:dyDescent="0.25">
      <c r="A6" t="s">
        <v>11</v>
      </c>
      <c r="B6" t="s">
        <v>15</v>
      </c>
      <c r="C6" t="s">
        <v>13</v>
      </c>
      <c r="D6" t="s">
        <v>12</v>
      </c>
      <c r="E6" t="s">
        <v>13</v>
      </c>
      <c r="F6" s="1">
        <v>22632539.8335144</v>
      </c>
      <c r="G6" s="1" t="s">
        <v>14</v>
      </c>
      <c r="H6" s="1">
        <v>194.2962634351</v>
      </c>
    </row>
    <row r="7" spans="1:8" x14ac:dyDescent="0.25">
      <c r="A7" t="s">
        <v>11</v>
      </c>
      <c r="B7" t="s">
        <v>9</v>
      </c>
      <c r="C7" t="s">
        <v>16</v>
      </c>
      <c r="D7" t="s">
        <v>16</v>
      </c>
      <c r="E7" t="s">
        <v>16</v>
      </c>
      <c r="F7" s="1">
        <v>23677544.1599999</v>
      </c>
      <c r="G7" s="1">
        <v>637.28631973327003</v>
      </c>
      <c r="H7" s="1">
        <v>1043.4629630945501</v>
      </c>
    </row>
    <row r="8" spans="1:8" x14ac:dyDescent="0.25">
      <c r="A8" t="s">
        <v>11</v>
      </c>
      <c r="B8" t="s">
        <v>15</v>
      </c>
      <c r="C8" t="s">
        <v>10</v>
      </c>
      <c r="D8" t="s">
        <v>10</v>
      </c>
      <c r="E8" t="s">
        <v>10</v>
      </c>
      <c r="F8" s="1">
        <v>171389485.21524701</v>
      </c>
      <c r="G8" s="1">
        <v>3768.8292938970799</v>
      </c>
      <c r="H8" s="1">
        <v>6559.6994642034997</v>
      </c>
    </row>
    <row r="9" spans="1:8" x14ac:dyDescent="0.25">
      <c r="A9" t="s">
        <v>17</v>
      </c>
      <c r="B9" t="s">
        <v>18</v>
      </c>
      <c r="C9" t="s">
        <v>19</v>
      </c>
      <c r="D9" t="s">
        <v>19</v>
      </c>
      <c r="E9" t="s">
        <v>19</v>
      </c>
      <c r="F9" s="1">
        <v>2893663.8905747598</v>
      </c>
      <c r="G9" s="1" t="s">
        <v>14</v>
      </c>
      <c r="H9" s="1" t="s">
        <v>14</v>
      </c>
    </row>
    <row r="10" spans="1:8" x14ac:dyDescent="0.25">
      <c r="A10" t="s">
        <v>8</v>
      </c>
      <c r="B10" t="s">
        <v>9</v>
      </c>
      <c r="C10" t="s">
        <v>13</v>
      </c>
      <c r="D10" t="s">
        <v>16</v>
      </c>
      <c r="E10" t="s">
        <v>13</v>
      </c>
      <c r="F10" s="1">
        <v>18300115.555328801</v>
      </c>
      <c r="G10" s="1">
        <v>68.245783486400001</v>
      </c>
      <c r="H10" s="1">
        <v>2.6248378263999999</v>
      </c>
    </row>
    <row r="11" spans="1:8" x14ac:dyDescent="0.25">
      <c r="A11" t="s">
        <v>8</v>
      </c>
      <c r="B11" t="s">
        <v>9</v>
      </c>
      <c r="C11" t="s">
        <v>16</v>
      </c>
      <c r="D11" t="s">
        <v>16</v>
      </c>
      <c r="E11" t="s">
        <v>16</v>
      </c>
      <c r="F11" s="1">
        <v>67588150.324671105</v>
      </c>
      <c r="G11" s="1">
        <v>636.47311752308099</v>
      </c>
      <c r="H11" s="1">
        <v>644.44054877236499</v>
      </c>
    </row>
    <row r="12" spans="1:8" x14ac:dyDescent="0.25">
      <c r="A12" t="s">
        <v>17</v>
      </c>
      <c r="B12" t="s">
        <v>18</v>
      </c>
      <c r="C12" t="s">
        <v>12</v>
      </c>
      <c r="D12" t="s">
        <v>13</v>
      </c>
      <c r="E12" t="s">
        <v>12</v>
      </c>
      <c r="F12" s="1">
        <v>44313.97</v>
      </c>
      <c r="G12" s="1">
        <v>2.3592975548999999</v>
      </c>
      <c r="H12" s="1" t="s">
        <v>14</v>
      </c>
    </row>
    <row r="13" spans="1:8" x14ac:dyDescent="0.25">
      <c r="A13" t="s">
        <v>8</v>
      </c>
      <c r="B13" t="s">
        <v>9</v>
      </c>
      <c r="C13" t="s">
        <v>13</v>
      </c>
      <c r="D13" t="s">
        <v>13</v>
      </c>
      <c r="E13" t="s">
        <v>13</v>
      </c>
      <c r="F13" s="1">
        <v>12840296.199999901</v>
      </c>
      <c r="G13" s="1">
        <v>4.3656624572</v>
      </c>
      <c r="H13" s="1">
        <v>3.3798677088</v>
      </c>
    </row>
    <row r="14" spans="1:8" x14ac:dyDescent="0.25">
      <c r="A14" t="s">
        <v>11</v>
      </c>
      <c r="B14" t="s">
        <v>9</v>
      </c>
      <c r="C14" t="s">
        <v>10</v>
      </c>
      <c r="D14" t="s">
        <v>10</v>
      </c>
      <c r="E14" t="s">
        <v>10</v>
      </c>
      <c r="F14" s="1">
        <v>1233537.3999999999</v>
      </c>
      <c r="G14" s="1">
        <v>14.6329974301</v>
      </c>
      <c r="H14" s="1">
        <v>27.090814825750002</v>
      </c>
    </row>
    <row r="15" spans="1:8" x14ac:dyDescent="0.25">
      <c r="A15" t="s">
        <v>17</v>
      </c>
      <c r="B15" t="s">
        <v>18</v>
      </c>
      <c r="C15" t="s">
        <v>13</v>
      </c>
      <c r="D15" t="s">
        <v>12</v>
      </c>
      <c r="E15" t="s">
        <v>13</v>
      </c>
      <c r="F15" s="1">
        <v>66098.52</v>
      </c>
      <c r="G15" s="1" t="s">
        <v>14</v>
      </c>
      <c r="H15" s="1">
        <v>1.4744848406</v>
      </c>
    </row>
    <row r="16" spans="1:8" x14ac:dyDescent="0.25">
      <c r="A16" t="s">
        <v>11</v>
      </c>
      <c r="B16" t="s">
        <v>9</v>
      </c>
      <c r="C16" t="s">
        <v>13</v>
      </c>
      <c r="D16" t="s">
        <v>12</v>
      </c>
      <c r="E16" t="s">
        <v>13</v>
      </c>
      <c r="F16" s="1">
        <v>1552538.66</v>
      </c>
      <c r="G16" s="1" t="s">
        <v>14</v>
      </c>
      <c r="H16" s="1">
        <v>92.606171902199804</v>
      </c>
    </row>
    <row r="17" spans="1:8" x14ac:dyDescent="0.25">
      <c r="A17" t="s">
        <v>17</v>
      </c>
      <c r="B17" t="s">
        <v>18</v>
      </c>
      <c r="C17" t="s">
        <v>16</v>
      </c>
      <c r="D17" t="s">
        <v>13</v>
      </c>
      <c r="E17" t="s">
        <v>16</v>
      </c>
      <c r="F17" s="1">
        <v>2035681.69</v>
      </c>
      <c r="G17" s="1">
        <v>83.282101382899697</v>
      </c>
      <c r="H17" s="1">
        <v>36.420744044999999</v>
      </c>
    </row>
    <row r="18" spans="1:8" x14ac:dyDescent="0.25">
      <c r="A18" t="s">
        <v>8</v>
      </c>
      <c r="B18" t="s">
        <v>15</v>
      </c>
      <c r="C18" t="s">
        <v>10</v>
      </c>
      <c r="D18" t="s">
        <v>10</v>
      </c>
      <c r="E18" t="s">
        <v>10</v>
      </c>
      <c r="F18" s="1">
        <v>3591989.1473775501</v>
      </c>
      <c r="G18" s="1">
        <v>20.251601342139999</v>
      </c>
      <c r="H18" s="1">
        <v>29.25001553165</v>
      </c>
    </row>
    <row r="19" spans="1:8" x14ac:dyDescent="0.25">
      <c r="A19" t="s">
        <v>17</v>
      </c>
      <c r="B19" t="s">
        <v>18</v>
      </c>
      <c r="C19" t="s">
        <v>13</v>
      </c>
      <c r="D19" t="s">
        <v>13</v>
      </c>
      <c r="E19" t="s">
        <v>13</v>
      </c>
      <c r="F19" s="1">
        <v>10954130689.216499</v>
      </c>
      <c r="G19" s="1">
        <v>136257.996809181</v>
      </c>
      <c r="H19" s="1">
        <v>83643.254278755703</v>
      </c>
    </row>
    <row r="20" spans="1:8" x14ac:dyDescent="0.25">
      <c r="A20" t="s">
        <v>17</v>
      </c>
      <c r="B20" t="s">
        <v>18</v>
      </c>
      <c r="C20" t="s">
        <v>14</v>
      </c>
      <c r="D20" t="s">
        <v>14</v>
      </c>
      <c r="E20" t="s">
        <v>14</v>
      </c>
      <c r="F20" s="1">
        <v>36675990.390000001</v>
      </c>
      <c r="G20" s="1" t="s">
        <v>14</v>
      </c>
      <c r="H20" s="1" t="s">
        <v>14</v>
      </c>
    </row>
    <row r="21" spans="1:8" x14ac:dyDescent="0.25">
      <c r="A21" t="s">
        <v>8</v>
      </c>
      <c r="B21" t="s">
        <v>15</v>
      </c>
      <c r="C21" t="s">
        <v>13</v>
      </c>
      <c r="D21" t="s">
        <v>13</v>
      </c>
      <c r="E21" t="s">
        <v>13</v>
      </c>
      <c r="F21" s="1">
        <v>92503733.207623795</v>
      </c>
      <c r="G21" s="1">
        <v>831.48808212760002</v>
      </c>
      <c r="H21" s="1">
        <v>899.66743913229902</v>
      </c>
    </row>
    <row r="22" spans="1:8" x14ac:dyDescent="0.25">
      <c r="A22" t="s">
        <v>11</v>
      </c>
      <c r="B22" t="s">
        <v>15</v>
      </c>
      <c r="C22" t="s">
        <v>13</v>
      </c>
      <c r="D22" t="s">
        <v>16</v>
      </c>
      <c r="E22" t="s">
        <v>13</v>
      </c>
      <c r="F22" s="1">
        <v>3063078.92032078</v>
      </c>
      <c r="G22" s="1">
        <v>19.693435244537699</v>
      </c>
      <c r="H22" s="1">
        <v>9.8044528687999808</v>
      </c>
    </row>
    <row r="23" spans="1:8" x14ac:dyDescent="0.25">
      <c r="A23" t="s">
        <v>8</v>
      </c>
      <c r="B23" t="s">
        <v>15</v>
      </c>
      <c r="C23" t="s">
        <v>13</v>
      </c>
      <c r="D23" t="s">
        <v>16</v>
      </c>
      <c r="E23" t="s">
        <v>13</v>
      </c>
      <c r="F23" s="1">
        <v>34676476.992763497</v>
      </c>
      <c r="G23" s="1">
        <v>292.60972407551901</v>
      </c>
      <c r="H23" s="1">
        <v>69.440533568799907</v>
      </c>
    </row>
    <row r="24" spans="1:8" x14ac:dyDescent="0.25">
      <c r="A24" t="s">
        <v>8</v>
      </c>
      <c r="B24" t="s">
        <v>15</v>
      </c>
      <c r="C24" t="s">
        <v>13</v>
      </c>
      <c r="D24" t="s">
        <v>12</v>
      </c>
      <c r="E24" t="s">
        <v>13</v>
      </c>
      <c r="F24" s="1">
        <v>26509895.609999999</v>
      </c>
      <c r="G24" s="1" t="s">
        <v>14</v>
      </c>
      <c r="H24" s="1">
        <v>323.9224282815</v>
      </c>
    </row>
    <row r="25" spans="1:8" x14ac:dyDescent="0.25">
      <c r="A25" t="s">
        <v>17</v>
      </c>
      <c r="B25" t="s">
        <v>18</v>
      </c>
      <c r="C25" t="s">
        <v>10</v>
      </c>
      <c r="D25" t="s">
        <v>10</v>
      </c>
      <c r="E25" t="s">
        <v>10</v>
      </c>
      <c r="F25" s="1">
        <v>488523826.58202201</v>
      </c>
      <c r="G25" s="1">
        <v>23421.245439351402</v>
      </c>
      <c r="H25" s="1">
        <v>17715.575174982099</v>
      </c>
    </row>
    <row r="26" spans="1:8" x14ac:dyDescent="0.25">
      <c r="A26" t="s">
        <v>11</v>
      </c>
      <c r="B26" t="s">
        <v>15</v>
      </c>
      <c r="C26" t="s">
        <v>16</v>
      </c>
      <c r="D26" t="s">
        <v>16</v>
      </c>
      <c r="E26" t="s">
        <v>16</v>
      </c>
      <c r="F26" s="1">
        <v>869324570.38370001</v>
      </c>
      <c r="G26" s="1">
        <v>57703.543789506301</v>
      </c>
      <c r="H26" s="1">
        <v>92489.976044906303</v>
      </c>
    </row>
    <row r="27" spans="1:8" x14ac:dyDescent="0.25">
      <c r="A27" t="s">
        <v>8</v>
      </c>
      <c r="B27" t="s">
        <v>15</v>
      </c>
      <c r="C27" t="s">
        <v>16</v>
      </c>
      <c r="D27" t="s">
        <v>16</v>
      </c>
      <c r="E27" t="s">
        <v>16</v>
      </c>
      <c r="F27" s="1">
        <v>595142563.76067495</v>
      </c>
      <c r="G27" s="1">
        <v>7742.3161187475398</v>
      </c>
      <c r="H27" s="1">
        <v>10120.2073308134</v>
      </c>
    </row>
    <row r="28" spans="1:8" x14ac:dyDescent="0.25">
      <c r="A28" t="s">
        <v>8</v>
      </c>
      <c r="B28" t="s">
        <v>15</v>
      </c>
      <c r="C28" t="s">
        <v>19</v>
      </c>
      <c r="D28" t="s">
        <v>19</v>
      </c>
      <c r="E28" t="s">
        <v>19</v>
      </c>
      <c r="F28" s="1">
        <v>152374.06155963999</v>
      </c>
      <c r="G28" s="1" t="s">
        <v>14</v>
      </c>
      <c r="H28" s="1" t="s">
        <v>14</v>
      </c>
    </row>
    <row r="29" spans="1:8" x14ac:dyDescent="0.25">
      <c r="A29" t="s">
        <v>11</v>
      </c>
      <c r="B29" t="s">
        <v>15</v>
      </c>
      <c r="C29" t="s">
        <v>13</v>
      </c>
      <c r="D29" t="s">
        <v>13</v>
      </c>
      <c r="E29" t="s">
        <v>13</v>
      </c>
      <c r="F29" s="1">
        <v>146036153.401115</v>
      </c>
      <c r="G29" s="1">
        <v>889.21163555999897</v>
      </c>
      <c r="H29" s="1">
        <v>1076.30921182679</v>
      </c>
    </row>
    <row r="30" spans="1:8" x14ac:dyDescent="0.25">
      <c r="A30" t="s">
        <v>17</v>
      </c>
      <c r="B30" t="s">
        <v>18</v>
      </c>
      <c r="C30" t="s">
        <v>16</v>
      </c>
      <c r="D30" t="s">
        <v>16</v>
      </c>
      <c r="E30" t="s">
        <v>16</v>
      </c>
      <c r="F30" s="1">
        <v>10462424055.145599</v>
      </c>
      <c r="G30" s="1">
        <v>426256.00640518102</v>
      </c>
      <c r="H30" s="1">
        <v>317285.967854227</v>
      </c>
    </row>
    <row r="31" spans="1:8" x14ac:dyDescent="0.25">
      <c r="A31" t="s">
        <v>11</v>
      </c>
      <c r="B31" t="s">
        <v>15</v>
      </c>
      <c r="C31" t="s">
        <v>14</v>
      </c>
      <c r="D31" t="s">
        <v>14</v>
      </c>
      <c r="E31" t="s">
        <v>14</v>
      </c>
      <c r="F31" s="1">
        <v>28111361.93</v>
      </c>
      <c r="G31" s="1" t="s">
        <v>14</v>
      </c>
      <c r="H31" s="1" t="s">
        <v>14</v>
      </c>
    </row>
    <row r="32" spans="1:8" x14ac:dyDescent="0.25">
      <c r="A32" t="s">
        <v>8</v>
      </c>
      <c r="B32" t="s">
        <v>15</v>
      </c>
      <c r="C32" t="s">
        <v>14</v>
      </c>
      <c r="D32" t="s">
        <v>14</v>
      </c>
      <c r="E32" t="s">
        <v>14</v>
      </c>
      <c r="F32" s="1">
        <v>5556041.2300000004</v>
      </c>
      <c r="G32" s="1" t="s">
        <v>14</v>
      </c>
      <c r="H32" s="1" t="s">
        <v>14</v>
      </c>
    </row>
    <row r="33" spans="1:9" x14ac:dyDescent="0.25">
      <c r="A33" t="s">
        <v>17</v>
      </c>
      <c r="B33" t="s">
        <v>18</v>
      </c>
      <c r="C33" t="s">
        <v>13</v>
      </c>
      <c r="D33" t="s">
        <v>16</v>
      </c>
      <c r="E33" t="s">
        <v>13</v>
      </c>
      <c r="F33" s="1">
        <v>1360092555.50494</v>
      </c>
      <c r="G33" s="1">
        <v>20374.578839247999</v>
      </c>
      <c r="H33" s="1">
        <v>3706.1004951431901</v>
      </c>
    </row>
    <row r="34" spans="1:9" x14ac:dyDescent="0.25">
      <c r="A34" s="10" t="s">
        <v>17</v>
      </c>
      <c r="B34" s="10" t="s">
        <v>18</v>
      </c>
      <c r="C34" s="10" t="s">
        <v>12</v>
      </c>
      <c r="D34" s="10" t="s">
        <v>13</v>
      </c>
      <c r="E34" s="10" t="s">
        <v>16</v>
      </c>
      <c r="F34" s="9">
        <v>230677.99</v>
      </c>
      <c r="G34" s="9">
        <v>0.82513270209999701</v>
      </c>
      <c r="H34" s="9">
        <v>0.360845205</v>
      </c>
      <c r="I34" s="11" t="s">
        <v>73</v>
      </c>
    </row>
    <row r="35" spans="1:9" x14ac:dyDescent="0.25">
      <c r="A35" t="s">
        <v>11</v>
      </c>
      <c r="B35" t="s">
        <v>15</v>
      </c>
      <c r="C35" t="s">
        <v>19</v>
      </c>
      <c r="D35" t="s">
        <v>19</v>
      </c>
      <c r="E35" t="s">
        <v>19</v>
      </c>
      <c r="F35" s="1">
        <v>4073617.8461011001</v>
      </c>
      <c r="G35" s="1" t="s">
        <v>14</v>
      </c>
      <c r="H35" s="1" t="s">
        <v>14</v>
      </c>
    </row>
  </sheetData>
  <autoFilter ref="A2:H3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C71D-3AC1-4268-A218-3683F375B0FB}">
  <dimension ref="A1:H34"/>
  <sheetViews>
    <sheetView workbookViewId="0">
      <selection activeCell="D2" sqref="D2"/>
    </sheetView>
  </sheetViews>
  <sheetFormatPr defaultRowHeight="15" x14ac:dyDescent="0.25"/>
  <cols>
    <col min="1" max="1" width="16" bestFit="1" customWidth="1"/>
    <col min="2" max="2" width="30.140625" bestFit="1" customWidth="1"/>
    <col min="3" max="3" width="25.7109375" bestFit="1" customWidth="1"/>
    <col min="4" max="4" width="25.85546875" bestFit="1" customWidth="1"/>
    <col min="5" max="5" width="16" bestFit="1" customWidth="1"/>
    <col min="6" max="6" width="19" bestFit="1" customWidth="1"/>
    <col min="7" max="7" width="19.140625" bestFit="1" customWidth="1"/>
    <col min="8" max="8" width="10.7109375" bestFit="1" customWidth="1"/>
  </cols>
  <sheetData>
    <row r="1" spans="1:8" x14ac:dyDescent="0.25">
      <c r="C1" t="s">
        <v>74</v>
      </c>
      <c r="D1" t="s">
        <v>37</v>
      </c>
      <c r="E1" s="1">
        <f>+SUBTOTAL(9,E3:E34)</f>
        <v>25456588192.149639</v>
      </c>
      <c r="F1" s="1">
        <f>+SUBTOTAL(9,F3:F34)</f>
        <v>679087.62450590055</v>
      </c>
      <c r="G1" s="1">
        <f>+SUBTOTAL(9,G3:G34)</f>
        <v>536031.70813782129</v>
      </c>
    </row>
    <row r="2" spans="1:8" x14ac:dyDescent="0.25">
      <c r="A2" s="2" t="s">
        <v>0</v>
      </c>
      <c r="B2" s="2" t="s">
        <v>1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20</v>
      </c>
    </row>
    <row r="3" spans="1:8" x14ac:dyDescent="0.25">
      <c r="A3" t="s">
        <v>8</v>
      </c>
      <c r="B3" t="s">
        <v>15</v>
      </c>
      <c r="C3" t="s">
        <v>12</v>
      </c>
      <c r="D3" t="s">
        <v>13</v>
      </c>
      <c r="E3" s="1">
        <v>26509895.609999999</v>
      </c>
      <c r="F3" s="1" t="s">
        <v>14</v>
      </c>
      <c r="G3" s="1">
        <v>323.9224282815</v>
      </c>
      <c r="H3" s="1" t="e">
        <f>+G3-F3</f>
        <v>#VALUE!</v>
      </c>
    </row>
    <row r="4" spans="1:8" x14ac:dyDescent="0.25">
      <c r="A4" t="s">
        <v>11</v>
      </c>
      <c r="B4" t="s">
        <v>15</v>
      </c>
      <c r="C4" t="s">
        <v>16</v>
      </c>
      <c r="D4" t="s">
        <v>16</v>
      </c>
      <c r="E4" s="1">
        <v>869324570.38370001</v>
      </c>
      <c r="F4" s="1">
        <v>57703.543789506301</v>
      </c>
      <c r="G4" s="1">
        <v>92489.976044906303</v>
      </c>
      <c r="H4" s="1">
        <f t="shared" ref="H4:H34" si="0">+G4-F4</f>
        <v>34786.432255400003</v>
      </c>
    </row>
    <row r="5" spans="1:8" x14ac:dyDescent="0.25">
      <c r="A5" t="s">
        <v>17</v>
      </c>
      <c r="B5" t="s">
        <v>18</v>
      </c>
      <c r="C5" t="s">
        <v>10</v>
      </c>
      <c r="D5" t="s">
        <v>10</v>
      </c>
      <c r="E5" s="1">
        <v>488523826.58202201</v>
      </c>
      <c r="F5" s="1">
        <v>23421.245439351402</v>
      </c>
      <c r="G5" s="1">
        <v>17715.575174982099</v>
      </c>
      <c r="H5" s="1">
        <f t="shared" si="0"/>
        <v>-5705.6702643693025</v>
      </c>
    </row>
    <row r="6" spans="1:8" x14ac:dyDescent="0.25">
      <c r="A6" t="s">
        <v>8</v>
      </c>
      <c r="B6" t="s">
        <v>9</v>
      </c>
      <c r="C6" t="s">
        <v>16</v>
      </c>
      <c r="D6" t="s">
        <v>13</v>
      </c>
      <c r="E6" s="1">
        <v>18300115.555328801</v>
      </c>
      <c r="F6" s="1">
        <v>68.245783486400001</v>
      </c>
      <c r="G6" s="1">
        <v>2.6248378263999999</v>
      </c>
      <c r="H6" s="1">
        <f t="shared" si="0"/>
        <v>-65.620945660000004</v>
      </c>
    </row>
    <row r="7" spans="1:8" x14ac:dyDescent="0.25">
      <c r="A7" t="s">
        <v>11</v>
      </c>
      <c r="B7" t="s">
        <v>15</v>
      </c>
      <c r="C7" t="s">
        <v>12</v>
      </c>
      <c r="D7" t="s">
        <v>13</v>
      </c>
      <c r="E7" s="9">
        <v>22632539.8335144</v>
      </c>
      <c r="F7" s="1" t="s">
        <v>14</v>
      </c>
      <c r="G7" s="1">
        <v>194.2962634351</v>
      </c>
      <c r="H7" s="1" t="e">
        <f t="shared" si="0"/>
        <v>#VALUE!</v>
      </c>
    </row>
    <row r="8" spans="1:8" x14ac:dyDescent="0.25">
      <c r="A8" t="s">
        <v>17</v>
      </c>
      <c r="B8" t="s">
        <v>18</v>
      </c>
      <c r="C8" t="s">
        <v>12</v>
      </c>
      <c r="D8" t="s">
        <v>13</v>
      </c>
      <c r="E8" s="1">
        <v>66098.52</v>
      </c>
      <c r="F8" s="1" t="s">
        <v>14</v>
      </c>
      <c r="G8" s="1">
        <v>1.4744848406</v>
      </c>
      <c r="H8" s="1">
        <f>+G8</f>
        <v>1.4744848406</v>
      </c>
    </row>
    <row r="9" spans="1:8" x14ac:dyDescent="0.25">
      <c r="A9" t="s">
        <v>11</v>
      </c>
      <c r="B9" t="s">
        <v>15</v>
      </c>
      <c r="C9" t="s">
        <v>19</v>
      </c>
      <c r="D9" t="s">
        <v>19</v>
      </c>
      <c r="E9" s="1">
        <v>4073617.8461011001</v>
      </c>
      <c r="F9" s="1" t="s">
        <v>14</v>
      </c>
      <c r="G9" s="1" t="s">
        <v>14</v>
      </c>
      <c r="H9" s="1" t="e">
        <f t="shared" si="0"/>
        <v>#VALUE!</v>
      </c>
    </row>
    <row r="10" spans="1:8" x14ac:dyDescent="0.25">
      <c r="A10" t="s">
        <v>8</v>
      </c>
      <c r="B10" t="s">
        <v>15</v>
      </c>
      <c r="C10" t="s">
        <v>16</v>
      </c>
      <c r="D10" t="s">
        <v>13</v>
      </c>
      <c r="E10" s="1">
        <v>34676476.992763497</v>
      </c>
      <c r="F10" s="1">
        <v>292.60972407551901</v>
      </c>
      <c r="G10" s="1">
        <v>69.440533568799907</v>
      </c>
      <c r="H10" s="1">
        <f t="shared" si="0"/>
        <v>-223.1691905067191</v>
      </c>
    </row>
    <row r="11" spans="1:8" x14ac:dyDescent="0.25">
      <c r="A11" t="s">
        <v>8</v>
      </c>
      <c r="B11" t="s">
        <v>15</v>
      </c>
      <c r="C11" t="s">
        <v>13</v>
      </c>
      <c r="D11" t="s">
        <v>13</v>
      </c>
      <c r="E11" s="1">
        <v>92503733.207623795</v>
      </c>
      <c r="F11" s="1">
        <v>831.48808212760002</v>
      </c>
      <c r="G11" s="1">
        <v>899.66743913229902</v>
      </c>
      <c r="H11" s="1">
        <f t="shared" si="0"/>
        <v>68.179357004699</v>
      </c>
    </row>
    <row r="12" spans="1:8" x14ac:dyDescent="0.25">
      <c r="A12" t="s">
        <v>8</v>
      </c>
      <c r="B12" t="s">
        <v>15</v>
      </c>
      <c r="C12" t="s">
        <v>14</v>
      </c>
      <c r="D12" t="s">
        <v>14</v>
      </c>
      <c r="E12" s="1">
        <v>5556041.2300000004</v>
      </c>
      <c r="F12" s="1" t="s">
        <v>14</v>
      </c>
      <c r="G12" s="1" t="s">
        <v>14</v>
      </c>
      <c r="H12" s="1" t="e">
        <f t="shared" si="0"/>
        <v>#VALUE!</v>
      </c>
    </row>
    <row r="13" spans="1:8" x14ac:dyDescent="0.25">
      <c r="A13" t="s">
        <v>8</v>
      </c>
      <c r="B13" t="s">
        <v>15</v>
      </c>
      <c r="C13" t="s">
        <v>10</v>
      </c>
      <c r="D13" t="s">
        <v>10</v>
      </c>
      <c r="E13" s="1">
        <v>3591989.1473775501</v>
      </c>
      <c r="F13" s="1">
        <v>20.251601342139999</v>
      </c>
      <c r="G13" s="1">
        <v>29.25001553165</v>
      </c>
      <c r="H13" s="1">
        <f t="shared" si="0"/>
        <v>8.9984141895100009</v>
      </c>
    </row>
    <row r="14" spans="1:8" x14ac:dyDescent="0.25">
      <c r="A14" t="s">
        <v>11</v>
      </c>
      <c r="B14" t="s">
        <v>9</v>
      </c>
      <c r="C14" t="s">
        <v>12</v>
      </c>
      <c r="D14" t="s">
        <v>13</v>
      </c>
      <c r="E14" s="1">
        <v>1552538.66</v>
      </c>
      <c r="F14" s="1" t="s">
        <v>14</v>
      </c>
      <c r="G14" s="1">
        <v>92.606171902199804</v>
      </c>
      <c r="H14" s="1" t="e">
        <f t="shared" si="0"/>
        <v>#VALUE!</v>
      </c>
    </row>
    <row r="15" spans="1:8" x14ac:dyDescent="0.25">
      <c r="A15" t="s">
        <v>17</v>
      </c>
      <c r="B15" t="s">
        <v>18</v>
      </c>
      <c r="C15" t="s">
        <v>16</v>
      </c>
      <c r="D15" t="s">
        <v>16</v>
      </c>
      <c r="E15" s="1">
        <v>10462424055.145599</v>
      </c>
      <c r="F15" s="1">
        <v>426256.00640518102</v>
      </c>
      <c r="G15" s="1">
        <v>317285.967854227</v>
      </c>
      <c r="H15" s="1">
        <f t="shared" si="0"/>
        <v>-108970.03855095402</v>
      </c>
    </row>
    <row r="16" spans="1:8" x14ac:dyDescent="0.25">
      <c r="A16" t="s">
        <v>17</v>
      </c>
      <c r="B16" t="s">
        <v>18</v>
      </c>
      <c r="C16" t="s">
        <v>19</v>
      </c>
      <c r="D16" t="s">
        <v>19</v>
      </c>
      <c r="E16" s="1">
        <v>2893663.8905747598</v>
      </c>
      <c r="F16" s="1" t="s">
        <v>14</v>
      </c>
      <c r="G16" s="1" t="s">
        <v>14</v>
      </c>
      <c r="H16" s="1">
        <v>0</v>
      </c>
    </row>
    <row r="17" spans="1:8" x14ac:dyDescent="0.25">
      <c r="A17" t="s">
        <v>8</v>
      </c>
      <c r="B17" t="s">
        <v>15</v>
      </c>
      <c r="C17" t="s">
        <v>19</v>
      </c>
      <c r="D17" t="s">
        <v>19</v>
      </c>
      <c r="E17" s="1">
        <v>152374.06155963999</v>
      </c>
      <c r="F17" s="1" t="s">
        <v>14</v>
      </c>
      <c r="G17" s="1" t="s">
        <v>14</v>
      </c>
      <c r="H17" s="1" t="e">
        <f t="shared" si="0"/>
        <v>#VALUE!</v>
      </c>
    </row>
    <row r="18" spans="1:8" x14ac:dyDescent="0.25">
      <c r="A18" t="s">
        <v>17</v>
      </c>
      <c r="B18" t="s">
        <v>18</v>
      </c>
      <c r="C18" t="s">
        <v>16</v>
      </c>
      <c r="D18" t="s">
        <v>13</v>
      </c>
      <c r="E18" s="1">
        <v>1360092555.50494</v>
      </c>
      <c r="F18" s="1">
        <v>20374.578839247999</v>
      </c>
      <c r="G18" s="1">
        <v>3706.1004951431901</v>
      </c>
      <c r="H18" s="1">
        <f t="shared" si="0"/>
        <v>-16668.478344104809</v>
      </c>
    </row>
    <row r="19" spans="1:8" x14ac:dyDescent="0.25">
      <c r="A19" t="s">
        <v>11</v>
      </c>
      <c r="B19" t="s">
        <v>15</v>
      </c>
      <c r="C19" t="s">
        <v>16</v>
      </c>
      <c r="D19" t="s">
        <v>13</v>
      </c>
      <c r="E19" s="1">
        <v>3063078.92032078</v>
      </c>
      <c r="F19" s="1">
        <v>19.693435244537699</v>
      </c>
      <c r="G19" s="1">
        <v>9.8044528687999808</v>
      </c>
      <c r="H19" s="1">
        <f t="shared" si="0"/>
        <v>-9.8889823757377187</v>
      </c>
    </row>
    <row r="20" spans="1:8" x14ac:dyDescent="0.25">
      <c r="A20" t="s">
        <v>8</v>
      </c>
      <c r="B20" t="s">
        <v>15</v>
      </c>
      <c r="C20" t="s">
        <v>16</v>
      </c>
      <c r="D20" t="s">
        <v>16</v>
      </c>
      <c r="E20" s="1">
        <v>595142563.76067495</v>
      </c>
      <c r="F20" s="1">
        <v>7742.3161187475398</v>
      </c>
      <c r="G20" s="1">
        <v>10120.2073308134</v>
      </c>
      <c r="H20" s="1">
        <f t="shared" si="0"/>
        <v>2377.8912120658606</v>
      </c>
    </row>
    <row r="21" spans="1:8" x14ac:dyDescent="0.25">
      <c r="A21" t="s">
        <v>11</v>
      </c>
      <c r="B21" t="s">
        <v>9</v>
      </c>
      <c r="C21" t="s">
        <v>13</v>
      </c>
      <c r="D21" t="s">
        <v>13</v>
      </c>
      <c r="E21" s="1">
        <v>1412390.29999999</v>
      </c>
      <c r="F21" s="1">
        <v>0.59187400999999995</v>
      </c>
      <c r="G21" s="1">
        <v>0.45822503999999997</v>
      </c>
      <c r="H21" s="1">
        <f t="shared" si="0"/>
        <v>-0.13364896999999998</v>
      </c>
    </row>
    <row r="22" spans="1:8" x14ac:dyDescent="0.25">
      <c r="A22" t="s">
        <v>8</v>
      </c>
      <c r="B22" t="s">
        <v>9</v>
      </c>
      <c r="C22" t="s">
        <v>10</v>
      </c>
      <c r="D22" t="s">
        <v>10</v>
      </c>
      <c r="E22" s="1">
        <v>19545098.5699999</v>
      </c>
      <c r="F22" s="1">
        <v>30.203697763259999</v>
      </c>
      <c r="G22" s="1">
        <v>55.917646884450001</v>
      </c>
      <c r="H22" s="1">
        <f t="shared" si="0"/>
        <v>25.713949121190002</v>
      </c>
    </row>
    <row r="23" spans="1:8" x14ac:dyDescent="0.25">
      <c r="A23" t="s">
        <v>17</v>
      </c>
      <c r="B23" t="s">
        <v>18</v>
      </c>
      <c r="C23" t="s">
        <v>13</v>
      </c>
      <c r="D23" t="s">
        <v>13</v>
      </c>
      <c r="E23" s="1">
        <v>10954130689.216499</v>
      </c>
      <c r="F23" s="1">
        <v>136257.996809181</v>
      </c>
      <c r="G23" s="1">
        <v>83643.254278755703</v>
      </c>
      <c r="H23" s="1">
        <f t="shared" si="0"/>
        <v>-52614.742530425297</v>
      </c>
    </row>
    <row r="24" spans="1:8" x14ac:dyDescent="0.25">
      <c r="A24" t="s">
        <v>11</v>
      </c>
      <c r="B24" t="s">
        <v>15</v>
      </c>
      <c r="C24" t="s">
        <v>13</v>
      </c>
      <c r="D24" t="s">
        <v>13</v>
      </c>
      <c r="E24" s="1">
        <v>146036153.401115</v>
      </c>
      <c r="F24" s="1">
        <v>889.21163555999897</v>
      </c>
      <c r="G24" s="1">
        <v>1076.30921182679</v>
      </c>
      <c r="H24" s="1">
        <f t="shared" si="0"/>
        <v>187.09757626679107</v>
      </c>
    </row>
    <row r="25" spans="1:8" x14ac:dyDescent="0.25">
      <c r="A25" t="s">
        <v>11</v>
      </c>
      <c r="B25" t="s">
        <v>9</v>
      </c>
      <c r="C25" t="s">
        <v>13</v>
      </c>
      <c r="D25" t="s">
        <v>12</v>
      </c>
      <c r="E25" s="1">
        <v>557086.54</v>
      </c>
      <c r="F25" s="1">
        <v>31.587348395199999</v>
      </c>
      <c r="G25" s="1" t="s">
        <v>14</v>
      </c>
      <c r="H25" s="1" t="e">
        <f t="shared" si="0"/>
        <v>#VALUE!</v>
      </c>
    </row>
    <row r="26" spans="1:8" x14ac:dyDescent="0.25">
      <c r="A26" t="s">
        <v>11</v>
      </c>
      <c r="B26" t="s">
        <v>9</v>
      </c>
      <c r="C26" t="s">
        <v>10</v>
      </c>
      <c r="D26" t="s">
        <v>10</v>
      </c>
      <c r="E26" s="1">
        <v>1233537.3999999999</v>
      </c>
      <c r="F26" s="1">
        <v>14.6329974301</v>
      </c>
      <c r="G26" s="1">
        <v>27.090814825750002</v>
      </c>
      <c r="H26" s="1">
        <f t="shared" si="0"/>
        <v>12.457817395650002</v>
      </c>
    </row>
    <row r="27" spans="1:8" x14ac:dyDescent="0.25">
      <c r="A27" t="s">
        <v>11</v>
      </c>
      <c r="B27" t="s">
        <v>15</v>
      </c>
      <c r="C27" t="s">
        <v>10</v>
      </c>
      <c r="D27" t="s">
        <v>10</v>
      </c>
      <c r="E27" s="1">
        <v>171389485.21524701</v>
      </c>
      <c r="F27" s="1">
        <v>3768.8292938970799</v>
      </c>
      <c r="G27" s="1">
        <v>6559.6994642034997</v>
      </c>
      <c r="H27" s="1">
        <f t="shared" si="0"/>
        <v>2790.8701703064198</v>
      </c>
    </row>
    <row r="28" spans="1:8" x14ac:dyDescent="0.25">
      <c r="A28" t="s">
        <v>8</v>
      </c>
      <c r="B28" t="s">
        <v>9</v>
      </c>
      <c r="C28" t="s">
        <v>13</v>
      </c>
      <c r="D28" t="s">
        <v>13</v>
      </c>
      <c r="E28" s="1">
        <v>12840296.199999901</v>
      </c>
      <c r="F28" s="1">
        <v>4.3656624572</v>
      </c>
      <c r="G28" s="1">
        <v>3.3798677088</v>
      </c>
      <c r="H28" s="1">
        <f t="shared" si="0"/>
        <v>-0.98579474840000003</v>
      </c>
    </row>
    <row r="29" spans="1:8" x14ac:dyDescent="0.25">
      <c r="A29" t="s">
        <v>8</v>
      </c>
      <c r="B29" t="s">
        <v>9</v>
      </c>
      <c r="C29" t="s">
        <v>16</v>
      </c>
      <c r="D29" t="s">
        <v>16</v>
      </c>
      <c r="E29" s="1">
        <v>67588150.324671105</v>
      </c>
      <c r="F29" s="1">
        <v>636.47311752308099</v>
      </c>
      <c r="G29" s="1">
        <v>644.44054877236499</v>
      </c>
      <c r="H29" s="1">
        <f t="shared" si="0"/>
        <v>7.9674312492840045</v>
      </c>
    </row>
    <row r="30" spans="1:8" x14ac:dyDescent="0.25">
      <c r="A30" t="s">
        <v>17</v>
      </c>
      <c r="B30" t="s">
        <v>18</v>
      </c>
      <c r="C30" t="s">
        <v>13</v>
      </c>
      <c r="D30" t="s">
        <v>12</v>
      </c>
      <c r="E30" s="1">
        <v>44313.97</v>
      </c>
      <c r="F30" s="1">
        <v>2.3592975548999999</v>
      </c>
      <c r="G30" s="1" t="s">
        <v>14</v>
      </c>
      <c r="H30" s="1">
        <f>-F30</f>
        <v>-2.3592975548999999</v>
      </c>
    </row>
    <row r="31" spans="1:8" x14ac:dyDescent="0.25">
      <c r="A31" t="s">
        <v>11</v>
      </c>
      <c r="B31" t="s">
        <v>9</v>
      </c>
      <c r="C31" t="s">
        <v>16</v>
      </c>
      <c r="D31" t="s">
        <v>16</v>
      </c>
      <c r="E31" s="1">
        <v>23677544.1599999</v>
      </c>
      <c r="F31" s="1">
        <v>637.28631973327003</v>
      </c>
      <c r="G31" s="1">
        <v>1043.4629630945501</v>
      </c>
      <c r="H31" s="1">
        <f t="shared" si="0"/>
        <v>406.17664336128007</v>
      </c>
    </row>
    <row r="32" spans="1:8" x14ac:dyDescent="0.25">
      <c r="A32" t="s">
        <v>11</v>
      </c>
      <c r="B32" t="s">
        <v>15</v>
      </c>
      <c r="C32" t="s">
        <v>14</v>
      </c>
      <c r="D32" t="s">
        <v>14</v>
      </c>
      <c r="E32" s="1">
        <v>28111361.93</v>
      </c>
      <c r="F32" s="1" t="s">
        <v>14</v>
      </c>
      <c r="G32" s="1" t="s">
        <v>14</v>
      </c>
      <c r="H32" s="1" t="e">
        <f t="shared" si="0"/>
        <v>#VALUE!</v>
      </c>
    </row>
    <row r="33" spans="1:8" x14ac:dyDescent="0.25">
      <c r="A33" t="s">
        <v>17</v>
      </c>
      <c r="B33" t="s">
        <v>18</v>
      </c>
      <c r="C33" t="s">
        <v>14</v>
      </c>
      <c r="D33" t="s">
        <v>14</v>
      </c>
      <c r="E33" s="1">
        <v>36675990.390000001</v>
      </c>
      <c r="F33" s="1" t="s">
        <v>14</v>
      </c>
      <c r="G33" s="1" t="s">
        <v>14</v>
      </c>
      <c r="H33" s="1">
        <v>0</v>
      </c>
    </row>
    <row r="34" spans="1:8" x14ac:dyDescent="0.25">
      <c r="A34" t="s">
        <v>17</v>
      </c>
      <c r="B34" t="s">
        <v>18</v>
      </c>
      <c r="C34" t="s">
        <v>13</v>
      </c>
      <c r="D34" t="s">
        <v>16</v>
      </c>
      <c r="E34" s="1">
        <v>2266359.6800000002</v>
      </c>
      <c r="F34" s="1">
        <v>84.107234084999703</v>
      </c>
      <c r="G34" s="1">
        <v>36.781589250000003</v>
      </c>
      <c r="H34" s="1">
        <f t="shared" si="0"/>
        <v>-47.3256448349997</v>
      </c>
    </row>
  </sheetData>
  <autoFilter ref="A2:H34" xr:uid="{FE76C71D-3AC1-4268-A218-3683F375B0F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09D0D-FCCA-47AF-A58B-0FD130C7E3D8}">
  <sheetPr filterMode="1"/>
  <dimension ref="A1:P35"/>
  <sheetViews>
    <sheetView workbookViewId="0">
      <selection activeCell="A4" sqref="A2:P4"/>
    </sheetView>
  </sheetViews>
  <sheetFormatPr defaultRowHeight="15" x14ac:dyDescent="0.25"/>
  <cols>
    <col min="1" max="1" width="10.7109375" bestFit="1" customWidth="1"/>
    <col min="2" max="2" width="20.7109375" customWidth="1"/>
    <col min="3" max="3" width="19.85546875" hidden="1" customWidth="1"/>
    <col min="4" max="4" width="19.85546875" bestFit="1" customWidth="1"/>
    <col min="5" max="5" width="4.140625" bestFit="1" customWidth="1"/>
    <col min="6" max="6" width="24.140625" bestFit="1" customWidth="1"/>
    <col min="7" max="7" width="17.85546875" hidden="1" customWidth="1"/>
    <col min="8" max="8" width="26.28515625" hidden="1" customWidth="1"/>
    <col min="9" max="9" width="25.7109375" hidden="1" customWidth="1"/>
    <col min="10" max="10" width="20.85546875" bestFit="1" customWidth="1"/>
    <col min="11" max="11" width="19.85546875" bestFit="1" customWidth="1"/>
    <col min="12" max="12" width="15.7109375" bestFit="1" customWidth="1"/>
    <col min="13" max="13" width="21.140625" bestFit="1" customWidth="1"/>
    <col min="14" max="14" width="18.42578125" bestFit="1" customWidth="1"/>
    <col min="15" max="15" width="7.28515625" bestFit="1" customWidth="1"/>
    <col min="16" max="16" width="18.140625" bestFit="1" customWidth="1"/>
  </cols>
  <sheetData>
    <row r="1" spans="1:1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s="4" t="s">
        <v>30</v>
      </c>
      <c r="K1" s="4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</row>
    <row r="2" spans="1:16" x14ac:dyDescent="0.25">
      <c r="A2" s="5" t="s">
        <v>37</v>
      </c>
      <c r="B2" s="5"/>
      <c r="C2" s="6" t="s">
        <v>38</v>
      </c>
      <c r="D2" s="5" t="s">
        <v>39</v>
      </c>
      <c r="E2" s="5"/>
      <c r="F2" s="6" t="s">
        <v>40</v>
      </c>
      <c r="G2" s="5" t="s">
        <v>41</v>
      </c>
      <c r="H2" s="6" t="s">
        <v>42</v>
      </c>
      <c r="I2" s="5" t="s">
        <v>43</v>
      </c>
      <c r="J2" s="8">
        <v>4.8999999999999998E-3</v>
      </c>
      <c r="K2" s="8">
        <v>1.01E-2</v>
      </c>
      <c r="L2" s="7">
        <v>4</v>
      </c>
      <c r="M2" s="5" t="s">
        <v>44</v>
      </c>
      <c r="N2" s="5" t="s">
        <v>45</v>
      </c>
      <c r="O2" s="5" t="s">
        <v>46</v>
      </c>
      <c r="P2" s="5">
        <v>2016</v>
      </c>
    </row>
    <row r="3" spans="1:16" hidden="1" x14ac:dyDescent="0.25">
      <c r="A3" s="5" t="s">
        <v>37</v>
      </c>
      <c r="B3" s="5"/>
      <c r="C3" s="6" t="s">
        <v>38</v>
      </c>
      <c r="D3" s="5" t="s">
        <v>39</v>
      </c>
      <c r="E3" s="5"/>
      <c r="F3" s="6" t="s">
        <v>47</v>
      </c>
      <c r="G3" s="6" t="s">
        <v>48</v>
      </c>
      <c r="H3" s="6" t="s">
        <v>49</v>
      </c>
      <c r="I3" s="5" t="s">
        <v>50</v>
      </c>
      <c r="J3" s="8">
        <v>0.59340000000000004</v>
      </c>
      <c r="K3" s="8">
        <v>1.2263999999999999</v>
      </c>
      <c r="L3" s="7">
        <v>5</v>
      </c>
      <c r="M3" s="5" t="s">
        <v>44</v>
      </c>
      <c r="N3" s="5" t="s">
        <v>45</v>
      </c>
      <c r="O3" s="5" t="s">
        <v>46</v>
      </c>
      <c r="P3" s="5">
        <v>2016</v>
      </c>
    </row>
    <row r="4" spans="1:16" x14ac:dyDescent="0.25">
      <c r="A4" s="5" t="s">
        <v>51</v>
      </c>
      <c r="B4" s="5"/>
      <c r="C4" s="6" t="s">
        <v>38</v>
      </c>
      <c r="D4" s="5" t="s">
        <v>39</v>
      </c>
      <c r="E4" s="5"/>
      <c r="F4" s="6" t="s">
        <v>40</v>
      </c>
      <c r="G4" s="5" t="s">
        <v>41</v>
      </c>
      <c r="H4" s="6" t="s">
        <v>42</v>
      </c>
      <c r="I4" s="5" t="s">
        <v>43</v>
      </c>
      <c r="J4" s="8">
        <v>1.03E-2</v>
      </c>
      <c r="K4" s="8">
        <v>1.0500000000000001E-2</v>
      </c>
      <c r="L4" s="7">
        <v>4</v>
      </c>
      <c r="M4" s="5" t="s">
        <v>44</v>
      </c>
      <c r="N4" s="5" t="s">
        <v>45</v>
      </c>
      <c r="O4" s="5" t="s">
        <v>46</v>
      </c>
      <c r="P4" s="5">
        <v>2016</v>
      </c>
    </row>
    <row r="5" spans="1:16" hidden="1" x14ac:dyDescent="0.25">
      <c r="A5" s="5" t="s">
        <v>51</v>
      </c>
      <c r="B5" s="5"/>
      <c r="C5" s="6" t="s">
        <v>38</v>
      </c>
      <c r="D5" s="5" t="s">
        <v>39</v>
      </c>
      <c r="E5" s="5"/>
      <c r="F5" s="6" t="s">
        <v>47</v>
      </c>
      <c r="G5" s="6" t="s">
        <v>48</v>
      </c>
      <c r="H5" s="6" t="s">
        <v>49</v>
      </c>
      <c r="I5" s="5" t="s">
        <v>50</v>
      </c>
      <c r="J5" s="8">
        <v>1.7605</v>
      </c>
      <c r="K5" s="8">
        <v>1.7955000000000001</v>
      </c>
      <c r="L5" s="7">
        <v>5</v>
      </c>
      <c r="M5" s="5" t="s">
        <v>44</v>
      </c>
      <c r="N5" s="5" t="s">
        <v>45</v>
      </c>
      <c r="O5" s="5" t="s">
        <v>46</v>
      </c>
      <c r="P5" s="5">
        <v>2016</v>
      </c>
    </row>
    <row r="6" spans="1:16" x14ac:dyDescent="0.25">
      <c r="A6" s="5" t="s">
        <v>37</v>
      </c>
      <c r="B6" s="5" t="s">
        <v>52</v>
      </c>
      <c r="C6" s="5" t="s">
        <v>53</v>
      </c>
      <c r="D6" s="5" t="s">
        <v>54</v>
      </c>
      <c r="E6" s="5" t="s">
        <v>55</v>
      </c>
      <c r="F6" s="5" t="s">
        <v>40</v>
      </c>
      <c r="G6" s="5" t="s">
        <v>41</v>
      </c>
      <c r="H6" s="5" t="s">
        <v>56</v>
      </c>
      <c r="I6" s="5" t="s">
        <v>43</v>
      </c>
      <c r="J6" s="8">
        <v>2.8715479855005E-4</v>
      </c>
      <c r="K6" s="8">
        <v>5.1284520144994998E-4</v>
      </c>
      <c r="L6" s="7" t="s">
        <v>57</v>
      </c>
      <c r="M6" s="5" t="s">
        <v>44</v>
      </c>
      <c r="N6" s="5" t="s">
        <v>45</v>
      </c>
      <c r="O6" s="5" t="s">
        <v>46</v>
      </c>
      <c r="P6" s="5">
        <v>2023</v>
      </c>
    </row>
    <row r="7" spans="1:16" x14ac:dyDescent="0.25">
      <c r="A7" s="5" t="s">
        <v>37</v>
      </c>
      <c r="B7" s="5" t="s">
        <v>52</v>
      </c>
      <c r="C7" s="5" t="s">
        <v>53</v>
      </c>
      <c r="D7" s="5" t="s">
        <v>54</v>
      </c>
      <c r="E7" s="5" t="s">
        <v>58</v>
      </c>
      <c r="F7" s="5" t="s">
        <v>40</v>
      </c>
      <c r="G7" s="5" t="s">
        <v>41</v>
      </c>
      <c r="H7" s="5" t="s">
        <v>56</v>
      </c>
      <c r="I7" s="5" t="s">
        <v>43</v>
      </c>
      <c r="J7" s="8">
        <v>8.6146439565015103E-4</v>
      </c>
      <c r="K7" s="8">
        <v>1.5385356043498501E-3</v>
      </c>
      <c r="L7" s="7" t="s">
        <v>57</v>
      </c>
      <c r="M7" s="5" t="s">
        <v>44</v>
      </c>
      <c r="N7" s="5" t="s">
        <v>45</v>
      </c>
      <c r="O7" s="5" t="s">
        <v>46</v>
      </c>
      <c r="P7" s="5">
        <v>2023</v>
      </c>
    </row>
    <row r="8" spans="1:16" x14ac:dyDescent="0.25">
      <c r="A8" s="5" t="s">
        <v>37</v>
      </c>
      <c r="B8" s="5" t="s">
        <v>52</v>
      </c>
      <c r="C8" s="5" t="s">
        <v>53</v>
      </c>
      <c r="D8" s="5" t="s">
        <v>54</v>
      </c>
      <c r="E8" s="5" t="s">
        <v>59</v>
      </c>
      <c r="F8" s="5" t="s">
        <v>40</v>
      </c>
      <c r="G8" s="5" t="s">
        <v>41</v>
      </c>
      <c r="H8" s="5" t="s">
        <v>56</v>
      </c>
      <c r="I8" s="5" t="s">
        <v>43</v>
      </c>
      <c r="J8" s="8">
        <v>1.4357739927502501E-3</v>
      </c>
      <c r="K8" s="8">
        <v>2.56422600724975E-3</v>
      </c>
      <c r="L8" s="7" t="s">
        <v>57</v>
      </c>
      <c r="M8" s="5" t="s">
        <v>44</v>
      </c>
      <c r="N8" s="5" t="s">
        <v>45</v>
      </c>
      <c r="O8" s="5" t="s">
        <v>46</v>
      </c>
      <c r="P8" s="5">
        <v>2023</v>
      </c>
    </row>
    <row r="9" spans="1:16" hidden="1" x14ac:dyDescent="0.25">
      <c r="A9" s="5" t="s">
        <v>37</v>
      </c>
      <c r="B9" s="5" t="s">
        <v>52</v>
      </c>
      <c r="C9" s="5" t="s">
        <v>53</v>
      </c>
      <c r="D9" s="5" t="s">
        <v>54</v>
      </c>
      <c r="E9" s="5" t="s">
        <v>55</v>
      </c>
      <c r="F9" s="5" t="s">
        <v>47</v>
      </c>
      <c r="G9" s="5" t="s">
        <v>48</v>
      </c>
      <c r="H9" s="5" t="s">
        <v>56</v>
      </c>
      <c r="I9" s="5" t="s">
        <v>60</v>
      </c>
      <c r="J9" s="8">
        <v>7.7280535159782296E-2</v>
      </c>
      <c r="K9" s="8">
        <v>0.13801946484021799</v>
      </c>
      <c r="L9" s="7" t="s">
        <v>57</v>
      </c>
      <c r="M9" s="5" t="s">
        <v>44</v>
      </c>
      <c r="N9" s="5" t="s">
        <v>45</v>
      </c>
      <c r="O9" s="5" t="s">
        <v>46</v>
      </c>
      <c r="P9" s="5">
        <v>2023</v>
      </c>
    </row>
    <row r="10" spans="1:16" hidden="1" x14ac:dyDescent="0.25">
      <c r="A10" s="5" t="s">
        <v>37</v>
      </c>
      <c r="B10" s="5" t="s">
        <v>52</v>
      </c>
      <c r="C10" s="5" t="s">
        <v>53</v>
      </c>
      <c r="D10" s="5" t="s">
        <v>54</v>
      </c>
      <c r="E10" s="5" t="s">
        <v>58</v>
      </c>
      <c r="F10" s="5" t="s">
        <v>47</v>
      </c>
      <c r="G10" s="5" t="s">
        <v>48</v>
      </c>
      <c r="H10" s="5" t="s">
        <v>56</v>
      </c>
      <c r="I10" s="5" t="s">
        <v>60</v>
      </c>
      <c r="J10" s="8">
        <v>0.231877499829166</v>
      </c>
      <c r="K10" s="8">
        <v>0.41412250017083402</v>
      </c>
      <c r="L10" s="7" t="s">
        <v>57</v>
      </c>
      <c r="M10" s="5" t="s">
        <v>44</v>
      </c>
      <c r="N10" s="5" t="s">
        <v>45</v>
      </c>
      <c r="O10" s="5" t="s">
        <v>46</v>
      </c>
      <c r="P10" s="5">
        <v>2023</v>
      </c>
    </row>
    <row r="11" spans="1:16" hidden="1" x14ac:dyDescent="0.25">
      <c r="A11" s="5" t="s">
        <v>37</v>
      </c>
      <c r="B11" s="5" t="s">
        <v>52</v>
      </c>
      <c r="C11" s="5" t="s">
        <v>53</v>
      </c>
      <c r="D11" s="5" t="s">
        <v>54</v>
      </c>
      <c r="E11" s="5" t="s">
        <v>59</v>
      </c>
      <c r="F11" s="5" t="s">
        <v>47</v>
      </c>
      <c r="G11" s="5" t="s">
        <v>48</v>
      </c>
      <c r="H11" s="5" t="s">
        <v>56</v>
      </c>
      <c r="I11" s="5" t="s">
        <v>60</v>
      </c>
      <c r="J11" s="8">
        <v>0.38643857014873001</v>
      </c>
      <c r="K11" s="8">
        <v>0.69016142985127005</v>
      </c>
      <c r="L11" s="7" t="s">
        <v>57</v>
      </c>
      <c r="M11" s="5" t="s">
        <v>44</v>
      </c>
      <c r="N11" s="5" t="s">
        <v>45</v>
      </c>
      <c r="O11" s="5" t="s">
        <v>46</v>
      </c>
      <c r="P11" s="5">
        <v>2023</v>
      </c>
    </row>
    <row r="12" spans="1:16" x14ac:dyDescent="0.25">
      <c r="A12" s="5" t="s">
        <v>37</v>
      </c>
      <c r="B12" s="5" t="s">
        <v>52</v>
      </c>
      <c r="C12" s="5" t="s">
        <v>53</v>
      </c>
      <c r="D12" s="5" t="s">
        <v>54</v>
      </c>
      <c r="E12" s="5" t="s">
        <v>61</v>
      </c>
      <c r="F12" s="5" t="s">
        <v>40</v>
      </c>
      <c r="G12" s="5" t="s">
        <v>41</v>
      </c>
      <c r="H12" s="5" t="s">
        <v>56</v>
      </c>
      <c r="I12" s="5" t="s">
        <v>43</v>
      </c>
      <c r="J12" s="8">
        <v>2.0100835898503502E-3</v>
      </c>
      <c r="K12" s="8">
        <v>3.5899164101496502E-3</v>
      </c>
      <c r="L12" s="7" t="s">
        <v>57</v>
      </c>
      <c r="M12" s="5" t="s">
        <v>44</v>
      </c>
      <c r="N12" s="5" t="s">
        <v>45</v>
      </c>
      <c r="O12" s="5" t="s">
        <v>46</v>
      </c>
      <c r="P12" s="5">
        <v>2023</v>
      </c>
    </row>
    <row r="13" spans="1:16" x14ac:dyDescent="0.25">
      <c r="A13" s="5" t="s">
        <v>37</v>
      </c>
      <c r="B13" s="5" t="s">
        <v>52</v>
      </c>
      <c r="C13" s="5" t="s">
        <v>53</v>
      </c>
      <c r="D13" s="5" t="s">
        <v>54</v>
      </c>
      <c r="E13" s="5" t="s">
        <v>62</v>
      </c>
      <c r="F13" s="5" t="s">
        <v>40</v>
      </c>
      <c r="G13" s="5" t="s">
        <v>41</v>
      </c>
      <c r="H13" s="5" t="s">
        <v>56</v>
      </c>
      <c r="I13" s="5" t="s">
        <v>43</v>
      </c>
      <c r="J13" s="8">
        <v>2.8715479855005001E-3</v>
      </c>
      <c r="K13" s="8">
        <v>5.1284520144995E-3</v>
      </c>
      <c r="L13" s="7" t="s">
        <v>57</v>
      </c>
      <c r="M13" s="5" t="s">
        <v>44</v>
      </c>
      <c r="N13" s="5" t="s">
        <v>45</v>
      </c>
      <c r="O13" s="5" t="s">
        <v>46</v>
      </c>
      <c r="P13" s="5">
        <v>2023</v>
      </c>
    </row>
    <row r="14" spans="1:16" x14ac:dyDescent="0.25">
      <c r="A14" s="5" t="s">
        <v>37</v>
      </c>
      <c r="B14" s="5" t="s">
        <v>52</v>
      </c>
      <c r="C14" s="5" t="s">
        <v>53</v>
      </c>
      <c r="D14" s="5" t="s">
        <v>54</v>
      </c>
      <c r="E14" s="5" t="s">
        <v>63</v>
      </c>
      <c r="F14" s="5" t="s">
        <v>40</v>
      </c>
      <c r="G14" s="5" t="s">
        <v>41</v>
      </c>
      <c r="H14" s="5" t="s">
        <v>56</v>
      </c>
      <c r="I14" s="5" t="s">
        <v>43</v>
      </c>
      <c r="J14" s="8">
        <v>4.0201671797007003E-3</v>
      </c>
      <c r="K14" s="8">
        <v>7.1798328202993004E-3</v>
      </c>
      <c r="L14" s="7" t="s">
        <v>57</v>
      </c>
      <c r="M14" s="5" t="s">
        <v>44</v>
      </c>
      <c r="N14" s="5" t="s">
        <v>45</v>
      </c>
      <c r="O14" s="5" t="s">
        <v>46</v>
      </c>
      <c r="P14" s="5">
        <v>2023</v>
      </c>
    </row>
    <row r="15" spans="1:16" x14ac:dyDescent="0.25">
      <c r="A15" s="5" t="s">
        <v>37</v>
      </c>
      <c r="B15" s="5" t="s">
        <v>52</v>
      </c>
      <c r="C15" s="5" t="s">
        <v>53</v>
      </c>
      <c r="D15" s="5" t="s">
        <v>54</v>
      </c>
      <c r="E15" s="5" t="s">
        <v>64</v>
      </c>
      <c r="F15" s="5" t="s">
        <v>40</v>
      </c>
      <c r="G15" s="5" t="s">
        <v>41</v>
      </c>
      <c r="H15" s="5" t="s">
        <v>56</v>
      </c>
      <c r="I15" s="5" t="s">
        <v>43</v>
      </c>
      <c r="J15" s="8">
        <v>5.1687863739009101E-3</v>
      </c>
      <c r="K15" s="8">
        <v>9.2312136260990895E-3</v>
      </c>
      <c r="L15" s="7" t="s">
        <v>57</v>
      </c>
      <c r="M15" s="5" t="s">
        <v>44</v>
      </c>
      <c r="N15" s="5" t="s">
        <v>45</v>
      </c>
      <c r="O15" s="5" t="s">
        <v>46</v>
      </c>
      <c r="P15" s="5">
        <v>2023</v>
      </c>
    </row>
    <row r="16" spans="1:16" x14ac:dyDescent="0.25">
      <c r="A16" s="5" t="s">
        <v>37</v>
      </c>
      <c r="B16" s="5" t="s">
        <v>52</v>
      </c>
      <c r="C16" s="5" t="s">
        <v>53</v>
      </c>
      <c r="D16" s="5" t="s">
        <v>54</v>
      </c>
      <c r="E16" s="5" t="s">
        <v>65</v>
      </c>
      <c r="F16" s="5" t="s">
        <v>40</v>
      </c>
      <c r="G16" s="5" t="s">
        <v>41</v>
      </c>
      <c r="H16" s="5" t="s">
        <v>56</v>
      </c>
      <c r="I16" s="5" t="s">
        <v>43</v>
      </c>
      <c r="J16" s="8">
        <v>5.77899032081976E-3</v>
      </c>
      <c r="K16" s="8">
        <v>1.0321009679180201E-2</v>
      </c>
      <c r="L16" s="7" t="s">
        <v>57</v>
      </c>
      <c r="M16" s="5" t="s">
        <v>44</v>
      </c>
      <c r="N16" s="5" t="s">
        <v>45</v>
      </c>
      <c r="O16" s="5" t="s">
        <v>46</v>
      </c>
      <c r="P16" s="5">
        <v>2023</v>
      </c>
    </row>
    <row r="17" spans="1:16" x14ac:dyDescent="0.25">
      <c r="A17" s="5" t="s">
        <v>51</v>
      </c>
      <c r="B17" s="5" t="s">
        <v>66</v>
      </c>
      <c r="C17" s="5" t="s">
        <v>53</v>
      </c>
      <c r="D17" s="5" t="s">
        <v>54</v>
      </c>
      <c r="E17" s="5" t="s">
        <v>58</v>
      </c>
      <c r="F17" s="5" t="s">
        <v>40</v>
      </c>
      <c r="G17" s="5" t="s">
        <v>41</v>
      </c>
      <c r="H17" s="5" t="s">
        <v>56</v>
      </c>
      <c r="I17" s="5" t="s">
        <v>43</v>
      </c>
      <c r="J17" s="8">
        <v>1.5957603560202401E-3</v>
      </c>
      <c r="K17" s="8">
        <v>1.50423964397976E-3</v>
      </c>
      <c r="L17" s="7" t="s">
        <v>57</v>
      </c>
      <c r="M17" s="5" t="s">
        <v>44</v>
      </c>
      <c r="N17" s="5" t="s">
        <v>45</v>
      </c>
      <c r="O17" s="5" t="s">
        <v>46</v>
      </c>
      <c r="P17" s="5">
        <v>2023</v>
      </c>
    </row>
    <row r="18" spans="1:16" x14ac:dyDescent="0.25">
      <c r="A18" s="5" t="s">
        <v>51</v>
      </c>
      <c r="B18" s="5" t="s">
        <v>66</v>
      </c>
      <c r="C18" s="5" t="s">
        <v>53</v>
      </c>
      <c r="D18" s="5" t="s">
        <v>54</v>
      </c>
      <c r="E18" s="5" t="s">
        <v>59</v>
      </c>
      <c r="F18" s="5" t="s">
        <v>40</v>
      </c>
      <c r="G18" s="5" t="s">
        <v>41</v>
      </c>
      <c r="H18" s="5" t="s">
        <v>56</v>
      </c>
      <c r="I18" s="5" t="s">
        <v>43</v>
      </c>
      <c r="J18" s="8">
        <v>4.22104352237613E-3</v>
      </c>
      <c r="K18" s="8">
        <v>3.9789564776238698E-3</v>
      </c>
      <c r="L18" s="7" t="s">
        <v>57</v>
      </c>
      <c r="M18" s="5" t="s">
        <v>44</v>
      </c>
      <c r="N18" s="5" t="s">
        <v>45</v>
      </c>
      <c r="O18" s="5" t="s">
        <v>46</v>
      </c>
      <c r="P18" s="5">
        <v>2023</v>
      </c>
    </row>
    <row r="19" spans="1:16" x14ac:dyDescent="0.25">
      <c r="A19" s="5" t="s">
        <v>51</v>
      </c>
      <c r="B19" s="5" t="s">
        <v>66</v>
      </c>
      <c r="C19" s="5" t="s">
        <v>53</v>
      </c>
      <c r="D19" s="5" t="s">
        <v>54</v>
      </c>
      <c r="E19" s="5" t="s">
        <v>62</v>
      </c>
      <c r="F19" s="5" t="s">
        <v>40</v>
      </c>
      <c r="G19" s="5" t="s">
        <v>41</v>
      </c>
      <c r="H19" s="5" t="s">
        <v>56</v>
      </c>
      <c r="I19" s="5" t="s">
        <v>43</v>
      </c>
      <c r="J19" s="8">
        <v>6.6404221266648904E-3</v>
      </c>
      <c r="K19" s="8">
        <v>6.2595778733351096E-3</v>
      </c>
      <c r="L19" s="7" t="s">
        <v>57</v>
      </c>
      <c r="M19" s="5" t="s">
        <v>44</v>
      </c>
      <c r="N19" s="5" t="s">
        <v>45</v>
      </c>
      <c r="O19" s="5" t="s">
        <v>46</v>
      </c>
      <c r="P19" s="5">
        <v>2023</v>
      </c>
    </row>
    <row r="20" spans="1:16" x14ac:dyDescent="0.25">
      <c r="A20" s="5" t="s">
        <v>51</v>
      </c>
      <c r="B20" s="5" t="s">
        <v>66</v>
      </c>
      <c r="C20" s="5" t="s">
        <v>53</v>
      </c>
      <c r="D20" s="5" t="s">
        <v>54</v>
      </c>
      <c r="E20" s="5" t="s">
        <v>63</v>
      </c>
      <c r="F20" s="5" t="s">
        <v>40</v>
      </c>
      <c r="G20" s="5" t="s">
        <v>41</v>
      </c>
      <c r="H20" s="5" t="s">
        <v>56</v>
      </c>
      <c r="I20" s="5" t="s">
        <v>43</v>
      </c>
      <c r="J20" s="8">
        <v>9.2657052930207699E-3</v>
      </c>
      <c r="K20" s="8">
        <v>8.7342947069792305E-3</v>
      </c>
      <c r="L20" s="7" t="s">
        <v>57</v>
      </c>
      <c r="M20" s="5" t="s">
        <v>44</v>
      </c>
      <c r="N20" s="5" t="s">
        <v>45</v>
      </c>
      <c r="O20" s="5" t="s">
        <v>46</v>
      </c>
      <c r="P20" s="5">
        <v>2023</v>
      </c>
    </row>
    <row r="21" spans="1:16" x14ac:dyDescent="0.25">
      <c r="A21" s="5" t="s">
        <v>51</v>
      </c>
      <c r="B21" s="5" t="s">
        <v>66</v>
      </c>
      <c r="C21" s="5" t="s">
        <v>53</v>
      </c>
      <c r="D21" s="5" t="s">
        <v>54</v>
      </c>
      <c r="E21" s="5" t="s">
        <v>64</v>
      </c>
      <c r="F21" s="5" t="s">
        <v>40</v>
      </c>
      <c r="G21" s="5" t="s">
        <v>41</v>
      </c>
      <c r="H21" s="5" t="s">
        <v>56</v>
      </c>
      <c r="I21" s="5" t="s">
        <v>43</v>
      </c>
      <c r="J21" s="8">
        <v>1.16850838973095E-2</v>
      </c>
      <c r="K21" s="8">
        <v>1.10149161026905E-2</v>
      </c>
      <c r="L21" s="7" t="s">
        <v>57</v>
      </c>
      <c r="M21" s="5" t="s">
        <v>44</v>
      </c>
      <c r="N21" s="5" t="s">
        <v>45</v>
      </c>
      <c r="O21" s="5" t="s">
        <v>46</v>
      </c>
      <c r="P21" s="5">
        <v>2023</v>
      </c>
    </row>
    <row r="22" spans="1:16" x14ac:dyDescent="0.25">
      <c r="A22" s="5" t="s">
        <v>51</v>
      </c>
      <c r="B22" s="5" t="s">
        <v>66</v>
      </c>
      <c r="C22" s="5" t="s">
        <v>53</v>
      </c>
      <c r="D22" s="5" t="s">
        <v>54</v>
      </c>
      <c r="E22" s="5" t="s">
        <v>65</v>
      </c>
      <c r="F22" s="5" t="s">
        <v>40</v>
      </c>
      <c r="G22" s="5" t="s">
        <v>41</v>
      </c>
      <c r="H22" s="5" t="s">
        <v>56</v>
      </c>
      <c r="I22" s="5" t="s">
        <v>43</v>
      </c>
      <c r="J22" s="8">
        <v>1.45162716257325E-2</v>
      </c>
      <c r="K22" s="8">
        <v>1.36837283742675E-2</v>
      </c>
      <c r="L22" s="7" t="s">
        <v>57</v>
      </c>
      <c r="M22" s="5" t="s">
        <v>44</v>
      </c>
      <c r="N22" s="5" t="s">
        <v>45</v>
      </c>
      <c r="O22" s="5" t="s">
        <v>46</v>
      </c>
      <c r="P22" s="5">
        <v>2023</v>
      </c>
    </row>
    <row r="23" spans="1:16" x14ac:dyDescent="0.25">
      <c r="A23" s="5" t="s">
        <v>51</v>
      </c>
      <c r="B23" s="5" t="s">
        <v>66</v>
      </c>
      <c r="C23" s="5" t="s">
        <v>53</v>
      </c>
      <c r="D23" s="5" t="s">
        <v>54</v>
      </c>
      <c r="E23" s="5" t="s">
        <v>67</v>
      </c>
      <c r="F23" s="5" t="s">
        <v>40</v>
      </c>
      <c r="G23" s="5" t="s">
        <v>41</v>
      </c>
      <c r="H23" s="5" t="s">
        <v>56</v>
      </c>
      <c r="I23" s="5" t="s">
        <v>43</v>
      </c>
      <c r="J23" s="8">
        <v>1.7656316197256199E-2</v>
      </c>
      <c r="K23" s="8">
        <v>1.6643683802743701E-2</v>
      </c>
      <c r="L23" s="7" t="s">
        <v>57</v>
      </c>
      <c r="M23" s="5" t="s">
        <v>44</v>
      </c>
      <c r="N23" s="5" t="s">
        <v>45</v>
      </c>
      <c r="O23" s="5" t="s">
        <v>46</v>
      </c>
      <c r="P23" s="5">
        <v>2023</v>
      </c>
    </row>
    <row r="24" spans="1:16" hidden="1" x14ac:dyDescent="0.25">
      <c r="A24" s="5" t="s">
        <v>37</v>
      </c>
      <c r="B24" s="5" t="s">
        <v>52</v>
      </c>
      <c r="C24" s="5" t="s">
        <v>53</v>
      </c>
      <c r="D24" s="5" t="s">
        <v>54</v>
      </c>
      <c r="E24" s="5" t="s">
        <v>61</v>
      </c>
      <c r="F24" s="5" t="s">
        <v>47</v>
      </c>
      <c r="G24" s="5" t="s">
        <v>48</v>
      </c>
      <c r="H24" s="5" t="s">
        <v>56</v>
      </c>
      <c r="I24" s="5" t="s">
        <v>60</v>
      </c>
      <c r="J24" s="8">
        <v>0.54103553481811395</v>
      </c>
      <c r="K24" s="8">
        <v>0.96626446518188602</v>
      </c>
      <c r="L24" s="7" t="s">
        <v>57</v>
      </c>
      <c r="M24" s="5" t="s">
        <v>44</v>
      </c>
      <c r="N24" s="5" t="s">
        <v>45</v>
      </c>
      <c r="O24" s="5" t="s">
        <v>46</v>
      </c>
      <c r="P24" s="5">
        <v>2023</v>
      </c>
    </row>
    <row r="25" spans="1:16" hidden="1" x14ac:dyDescent="0.25">
      <c r="A25" s="5" t="s">
        <v>37</v>
      </c>
      <c r="B25" s="5" t="s">
        <v>52</v>
      </c>
      <c r="C25" s="5" t="s">
        <v>53</v>
      </c>
      <c r="D25" s="5" t="s">
        <v>54</v>
      </c>
      <c r="E25" s="5" t="s">
        <v>62</v>
      </c>
      <c r="F25" s="5" t="s">
        <v>47</v>
      </c>
      <c r="G25" s="5" t="s">
        <v>48</v>
      </c>
      <c r="H25" s="5" t="s">
        <v>56</v>
      </c>
      <c r="I25" s="5" t="s">
        <v>60</v>
      </c>
      <c r="J25" s="8">
        <v>0.77291303464727901</v>
      </c>
      <c r="K25" s="8">
        <v>1.3803869653527201</v>
      </c>
      <c r="L25" s="7" t="s">
        <v>57</v>
      </c>
      <c r="M25" s="5" t="s">
        <v>44</v>
      </c>
      <c r="N25" s="5" t="s">
        <v>45</v>
      </c>
      <c r="O25" s="5" t="s">
        <v>46</v>
      </c>
      <c r="P25" s="5">
        <v>2023</v>
      </c>
    </row>
    <row r="26" spans="1:16" hidden="1" x14ac:dyDescent="0.25">
      <c r="A26" s="5" t="s">
        <v>37</v>
      </c>
      <c r="B26" s="5" t="s">
        <v>52</v>
      </c>
      <c r="C26" s="5" t="s">
        <v>53</v>
      </c>
      <c r="D26" s="5" t="s">
        <v>54</v>
      </c>
      <c r="E26" s="5" t="s">
        <v>63</v>
      </c>
      <c r="F26" s="5" t="s">
        <v>47</v>
      </c>
      <c r="G26" s="5" t="s">
        <v>48</v>
      </c>
      <c r="H26" s="5" t="s">
        <v>56</v>
      </c>
      <c r="I26" s="5" t="s">
        <v>60</v>
      </c>
      <c r="J26" s="8">
        <v>1.0820710696362299</v>
      </c>
      <c r="K26" s="8">
        <v>1.93252893036377</v>
      </c>
      <c r="L26" s="7" t="s">
        <v>57</v>
      </c>
      <c r="M26" s="5" t="s">
        <v>44</v>
      </c>
      <c r="N26" s="5" t="s">
        <v>45</v>
      </c>
      <c r="O26" s="5" t="s">
        <v>46</v>
      </c>
      <c r="P26" s="5">
        <v>2023</v>
      </c>
    </row>
    <row r="27" spans="1:16" hidden="1" x14ac:dyDescent="0.25">
      <c r="A27" s="5" t="s">
        <v>37</v>
      </c>
      <c r="B27" s="5" t="s">
        <v>52</v>
      </c>
      <c r="C27" s="5" t="s">
        <v>53</v>
      </c>
      <c r="D27" s="5" t="s">
        <v>54</v>
      </c>
      <c r="E27" s="5" t="s">
        <v>64</v>
      </c>
      <c r="F27" s="5" t="s">
        <v>47</v>
      </c>
      <c r="G27" s="5" t="s">
        <v>48</v>
      </c>
      <c r="H27" s="5" t="s">
        <v>56</v>
      </c>
      <c r="I27" s="5" t="s">
        <v>60</v>
      </c>
      <c r="J27" s="8">
        <v>1.3912291046251799</v>
      </c>
      <c r="K27" s="8">
        <v>2.4846708953748302</v>
      </c>
      <c r="L27" s="7" t="s">
        <v>57</v>
      </c>
      <c r="M27" s="5" t="s">
        <v>44</v>
      </c>
      <c r="N27" s="5" t="s">
        <v>45</v>
      </c>
      <c r="O27" s="5" t="s">
        <v>46</v>
      </c>
      <c r="P27" s="5">
        <v>2023</v>
      </c>
    </row>
    <row r="28" spans="1:16" hidden="1" x14ac:dyDescent="0.25">
      <c r="A28" s="5" t="s">
        <v>37</v>
      </c>
      <c r="B28" s="5" t="s">
        <v>52</v>
      </c>
      <c r="C28" s="5" t="s">
        <v>53</v>
      </c>
      <c r="D28" s="5" t="s">
        <v>54</v>
      </c>
      <c r="E28" s="5" t="s">
        <v>65</v>
      </c>
      <c r="F28" s="5" t="s">
        <v>47</v>
      </c>
      <c r="G28" s="5" t="s">
        <v>48</v>
      </c>
      <c r="H28" s="5" t="s">
        <v>56</v>
      </c>
      <c r="I28" s="5" t="s">
        <v>60</v>
      </c>
      <c r="J28" s="8">
        <v>1.5489129833789701</v>
      </c>
      <c r="K28" s="8">
        <v>2.76628701662103</v>
      </c>
      <c r="L28" s="7" t="s">
        <v>57</v>
      </c>
      <c r="M28" s="5" t="s">
        <v>44</v>
      </c>
      <c r="N28" s="5" t="s">
        <v>45</v>
      </c>
      <c r="O28" s="5" t="s">
        <v>46</v>
      </c>
      <c r="P28" s="5">
        <v>2023</v>
      </c>
    </row>
    <row r="29" spans="1:16" hidden="1" x14ac:dyDescent="0.25">
      <c r="A29" s="5" t="s">
        <v>51</v>
      </c>
      <c r="B29" s="5" t="s">
        <v>66</v>
      </c>
      <c r="C29" s="5" t="s">
        <v>53</v>
      </c>
      <c r="D29" s="5" t="s">
        <v>54</v>
      </c>
      <c r="E29" s="5" t="s">
        <v>58</v>
      </c>
      <c r="F29" s="5" t="s">
        <v>47</v>
      </c>
      <c r="G29" s="5" t="s">
        <v>48</v>
      </c>
      <c r="H29" s="5" t="s">
        <v>56</v>
      </c>
      <c r="I29" s="5" t="s">
        <v>60</v>
      </c>
      <c r="J29" s="8">
        <v>0.56577426041995205</v>
      </c>
      <c r="K29" s="8">
        <v>0.53332573958004803</v>
      </c>
      <c r="L29" s="7" t="s">
        <v>57</v>
      </c>
      <c r="M29" s="5" t="s">
        <v>44</v>
      </c>
      <c r="N29" s="5" t="s">
        <v>45</v>
      </c>
      <c r="O29" s="5" t="s">
        <v>46</v>
      </c>
      <c r="P29" s="5">
        <v>2023</v>
      </c>
    </row>
    <row r="30" spans="1:16" hidden="1" x14ac:dyDescent="0.25">
      <c r="A30" s="5" t="s">
        <v>51</v>
      </c>
      <c r="B30" s="5" t="s">
        <v>66</v>
      </c>
      <c r="C30" s="5" t="s">
        <v>53</v>
      </c>
      <c r="D30" s="5" t="s">
        <v>54</v>
      </c>
      <c r="E30" s="5" t="s">
        <v>59</v>
      </c>
      <c r="F30" s="5" t="s">
        <v>47</v>
      </c>
      <c r="G30" s="5" t="s">
        <v>48</v>
      </c>
      <c r="H30" s="5" t="s">
        <v>56</v>
      </c>
      <c r="I30" s="5" t="s">
        <v>60</v>
      </c>
      <c r="J30" s="8">
        <v>1.48513813004968</v>
      </c>
      <c r="K30" s="8">
        <v>1.39996186995032</v>
      </c>
      <c r="L30" s="7" t="s">
        <v>57</v>
      </c>
      <c r="M30" s="5" t="s">
        <v>44</v>
      </c>
      <c r="N30" s="5" t="s">
        <v>45</v>
      </c>
      <c r="O30" s="5" t="s">
        <v>46</v>
      </c>
      <c r="P30" s="5">
        <v>2023</v>
      </c>
    </row>
    <row r="31" spans="1:16" hidden="1" x14ac:dyDescent="0.25">
      <c r="A31" s="5" t="s">
        <v>51</v>
      </c>
      <c r="B31" s="5" t="s">
        <v>66</v>
      </c>
      <c r="C31" s="5" t="s">
        <v>53</v>
      </c>
      <c r="D31" s="5" t="s">
        <v>54</v>
      </c>
      <c r="E31" s="5" t="s">
        <v>62</v>
      </c>
      <c r="F31" s="5" t="s">
        <v>47</v>
      </c>
      <c r="G31" s="5" t="s">
        <v>48</v>
      </c>
      <c r="H31" s="5" t="s">
        <v>56</v>
      </c>
      <c r="I31" s="5" t="s">
        <v>60</v>
      </c>
      <c r="J31" s="8">
        <v>2.3337737826093501</v>
      </c>
      <c r="K31" s="8">
        <v>2.19992621739065</v>
      </c>
      <c r="L31" s="7" t="s">
        <v>57</v>
      </c>
      <c r="M31" s="5" t="s">
        <v>44</v>
      </c>
      <c r="N31" s="5" t="s">
        <v>45</v>
      </c>
      <c r="O31" s="5" t="s">
        <v>46</v>
      </c>
      <c r="P31" s="5">
        <v>2023</v>
      </c>
    </row>
    <row r="32" spans="1:16" hidden="1" x14ac:dyDescent="0.25">
      <c r="A32" s="5" t="s">
        <v>51</v>
      </c>
      <c r="B32" s="5" t="s">
        <v>66</v>
      </c>
      <c r="C32" s="5" t="s">
        <v>53</v>
      </c>
      <c r="D32" s="5" t="s">
        <v>54</v>
      </c>
      <c r="E32" s="5" t="s">
        <v>63</v>
      </c>
      <c r="F32" s="5" t="s">
        <v>47</v>
      </c>
      <c r="G32" s="5" t="s">
        <v>48</v>
      </c>
      <c r="H32" s="5" t="s">
        <v>56</v>
      </c>
      <c r="I32" s="5" t="s">
        <v>60</v>
      </c>
      <c r="J32" s="8">
        <v>3.2531376522390798</v>
      </c>
      <c r="K32" s="8">
        <v>3.0665623477609198</v>
      </c>
      <c r="L32" s="7" t="s">
        <v>57</v>
      </c>
      <c r="M32" s="5" t="s">
        <v>44</v>
      </c>
      <c r="N32" s="5" t="s">
        <v>45</v>
      </c>
      <c r="O32" s="5" t="s">
        <v>46</v>
      </c>
      <c r="P32" s="5">
        <v>2023</v>
      </c>
    </row>
    <row r="33" spans="1:16" hidden="1" x14ac:dyDescent="0.25">
      <c r="A33" s="5" t="s">
        <v>51</v>
      </c>
      <c r="B33" s="5" t="s">
        <v>66</v>
      </c>
      <c r="C33" s="5" t="s">
        <v>53</v>
      </c>
      <c r="D33" s="5" t="s">
        <v>54</v>
      </c>
      <c r="E33" s="5" t="s">
        <v>64</v>
      </c>
      <c r="F33" s="5" t="s">
        <v>47</v>
      </c>
      <c r="G33" s="5" t="s">
        <v>48</v>
      </c>
      <c r="H33" s="5" t="s">
        <v>56</v>
      </c>
      <c r="I33" s="5" t="s">
        <v>60</v>
      </c>
      <c r="J33" s="8">
        <v>4.1017733047987504</v>
      </c>
      <c r="K33" s="8">
        <v>3.8665266952012498</v>
      </c>
      <c r="L33" s="7" t="s">
        <v>57</v>
      </c>
      <c r="M33" s="5" t="s">
        <v>44</v>
      </c>
      <c r="N33" s="5" t="s">
        <v>45</v>
      </c>
      <c r="O33" s="5" t="s">
        <v>46</v>
      </c>
      <c r="P33" s="5">
        <v>2023</v>
      </c>
    </row>
    <row r="34" spans="1:16" hidden="1" x14ac:dyDescent="0.25">
      <c r="A34" s="5" t="s">
        <v>51</v>
      </c>
      <c r="B34" s="5" t="s">
        <v>66</v>
      </c>
      <c r="C34" s="5" t="s">
        <v>53</v>
      </c>
      <c r="D34" s="5" t="s">
        <v>54</v>
      </c>
      <c r="E34" s="5" t="s">
        <v>65</v>
      </c>
      <c r="F34" s="5" t="s">
        <v>47</v>
      </c>
      <c r="G34" s="5" t="s">
        <v>48</v>
      </c>
      <c r="H34" s="5" t="s">
        <v>56</v>
      </c>
      <c r="I34" s="5" t="s">
        <v>60</v>
      </c>
      <c r="J34" s="8">
        <v>5.0918653914985299</v>
      </c>
      <c r="K34" s="8">
        <v>4.7998346085014703</v>
      </c>
      <c r="L34" s="7" t="s">
        <v>57</v>
      </c>
      <c r="M34" s="5" t="s">
        <v>44</v>
      </c>
      <c r="N34" s="5" t="s">
        <v>45</v>
      </c>
      <c r="O34" s="5" t="s">
        <v>46</v>
      </c>
      <c r="P34" s="5">
        <v>2023</v>
      </c>
    </row>
    <row r="35" spans="1:16" hidden="1" x14ac:dyDescent="0.25">
      <c r="A35" s="5" t="s">
        <v>51</v>
      </c>
      <c r="B35" s="5" t="s">
        <v>66</v>
      </c>
      <c r="C35" s="5" t="s">
        <v>53</v>
      </c>
      <c r="D35" s="5" t="s">
        <v>54</v>
      </c>
      <c r="E35" s="5" t="s">
        <v>67</v>
      </c>
      <c r="F35" s="5" t="s">
        <v>47</v>
      </c>
      <c r="G35" s="5" t="s">
        <v>48</v>
      </c>
      <c r="H35" s="5" t="s">
        <v>56</v>
      </c>
      <c r="I35" s="5" t="s">
        <v>60</v>
      </c>
      <c r="J35" s="8">
        <v>6.2092064975558001</v>
      </c>
      <c r="K35" s="8">
        <v>5.8530935024442003</v>
      </c>
      <c r="L35" s="7" t="s">
        <v>57</v>
      </c>
      <c r="M35" s="5" t="s">
        <v>44</v>
      </c>
      <c r="N35" s="5" t="s">
        <v>45</v>
      </c>
      <c r="O35" s="5" t="s">
        <v>46</v>
      </c>
      <c r="P35" s="5">
        <v>2023</v>
      </c>
    </row>
  </sheetData>
  <autoFilter ref="A1:P35" xr:uid="{92D09D0D-FCCA-47AF-A58B-0FD130C7E3D8}">
    <filterColumn colId="5">
      <filters>
        <filter val="Floor are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DA910-25C1-4483-9AFB-A4CB87986091}">
  <dimension ref="A1:P33"/>
  <sheetViews>
    <sheetView tabSelected="1" workbookViewId="0">
      <selection activeCell="I7" sqref="I7"/>
    </sheetView>
  </sheetViews>
  <sheetFormatPr defaultRowHeight="15" x14ac:dyDescent="0.25"/>
  <sheetData>
    <row r="1" spans="1:1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s="4" t="s">
        <v>30</v>
      </c>
      <c r="K1" s="4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</row>
    <row r="2" spans="1:16" x14ac:dyDescent="0.25">
      <c r="A2" s="5" t="s">
        <v>37</v>
      </c>
      <c r="B2" s="5"/>
      <c r="C2" s="5" t="s">
        <v>68</v>
      </c>
      <c r="D2" s="5" t="s">
        <v>69</v>
      </c>
      <c r="E2" s="5"/>
      <c r="F2" s="5" t="s">
        <v>40</v>
      </c>
      <c r="G2" s="5" t="s">
        <v>41</v>
      </c>
      <c r="H2" s="5" t="s">
        <v>42</v>
      </c>
      <c r="I2" s="5" t="s">
        <v>43</v>
      </c>
      <c r="J2" s="8">
        <v>1.42736702249226E-2</v>
      </c>
      <c r="K2" s="8">
        <v>3.57101558522116E-2</v>
      </c>
      <c r="L2" s="7">
        <v>4</v>
      </c>
      <c r="M2" s="5" t="s">
        <v>70</v>
      </c>
      <c r="N2" s="5" t="s">
        <v>45</v>
      </c>
      <c r="O2" s="5" t="s">
        <v>46</v>
      </c>
      <c r="P2" s="5">
        <v>2020</v>
      </c>
    </row>
    <row r="3" spans="1:16" x14ac:dyDescent="0.25">
      <c r="A3" s="5" t="s">
        <v>51</v>
      </c>
      <c r="B3" s="5"/>
      <c r="C3" s="5" t="s">
        <v>68</v>
      </c>
      <c r="D3" s="5" t="s">
        <v>69</v>
      </c>
      <c r="E3" s="5"/>
      <c r="F3" s="5" t="s">
        <v>40</v>
      </c>
      <c r="G3" s="5" t="s">
        <v>41</v>
      </c>
      <c r="H3" s="5" t="s">
        <v>42</v>
      </c>
      <c r="I3" s="5" t="s">
        <v>43</v>
      </c>
      <c r="J3" s="8">
        <v>1.40562366625589E-2</v>
      </c>
      <c r="K3" s="8">
        <v>1.56084172490149E-2</v>
      </c>
      <c r="L3" s="7">
        <v>4</v>
      </c>
      <c r="M3" s="5" t="s">
        <v>70</v>
      </c>
      <c r="N3" s="5" t="s">
        <v>45</v>
      </c>
      <c r="O3" s="5" t="s">
        <v>46</v>
      </c>
      <c r="P3" s="5">
        <v>2020</v>
      </c>
    </row>
    <row r="4" spans="1:16" x14ac:dyDescent="0.25">
      <c r="A4" s="5" t="s">
        <v>37</v>
      </c>
      <c r="B4" s="5" t="s">
        <v>52</v>
      </c>
      <c r="C4" s="5" t="s">
        <v>71</v>
      </c>
      <c r="D4" s="5" t="s">
        <v>72</v>
      </c>
      <c r="E4" s="5" t="s">
        <v>55</v>
      </c>
      <c r="F4" s="5" t="s">
        <v>40</v>
      </c>
      <c r="G4" s="5" t="s">
        <v>41</v>
      </c>
      <c r="H4" s="5" t="s">
        <v>56</v>
      </c>
      <c r="I4" s="5" t="s">
        <v>43</v>
      </c>
      <c r="J4" s="8">
        <v>6.5546847485340397E-4</v>
      </c>
      <c r="K4" s="8">
        <v>1.8445315251466E-3</v>
      </c>
      <c r="L4" s="7" t="s">
        <v>57</v>
      </c>
      <c r="M4" s="5" t="s">
        <v>70</v>
      </c>
      <c r="N4" s="5" t="s">
        <v>45</v>
      </c>
      <c r="O4" s="5" t="s">
        <v>46</v>
      </c>
      <c r="P4" s="5">
        <v>2023</v>
      </c>
    </row>
    <row r="5" spans="1:16" x14ac:dyDescent="0.25">
      <c r="A5" s="5" t="s">
        <v>37</v>
      </c>
      <c r="B5" s="5" t="s">
        <v>52</v>
      </c>
      <c r="C5" s="5" t="s">
        <v>71</v>
      </c>
      <c r="D5" s="5" t="s">
        <v>72</v>
      </c>
      <c r="E5" s="5" t="s">
        <v>58</v>
      </c>
      <c r="F5" s="5" t="s">
        <v>40</v>
      </c>
      <c r="G5" s="5" t="s">
        <v>41</v>
      </c>
      <c r="H5" s="5" t="s">
        <v>56</v>
      </c>
      <c r="I5" s="5" t="s">
        <v>43</v>
      </c>
      <c r="J5" s="8">
        <v>1.9926241635543499E-3</v>
      </c>
      <c r="K5" s="8">
        <v>5.6073758364456501E-3</v>
      </c>
      <c r="L5" s="7" t="s">
        <v>57</v>
      </c>
      <c r="M5" s="5" t="s">
        <v>70</v>
      </c>
      <c r="N5" s="5" t="s">
        <v>45</v>
      </c>
      <c r="O5" s="5" t="s">
        <v>46</v>
      </c>
      <c r="P5" s="5">
        <v>2023</v>
      </c>
    </row>
    <row r="6" spans="1:16" x14ac:dyDescent="0.25">
      <c r="A6" s="5" t="s">
        <v>37</v>
      </c>
      <c r="B6" s="5" t="s">
        <v>52</v>
      </c>
      <c r="C6" s="5" t="s">
        <v>71</v>
      </c>
      <c r="D6" s="5" t="s">
        <v>72</v>
      </c>
      <c r="E6" s="5" t="s">
        <v>59</v>
      </c>
      <c r="F6" s="5" t="s">
        <v>40</v>
      </c>
      <c r="G6" s="5" t="s">
        <v>41</v>
      </c>
      <c r="H6" s="5" t="s">
        <v>56</v>
      </c>
      <c r="I6" s="5" t="s">
        <v>43</v>
      </c>
      <c r="J6" s="8">
        <v>3.3297798522552899E-3</v>
      </c>
      <c r="K6" s="8">
        <v>9.3702201477447108E-3</v>
      </c>
      <c r="L6" s="7" t="s">
        <v>57</v>
      </c>
      <c r="M6" s="5" t="s">
        <v>70</v>
      </c>
      <c r="N6" s="5" t="s">
        <v>45</v>
      </c>
      <c r="O6" s="5" t="s">
        <v>46</v>
      </c>
      <c r="P6" s="5">
        <v>2023</v>
      </c>
    </row>
    <row r="7" spans="1:16" x14ac:dyDescent="0.25">
      <c r="A7" s="5" t="s">
        <v>37</v>
      </c>
      <c r="B7" s="5" t="s">
        <v>52</v>
      </c>
      <c r="C7" s="5" t="s">
        <v>71</v>
      </c>
      <c r="D7" s="5" t="s">
        <v>72</v>
      </c>
      <c r="E7" s="5" t="s">
        <v>55</v>
      </c>
      <c r="F7" s="5" t="s">
        <v>47</v>
      </c>
      <c r="G7" s="5" t="s">
        <v>48</v>
      </c>
      <c r="H7" s="5" t="s">
        <v>56</v>
      </c>
      <c r="I7" s="5" t="s">
        <v>60</v>
      </c>
      <c r="J7" s="8">
        <v>5.2227728076319202E-2</v>
      </c>
      <c r="K7" s="8">
        <v>0.14697227192368101</v>
      </c>
      <c r="L7" s="7" t="s">
        <v>57</v>
      </c>
      <c r="M7" s="5" t="s">
        <v>70</v>
      </c>
      <c r="N7" s="5" t="s">
        <v>45</v>
      </c>
      <c r="O7" s="5" t="s">
        <v>46</v>
      </c>
      <c r="P7" s="5">
        <v>2023</v>
      </c>
    </row>
    <row r="8" spans="1:16" x14ac:dyDescent="0.25">
      <c r="A8" s="5" t="s">
        <v>37</v>
      </c>
      <c r="B8" s="5" t="s">
        <v>52</v>
      </c>
      <c r="C8" s="5" t="s">
        <v>71</v>
      </c>
      <c r="D8" s="5" t="s">
        <v>72</v>
      </c>
      <c r="E8" s="5" t="s">
        <v>58</v>
      </c>
      <c r="F8" s="5" t="s">
        <v>47</v>
      </c>
      <c r="G8" s="5" t="s">
        <v>48</v>
      </c>
      <c r="H8" s="5" t="s">
        <v>56</v>
      </c>
      <c r="I8" s="5" t="s">
        <v>60</v>
      </c>
      <c r="J8" s="8">
        <v>0.15668318422895799</v>
      </c>
      <c r="K8" s="8">
        <v>0.44091681577104203</v>
      </c>
      <c r="L8" s="7" t="s">
        <v>57</v>
      </c>
      <c r="M8" s="5" t="s">
        <v>70</v>
      </c>
      <c r="N8" s="5" t="s">
        <v>45</v>
      </c>
      <c r="O8" s="5" t="s">
        <v>46</v>
      </c>
      <c r="P8" s="5">
        <v>2023</v>
      </c>
    </row>
    <row r="9" spans="1:16" x14ac:dyDescent="0.25">
      <c r="A9" s="5" t="s">
        <v>37</v>
      </c>
      <c r="B9" s="5" t="s">
        <v>52</v>
      </c>
      <c r="C9" s="5" t="s">
        <v>71</v>
      </c>
      <c r="D9" s="5" t="s">
        <v>72</v>
      </c>
      <c r="E9" s="5" t="s">
        <v>59</v>
      </c>
      <c r="F9" s="5" t="s">
        <v>47</v>
      </c>
      <c r="G9" s="5" t="s">
        <v>48</v>
      </c>
      <c r="H9" s="5" t="s">
        <v>56</v>
      </c>
      <c r="I9" s="5" t="s">
        <v>60</v>
      </c>
      <c r="J9" s="8">
        <v>0.26113864038159601</v>
      </c>
      <c r="K9" s="8">
        <v>0.73486135961840404</v>
      </c>
      <c r="L9" s="7" t="s">
        <v>57</v>
      </c>
      <c r="M9" s="5" t="s">
        <v>70</v>
      </c>
      <c r="N9" s="5" t="s">
        <v>45</v>
      </c>
      <c r="O9" s="5" t="s">
        <v>46</v>
      </c>
      <c r="P9" s="5">
        <v>2023</v>
      </c>
    </row>
    <row r="10" spans="1:16" x14ac:dyDescent="0.25">
      <c r="A10" s="5" t="s">
        <v>37</v>
      </c>
      <c r="B10" s="5" t="s">
        <v>52</v>
      </c>
      <c r="C10" s="5" t="s">
        <v>71</v>
      </c>
      <c r="D10" s="5" t="s">
        <v>72</v>
      </c>
      <c r="E10" s="5" t="s">
        <v>61</v>
      </c>
      <c r="F10" s="5" t="s">
        <v>40</v>
      </c>
      <c r="G10" s="5" t="s">
        <v>41</v>
      </c>
      <c r="H10" s="5" t="s">
        <v>56</v>
      </c>
      <c r="I10" s="5" t="s">
        <v>43</v>
      </c>
      <c r="J10" s="8">
        <v>4.66693554095623E-3</v>
      </c>
      <c r="K10" s="8">
        <v>1.3133064459043799E-2</v>
      </c>
      <c r="L10" s="7" t="s">
        <v>57</v>
      </c>
      <c r="M10" s="5" t="s">
        <v>70</v>
      </c>
      <c r="N10" s="5" t="s">
        <v>45</v>
      </c>
      <c r="O10" s="5" t="s">
        <v>46</v>
      </c>
      <c r="P10" s="5">
        <v>2023</v>
      </c>
    </row>
    <row r="11" spans="1:16" x14ac:dyDescent="0.25">
      <c r="A11" s="5" t="s">
        <v>37</v>
      </c>
      <c r="B11" s="5" t="s">
        <v>52</v>
      </c>
      <c r="C11" s="5" t="s">
        <v>71</v>
      </c>
      <c r="D11" s="5" t="s">
        <v>72</v>
      </c>
      <c r="E11" s="5" t="s">
        <v>62</v>
      </c>
      <c r="F11" s="5" t="s">
        <v>40</v>
      </c>
      <c r="G11" s="5" t="s">
        <v>41</v>
      </c>
      <c r="H11" s="5" t="s">
        <v>56</v>
      </c>
      <c r="I11" s="5" t="s">
        <v>43</v>
      </c>
      <c r="J11" s="8">
        <v>6.6595597045105799E-3</v>
      </c>
      <c r="K11" s="8">
        <v>1.8740440295489401E-2</v>
      </c>
      <c r="L11" s="7" t="s">
        <v>57</v>
      </c>
      <c r="M11" s="5" t="s">
        <v>70</v>
      </c>
      <c r="N11" s="5" t="s">
        <v>45</v>
      </c>
      <c r="O11" s="5" t="s">
        <v>46</v>
      </c>
      <c r="P11" s="5">
        <v>2023</v>
      </c>
    </row>
    <row r="12" spans="1:16" x14ac:dyDescent="0.25">
      <c r="A12" s="5" t="s">
        <v>37</v>
      </c>
      <c r="B12" s="5" t="s">
        <v>52</v>
      </c>
      <c r="C12" s="5" t="s">
        <v>71</v>
      </c>
      <c r="D12" s="5" t="s">
        <v>72</v>
      </c>
      <c r="E12" s="5" t="s">
        <v>63</v>
      </c>
      <c r="F12" s="5" t="s">
        <v>40</v>
      </c>
      <c r="G12" s="5" t="s">
        <v>41</v>
      </c>
      <c r="H12" s="5" t="s">
        <v>56</v>
      </c>
      <c r="I12" s="5" t="s">
        <v>43</v>
      </c>
      <c r="J12" s="8">
        <v>9.3338710819124704E-3</v>
      </c>
      <c r="K12" s="8">
        <v>2.6266128918087502E-2</v>
      </c>
      <c r="L12" s="7" t="s">
        <v>57</v>
      </c>
      <c r="M12" s="5" t="s">
        <v>70</v>
      </c>
      <c r="N12" s="5" t="s">
        <v>45</v>
      </c>
      <c r="O12" s="5" t="s">
        <v>46</v>
      </c>
      <c r="P12" s="5">
        <v>2023</v>
      </c>
    </row>
    <row r="13" spans="1:16" x14ac:dyDescent="0.25">
      <c r="A13" s="5" t="s">
        <v>37</v>
      </c>
      <c r="B13" s="5" t="s">
        <v>52</v>
      </c>
      <c r="C13" s="5" t="s">
        <v>71</v>
      </c>
      <c r="D13" s="5" t="s">
        <v>72</v>
      </c>
      <c r="E13" s="5" t="s">
        <v>64</v>
      </c>
      <c r="F13" s="5" t="s">
        <v>40</v>
      </c>
      <c r="G13" s="5" t="s">
        <v>41</v>
      </c>
      <c r="H13" s="5" t="s">
        <v>56</v>
      </c>
      <c r="I13" s="5" t="s">
        <v>43</v>
      </c>
      <c r="J13" s="8">
        <v>1.1981963720320199E-2</v>
      </c>
      <c r="K13" s="8">
        <v>3.37180362796798E-2</v>
      </c>
      <c r="L13" s="7" t="s">
        <v>57</v>
      </c>
      <c r="M13" s="5" t="s">
        <v>70</v>
      </c>
      <c r="N13" s="5" t="s">
        <v>45</v>
      </c>
      <c r="O13" s="5" t="s">
        <v>46</v>
      </c>
      <c r="P13" s="5">
        <v>2023</v>
      </c>
    </row>
    <row r="14" spans="1:16" x14ac:dyDescent="0.25">
      <c r="A14" s="5" t="s">
        <v>37</v>
      </c>
      <c r="B14" s="5" t="s">
        <v>52</v>
      </c>
      <c r="C14" s="5" t="s">
        <v>71</v>
      </c>
      <c r="D14" s="5" t="s">
        <v>72</v>
      </c>
      <c r="E14" s="5" t="s">
        <v>65</v>
      </c>
      <c r="F14" s="5" t="s">
        <v>40</v>
      </c>
      <c r="G14" s="5" t="s">
        <v>41</v>
      </c>
      <c r="H14" s="5" t="s">
        <v>56</v>
      </c>
      <c r="I14" s="5" t="s">
        <v>43</v>
      </c>
      <c r="J14" s="8">
        <v>1.33453381480153E-2</v>
      </c>
      <c r="K14" s="8">
        <v>3.7554661851984701E-2</v>
      </c>
      <c r="L14" s="7" t="s">
        <v>57</v>
      </c>
      <c r="M14" s="5" t="s">
        <v>70</v>
      </c>
      <c r="N14" s="5" t="s">
        <v>45</v>
      </c>
      <c r="O14" s="5" t="s">
        <v>46</v>
      </c>
      <c r="P14" s="5">
        <v>2023</v>
      </c>
    </row>
    <row r="15" spans="1:16" x14ac:dyDescent="0.25">
      <c r="A15" s="5" t="s">
        <v>51</v>
      </c>
      <c r="B15" s="5" t="s">
        <v>66</v>
      </c>
      <c r="C15" s="5" t="s">
        <v>71</v>
      </c>
      <c r="D15" s="5" t="s">
        <v>72</v>
      </c>
      <c r="E15" s="5" t="s">
        <v>58</v>
      </c>
      <c r="F15" s="5" t="s">
        <v>40</v>
      </c>
      <c r="G15" s="5" t="s">
        <v>41</v>
      </c>
      <c r="H15" s="5" t="s">
        <v>56</v>
      </c>
      <c r="I15" s="5" t="s">
        <v>43</v>
      </c>
      <c r="J15" s="8">
        <v>1.7151232999496099E-3</v>
      </c>
      <c r="K15" s="8">
        <v>2.1848767000503901E-3</v>
      </c>
      <c r="L15" s="7" t="s">
        <v>57</v>
      </c>
      <c r="M15" s="5" t="s">
        <v>70</v>
      </c>
      <c r="N15" s="5" t="s">
        <v>45</v>
      </c>
      <c r="O15" s="5" t="s">
        <v>46</v>
      </c>
      <c r="P15" s="5">
        <v>2023</v>
      </c>
    </row>
    <row r="16" spans="1:16" x14ac:dyDescent="0.25">
      <c r="A16" s="5" t="s">
        <v>51</v>
      </c>
      <c r="B16" s="5" t="s">
        <v>66</v>
      </c>
      <c r="C16" s="5" t="s">
        <v>71</v>
      </c>
      <c r="D16" s="5" t="s">
        <v>72</v>
      </c>
      <c r="E16" s="5" t="s">
        <v>59</v>
      </c>
      <c r="F16" s="5" t="s">
        <v>40</v>
      </c>
      <c r="G16" s="5" t="s">
        <v>41</v>
      </c>
      <c r="H16" s="5" t="s">
        <v>56</v>
      </c>
      <c r="I16" s="5" t="s">
        <v>43</v>
      </c>
      <c r="J16" s="8">
        <v>4.5296846126874303E-3</v>
      </c>
      <c r="K16" s="8">
        <v>5.7703153873125699E-3</v>
      </c>
      <c r="L16" s="7" t="s">
        <v>57</v>
      </c>
      <c r="M16" s="5" t="s">
        <v>70</v>
      </c>
      <c r="N16" s="5" t="s">
        <v>45</v>
      </c>
      <c r="O16" s="5" t="s">
        <v>46</v>
      </c>
      <c r="P16" s="5">
        <v>2023</v>
      </c>
    </row>
    <row r="17" spans="1:16" x14ac:dyDescent="0.25">
      <c r="A17" s="5" t="s">
        <v>51</v>
      </c>
      <c r="B17" s="5" t="s">
        <v>66</v>
      </c>
      <c r="C17" s="5" t="s">
        <v>71</v>
      </c>
      <c r="D17" s="5" t="s">
        <v>72</v>
      </c>
      <c r="E17" s="5" t="s">
        <v>62</v>
      </c>
      <c r="F17" s="5" t="s">
        <v>40</v>
      </c>
      <c r="G17" s="5" t="s">
        <v>41</v>
      </c>
      <c r="H17" s="5" t="s">
        <v>56</v>
      </c>
      <c r="I17" s="5" t="s">
        <v>43</v>
      </c>
      <c r="J17" s="8">
        <v>7.0803808023560798E-3</v>
      </c>
      <c r="K17" s="8">
        <v>9.0196191976439199E-3</v>
      </c>
      <c r="L17" s="7" t="s">
        <v>57</v>
      </c>
      <c r="M17" s="5" t="s">
        <v>70</v>
      </c>
      <c r="N17" s="5" t="s">
        <v>45</v>
      </c>
      <c r="O17" s="5" t="s">
        <v>46</v>
      </c>
      <c r="P17" s="5">
        <v>2023</v>
      </c>
    </row>
    <row r="18" spans="1:16" x14ac:dyDescent="0.25">
      <c r="A18" s="5" t="s">
        <v>51</v>
      </c>
      <c r="B18" s="5" t="s">
        <v>66</v>
      </c>
      <c r="C18" s="5" t="s">
        <v>71</v>
      </c>
      <c r="D18" s="5" t="s">
        <v>72</v>
      </c>
      <c r="E18" s="5" t="s">
        <v>63</v>
      </c>
      <c r="F18" s="5" t="s">
        <v>40</v>
      </c>
      <c r="G18" s="5" t="s">
        <v>41</v>
      </c>
      <c r="H18" s="5" t="s">
        <v>56</v>
      </c>
      <c r="I18" s="5" t="s">
        <v>43</v>
      </c>
      <c r="J18" s="8">
        <v>9.8949421150939E-3</v>
      </c>
      <c r="K18" s="8">
        <v>1.2605057884906099E-2</v>
      </c>
      <c r="L18" s="7" t="s">
        <v>57</v>
      </c>
      <c r="M18" s="5" t="s">
        <v>70</v>
      </c>
      <c r="N18" s="5" t="s">
        <v>45</v>
      </c>
      <c r="O18" s="5" t="s">
        <v>46</v>
      </c>
      <c r="P18" s="5">
        <v>2023</v>
      </c>
    </row>
    <row r="19" spans="1:16" x14ac:dyDescent="0.25">
      <c r="A19" s="5" t="s">
        <v>51</v>
      </c>
      <c r="B19" s="5" t="s">
        <v>66</v>
      </c>
      <c r="C19" s="5" t="s">
        <v>71</v>
      </c>
      <c r="D19" s="5" t="s">
        <v>72</v>
      </c>
      <c r="E19" s="5" t="s">
        <v>64</v>
      </c>
      <c r="F19" s="5" t="s">
        <v>40</v>
      </c>
      <c r="G19" s="5" t="s">
        <v>41</v>
      </c>
      <c r="H19" s="5" t="s">
        <v>56</v>
      </c>
      <c r="I19" s="5" t="s">
        <v>43</v>
      </c>
      <c r="J19" s="8">
        <v>1.24896158252741E-2</v>
      </c>
      <c r="K19" s="8">
        <v>1.59103841747259E-2</v>
      </c>
      <c r="L19" s="7" t="s">
        <v>57</v>
      </c>
      <c r="M19" s="5" t="s">
        <v>70</v>
      </c>
      <c r="N19" s="5" t="s">
        <v>45</v>
      </c>
      <c r="O19" s="5" t="s">
        <v>46</v>
      </c>
      <c r="P19" s="5">
        <v>2023</v>
      </c>
    </row>
    <row r="20" spans="1:16" x14ac:dyDescent="0.25">
      <c r="A20" s="5" t="s">
        <v>51</v>
      </c>
      <c r="B20" s="5" t="s">
        <v>66</v>
      </c>
      <c r="C20" s="5" t="s">
        <v>71</v>
      </c>
      <c r="D20" s="5" t="s">
        <v>72</v>
      </c>
      <c r="E20" s="5" t="s">
        <v>65</v>
      </c>
      <c r="F20" s="5" t="s">
        <v>40</v>
      </c>
      <c r="G20" s="5" t="s">
        <v>41</v>
      </c>
      <c r="H20" s="5" t="s">
        <v>56</v>
      </c>
      <c r="I20" s="5" t="s">
        <v>43</v>
      </c>
      <c r="J20" s="8">
        <v>1.5480087220058E-2</v>
      </c>
      <c r="K20" s="8">
        <v>1.9719912779941999E-2</v>
      </c>
      <c r="L20" s="7" t="s">
        <v>57</v>
      </c>
      <c r="M20" s="5" t="s">
        <v>70</v>
      </c>
      <c r="N20" s="5" t="s">
        <v>45</v>
      </c>
      <c r="O20" s="5" t="s">
        <v>46</v>
      </c>
      <c r="P20" s="5">
        <v>2023</v>
      </c>
    </row>
    <row r="21" spans="1:16" x14ac:dyDescent="0.25">
      <c r="A21" s="5" t="s">
        <v>51</v>
      </c>
      <c r="B21" s="5" t="s">
        <v>66</v>
      </c>
      <c r="C21" s="5" t="s">
        <v>71</v>
      </c>
      <c r="D21" s="5" t="s">
        <v>72</v>
      </c>
      <c r="E21" s="5" t="s">
        <v>67</v>
      </c>
      <c r="F21" s="5" t="s">
        <v>40</v>
      </c>
      <c r="G21" s="5" t="s">
        <v>41</v>
      </c>
      <c r="H21" s="5" t="s">
        <v>56</v>
      </c>
      <c r="I21" s="5" t="s">
        <v>43</v>
      </c>
      <c r="J21" s="8">
        <v>1.8866356299445702E-2</v>
      </c>
      <c r="K21" s="8">
        <v>2.4033643700554299E-2</v>
      </c>
      <c r="L21" s="7" t="s">
        <v>57</v>
      </c>
      <c r="M21" s="5" t="s">
        <v>70</v>
      </c>
      <c r="N21" s="5" t="s">
        <v>45</v>
      </c>
      <c r="O21" s="5" t="s">
        <v>46</v>
      </c>
      <c r="P21" s="5">
        <v>2023</v>
      </c>
    </row>
    <row r="22" spans="1:16" x14ac:dyDescent="0.25">
      <c r="A22" s="5" t="s">
        <v>37</v>
      </c>
      <c r="B22" s="5" t="s">
        <v>52</v>
      </c>
      <c r="C22" s="5" t="s">
        <v>71</v>
      </c>
      <c r="D22" s="5" t="s">
        <v>72</v>
      </c>
      <c r="E22" s="5" t="s">
        <v>61</v>
      </c>
      <c r="F22" s="5" t="s">
        <v>47</v>
      </c>
      <c r="G22" s="5" t="s">
        <v>48</v>
      </c>
      <c r="H22" s="5" t="s">
        <v>56</v>
      </c>
      <c r="I22" s="5" t="s">
        <v>60</v>
      </c>
      <c r="J22" s="8">
        <v>0.36559409653423403</v>
      </c>
      <c r="K22" s="8">
        <v>1.0288059034657699</v>
      </c>
      <c r="L22" s="7" t="s">
        <v>57</v>
      </c>
      <c r="M22" s="5" t="s">
        <v>70</v>
      </c>
      <c r="N22" s="5" t="s">
        <v>45</v>
      </c>
      <c r="O22" s="5" t="s">
        <v>46</v>
      </c>
      <c r="P22" s="5">
        <v>2023</v>
      </c>
    </row>
    <row r="23" spans="1:16" x14ac:dyDescent="0.25">
      <c r="A23" s="5" t="s">
        <v>37</v>
      </c>
      <c r="B23" s="5" t="s">
        <v>52</v>
      </c>
      <c r="C23" s="5" t="s">
        <v>71</v>
      </c>
      <c r="D23" s="5" t="s">
        <v>72</v>
      </c>
      <c r="E23" s="5" t="s">
        <v>62</v>
      </c>
      <c r="F23" s="5" t="s">
        <v>47</v>
      </c>
      <c r="G23" s="5" t="s">
        <v>48</v>
      </c>
      <c r="H23" s="5" t="s">
        <v>56</v>
      </c>
      <c r="I23" s="5" t="s">
        <v>60</v>
      </c>
      <c r="J23" s="8">
        <v>0.52227728076319202</v>
      </c>
      <c r="K23" s="8">
        <v>1.4697227192368101</v>
      </c>
      <c r="L23" s="7" t="s">
        <v>57</v>
      </c>
      <c r="M23" s="5" t="s">
        <v>70</v>
      </c>
      <c r="N23" s="5" t="s">
        <v>45</v>
      </c>
      <c r="O23" s="5" t="s">
        <v>46</v>
      </c>
      <c r="P23" s="5">
        <v>2023</v>
      </c>
    </row>
    <row r="24" spans="1:16" x14ac:dyDescent="0.25">
      <c r="A24" s="5" t="s">
        <v>37</v>
      </c>
      <c r="B24" s="5" t="s">
        <v>52</v>
      </c>
      <c r="C24" s="5" t="s">
        <v>71</v>
      </c>
      <c r="D24" s="5" t="s">
        <v>72</v>
      </c>
      <c r="E24" s="5" t="s">
        <v>63</v>
      </c>
      <c r="F24" s="5" t="s">
        <v>47</v>
      </c>
      <c r="G24" s="5" t="s">
        <v>48</v>
      </c>
      <c r="H24" s="5" t="s">
        <v>56</v>
      </c>
      <c r="I24" s="5" t="s">
        <v>60</v>
      </c>
      <c r="J24" s="8">
        <v>0.73116197432947505</v>
      </c>
      <c r="K24" s="8">
        <v>2.0575380256705298</v>
      </c>
      <c r="L24" s="7" t="s">
        <v>57</v>
      </c>
      <c r="M24" s="5" t="s">
        <v>70</v>
      </c>
      <c r="N24" s="5" t="s">
        <v>45</v>
      </c>
      <c r="O24" s="5" t="s">
        <v>46</v>
      </c>
      <c r="P24" s="5">
        <v>2023</v>
      </c>
    </row>
    <row r="25" spans="1:16" x14ac:dyDescent="0.25">
      <c r="A25" s="5" t="s">
        <v>37</v>
      </c>
      <c r="B25" s="5" t="s">
        <v>52</v>
      </c>
      <c r="C25" s="5" t="s">
        <v>71</v>
      </c>
      <c r="D25" s="5" t="s">
        <v>72</v>
      </c>
      <c r="E25" s="5" t="s">
        <v>64</v>
      </c>
      <c r="F25" s="5" t="s">
        <v>47</v>
      </c>
      <c r="G25" s="5" t="s">
        <v>48</v>
      </c>
      <c r="H25" s="5" t="s">
        <v>56</v>
      </c>
      <c r="I25" s="5" t="s">
        <v>60</v>
      </c>
      <c r="J25" s="8">
        <v>0.94007288663475097</v>
      </c>
      <c r="K25" s="8">
        <v>2.6454271133652498</v>
      </c>
      <c r="L25" s="7" t="s">
        <v>57</v>
      </c>
      <c r="M25" s="5" t="s">
        <v>70</v>
      </c>
      <c r="N25" s="5" t="s">
        <v>45</v>
      </c>
      <c r="O25" s="5" t="s">
        <v>46</v>
      </c>
      <c r="P25" s="5">
        <v>2023</v>
      </c>
    </row>
    <row r="26" spans="1:16" x14ac:dyDescent="0.25">
      <c r="A26" s="5" t="s">
        <v>37</v>
      </c>
      <c r="B26" s="5" t="s">
        <v>52</v>
      </c>
      <c r="C26" s="5" t="s">
        <v>71</v>
      </c>
      <c r="D26" s="5" t="s">
        <v>72</v>
      </c>
      <c r="E26" s="5" t="s">
        <v>65</v>
      </c>
      <c r="F26" s="5" t="s">
        <v>47</v>
      </c>
      <c r="G26" s="5" t="s">
        <v>48</v>
      </c>
      <c r="H26" s="5" t="s">
        <v>56</v>
      </c>
      <c r="I26" s="5" t="s">
        <v>60</v>
      </c>
      <c r="J26" s="8">
        <v>1.0466258419069201</v>
      </c>
      <c r="K26" s="8">
        <v>2.9452741580930799</v>
      </c>
      <c r="L26" s="7" t="s">
        <v>57</v>
      </c>
      <c r="M26" s="5" t="s">
        <v>70</v>
      </c>
      <c r="N26" s="5" t="s">
        <v>45</v>
      </c>
      <c r="O26" s="5" t="s">
        <v>46</v>
      </c>
      <c r="P26" s="5">
        <v>2023</v>
      </c>
    </row>
    <row r="27" spans="1:16" x14ac:dyDescent="0.25">
      <c r="A27" s="5" t="s">
        <v>51</v>
      </c>
      <c r="B27" s="5" t="s">
        <v>66</v>
      </c>
      <c r="C27" s="5" t="s">
        <v>71</v>
      </c>
      <c r="D27" s="5" t="s">
        <v>72</v>
      </c>
      <c r="E27" s="5" t="s">
        <v>58</v>
      </c>
      <c r="F27" s="5" t="s">
        <v>47</v>
      </c>
      <c r="G27" s="5" t="s">
        <v>48</v>
      </c>
      <c r="H27" s="5" t="s">
        <v>56</v>
      </c>
      <c r="I27" s="5" t="s">
        <v>60</v>
      </c>
      <c r="J27" s="8">
        <v>0.113593935481278</v>
      </c>
      <c r="K27" s="8">
        <v>0.14470606451872201</v>
      </c>
      <c r="L27" s="7" t="s">
        <v>57</v>
      </c>
      <c r="M27" s="5" t="s">
        <v>70</v>
      </c>
      <c r="N27" s="5" t="s">
        <v>45</v>
      </c>
      <c r="O27" s="5" t="s">
        <v>46</v>
      </c>
      <c r="P27" s="5">
        <v>2023</v>
      </c>
    </row>
    <row r="28" spans="1:16" x14ac:dyDescent="0.25">
      <c r="A28" s="5" t="s">
        <v>51</v>
      </c>
      <c r="B28" s="5" t="s">
        <v>66</v>
      </c>
      <c r="C28" s="5" t="s">
        <v>71</v>
      </c>
      <c r="D28" s="5" t="s">
        <v>72</v>
      </c>
      <c r="E28" s="5" t="s">
        <v>59</v>
      </c>
      <c r="F28" s="5" t="s">
        <v>47</v>
      </c>
      <c r="G28" s="5" t="s">
        <v>48</v>
      </c>
      <c r="H28" s="5" t="s">
        <v>56</v>
      </c>
      <c r="I28" s="5" t="s">
        <v>60</v>
      </c>
      <c r="J28" s="8">
        <v>0.29812361154765099</v>
      </c>
      <c r="K28" s="8">
        <v>0.37977638845234901</v>
      </c>
      <c r="L28" s="7" t="s">
        <v>57</v>
      </c>
      <c r="M28" s="5" t="s">
        <v>70</v>
      </c>
      <c r="N28" s="5" t="s">
        <v>45</v>
      </c>
      <c r="O28" s="5" t="s">
        <v>46</v>
      </c>
      <c r="P28" s="5">
        <v>2023</v>
      </c>
    </row>
    <row r="29" spans="1:16" x14ac:dyDescent="0.25">
      <c r="A29" s="5" t="s">
        <v>51</v>
      </c>
      <c r="B29" s="5" t="s">
        <v>66</v>
      </c>
      <c r="C29" s="5" t="s">
        <v>71</v>
      </c>
      <c r="D29" s="5" t="s">
        <v>72</v>
      </c>
      <c r="E29" s="5" t="s">
        <v>62</v>
      </c>
      <c r="F29" s="5" t="s">
        <v>47</v>
      </c>
      <c r="G29" s="5" t="s">
        <v>48</v>
      </c>
      <c r="H29" s="5" t="s">
        <v>56</v>
      </c>
      <c r="I29" s="5" t="s">
        <v>60</v>
      </c>
      <c r="J29" s="8">
        <v>0.46849252600931302</v>
      </c>
      <c r="K29" s="8">
        <v>0.59680747399068801</v>
      </c>
      <c r="L29" s="7" t="s">
        <v>57</v>
      </c>
      <c r="M29" s="5" t="s">
        <v>70</v>
      </c>
      <c r="N29" s="5" t="s">
        <v>45</v>
      </c>
      <c r="O29" s="5" t="s">
        <v>46</v>
      </c>
      <c r="P29" s="5">
        <v>2023</v>
      </c>
    </row>
    <row r="30" spans="1:16" x14ac:dyDescent="0.25">
      <c r="A30" s="5" t="s">
        <v>51</v>
      </c>
      <c r="B30" s="5" t="s">
        <v>66</v>
      </c>
      <c r="C30" s="5" t="s">
        <v>71</v>
      </c>
      <c r="D30" s="5" t="s">
        <v>72</v>
      </c>
      <c r="E30" s="5" t="s">
        <v>63</v>
      </c>
      <c r="F30" s="5" t="s">
        <v>47</v>
      </c>
      <c r="G30" s="5" t="s">
        <v>48</v>
      </c>
      <c r="H30" s="5" t="s">
        <v>56</v>
      </c>
      <c r="I30" s="5" t="s">
        <v>60</v>
      </c>
      <c r="J30" s="8">
        <v>0.65306617959619795</v>
      </c>
      <c r="K30" s="8">
        <v>0.83193382040380304</v>
      </c>
      <c r="L30" s="7" t="s">
        <v>57</v>
      </c>
      <c r="M30" s="5" t="s">
        <v>70</v>
      </c>
      <c r="N30" s="5" t="s">
        <v>45</v>
      </c>
      <c r="O30" s="5" t="s">
        <v>46</v>
      </c>
      <c r="P30" s="5">
        <v>2023</v>
      </c>
    </row>
    <row r="31" spans="1:16" x14ac:dyDescent="0.25">
      <c r="A31" s="5" t="s">
        <v>51</v>
      </c>
      <c r="B31" s="5" t="s">
        <v>66</v>
      </c>
      <c r="C31" s="5" t="s">
        <v>71</v>
      </c>
      <c r="D31" s="5" t="s">
        <v>72</v>
      </c>
      <c r="E31" s="5" t="s">
        <v>64</v>
      </c>
      <c r="F31" s="5" t="s">
        <v>47</v>
      </c>
      <c r="G31" s="5" t="s">
        <v>48</v>
      </c>
      <c r="H31" s="5" t="s">
        <v>56</v>
      </c>
      <c r="I31" s="5" t="s">
        <v>60</v>
      </c>
      <c r="J31" s="8">
        <v>0.82343509405785897</v>
      </c>
      <c r="K31" s="8">
        <v>1.04896490594214</v>
      </c>
      <c r="L31" s="7" t="s">
        <v>57</v>
      </c>
      <c r="M31" s="5" t="s">
        <v>70</v>
      </c>
      <c r="N31" s="5" t="s">
        <v>45</v>
      </c>
      <c r="O31" s="5" t="s">
        <v>46</v>
      </c>
      <c r="P31" s="5">
        <v>2023</v>
      </c>
    </row>
    <row r="32" spans="1:16" x14ac:dyDescent="0.25">
      <c r="A32" s="5" t="s">
        <v>51</v>
      </c>
      <c r="B32" s="5" t="s">
        <v>66</v>
      </c>
      <c r="C32" s="5" t="s">
        <v>71</v>
      </c>
      <c r="D32" s="5" t="s">
        <v>72</v>
      </c>
      <c r="E32" s="5" t="s">
        <v>65</v>
      </c>
      <c r="F32" s="5" t="s">
        <v>47</v>
      </c>
      <c r="G32" s="5" t="s">
        <v>48</v>
      </c>
      <c r="H32" s="5" t="s">
        <v>56</v>
      </c>
      <c r="I32" s="5" t="s">
        <v>60</v>
      </c>
      <c r="J32" s="8">
        <v>1.02216950924946</v>
      </c>
      <c r="K32" s="8">
        <v>1.30213049075054</v>
      </c>
      <c r="L32" s="7" t="s">
        <v>57</v>
      </c>
      <c r="M32" s="5" t="s">
        <v>70</v>
      </c>
      <c r="N32" s="5" t="s">
        <v>45</v>
      </c>
      <c r="O32" s="5" t="s">
        <v>46</v>
      </c>
      <c r="P32" s="5">
        <v>2023</v>
      </c>
    </row>
    <row r="33" spans="1:16" x14ac:dyDescent="0.25">
      <c r="A33" s="5" t="s">
        <v>51</v>
      </c>
      <c r="B33" s="5" t="s">
        <v>66</v>
      </c>
      <c r="C33" s="5" t="s">
        <v>71</v>
      </c>
      <c r="D33" s="5" t="s">
        <v>72</v>
      </c>
      <c r="E33" s="5" t="s">
        <v>67</v>
      </c>
      <c r="F33" s="5" t="s">
        <v>47</v>
      </c>
      <c r="G33" s="5" t="s">
        <v>48</v>
      </c>
      <c r="H33" s="5" t="s">
        <v>56</v>
      </c>
      <c r="I33" s="5" t="s">
        <v>60</v>
      </c>
      <c r="J33" s="8">
        <v>1.2464988413787601</v>
      </c>
      <c r="K33" s="8">
        <v>1.5879011586212399</v>
      </c>
      <c r="L33" s="7" t="s">
        <v>57</v>
      </c>
      <c r="M33" s="5" t="s">
        <v>70</v>
      </c>
      <c r="N33" s="5" t="s">
        <v>45</v>
      </c>
      <c r="O33" s="5" t="s">
        <v>46</v>
      </c>
      <c r="P33" s="5">
        <v>2023</v>
      </c>
    </row>
  </sheetData>
  <autoFilter ref="A1:P33" xr:uid="{AD7DA910-25C1-4483-9AFB-A4CB8798609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7639714bc41878d1ee5f3dd89cdbedb9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c6c5e8b286f676cbf2d6c7e8c4918e6e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C0028D-792E-4EB1-9AC9-9681F8471C1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F14D78-3C86-42D8-9A31-BFD1FF809A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898215-30C9-4145-B9DF-088B183664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aux1</vt:lpstr>
      <vt:lpstr>aux2</vt:lpstr>
      <vt:lpstr>input mortgage</vt:lpstr>
      <vt:lpstr>input cre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Hélder Filipe Felicidade Fernandes</cp:lastModifiedBy>
  <cp:revision/>
  <dcterms:created xsi:type="dcterms:W3CDTF">2025-11-23T03:46:26Z</dcterms:created>
  <dcterms:modified xsi:type="dcterms:W3CDTF">2026-01-07T17:27:31Z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41b88ec2-a72b-4523-9e84-0458a1764731_Enabled">
    <vt:lpwstr>true</vt:lpwstr>
  </property>
  <property fmtid="{D5CDD505-2E9C-101B-9397-08002B2CF9AE}" pid="5" name="MSIP_Label_41b88ec2-a72b-4523-9e84-0458a1764731_SetDate">
    <vt:lpwstr>2026-01-05T16:14:51Z</vt:lpwstr>
  </property>
  <property fmtid="{D5CDD505-2E9C-101B-9397-08002B2CF9AE}" pid="6" name="MSIP_Label_41b88ec2-a72b-4523-9e84-0458a1764731_Method">
    <vt:lpwstr>Privileged</vt:lpwstr>
  </property>
  <property fmtid="{D5CDD505-2E9C-101B-9397-08002B2CF9AE}" pid="7" name="MSIP_Label_41b88ec2-a72b-4523-9e84-0458a1764731_Name">
    <vt:lpwstr>Public O365</vt:lpwstr>
  </property>
  <property fmtid="{D5CDD505-2E9C-101B-9397-08002B2CF9AE}" pid="8" name="MSIP_Label_41b88ec2-a72b-4523-9e84-0458a1764731_SiteId">
    <vt:lpwstr>35595a02-4d6d-44ac-99e1-f9ab4cd872db</vt:lpwstr>
  </property>
  <property fmtid="{D5CDD505-2E9C-101B-9397-08002B2CF9AE}" pid="9" name="MSIP_Label_41b88ec2-a72b-4523-9e84-0458a1764731_ActionId">
    <vt:lpwstr>142a4066-1b12-4a17-8ae2-04fcbd768a67</vt:lpwstr>
  </property>
  <property fmtid="{D5CDD505-2E9C-101B-9397-08002B2CF9AE}" pid="10" name="MSIP_Label_41b88ec2-a72b-4523-9e84-0458a1764731_ContentBits">
    <vt:lpwstr>0</vt:lpwstr>
  </property>
  <property fmtid="{D5CDD505-2E9C-101B-9397-08002B2CF9AE}" pid="11" name="MSIP_Label_41b88ec2-a72b-4523-9e84-0458a1764731_Tag">
    <vt:lpwstr>10, 0, 1, 1</vt:lpwstr>
  </property>
  <property fmtid="{D5CDD505-2E9C-101B-9397-08002B2CF9AE}" pid="12" name="ContentTypeId">
    <vt:lpwstr>0x01010085891D558BC6CE45BCCE0C5A666FB0F3</vt:lpwstr>
  </property>
</Properties>
</file>