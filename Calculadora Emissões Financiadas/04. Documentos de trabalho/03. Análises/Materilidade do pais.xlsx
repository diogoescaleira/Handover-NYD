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antandernet.sharepoint.com/sites/BSCalculadoradeemissoesFinanciadas/Shared Documents/General/04. Documentos de trabalho/03. Análises/"/>
    </mc:Choice>
  </mc:AlternateContent>
  <xr:revisionPtr revIDLastSave="8" documentId="8_{ECCD6F0E-3336-4DD4-8C3B-AC0EE20C9234}" xr6:coauthVersionLast="47" xr6:coauthVersionMax="47" xr10:uidLastSave="{AC3C361E-6355-4735-A482-1C52C283050B}"/>
  <bookViews>
    <workbookView xWindow="-120" yWindow="-120" windowWidth="29040" windowHeight="15720" xr2:uid="{00000000-000D-0000-FFFF-FFFF00000000}"/>
  </bookViews>
  <sheets>
    <sheet name="Aux Query" sheetId="3" r:id="rId1"/>
    <sheet name="Pais dos imóveis" sheetId="4" r:id="rId2"/>
  </sheets>
  <definedNames>
    <definedName name="_xlnm._FilterDatabase" localSheetId="0" hidden="1">'Aux Query'!$B$2:$G$38</definedName>
    <definedName name="_xlnm._FilterDatabase" localSheetId="1" hidden="1">'Pais dos imóveis'!$B$14:$G$21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4" l="1"/>
  <c r="J21" i="4"/>
  <c r="J10" i="4"/>
  <c r="J3" i="4"/>
  <c r="L21" i="4"/>
  <c r="L10" i="4"/>
  <c r="K10" i="4"/>
  <c r="K21" i="4"/>
  <c r="H21" i="4"/>
  <c r="H20" i="4"/>
  <c r="H19" i="4"/>
  <c r="H18" i="4"/>
  <c r="H17" i="4"/>
  <c r="H16" i="4"/>
  <c r="H15" i="4"/>
  <c r="G22" i="4"/>
  <c r="F22" i="4"/>
  <c r="H10" i="4"/>
  <c r="H9" i="4"/>
  <c r="H8" i="4"/>
  <c r="H7" i="4"/>
  <c r="H6" i="4"/>
  <c r="H5" i="4"/>
  <c r="H4" i="4"/>
  <c r="H3" i="4"/>
  <c r="F11" i="4"/>
  <c r="G11" i="4"/>
  <c r="G1" i="3"/>
  <c r="F1" i="3"/>
</calcChain>
</file>

<file path=xl/sharedStrings.xml><?xml version="1.0" encoding="utf-8"?>
<sst xmlns="http://schemas.openxmlformats.org/spreadsheetml/2006/main" count="192" uniqueCount="24">
  <si>
    <t>cre_rre</t>
  </si>
  <si>
    <t>tipologia_montante</t>
  </si>
  <si>
    <t>origem_scp1_emss</t>
  </si>
  <si>
    <t>emissao</t>
  </si>
  <si>
    <t>amount</t>
  </si>
  <si>
    <t>Habitacao</t>
  </si>
  <si>
    <t>Montante Não Colaterizado</t>
  </si>
  <si>
    <t>NULL</t>
  </si>
  <si>
    <t>CRE_OUTRO</t>
  </si>
  <si>
    <t>Montante Colaterizado</t>
  </si>
  <si>
    <t>Nao Aplicavel</t>
  </si>
  <si>
    <t>RE_DQS3_2A</t>
  </si>
  <si>
    <t>RE_DQS4_2B</t>
  </si>
  <si>
    <t>CRE_OUTRO - Nao Aplicavel</t>
  </si>
  <si>
    <t>CRE_FC</t>
  </si>
  <si>
    <t>Habitacao - MISS</t>
  </si>
  <si>
    <t>MISS</t>
  </si>
  <si>
    <t>CRE_OUTRO - MISS</t>
  </si>
  <si>
    <t>RE_DQS5_3</t>
  </si>
  <si>
    <t>cpais</t>
  </si>
  <si>
    <t>Carteira</t>
  </si>
  <si>
    <t>Total</t>
  </si>
  <si>
    <t>WITH PAIS AS 
(
    SELECT UNIV.*,EPC.CPAIS,
        CASE 
            WHEN UNIV.CEMPBEM IS NOT NULL AND UNIV.CKBALBEM IS NOT NULL AND UNIV.CKCTABEM IS NOT NULL AND UNIV.CKREFBEM IS NOT NULL THEN 'Montante Colaterizado'
            ELSE 'Montante Não Colaterizado'
        END AS TIPOLOGIA_MONTANTE
    FROM 
    -- OBTER OS DADOS DA TABELA DE EMISSÕES FINANCIADAS POR IMÓVEL (REAL ESTATE)
    (
        SELECT *
        FROM BU_CAPTOOLS_WORK.PA_OUT_EMSS_FNCD_RE
    	WHERE REF_DATE = '${REF_DATE}'
    ) UNIV 
    LEFT JOIN 
    -- LIGAÇÃO COM A TABELA PROPERTY_ENERGY_CERTIFICATE PARA OBTENÇÃO DO CAMPO EPC DO BEM IMÓVEL
    (
    	SELECT  
            CEMPBEM
            ,CKBALBEM
            ,CKCTABEM
            ,CKREFBEM
            ,CPAIS
    	FROM cd_garantias.gt009_bens_imov
    	WHERE REF_DATE = '${REF_DATE}'
    ) EPC 
    ON  UNIV.CEMPBEM  = EPC.CEMPBEM AND
        UNIV.CKBALBEM = EPC.CKBALBEM AND
        UNIV.CKCTABEM = EPC.CKCTABEM AND
        UNIV.CKREFBEM = EPC.CKREFBEM 
)
SELECT 
    CRE_RRE,
    TIPOLOGIA_MONTANTE,
    origem_scp1_emss,
    CPAIS,
    SUM(SCP1_EMSS_FNCD+SCP2_EMSS_FNCD) AS EMISSAO,
    SUM(-AMOUNT) AS AMOUNT
FROM PAIS
GROUP BY 1,2,3,4</t>
  </si>
  <si>
    <t>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</si>
</sst>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1"/>
      <name val="Calibri"/>
      <family val="2"/>
      <scheme val="minor"/>
    </font>
    <font>
      <b/>
      <u/>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4" fontId="0" fillId="0" borderId="0" xfId="0" applyNumberFormat="1"/>
    <xf numFmtId="9" fontId="0" fillId="0" borderId="0" xfId="1" applyFont="1"/>
    <xf numFmtId="9" fontId="0" fillId="2" borderId="0" xfId="1" applyFont="1" applyFill="1"/>
    <xf numFmtId="0" fontId="0" fillId="2" borderId="0" xfId="0" applyFill="1"/>
    <xf numFmtId="164" fontId="0" fillId="0" borderId="0" xfId="0" applyNumberFormat="1"/>
    <xf numFmtId="164" fontId="0" fillId="0" borderId="0" xfId="1" applyNumberFormat="1" applyFont="1"/>
    <xf numFmtId="10" fontId="0" fillId="0" borderId="0" xfId="1" applyNumberFormat="1" applyFont="1"/>
    <xf numFmtId="0" fontId="0" fillId="0" borderId="0" xfId="0" applyAlignment="1">
      <alignment horizontal="center"/>
    </xf>
    <xf numFmtId="0" fontId="2" fillId="0" borderId="0" xfId="0" applyFont="1"/>
    <xf numFmtId="4" fontId="0" fillId="2" borderId="0" xfId="0" applyNumberFormat="1" applyFill="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03AA2-E63A-45FA-B8E9-6C6976FEC795}">
  <sheetPr filterMode="1"/>
  <dimension ref="B1:J38"/>
  <sheetViews>
    <sheetView tabSelected="1" workbookViewId="0">
      <selection activeCell="J1" sqref="J1"/>
    </sheetView>
  </sheetViews>
  <sheetFormatPr defaultRowHeight="15" x14ac:dyDescent="0.25"/>
  <cols>
    <col min="2" max="3" width="25.85546875" bestFit="1" customWidth="1"/>
    <col min="4" max="4" width="18" bestFit="1" customWidth="1"/>
    <col min="5" max="5" width="5.42578125" bestFit="1" customWidth="1"/>
    <col min="6" max="6" width="11.42578125" bestFit="1" customWidth="1"/>
    <col min="7" max="7" width="16.140625" bestFit="1" customWidth="1"/>
  </cols>
  <sheetData>
    <row r="1" spans="2:10" x14ac:dyDescent="0.25">
      <c r="F1" s="1">
        <f>+SUBTOTAL(9,F3:F38)</f>
        <v>422389.15387719846</v>
      </c>
      <c r="G1" s="1">
        <f>+SUBTOTAL(9,G3:G38)</f>
        <v>23267503584.649021</v>
      </c>
      <c r="I1" s="9" t="s">
        <v>23</v>
      </c>
      <c r="J1" t="s">
        <v>22</v>
      </c>
    </row>
    <row r="2" spans="2:10" x14ac:dyDescent="0.25">
      <c r="B2" t="s">
        <v>0</v>
      </c>
      <c r="C2" t="s">
        <v>1</v>
      </c>
      <c r="D2" t="s">
        <v>2</v>
      </c>
      <c r="E2" t="s">
        <v>19</v>
      </c>
      <c r="F2" t="s">
        <v>3</v>
      </c>
      <c r="G2" t="s">
        <v>4</v>
      </c>
      <c r="I2" s="8"/>
    </row>
    <row r="3" spans="2:10" hidden="1" x14ac:dyDescent="0.25">
      <c r="B3" t="s">
        <v>5</v>
      </c>
      <c r="C3" t="s">
        <v>6</v>
      </c>
      <c r="D3" t="s">
        <v>7</v>
      </c>
      <c r="E3" t="s">
        <v>7</v>
      </c>
      <c r="F3" s="1" t="s">
        <v>7</v>
      </c>
      <c r="G3" s="1">
        <v>36314206.850000001</v>
      </c>
    </row>
    <row r="4" spans="2:10" hidden="1" x14ac:dyDescent="0.25">
      <c r="B4" t="s">
        <v>8</v>
      </c>
      <c r="C4" t="s">
        <v>9</v>
      </c>
      <c r="D4" t="s">
        <v>10</v>
      </c>
      <c r="E4">
        <v>620</v>
      </c>
      <c r="F4" s="1" t="s">
        <v>7</v>
      </c>
      <c r="G4" s="1">
        <v>1162765.6961011</v>
      </c>
    </row>
    <row r="5" spans="2:10" x14ac:dyDescent="0.25">
      <c r="B5" t="s">
        <v>5</v>
      </c>
      <c r="C5" t="s">
        <v>9</v>
      </c>
      <c r="D5" t="s">
        <v>11</v>
      </c>
      <c r="E5">
        <v>620</v>
      </c>
      <c r="F5" s="1">
        <v>86208.505085105702</v>
      </c>
      <c r="G5" s="1">
        <v>12094358969.471399</v>
      </c>
    </row>
    <row r="6" spans="2:10" hidden="1" x14ac:dyDescent="0.25">
      <c r="B6" t="s">
        <v>8</v>
      </c>
      <c r="C6" t="s">
        <v>9</v>
      </c>
      <c r="D6" t="s">
        <v>12</v>
      </c>
      <c r="E6">
        <v>276</v>
      </c>
      <c r="F6" s="1">
        <v>404.20376048223198</v>
      </c>
      <c r="G6" s="1">
        <v>20022706.66</v>
      </c>
    </row>
    <row r="7" spans="2:10" hidden="1" x14ac:dyDescent="0.25">
      <c r="B7" t="s">
        <v>13</v>
      </c>
      <c r="C7" t="s">
        <v>9</v>
      </c>
      <c r="D7" t="s">
        <v>10</v>
      </c>
      <c r="F7" s="1" t="s">
        <v>7</v>
      </c>
      <c r="G7" s="1">
        <v>9.19630302312433E-3</v>
      </c>
    </row>
    <row r="8" spans="2:10" hidden="1" x14ac:dyDescent="0.25">
      <c r="B8" t="s">
        <v>14</v>
      </c>
      <c r="C8" t="s">
        <v>6</v>
      </c>
      <c r="D8" t="s">
        <v>7</v>
      </c>
      <c r="E8" t="s">
        <v>7</v>
      </c>
      <c r="F8" s="1" t="s">
        <v>7</v>
      </c>
      <c r="G8" s="1">
        <v>5556041.2300000004</v>
      </c>
    </row>
    <row r="9" spans="2:10" x14ac:dyDescent="0.25">
      <c r="B9" t="s">
        <v>5</v>
      </c>
      <c r="C9" t="s">
        <v>9</v>
      </c>
      <c r="D9" t="s">
        <v>12</v>
      </c>
      <c r="F9" s="1">
        <v>979.17359004000002</v>
      </c>
      <c r="G9" s="1">
        <v>67504625.219999999</v>
      </c>
    </row>
    <row r="10" spans="2:10" hidden="1" x14ac:dyDescent="0.25">
      <c r="B10" t="s">
        <v>15</v>
      </c>
      <c r="C10" t="s">
        <v>9</v>
      </c>
      <c r="D10" t="s">
        <v>16</v>
      </c>
      <c r="E10">
        <v>620</v>
      </c>
      <c r="F10" s="1" t="s">
        <v>7</v>
      </c>
      <c r="G10" s="1">
        <v>44313.97</v>
      </c>
    </row>
    <row r="11" spans="2:10" hidden="1" x14ac:dyDescent="0.25">
      <c r="B11" t="s">
        <v>17</v>
      </c>
      <c r="C11" t="s">
        <v>9</v>
      </c>
      <c r="D11" t="s">
        <v>16</v>
      </c>
      <c r="E11">
        <v>620</v>
      </c>
      <c r="F11" s="1" t="s">
        <v>7</v>
      </c>
      <c r="G11" s="1">
        <v>557086.54</v>
      </c>
    </row>
    <row r="12" spans="2:10" hidden="1" x14ac:dyDescent="0.25">
      <c r="B12" t="s">
        <v>14</v>
      </c>
      <c r="C12" t="s">
        <v>9</v>
      </c>
      <c r="D12" t="s">
        <v>10</v>
      </c>
      <c r="E12">
        <v>620</v>
      </c>
      <c r="F12" s="1" t="s">
        <v>7</v>
      </c>
      <c r="G12" s="1">
        <v>152374.06155963999</v>
      </c>
    </row>
    <row r="13" spans="2:10" x14ac:dyDescent="0.25">
      <c r="B13" t="s">
        <v>5</v>
      </c>
      <c r="C13" t="s">
        <v>9</v>
      </c>
      <c r="D13" t="s">
        <v>12</v>
      </c>
      <c r="E13">
        <v>620</v>
      </c>
      <c r="F13" s="1">
        <v>316343.57585343701</v>
      </c>
      <c r="G13" s="1">
        <v>10397185789.6056</v>
      </c>
    </row>
    <row r="14" spans="2:10" hidden="1" x14ac:dyDescent="0.25">
      <c r="B14" t="s">
        <v>8</v>
      </c>
      <c r="C14" t="s">
        <v>9</v>
      </c>
      <c r="D14" t="s">
        <v>12</v>
      </c>
      <c r="E14">
        <v>528</v>
      </c>
      <c r="F14" s="1">
        <v>349.59777443822099</v>
      </c>
      <c r="G14" s="1">
        <v>12812969.9599999</v>
      </c>
    </row>
    <row r="15" spans="2:10" hidden="1" x14ac:dyDescent="0.25">
      <c r="B15" t="s">
        <v>13</v>
      </c>
      <c r="C15" t="s">
        <v>9</v>
      </c>
      <c r="D15" t="s">
        <v>18</v>
      </c>
      <c r="E15">
        <v>620</v>
      </c>
      <c r="F15" s="1">
        <v>29631.8917209067</v>
      </c>
      <c r="G15" s="1">
        <v>363323481.978073</v>
      </c>
    </row>
    <row r="16" spans="2:10" hidden="1" x14ac:dyDescent="0.25">
      <c r="B16" t="s">
        <v>13</v>
      </c>
      <c r="C16" t="s">
        <v>6</v>
      </c>
      <c r="D16" t="s">
        <v>7</v>
      </c>
      <c r="E16" t="s">
        <v>7</v>
      </c>
      <c r="F16" s="1" t="s">
        <v>7</v>
      </c>
      <c r="G16" s="1">
        <v>24675974.100000001</v>
      </c>
    </row>
    <row r="17" spans="2:7" x14ac:dyDescent="0.25">
      <c r="B17" t="s">
        <v>5</v>
      </c>
      <c r="C17" t="s">
        <v>9</v>
      </c>
      <c r="D17" t="s">
        <v>18</v>
      </c>
      <c r="F17" s="1">
        <v>2070.2551507613498</v>
      </c>
      <c r="G17" s="1">
        <v>81900579.980514005</v>
      </c>
    </row>
    <row r="18" spans="2:7" hidden="1" x14ac:dyDescent="0.25">
      <c r="B18" t="s">
        <v>14</v>
      </c>
      <c r="C18" t="s">
        <v>9</v>
      </c>
      <c r="D18" t="s">
        <v>18</v>
      </c>
      <c r="E18">
        <v>620</v>
      </c>
      <c r="F18" s="1">
        <v>85.167662416100001</v>
      </c>
      <c r="G18" s="1">
        <v>23137087.717377499</v>
      </c>
    </row>
    <row r="19" spans="2:7" hidden="1" x14ac:dyDescent="0.25">
      <c r="B19" t="s">
        <v>13</v>
      </c>
      <c r="C19" t="s">
        <v>9</v>
      </c>
      <c r="D19" t="s">
        <v>11</v>
      </c>
      <c r="E19">
        <v>620</v>
      </c>
      <c r="F19" s="1">
        <v>5138.4949478102799</v>
      </c>
      <c r="G19" s="1">
        <v>77477617.5252956</v>
      </c>
    </row>
    <row r="20" spans="2:7" x14ac:dyDescent="0.25">
      <c r="B20" t="s">
        <v>5</v>
      </c>
      <c r="C20" t="s">
        <v>9</v>
      </c>
      <c r="D20" t="s">
        <v>11</v>
      </c>
      <c r="F20" s="1">
        <v>1142.32417363379</v>
      </c>
      <c r="G20" s="1">
        <v>219930373.77000001</v>
      </c>
    </row>
    <row r="21" spans="2:7" hidden="1" x14ac:dyDescent="0.25">
      <c r="B21" t="s">
        <v>14</v>
      </c>
      <c r="C21" t="s">
        <v>9</v>
      </c>
      <c r="D21" t="s">
        <v>11</v>
      </c>
      <c r="E21">
        <v>620</v>
      </c>
      <c r="F21" s="1">
        <v>1299.0351065177999</v>
      </c>
      <c r="G21" s="1">
        <v>184830517.565716</v>
      </c>
    </row>
    <row r="22" spans="2:7" hidden="1" x14ac:dyDescent="0.25">
      <c r="B22" t="s">
        <v>8</v>
      </c>
      <c r="C22" t="s">
        <v>9</v>
      </c>
      <c r="D22" t="s">
        <v>12</v>
      </c>
      <c r="E22">
        <v>620</v>
      </c>
      <c r="F22" s="1">
        <v>92373.735423106002</v>
      </c>
      <c r="G22" s="1">
        <v>839050477.03369999</v>
      </c>
    </row>
    <row r="23" spans="2:7" hidden="1" x14ac:dyDescent="0.25">
      <c r="B23" t="s">
        <v>8</v>
      </c>
      <c r="C23" t="s">
        <v>9</v>
      </c>
      <c r="D23" t="s">
        <v>11</v>
      </c>
      <c r="E23">
        <v>620</v>
      </c>
      <c r="F23" s="1">
        <v>1370.5427138576899</v>
      </c>
      <c r="G23" s="1">
        <v>173185575.90494999</v>
      </c>
    </row>
    <row r="24" spans="2:7" hidden="1" x14ac:dyDescent="0.25">
      <c r="B24" t="s">
        <v>5</v>
      </c>
      <c r="C24" t="s">
        <v>9</v>
      </c>
      <c r="D24" t="s">
        <v>10</v>
      </c>
      <c r="E24">
        <v>620</v>
      </c>
      <c r="F24" s="1" t="s">
        <v>7</v>
      </c>
      <c r="G24" s="1">
        <v>2168788.4805747601</v>
      </c>
    </row>
    <row r="25" spans="2:7" hidden="1" x14ac:dyDescent="0.25">
      <c r="B25" t="s">
        <v>13</v>
      </c>
      <c r="C25" t="s">
        <v>9</v>
      </c>
      <c r="D25" t="s">
        <v>10</v>
      </c>
      <c r="E25">
        <v>620</v>
      </c>
      <c r="F25" s="1" t="s">
        <v>7</v>
      </c>
      <c r="G25" s="1">
        <v>1971084.3214017299</v>
      </c>
    </row>
    <row r="26" spans="2:7" hidden="1" x14ac:dyDescent="0.25">
      <c r="B26" t="s">
        <v>14</v>
      </c>
      <c r="C26" t="s">
        <v>9</v>
      </c>
      <c r="D26" t="s">
        <v>12</v>
      </c>
      <c r="E26">
        <v>620</v>
      </c>
      <c r="F26" s="1">
        <v>10676.2752042621</v>
      </c>
      <c r="G26" s="1">
        <v>629229442.03534603</v>
      </c>
    </row>
    <row r="27" spans="2:7" hidden="1" x14ac:dyDescent="0.25">
      <c r="B27" t="s">
        <v>13</v>
      </c>
      <c r="C27" t="s">
        <v>9</v>
      </c>
      <c r="D27" t="s">
        <v>12</v>
      </c>
      <c r="E27">
        <v>620</v>
      </c>
      <c r="F27" s="1">
        <v>696873.72323587595</v>
      </c>
      <c r="G27" s="1">
        <v>619482786.72484195</v>
      </c>
    </row>
    <row r="28" spans="2:7" x14ac:dyDescent="0.25">
      <c r="B28" t="s">
        <v>5</v>
      </c>
      <c r="C28" t="s">
        <v>9</v>
      </c>
      <c r="D28" t="s">
        <v>18</v>
      </c>
      <c r="E28">
        <v>826</v>
      </c>
      <c r="F28" s="1">
        <v>0.50088539160000001</v>
      </c>
      <c r="G28" s="1">
        <v>27524.289057000002</v>
      </c>
    </row>
    <row r="29" spans="2:7" hidden="1" x14ac:dyDescent="0.25">
      <c r="B29" t="s">
        <v>8</v>
      </c>
      <c r="C29" t="s">
        <v>9</v>
      </c>
      <c r="D29" t="s">
        <v>18</v>
      </c>
      <c r="E29">
        <v>620</v>
      </c>
      <c r="F29" s="1">
        <v>6344.0318337856497</v>
      </c>
      <c r="G29" s="1">
        <v>149167019.61074001</v>
      </c>
    </row>
    <row r="30" spans="2:7" hidden="1" x14ac:dyDescent="0.25">
      <c r="B30" t="s">
        <v>13</v>
      </c>
      <c r="C30" t="s">
        <v>9</v>
      </c>
      <c r="D30" t="s">
        <v>18</v>
      </c>
      <c r="F30" s="1">
        <v>1022.4382583755</v>
      </c>
      <c r="G30" s="1">
        <v>5479159.5712684104</v>
      </c>
    </row>
    <row r="31" spans="2:7" hidden="1" x14ac:dyDescent="0.25">
      <c r="B31" t="s">
        <v>8</v>
      </c>
      <c r="C31" t="s">
        <v>9</v>
      </c>
      <c r="D31" t="s">
        <v>11</v>
      </c>
      <c r="F31" s="1">
        <v>2.93161121519999</v>
      </c>
      <c r="G31" s="1">
        <v>1511125.21</v>
      </c>
    </row>
    <row r="32" spans="2:7" hidden="1" x14ac:dyDescent="0.25">
      <c r="B32" t="s">
        <v>13</v>
      </c>
      <c r="C32" t="s">
        <v>9</v>
      </c>
      <c r="D32" t="s">
        <v>11</v>
      </c>
      <c r="F32" s="1">
        <v>5.6781105013999902</v>
      </c>
      <c r="G32" s="1">
        <v>562200.51876318303</v>
      </c>
    </row>
    <row r="33" spans="2:7" hidden="1" x14ac:dyDescent="0.25">
      <c r="B33" t="s">
        <v>14</v>
      </c>
      <c r="C33" t="s">
        <v>9</v>
      </c>
      <c r="D33" t="s">
        <v>12</v>
      </c>
      <c r="F33" s="1">
        <v>88.372675323654704</v>
      </c>
      <c r="G33" s="1">
        <v>33501272.0499999</v>
      </c>
    </row>
    <row r="34" spans="2:7" hidden="1" x14ac:dyDescent="0.25">
      <c r="B34" t="s">
        <v>8</v>
      </c>
      <c r="C34" t="s">
        <v>9</v>
      </c>
      <c r="D34" t="s">
        <v>18</v>
      </c>
      <c r="F34" s="1">
        <v>242.75844524359999</v>
      </c>
      <c r="G34" s="1">
        <v>23456003.004506499</v>
      </c>
    </row>
    <row r="35" spans="2:7" x14ac:dyDescent="0.25">
      <c r="B35" t="s">
        <v>5</v>
      </c>
      <c r="C35" t="s">
        <v>9</v>
      </c>
      <c r="D35" t="s">
        <v>18</v>
      </c>
      <c r="E35">
        <v>620</v>
      </c>
      <c r="F35" s="1">
        <v>15644.8191388291</v>
      </c>
      <c r="G35" s="1">
        <v>406595722.31244999</v>
      </c>
    </row>
    <row r="36" spans="2:7" hidden="1" x14ac:dyDescent="0.25">
      <c r="B36" t="s">
        <v>8</v>
      </c>
      <c r="C36" t="s">
        <v>9</v>
      </c>
      <c r="D36" t="s">
        <v>12</v>
      </c>
      <c r="F36" s="1">
        <v>405.902049974416</v>
      </c>
      <c r="G36" s="1">
        <v>21115960.8899999</v>
      </c>
    </row>
    <row r="37" spans="2:7" hidden="1" x14ac:dyDescent="0.25">
      <c r="B37" t="s">
        <v>8</v>
      </c>
      <c r="C37" t="s">
        <v>6</v>
      </c>
      <c r="D37" t="s">
        <v>7</v>
      </c>
      <c r="E37" t="s">
        <v>7</v>
      </c>
      <c r="F37" s="1" t="s">
        <v>7</v>
      </c>
      <c r="G37" s="1">
        <v>28111361.93</v>
      </c>
    </row>
    <row r="38" spans="2:7" hidden="1" x14ac:dyDescent="0.25">
      <c r="B38" t="s">
        <v>13</v>
      </c>
      <c r="C38" t="s">
        <v>9</v>
      </c>
      <c r="D38" t="s">
        <v>12</v>
      </c>
      <c r="F38" s="1">
        <v>509.52858594346299</v>
      </c>
      <c r="G38" s="1">
        <v>9631175.0572195705</v>
      </c>
    </row>
  </sheetData>
  <autoFilter ref="B2:G38" xr:uid="{79103AA2-E63A-45FA-B8E9-6C6976FEC795}">
    <filterColumn colId="0">
      <filters>
        <filter val="Habitacao"/>
      </filters>
    </filterColumn>
    <filterColumn colId="1">
      <filters>
        <filter val="Montante Colaterizado"/>
      </filters>
    </filterColumn>
    <filterColumn colId="2">
      <filters>
        <filter val="RE_DQS3_2A"/>
        <filter val="RE_DQS4_2B"/>
        <filter val="RE_DQS5_3"/>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CA4A9-6ACE-40F8-B3AC-77D88D65CAB8}">
  <dimension ref="B2:L23"/>
  <sheetViews>
    <sheetView showGridLines="0" workbookViewId="0">
      <selection activeCell="J21" sqref="J21"/>
    </sheetView>
  </sheetViews>
  <sheetFormatPr defaultRowHeight="15" x14ac:dyDescent="0.25"/>
  <cols>
    <col min="2" max="2" width="9.7109375" bestFit="1" customWidth="1"/>
    <col min="3" max="3" width="21.7109375" bestFit="1" customWidth="1"/>
    <col min="4" max="4" width="18" bestFit="1" customWidth="1"/>
    <col min="5" max="5" width="5.42578125" bestFit="1" customWidth="1"/>
    <col min="6" max="6" width="10" bestFit="1" customWidth="1"/>
    <col min="7" max="7" width="16" bestFit="1" customWidth="1"/>
    <col min="10" max="10" width="13.5703125" bestFit="1" customWidth="1"/>
  </cols>
  <sheetData>
    <row r="2" spans="2:12" x14ac:dyDescent="0.25">
      <c r="B2" t="s">
        <v>0</v>
      </c>
      <c r="C2" t="s">
        <v>1</v>
      </c>
      <c r="D2" t="s">
        <v>2</v>
      </c>
      <c r="E2" t="s">
        <v>19</v>
      </c>
      <c r="F2" t="s">
        <v>3</v>
      </c>
      <c r="G2" t="s">
        <v>4</v>
      </c>
    </row>
    <row r="3" spans="2:12" x14ac:dyDescent="0.25">
      <c r="B3" t="s">
        <v>8</v>
      </c>
      <c r="C3" t="s">
        <v>9</v>
      </c>
      <c r="D3" t="s">
        <v>12</v>
      </c>
      <c r="E3" s="4">
        <v>276</v>
      </c>
      <c r="F3" s="1">
        <v>404.20376048223198</v>
      </c>
      <c r="G3" s="1">
        <v>20022706.66</v>
      </c>
      <c r="H3" s="3">
        <f>+G3/$G$11</f>
        <v>1.6143154173488355E-2</v>
      </c>
      <c r="J3" s="1">
        <f>+SUM(G3:G4,G8:G10)</f>
        <v>78918765.724506304</v>
      </c>
    </row>
    <row r="4" spans="2:12" x14ac:dyDescent="0.25">
      <c r="B4" t="s">
        <v>8</v>
      </c>
      <c r="C4" t="s">
        <v>9</v>
      </c>
      <c r="D4" t="s">
        <v>12</v>
      </c>
      <c r="E4" s="4">
        <v>528</v>
      </c>
      <c r="F4" s="1">
        <v>349.59777443822099</v>
      </c>
      <c r="G4" s="1">
        <v>12812969.9599999</v>
      </c>
      <c r="H4" s="3">
        <f t="shared" ref="H4:H10" si="0">+G4/$G$11</f>
        <v>1.0330359076666077E-2</v>
      </c>
    </row>
    <row r="5" spans="2:12" x14ac:dyDescent="0.25">
      <c r="B5" t="s">
        <v>8</v>
      </c>
      <c r="C5" t="s">
        <v>9</v>
      </c>
      <c r="D5" t="s">
        <v>12</v>
      </c>
      <c r="E5">
        <v>620</v>
      </c>
      <c r="F5" s="1">
        <v>92373.735423106002</v>
      </c>
      <c r="G5" s="1">
        <v>839050477.03369999</v>
      </c>
      <c r="H5" s="2">
        <f t="shared" si="0"/>
        <v>0.67647803267043261</v>
      </c>
    </row>
    <row r="6" spans="2:12" x14ac:dyDescent="0.25">
      <c r="B6" t="s">
        <v>8</v>
      </c>
      <c r="C6" t="s">
        <v>9</v>
      </c>
      <c r="D6" t="s">
        <v>11</v>
      </c>
      <c r="E6">
        <v>620</v>
      </c>
      <c r="F6" s="1">
        <v>1370.5427138576899</v>
      </c>
      <c r="G6" s="1">
        <v>173185575.90494999</v>
      </c>
      <c r="H6" s="2">
        <f t="shared" si="0"/>
        <v>0.13962954659087923</v>
      </c>
    </row>
    <row r="7" spans="2:12" x14ac:dyDescent="0.25">
      <c r="B7" t="s">
        <v>8</v>
      </c>
      <c r="C7" t="s">
        <v>9</v>
      </c>
      <c r="D7" t="s">
        <v>18</v>
      </c>
      <c r="E7">
        <v>620</v>
      </c>
      <c r="F7" s="1">
        <v>6344.0318337856497</v>
      </c>
      <c r="G7" s="1">
        <v>149167019.61074001</v>
      </c>
      <c r="H7" s="2">
        <f t="shared" si="0"/>
        <v>0.12026476919758944</v>
      </c>
    </row>
    <row r="8" spans="2:12" x14ac:dyDescent="0.25">
      <c r="B8" t="s">
        <v>8</v>
      </c>
      <c r="C8" t="s">
        <v>9</v>
      </c>
      <c r="D8" t="s">
        <v>11</v>
      </c>
      <c r="E8" s="4"/>
      <c r="F8" s="1">
        <v>2.93161121519999</v>
      </c>
      <c r="G8" s="1">
        <v>1511125.21</v>
      </c>
      <c r="H8" s="3">
        <f t="shared" si="0"/>
        <v>1.218333148195608E-3</v>
      </c>
    </row>
    <row r="9" spans="2:12" x14ac:dyDescent="0.25">
      <c r="B9" t="s">
        <v>8</v>
      </c>
      <c r="C9" t="s">
        <v>9</v>
      </c>
      <c r="D9" t="s">
        <v>18</v>
      </c>
      <c r="E9" s="4"/>
      <c r="F9" s="1">
        <v>242.75844524359999</v>
      </c>
      <c r="G9" s="1">
        <v>23456003.004506499</v>
      </c>
      <c r="H9" s="3">
        <f t="shared" si="0"/>
        <v>1.8911223104117258E-2</v>
      </c>
      <c r="K9" t="s">
        <v>20</v>
      </c>
      <c r="L9" t="s">
        <v>21</v>
      </c>
    </row>
    <row r="10" spans="2:12" x14ac:dyDescent="0.25">
      <c r="B10" t="s">
        <v>8</v>
      </c>
      <c r="C10" t="s">
        <v>9</v>
      </c>
      <c r="D10" t="s">
        <v>12</v>
      </c>
      <c r="E10" s="4"/>
      <c r="F10" s="1">
        <v>405.902049974416</v>
      </c>
      <c r="G10" s="1">
        <v>21115960.8899999</v>
      </c>
      <c r="H10" s="3">
        <f t="shared" si="0"/>
        <v>1.7024582038631272E-2</v>
      </c>
      <c r="J10" s="10">
        <f>+SUM(G3:G4,G8:G10)</f>
        <v>78918765.724506304</v>
      </c>
      <c r="K10" s="5">
        <f>+SUM(H8:H10,H3:H4)</f>
        <v>6.3627651541098562E-2</v>
      </c>
      <c r="L10" s="6">
        <f>+SUM(G3:G4,G8:G10)/SUM(G11,G22)</f>
        <v>3.2201455805495973E-3</v>
      </c>
    </row>
    <row r="11" spans="2:12" x14ac:dyDescent="0.25">
      <c r="F11" s="1">
        <f>+SUM(F3:F10)</f>
        <v>101493.70361210301</v>
      </c>
      <c r="G11" s="1">
        <f>+SUM(G3:G10)</f>
        <v>1240321838.2738965</v>
      </c>
    </row>
    <row r="14" spans="2:12" x14ac:dyDescent="0.25">
      <c r="B14" t="s">
        <v>0</v>
      </c>
      <c r="C14" t="s">
        <v>1</v>
      </c>
      <c r="D14" t="s">
        <v>2</v>
      </c>
      <c r="E14" t="s">
        <v>19</v>
      </c>
      <c r="F14" t="s">
        <v>3</v>
      </c>
      <c r="G14" t="s">
        <v>4</v>
      </c>
    </row>
    <row r="15" spans="2:12" x14ac:dyDescent="0.25">
      <c r="B15" t="s">
        <v>5</v>
      </c>
      <c r="C15" t="s">
        <v>9</v>
      </c>
      <c r="D15" t="s">
        <v>11</v>
      </c>
      <c r="E15">
        <v>620</v>
      </c>
      <c r="F15" s="1">
        <v>86208.505085105702</v>
      </c>
      <c r="G15" s="1">
        <v>12094358969.471399</v>
      </c>
      <c r="H15" s="2">
        <f>+G15/$G$22</f>
        <v>0.51979615799654488</v>
      </c>
    </row>
    <row r="16" spans="2:12" x14ac:dyDescent="0.25">
      <c r="B16" t="s">
        <v>5</v>
      </c>
      <c r="C16" t="s">
        <v>9</v>
      </c>
      <c r="D16" t="s">
        <v>12</v>
      </c>
      <c r="E16">
        <v>620</v>
      </c>
      <c r="F16" s="1">
        <v>316343.57585343701</v>
      </c>
      <c r="G16" s="1">
        <v>10397185789.6056</v>
      </c>
      <c r="H16" s="2">
        <f t="shared" ref="H16:H21" si="1">+G16/$G$22</f>
        <v>0.44685437575113346</v>
      </c>
    </row>
    <row r="17" spans="2:12" x14ac:dyDescent="0.25">
      <c r="B17" t="s">
        <v>5</v>
      </c>
      <c r="C17" t="s">
        <v>9</v>
      </c>
      <c r="D17" t="s">
        <v>18</v>
      </c>
      <c r="E17">
        <v>620</v>
      </c>
      <c r="F17" s="1">
        <v>15644.8191388291</v>
      </c>
      <c r="G17" s="1">
        <v>406595722.31244999</v>
      </c>
      <c r="H17" s="2">
        <f t="shared" si="1"/>
        <v>1.7474832262654328E-2</v>
      </c>
    </row>
    <row r="18" spans="2:12" x14ac:dyDescent="0.25">
      <c r="B18" t="s">
        <v>5</v>
      </c>
      <c r="C18" t="s">
        <v>9</v>
      </c>
      <c r="D18" t="s">
        <v>18</v>
      </c>
      <c r="E18" s="4">
        <v>826</v>
      </c>
      <c r="F18" s="1">
        <v>0.50088539160000001</v>
      </c>
      <c r="G18" s="1">
        <v>27524.289057000002</v>
      </c>
      <c r="H18" s="3">
        <f t="shared" si="1"/>
        <v>1.1829498148292726E-6</v>
      </c>
    </row>
    <row r="19" spans="2:12" x14ac:dyDescent="0.25">
      <c r="B19" t="s">
        <v>5</v>
      </c>
      <c r="C19" t="s">
        <v>9</v>
      </c>
      <c r="D19" t="s">
        <v>12</v>
      </c>
      <c r="E19" s="4"/>
      <c r="F19" s="1">
        <v>979.17359004000002</v>
      </c>
      <c r="G19" s="1">
        <v>67504625.219999999</v>
      </c>
      <c r="H19" s="3">
        <f t="shared" si="1"/>
        <v>2.9012405638796967E-3</v>
      </c>
    </row>
    <row r="20" spans="2:12" x14ac:dyDescent="0.25">
      <c r="B20" t="s">
        <v>5</v>
      </c>
      <c r="C20" t="s">
        <v>9</v>
      </c>
      <c r="D20" t="s">
        <v>18</v>
      </c>
      <c r="E20" s="4"/>
      <c r="F20" s="1">
        <v>2070.2551507613498</v>
      </c>
      <c r="G20" s="1">
        <v>81900579.980514005</v>
      </c>
      <c r="H20" s="3">
        <f t="shared" si="1"/>
        <v>3.5199556188979706E-3</v>
      </c>
      <c r="K20" t="s">
        <v>20</v>
      </c>
      <c r="L20" t="s">
        <v>21</v>
      </c>
    </row>
    <row r="21" spans="2:12" x14ac:dyDescent="0.25">
      <c r="B21" t="s">
        <v>5</v>
      </c>
      <c r="C21" t="s">
        <v>9</v>
      </c>
      <c r="D21" t="s">
        <v>11</v>
      </c>
      <c r="E21" s="4"/>
      <c r="F21" s="1">
        <v>1142.32417363379</v>
      </c>
      <c r="G21" s="1">
        <v>219930373.77000001</v>
      </c>
      <c r="H21" s="3">
        <f t="shared" si="1"/>
        <v>9.452254857074625E-3</v>
      </c>
      <c r="J21" s="10">
        <f>+SUM(G18:G21)</f>
        <v>369363103.25957102</v>
      </c>
      <c r="K21" s="5">
        <f>+SUM(H18:H21)</f>
        <v>1.5874633989667122E-2</v>
      </c>
      <c r="L21" s="7">
        <f>+SUM(G18:G21)/SUM(G11,G22)</f>
        <v>1.507123120413998E-2</v>
      </c>
    </row>
    <row r="22" spans="2:12" x14ac:dyDescent="0.25">
      <c r="F22" s="1">
        <f>+SUM(F15:F21)</f>
        <v>422389.15387719852</v>
      </c>
      <c r="G22" s="1">
        <f>+SUM(G15:G21)</f>
        <v>23267503584.649025</v>
      </c>
    </row>
    <row r="23" spans="2:12" x14ac:dyDescent="0.25">
      <c r="J23" s="6">
        <f>+SUM(J21,J10)/SUM(G22,G11)</f>
        <v>1.8291376784689579E-2</v>
      </c>
    </row>
  </sheetData>
  <autoFilter ref="B14:G21" xr:uid="{4B1CA4A9-6ACE-40F8-B3AC-77D88D65CAB8}">
    <sortState xmlns:xlrd2="http://schemas.microsoft.com/office/spreadsheetml/2017/richdata2" ref="B15:G21">
      <sortCondition ref="E14:E2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891D558BC6CE45BCCE0C5A666FB0F3" ma:contentTypeVersion="3" ma:contentTypeDescription="Create a new document." ma:contentTypeScope="" ma:versionID="82e290e31c8d659f4a68e5aed5c7644d">
  <xsd:schema xmlns:xsd="http://www.w3.org/2001/XMLSchema" xmlns:xs="http://www.w3.org/2001/XMLSchema" xmlns:p="http://schemas.microsoft.com/office/2006/metadata/properties" xmlns:ns2="854283a7-3fb6-477f-93d1-fdd87b0bdce4" targetNamespace="http://schemas.microsoft.com/office/2006/metadata/properties" ma:root="true" ma:fieldsID="1e97f0fd3c28a1fe33e5c36ac3c428d3" ns2:_="">
    <xsd:import namespace="854283a7-3fb6-477f-93d1-fdd87b0bdce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4283a7-3fb6-477f-93d1-fdd87b0bdc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24D8B2D-EC0B-429B-90C9-91102A645477}"/>
</file>

<file path=customXml/itemProps2.xml><?xml version="1.0" encoding="utf-8"?>
<ds:datastoreItem xmlns:ds="http://schemas.openxmlformats.org/officeDocument/2006/customXml" ds:itemID="{6C6E8C0A-8FA9-40FF-8172-E84D83F8DE5E}"/>
</file>

<file path=customXml/itemProps3.xml><?xml version="1.0" encoding="utf-8"?>
<ds:datastoreItem xmlns:ds="http://schemas.openxmlformats.org/officeDocument/2006/customXml" ds:itemID="{5FF5563E-0BC3-4E3B-9C5E-FA254E773E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Aux Query</vt:lpstr>
      <vt:lpstr>Pais dos imóveis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Hélder Filipe Felicidade Fernandes</cp:lastModifiedBy>
  <cp:revision/>
  <dcterms:created xsi:type="dcterms:W3CDTF">2025-11-23T03:46:26Z</dcterms:created>
  <dcterms:modified xsi:type="dcterms:W3CDTF">2026-01-16T11:22:50Z</dcterms:modified>
  <cp:category/>
  <dc:identifier/>
  <cp:contentStatus/>
  <dc:language/>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41b88ec2-a72b-4523-9e84-0458a1764731_Enabled">
    <vt:lpwstr>true</vt:lpwstr>
  </property>
  <property fmtid="{D5CDD505-2E9C-101B-9397-08002B2CF9AE}" pid="5" name="MSIP_Label_41b88ec2-a72b-4523-9e84-0458a1764731_SetDate">
    <vt:lpwstr>2026-01-14T16:13:20Z</vt:lpwstr>
  </property>
  <property fmtid="{D5CDD505-2E9C-101B-9397-08002B2CF9AE}" pid="6" name="MSIP_Label_41b88ec2-a72b-4523-9e84-0458a1764731_Method">
    <vt:lpwstr>Privileged</vt:lpwstr>
  </property>
  <property fmtid="{D5CDD505-2E9C-101B-9397-08002B2CF9AE}" pid="7" name="MSIP_Label_41b88ec2-a72b-4523-9e84-0458a1764731_Name">
    <vt:lpwstr>Public O365</vt:lpwstr>
  </property>
  <property fmtid="{D5CDD505-2E9C-101B-9397-08002B2CF9AE}" pid="8" name="MSIP_Label_41b88ec2-a72b-4523-9e84-0458a1764731_SiteId">
    <vt:lpwstr>35595a02-4d6d-44ac-99e1-f9ab4cd872db</vt:lpwstr>
  </property>
  <property fmtid="{D5CDD505-2E9C-101B-9397-08002B2CF9AE}" pid="9" name="MSIP_Label_41b88ec2-a72b-4523-9e84-0458a1764731_ActionId">
    <vt:lpwstr>0ac5a3e4-57c3-4965-8c82-308bc9ec203c</vt:lpwstr>
  </property>
  <property fmtid="{D5CDD505-2E9C-101B-9397-08002B2CF9AE}" pid="10" name="MSIP_Label_41b88ec2-a72b-4523-9e84-0458a1764731_ContentBits">
    <vt:lpwstr>0</vt:lpwstr>
  </property>
  <property fmtid="{D5CDD505-2E9C-101B-9397-08002B2CF9AE}" pid="11" name="MSIP_Label_41b88ec2-a72b-4523-9e84-0458a1764731_Tag">
    <vt:lpwstr>10, 0, 1, 1</vt:lpwstr>
  </property>
  <property fmtid="{D5CDD505-2E9C-101B-9397-08002B2CF9AE}" pid="12" name="ContentTypeId">
    <vt:lpwstr>0x01010085891D558BC6CE45BCCE0C5A666FB0F3</vt:lpwstr>
  </property>
</Properties>
</file>