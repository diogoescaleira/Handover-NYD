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2805" documentId="8_{87AC9F51-6218-4843-A5BB-46DA4568BEF9}" xr6:coauthVersionLast="47" xr6:coauthVersionMax="47" xr10:uidLastSave="{754DE928-7E48-4434-84C0-5C4D150512E3}"/>
  <bookViews>
    <workbookView xWindow="-120" yWindow="-120" windowWidth="29040" windowHeight="15720" firstSheet="3" activeTab="7" xr2:uid="{EA0C69EA-69EA-46C7-9371-21A2A99C8DEE}"/>
  </bookViews>
  <sheets>
    <sheet name="Capa" sheetId="20" r:id="rId1"/>
    <sheet name="1. Pressupostos" sheetId="8" r:id="rId2"/>
    <sheet name="2. Resumo Emissões Dez 24" sheetId="2" r:id="rId3"/>
    <sheet name="Analises &gt;&gt;" sheetId="21" r:id="rId4"/>
    <sheet name="3. EPC - Commercial Real Estate" sheetId="4" r:id="rId5"/>
    <sheet name="4. EPC - Mortgages Loans" sheetId="5" r:id="rId6"/>
    <sheet name="5. Área Bruta" sheetId="10" r:id="rId7"/>
    <sheet name="6. Finalidade" sheetId="14" r:id="rId8"/>
  </sheets>
  <definedNames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0" l="1"/>
  <c r="F17" i="10"/>
  <c r="G30" i="2"/>
  <c r="G29" i="2"/>
  <c r="C21" i="2" l="1"/>
  <c r="E18" i="2"/>
  <c r="E16" i="2"/>
  <c r="E11" i="2"/>
  <c r="E29" i="2" s="1"/>
  <c r="C18" i="2"/>
  <c r="D20" i="2" s="1"/>
  <c r="C16" i="2"/>
  <c r="C11" i="2"/>
  <c r="C29" i="2" s="1"/>
  <c r="E39" i="4"/>
  <c r="D32" i="14"/>
  <c r="E32" i="14"/>
  <c r="D11" i="14"/>
  <c r="D25" i="14" s="1"/>
  <c r="E11" i="14"/>
  <c r="C46" i="5"/>
  <c r="E46" i="5"/>
  <c r="E47" i="5"/>
  <c r="E49" i="5" s="1"/>
  <c r="C47" i="5"/>
  <c r="E48" i="5"/>
  <c r="C48" i="5"/>
  <c r="E47" i="4"/>
  <c r="E49" i="4" s="1"/>
  <c r="C47" i="4"/>
  <c r="E48" i="4"/>
  <c r="C48" i="4"/>
  <c r="E16" i="10"/>
  <c r="F30" i="2" s="1"/>
  <c r="C16" i="10"/>
  <c r="D18" i="10" s="1"/>
  <c r="C12" i="10"/>
  <c r="D15" i="10" s="1"/>
  <c r="C39" i="4"/>
  <c r="D33" i="4" s="1"/>
  <c r="B18" i="20"/>
  <c r="F31" i="2"/>
  <c r="H30" i="2"/>
  <c r="H29" i="2"/>
  <c r="E12" i="10"/>
  <c r="F29" i="2" s="1"/>
  <c r="E39" i="5"/>
  <c r="C39" i="5"/>
  <c r="E20" i="5"/>
  <c r="C20" i="5"/>
  <c r="D16" i="5" s="1"/>
  <c r="E20" i="4"/>
  <c r="E46" i="4" s="1"/>
  <c r="C20" i="4"/>
  <c r="D16" i="4" s="1"/>
  <c r="D30" i="5" l="1"/>
  <c r="D36" i="5"/>
  <c r="C49" i="5"/>
  <c r="D38" i="4"/>
  <c r="D36" i="4"/>
  <c r="D15" i="2"/>
  <c r="D12" i="2"/>
  <c r="D14" i="2"/>
  <c r="D13" i="2"/>
  <c r="C22" i="2"/>
  <c r="D11" i="2" s="1"/>
  <c r="D17" i="2"/>
  <c r="C30" i="2"/>
  <c r="C31" i="2"/>
  <c r="D19" i="2"/>
  <c r="E22" i="2"/>
  <c r="E30" i="2"/>
  <c r="E31" i="2" s="1"/>
  <c r="D44" i="14"/>
  <c r="E44" i="14"/>
  <c r="C46" i="4"/>
  <c r="C49" i="4" s="1"/>
  <c r="D19" i="10"/>
  <c r="D37" i="5"/>
  <c r="D33" i="5"/>
  <c r="D34" i="5"/>
  <c r="D17" i="5"/>
  <c r="D18" i="5"/>
  <c r="D31" i="5"/>
  <c r="D32" i="5"/>
  <c r="D32" i="4"/>
  <c r="D31" i="4"/>
  <c r="D17" i="4"/>
  <c r="D19" i="5"/>
  <c r="D12" i="5"/>
  <c r="D13" i="5"/>
  <c r="D35" i="5"/>
  <c r="D14" i="5"/>
  <c r="D28" i="5"/>
  <c r="D15" i="5"/>
  <c r="D29" i="5"/>
  <c r="D38" i="5"/>
  <c r="D35" i="4"/>
  <c r="D12" i="4"/>
  <c r="D13" i="4"/>
  <c r="D28" i="4"/>
  <c r="D18" i="4"/>
  <c r="D19" i="4"/>
  <c r="D34" i="4"/>
  <c r="D14" i="4"/>
  <c r="D15" i="4"/>
  <c r="D29" i="4"/>
  <c r="D37" i="4"/>
  <c r="D30" i="4"/>
  <c r="D14" i="10"/>
  <c r="C20" i="10"/>
  <c r="D12" i="10" s="1"/>
  <c r="D17" i="10"/>
  <c r="D13" i="10"/>
  <c r="D39" i="4" l="1"/>
  <c r="D21" i="2"/>
  <c r="D16" i="2"/>
  <c r="D18" i="2"/>
  <c r="D48" i="5"/>
  <c r="D20" i="5"/>
  <c r="D39" i="5"/>
  <c r="D20" i="4"/>
  <c r="G31" i="2"/>
  <c r="D16" i="10"/>
  <c r="D20" i="10" s="1"/>
  <c r="D22" i="2" l="1"/>
  <c r="D46" i="4"/>
  <c r="D48" i="4"/>
  <c r="D46" i="5"/>
  <c r="D47" i="5"/>
  <c r="D47" i="4"/>
  <c r="E20" i="10"/>
  <c r="D49" i="5" l="1"/>
  <c r="D49" i="4"/>
  <c r="E25" i="14" l="1"/>
</calcChain>
</file>

<file path=xl/sharedStrings.xml><?xml version="1.0" encoding="utf-8"?>
<sst xmlns="http://schemas.openxmlformats.org/spreadsheetml/2006/main" count="225" uniqueCount="114">
  <si>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</si>
  <si>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</si>
  <si>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</si>
  <si>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</si>
  <si>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</si>
  <si>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</si>
  <si>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</si>
  <si>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</si>
  <si>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</si>
  <si>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</si>
  <si>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</si>
  <si>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</si>
  <si>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</si>
  <si>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</si>
  <si>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</si>
  <si>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</si>
  <si>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</si>
  <si>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</si>
  <si>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</si>
  <si>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</si>
  <si>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</si>
  <si>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</si>
  <si>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</si>
  <si>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</si>
  <si>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</si>
  <si>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</si>
  <si>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</si>
  <si>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</si>
  <si>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</si>
  <si>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</si>
  <si>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</si>
  <si>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</si>
  <si>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</si>
  <si>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</si>
  <si>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</si>
  <si>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</si>
  <si>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</si>
  <si>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</si>
  <si>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</si>
  <si>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</si>
  <si>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</si>
  <si>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</si>
  <si>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</si>
  <si>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</si>
  <si>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</si>
  <si>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</si>
  <si>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</si>
  <si>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</si>
  <si>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</si>
  <si>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</si>
  <si>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</si>
  <si>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</si>
  <si>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</si>
  <si>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</si>
  <si>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</si>
  <si>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</si>
  <si>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</si>
  <si>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</si>
  <si>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</si>
  <si>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</si>
  <si>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</si>
  <si>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</si>
  <si>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</si>
  <si>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</si>
  <si>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</si>
  <si>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</si>
  <si>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</si>
  <si>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</si>
  <si>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</si>
  <si>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</si>
  <si>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</si>
  <si>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</si>
  <si>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</si>
  <si>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</si>
  <si>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</si>
  <si>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</si>
  <si>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</si>
  <si>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</si>
  <si>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</si>
  <si>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</si>
  <si>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</si>
  <si>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</si>
  <si>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</si>
  <si>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</si>
  <si>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</si>
  <si>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</si>
  <si>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</si>
  <si>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</si>
  <si>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</si>
  <si>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</si>
  <si>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</si>
  <si>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</si>
  <si>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</si>
  <si>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</si>
  <si>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</si>
  <si>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r>
      <rPr>
        <b/>
        <i/>
        <sz val="10"/>
        <color theme="0"/>
        <rFont val="Arial"/>
        <family val="2"/>
      </rPr>
      <t>Physical Emissions Intensity</t>
    </r>
    <r>
      <rPr>
        <b/>
        <sz val="10"/>
        <color theme="0"/>
        <rFont val="Arial"/>
        <family val="2"/>
      </rPr>
      <t xml:space="preserve"> (kgCO2e/m2)</t>
    </r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</si>
  <si>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</si>
  <si>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</si>
  <si>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</si>
  <si>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</si>
  <si>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</si>
  <si>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</si>
  <si>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</si>
  <si>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</si>
  <si>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</si>
  <si>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</si>
  <si>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</si>
  <si>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</si>
  <si>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</si>
  <si>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</si>
  <si>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t xml:space="preserve">Fora de âmbito </t>
  </si>
  <si>
    <t xml:space="preserve">Sem EPC </t>
  </si>
  <si>
    <t>Sem finalidade</t>
  </si>
  <si>
    <r>
      <rPr>
        <b/>
        <i/>
        <sz val="10"/>
        <color theme="0"/>
        <rFont val="Arial"/>
        <family val="2"/>
      </rPr>
      <t>Financial Emissions Intensity</t>
    </r>
    <r>
      <rPr>
        <b/>
        <sz val="10"/>
        <color theme="0"/>
        <rFont val="Arial"/>
        <family val="2"/>
      </rPr>
      <t xml:space="preserve"> (tCO2e/M€)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</si>
</sst>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4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0" fontId="6" fillId="0" borderId="0" xfId="0" applyFont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7" fillId="7" borderId="0" xfId="0" applyFont="1" applyFill="1"/>
    <xf numFmtId="0" fontId="7" fillId="0" borderId="0" xfId="0" applyFont="1"/>
    <xf numFmtId="0" fontId="8" fillId="2" borderId="0" xfId="0" applyFont="1" applyFill="1"/>
    <xf numFmtId="0" fontId="7" fillId="2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0" fontId="12" fillId="2" borderId="0" xfId="0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7" borderId="10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 wrapText="1"/>
    </xf>
    <xf numFmtId="0" fontId="14" fillId="7" borderId="0" xfId="0" applyFont="1" applyFill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7" fillId="7" borderId="11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20" fillId="0" borderId="0" xfId="0" applyFont="1"/>
    <xf numFmtId="164" fontId="14" fillId="5" borderId="4" xfId="0" applyNumberFormat="1" applyFont="1" applyFill="1" applyBorder="1"/>
    <xf numFmtId="10" fontId="14" fillId="5" borderId="4" xfId="1" applyNumberFormat="1" applyFont="1" applyFill="1" applyBorder="1"/>
    <xf numFmtId="3" fontId="14" fillId="5" borderId="4" xfId="0" applyNumberFormat="1" applyFont="1" applyFill="1" applyBorder="1"/>
    <xf numFmtId="3" fontId="14" fillId="0" borderId="0" xfId="0" applyNumberFormat="1" applyFont="1"/>
    <xf numFmtId="164" fontId="16" fillId="0" borderId="4" xfId="0" applyNumberFormat="1" applyFont="1" applyBorder="1"/>
    <xf numFmtId="10" fontId="16" fillId="0" borderId="4" xfId="1" applyNumberFormat="1" applyFont="1" applyBorder="1"/>
    <xf numFmtId="3" fontId="16" fillId="0" borderId="4" xfId="0" applyNumberFormat="1" applyFont="1" applyBorder="1"/>
    <xf numFmtId="3" fontId="16" fillId="0" borderId="0" xfId="0" applyNumberFormat="1" applyFont="1"/>
    <xf numFmtId="3" fontId="15" fillId="0" borderId="0" xfId="0" applyNumberFormat="1" applyFont="1"/>
    <xf numFmtId="0" fontId="14" fillId="6" borderId="0" xfId="0" applyFont="1" applyFill="1"/>
    <xf numFmtId="164" fontId="14" fillId="6" borderId="0" xfId="0" applyNumberFormat="1" applyFont="1" applyFill="1"/>
    <xf numFmtId="9" fontId="14" fillId="6" borderId="0" xfId="1" applyFont="1" applyFill="1"/>
    <xf numFmtId="3" fontId="14" fillId="6" borderId="0" xfId="0" applyNumberFormat="1" applyFont="1" applyFill="1"/>
    <xf numFmtId="164" fontId="14" fillId="0" borderId="4" xfId="2" applyNumberFormat="1" applyFont="1" applyBorder="1"/>
    <xf numFmtId="0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Border="1"/>
    <xf numFmtId="3" fontId="14" fillId="0" borderId="4" xfId="0" applyNumberFormat="1" applyFont="1" applyBorder="1"/>
    <xf numFmtId="165" fontId="14" fillId="0" borderId="4" xfId="0" applyNumberFormat="1" applyFont="1" applyBorder="1"/>
    <xf numFmtId="4" fontId="14" fillId="6" borderId="0" xfId="0" applyNumberFormat="1" applyFont="1" applyFill="1"/>
    <xf numFmtId="166" fontId="14" fillId="6" borderId="0" xfId="0" applyNumberFormat="1" applyFont="1" applyFill="1"/>
    <xf numFmtId="0" fontId="14" fillId="5" borderId="4" xfId="0" applyFont="1" applyFill="1" applyBorder="1" applyAlignment="1">
      <alignment horizontal="left" indent="1"/>
    </xf>
    <xf numFmtId="0" fontId="15" fillId="0" borderId="4" xfId="0" applyFont="1" applyBorder="1" applyAlignment="1">
      <alignment horizontal="left" indent="2"/>
    </xf>
    <xf numFmtId="0" fontId="14" fillId="0" borderId="4" xfId="0" applyFont="1" applyBorder="1" applyAlignment="1">
      <alignment horizontal="left" indent="1"/>
    </xf>
    <xf numFmtId="0" fontId="17" fillId="5" borderId="4" xfId="0" applyFont="1" applyFill="1" applyBorder="1" applyAlignment="1">
      <alignment horizontal="left" indent="1"/>
    </xf>
    <xf numFmtId="0" fontId="17" fillId="0" borderId="4" xfId="0" applyFont="1" applyBorder="1" applyAlignment="1">
      <alignment horizontal="left" indent="1"/>
    </xf>
    <xf numFmtId="0" fontId="8" fillId="7" borderId="0" xfId="0" applyFont="1" applyFill="1"/>
    <xf numFmtId="0" fontId="22" fillId="0" borderId="0" xfId="0" applyFont="1"/>
    <xf numFmtId="0" fontId="15" fillId="0" borderId="1" xfId="0" applyFont="1" applyBorder="1" applyAlignment="1">
      <alignment horizontal="left" indent="1"/>
    </xf>
    <xf numFmtId="0" fontId="15" fillId="0" borderId="6" xfId="0" applyFont="1" applyBorder="1"/>
    <xf numFmtId="164" fontId="15" fillId="0" borderId="6" xfId="0" applyNumberFormat="1" applyFont="1" applyBorder="1"/>
    <xf numFmtId="10" fontId="15" fillId="0" borderId="6" xfId="1" applyNumberFormat="1" applyFont="1" applyBorder="1"/>
    <xf numFmtId="4" fontId="15" fillId="0" borderId="6" xfId="0" applyNumberFormat="1" applyFont="1" applyBorder="1"/>
    <xf numFmtId="0" fontId="15" fillId="0" borderId="7" xfId="0" applyFont="1" applyBorder="1"/>
    <xf numFmtId="164" fontId="15" fillId="0" borderId="7" xfId="0" applyNumberFormat="1" applyFont="1" applyBorder="1"/>
    <xf numFmtId="10" fontId="15" fillId="0" borderId="7" xfId="1" applyNumberFormat="1" applyFont="1" applyBorder="1"/>
    <xf numFmtId="4" fontId="15" fillId="0" borderId="7" xfId="0" applyNumberFormat="1" applyFont="1" applyBorder="1"/>
    <xf numFmtId="0" fontId="14" fillId="8" borderId="8" xfId="0" applyFont="1" applyFill="1" applyBorder="1"/>
    <xf numFmtId="164" fontId="14" fillId="8" borderId="8" xfId="0" applyNumberFormat="1" applyFont="1" applyFill="1" applyBorder="1"/>
    <xf numFmtId="9" fontId="14" fillId="8" borderId="8" xfId="1" applyFont="1" applyFill="1" applyBorder="1"/>
    <xf numFmtId="4" fontId="14" fillId="8" borderId="8" xfId="0" applyNumberFormat="1" applyFont="1" applyFill="1" applyBorder="1"/>
    <xf numFmtId="164" fontId="15" fillId="0" borderId="0" xfId="0" applyNumberFormat="1" applyFont="1"/>
    <xf numFmtId="4" fontId="15" fillId="0" borderId="0" xfId="0" applyNumberFormat="1" applyFont="1"/>
    <xf numFmtId="0" fontId="15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0" fontId="14" fillId="0" borderId="18" xfId="0" applyFont="1" applyBorder="1"/>
    <xf numFmtId="164" fontId="15" fillId="0" borderId="18" xfId="0" applyNumberFormat="1" applyFont="1" applyBorder="1"/>
    <xf numFmtId="10" fontId="15" fillId="0" borderId="18" xfId="1" applyNumberFormat="1" applyFont="1" applyBorder="1"/>
    <xf numFmtId="4" fontId="15" fillId="0" borderId="18" xfId="0" applyNumberFormat="1" applyFont="1" applyBorder="1"/>
    <xf numFmtId="0" fontId="14" fillId="0" borderId="17" xfId="0" applyFont="1" applyBorder="1"/>
    <xf numFmtId="164" fontId="15" fillId="0" borderId="17" xfId="0" applyNumberFormat="1" applyFont="1" applyBorder="1"/>
    <xf numFmtId="10" fontId="15" fillId="0" borderId="17" xfId="1" applyNumberFormat="1" applyFont="1" applyBorder="1"/>
    <xf numFmtId="4" fontId="15" fillId="0" borderId="17" xfId="0" applyNumberFormat="1" applyFont="1" applyBorder="1"/>
    <xf numFmtId="9" fontId="14" fillId="5" borderId="4" xfId="1" applyFont="1" applyFill="1" applyBorder="1" applyAlignment="1">
      <alignment horizontal="right"/>
    </xf>
    <xf numFmtId="3" fontId="14" fillId="5" borderId="4" xfId="0" applyNumberFormat="1" applyFont="1" applyFill="1" applyBorder="1" applyAlignment="1">
      <alignment horizontal="right"/>
    </xf>
    <xf numFmtId="9" fontId="15" fillId="0" borderId="12" xfId="1" applyFont="1" applyBorder="1" applyAlignment="1">
      <alignment horizontal="right"/>
    </xf>
    <xf numFmtId="3" fontId="15" fillId="0" borderId="12" xfId="0" applyNumberFormat="1" applyFont="1" applyBorder="1" applyAlignment="1">
      <alignment horizontal="right"/>
    </xf>
    <xf numFmtId="3" fontId="15" fillId="0" borderId="12" xfId="0" quotePrefix="1" applyNumberFormat="1" applyFont="1" applyBorder="1" applyAlignment="1">
      <alignment horizontal="right"/>
    </xf>
    <xf numFmtId="9" fontId="14" fillId="8" borderId="8" xfId="1" applyFont="1" applyFill="1" applyBorder="1" applyAlignment="1">
      <alignment horizontal="right"/>
    </xf>
    <xf numFmtId="3" fontId="14" fillId="8" borderId="8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44" fontId="14" fillId="0" borderId="0" xfId="0" applyNumberFormat="1" applyFont="1"/>
    <xf numFmtId="0" fontId="15" fillId="0" borderId="4" xfId="0" applyFont="1" applyBorder="1" applyAlignment="1">
      <alignment horizontal="left" vertical="center"/>
    </xf>
    <xf numFmtId="44" fontId="15" fillId="0" borderId="4" xfId="2" applyFont="1" applyBorder="1" applyAlignment="1">
      <alignment horizontal="left" vertical="center"/>
    </xf>
    <xf numFmtId="3" fontId="15" fillId="0" borderId="4" xfId="2" applyNumberFormat="1" applyFont="1" applyBorder="1" applyAlignment="1">
      <alignment horizontal="right" vertical="center"/>
    </xf>
    <xf numFmtId="44" fontId="15" fillId="0" borderId="0" xfId="2" applyFont="1" applyFill="1" applyBorder="1" applyAlignment="1">
      <alignment horizontal="left" vertical="center"/>
    </xf>
    <xf numFmtId="44" fontId="16" fillId="0" borderId="0" xfId="2" applyFont="1" applyAlignment="1">
      <alignment horizontal="left" vertical="center"/>
    </xf>
    <xf numFmtId="44" fontId="16" fillId="0" borderId="0" xfId="2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Continuous" vertical="center" wrapText="1"/>
    </xf>
    <xf numFmtId="167" fontId="24" fillId="0" borderId="0" xfId="0" applyNumberFormat="1" applyFont="1" applyAlignment="1">
      <alignment horizontal="left"/>
    </xf>
    <xf numFmtId="44" fontId="14" fillId="5" borderId="4" xfId="2" applyFont="1" applyFill="1" applyBorder="1" applyAlignment="1">
      <alignment horizontal="left" indent="1"/>
    </xf>
    <xf numFmtId="3" fontId="14" fillId="5" borderId="4" xfId="2" applyNumberFormat="1" applyFont="1" applyFill="1" applyBorder="1" applyAlignment="1">
      <alignment horizontal="right"/>
    </xf>
    <xf numFmtId="4" fontId="14" fillId="5" borderId="4" xfId="0" applyNumberFormat="1" applyFont="1" applyFill="1" applyBorder="1" applyAlignment="1">
      <alignment horizontal="right"/>
    </xf>
    <xf numFmtId="44" fontId="14" fillId="8" borderId="8" xfId="0" applyNumberFormat="1" applyFont="1" applyFill="1" applyBorder="1"/>
    <xf numFmtId="3" fontId="14" fillId="8" borderId="8" xfId="0" applyNumberFormat="1" applyFont="1" applyFill="1" applyBorder="1"/>
    <xf numFmtId="0" fontId="14" fillId="8" borderId="19" xfId="0" applyFont="1" applyFill="1" applyBorder="1"/>
    <xf numFmtId="44" fontId="14" fillId="8" borderId="19" xfId="0" applyNumberFormat="1" applyFont="1" applyFill="1" applyBorder="1"/>
    <xf numFmtId="44" fontId="15" fillId="0" borderId="0" xfId="2" applyFont="1" applyBorder="1" applyAlignment="1">
      <alignment horizontal="left" vertical="center"/>
    </xf>
    <xf numFmtId="3" fontId="15" fillId="0" borderId="0" xfId="2" applyNumberFormat="1" applyFont="1" applyBorder="1" applyAlignment="1">
      <alignment horizontal="right" vertical="center"/>
    </xf>
    <xf numFmtId="3" fontId="14" fillId="5" borderId="4" xfId="0" quotePrefix="1" applyNumberFormat="1" applyFont="1" applyFill="1" applyBorder="1" applyAlignment="1">
      <alignment horizontal="right"/>
    </xf>
    <xf numFmtId="44" fontId="15" fillId="0" borderId="4" xfId="2" applyFont="1" applyFill="1" applyBorder="1" applyAlignment="1">
      <alignment horizontal="left" vertical="center"/>
    </xf>
    <xf numFmtId="3" fontId="15" fillId="0" borderId="4" xfId="2" applyNumberFormat="1" applyFont="1" applyFill="1" applyBorder="1" applyAlignment="1">
      <alignment horizontal="right" vertical="center"/>
    </xf>
    <xf numFmtId="4" fontId="14" fillId="8" borderId="19" xfId="0" applyNumberFormat="1" applyFont="1" applyFill="1" applyBorder="1"/>
    <xf numFmtId="4" fontId="14" fillId="5" borderId="4" xfId="2" applyNumberFormat="1" applyFont="1" applyFill="1" applyBorder="1" applyAlignment="1">
      <alignment horizontal="right" indent="1"/>
    </xf>
    <xf numFmtId="0" fontId="17" fillId="7" borderId="10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4" fillId="7" borderId="10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4" fillId="7" borderId="9" xfId="0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4" fontId="0" fillId="7" borderId="0" xfId="0" applyNumberFormat="1" applyFill="1"/>
    <xf numFmtId="4" fontId="0" fillId="2" borderId="0" xfId="0" applyNumberFormat="1" applyFill="1"/>
    <xf numFmtId="4" fontId="18" fillId="0" borderId="0" xfId="0" applyNumberFormat="1" applyFont="1"/>
    <xf numFmtId="4" fontId="4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14325" y="198755"/>
          <a:ext cx="2140486" cy="40156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2618" y="188703"/>
          <a:ext cx="2347547" cy="385036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948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0437" y="194199"/>
          <a:ext cx="2386822" cy="399204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705773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7820AE-4FC2-498B-A750-691685E3D70C}"/>
            </a:ext>
          </a:extLst>
        </xdr:cNvPr>
        <xdr:cNvGrpSpPr/>
      </xdr:nvGrpSpPr>
      <xdr:grpSpPr>
        <a:xfrm>
          <a:off x="243417" y="179917"/>
          <a:ext cx="2409689" cy="36746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CA39B689-AD03-E897-55CA-0E48E9DD4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C67914D4-AC25-1579-EC6B-D6349A10A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29BFCD8-B0E2-483A-9573-071F7042F343}"/>
            </a:ext>
          </a:extLst>
        </xdr:cNvPr>
        <xdr:cNvGrpSpPr/>
      </xdr:nvGrpSpPr>
      <xdr:grpSpPr>
        <a:xfrm>
          <a:off x="238125" y="190500"/>
          <a:ext cx="2405192" cy="388631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203D1F1-C122-4837-9082-29DDFE7C6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6DC9ADC0-438B-8D68-FA3F-F7CE7E40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38125" y="190500"/>
          <a:ext cx="2658398" cy="39180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351760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AD1208D-D06D-4263-A025-EC86AB1EEB4F}"/>
            </a:ext>
          </a:extLst>
        </xdr:cNvPr>
        <xdr:cNvGrpSpPr/>
      </xdr:nvGrpSpPr>
      <xdr:grpSpPr>
        <a:xfrm>
          <a:off x="238125" y="190500"/>
          <a:ext cx="2363916" cy="39180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16EEA20C-51B2-576F-48B6-0B30217F2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FA368F09-18F9-47F9-88A2-09A879167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Normal="100" workbookViewId="0"/>
  </sheetViews>
  <sheetFormatPr defaultColWidth="0" defaultRowHeight="15" zeroHeight="1" x14ac:dyDescent="0.25"/>
  <cols>
    <col min="1" max="1" width="3.5703125" customWidth="1"/>
    <col min="2" max="2" width="19.28515625" bestFit="1" customWidth="1"/>
    <col min="3" max="10" width="8.7109375" customWidth="1"/>
    <col min="11" max="11" width="3.5703125" customWidth="1"/>
    <col min="12" max="16384" width="8.855468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2" x14ac:dyDescent="0.25"/>
    <row r="18" spans="2:2" x14ac:dyDescent="0.25">
      <c r="B18" s="122">
        <f ca="1">TODAY()</f>
        <v>46035</v>
      </c>
    </row>
    <row r="19" spans="2:2" x14ac:dyDescent="0.25"/>
    <row r="20" spans="2:2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106" zoomScaleNormal="80" workbookViewId="0"/>
  </sheetViews>
  <sheetFormatPr defaultColWidth="0" defaultRowHeight="0" customHeight="1" zeroHeight="1" x14ac:dyDescent="0.25"/>
  <cols>
    <col min="1" max="1" width="3.5703125" customWidth="1"/>
    <col min="2" max="2" width="31.7109375" bestFit="1" customWidth="1"/>
    <col min="3" max="3" width="163.140625" customWidth="1"/>
    <col min="4" max="4" width="3.5703125" customWidth="1"/>
    <col min="5" max="16384" width="8.85546875" hidden="1"/>
  </cols>
  <sheetData>
    <row r="1" spans="1:4" ht="15" x14ac:dyDescent="0.25">
      <c r="A1" s="10"/>
      <c r="B1" s="10"/>
      <c r="C1" s="10"/>
      <c r="D1" s="10"/>
    </row>
    <row r="2" spans="1:4" ht="15" x14ac:dyDescent="0.25">
      <c r="A2" s="10"/>
      <c r="B2" s="10"/>
      <c r="C2" s="10"/>
      <c r="D2" s="10"/>
    </row>
    <row r="3" spans="1:4" ht="15" x14ac:dyDescent="0.25">
      <c r="A3" s="10"/>
      <c r="B3" s="10"/>
      <c r="C3" s="10"/>
      <c r="D3" s="10"/>
    </row>
    <row r="4" spans="1:4" ht="13.15" customHeight="1" x14ac:dyDescent="0.25">
      <c r="A4" s="10"/>
      <c r="B4" s="10"/>
      <c r="C4" s="10"/>
      <c r="D4" s="10"/>
    </row>
    <row r="5" spans="1:4" ht="3" customHeight="1" x14ac:dyDescent="0.25">
      <c r="A5" s="2"/>
      <c r="B5" s="2"/>
      <c r="C5" s="2"/>
      <c r="D5" s="2"/>
    </row>
    <row r="6" spans="1:4" ht="15" x14ac:dyDescent="0.25"/>
    <row r="7" spans="1:4" s="28" customFormat="1" ht="14.25" x14ac:dyDescent="0.2">
      <c r="B7" s="32" t="s">
        <v>81</v>
      </c>
    </row>
    <row r="8" spans="1:4" s="28" customFormat="1" ht="4.9000000000000004" customHeight="1" x14ac:dyDescent="0.2"/>
    <row r="9" spans="1:4" s="28" customFormat="1" ht="15" x14ac:dyDescent="0.2">
      <c r="B9" s="40" t="s">
        <v>36</v>
      </c>
      <c r="C9" s="39" t="s">
        <v>37</v>
      </c>
    </row>
    <row r="10" spans="1:4" s="28" customFormat="1" ht="14.25" x14ac:dyDescent="0.2">
      <c r="B10" s="41" t="s">
        <v>38</v>
      </c>
      <c r="C10" s="42" t="s">
        <v>39</v>
      </c>
    </row>
    <row r="11" spans="1:4" s="28" customFormat="1" ht="25.5" x14ac:dyDescent="0.2">
      <c r="B11" s="43" t="s">
        <v>40</v>
      </c>
      <c r="C11" s="44" t="s">
        <v>41</v>
      </c>
    </row>
    <row r="12" spans="1:4" s="28" customFormat="1" ht="25.5" x14ac:dyDescent="0.2">
      <c r="B12" s="45"/>
      <c r="C12" s="44" t="s">
        <v>42</v>
      </c>
    </row>
    <row r="13" spans="1:4" s="28" customFormat="1" ht="25.5" x14ac:dyDescent="0.2">
      <c r="B13" s="45"/>
      <c r="C13" s="44" t="s">
        <v>82</v>
      </c>
    </row>
    <row r="14" spans="1:4" s="28" customFormat="1" ht="14.25" x14ac:dyDescent="0.2">
      <c r="B14" s="45"/>
      <c r="C14" s="46" t="s">
        <v>79</v>
      </c>
    </row>
    <row r="15" spans="1:4" s="28" customFormat="1" ht="25.5" x14ac:dyDescent="0.2">
      <c r="B15" s="142" t="s">
        <v>43</v>
      </c>
      <c r="C15" s="47" t="s">
        <v>83</v>
      </c>
    </row>
    <row r="16" spans="1:4" s="28" customFormat="1" ht="14.25" x14ac:dyDescent="0.2">
      <c r="B16" s="143"/>
      <c r="C16" s="47" t="s">
        <v>44</v>
      </c>
    </row>
    <row r="17" spans="2:3" s="28" customFormat="1" ht="14.25" x14ac:dyDescent="0.2">
      <c r="B17" s="143"/>
      <c r="C17" s="47" t="s">
        <v>84</v>
      </c>
    </row>
    <row r="18" spans="2:3" s="28" customFormat="1" ht="14.25" x14ac:dyDescent="0.2">
      <c r="B18" s="143"/>
      <c r="C18" s="47" t="s">
        <v>85</v>
      </c>
    </row>
    <row r="19" spans="2:3" s="28" customFormat="1" ht="14.25" x14ac:dyDescent="0.2">
      <c r="B19" s="144"/>
      <c r="C19" s="47" t="s">
        <v>45</v>
      </c>
    </row>
    <row r="20" spans="2:3" s="28" customFormat="1" ht="14.25" x14ac:dyDescent="0.2">
      <c r="B20" s="48" t="s">
        <v>46</v>
      </c>
      <c r="C20" s="42" t="s">
        <v>86</v>
      </c>
    </row>
    <row r="21" spans="2:3" s="28" customFormat="1" ht="38.25" x14ac:dyDescent="0.2">
      <c r="B21" s="137" t="s">
        <v>47</v>
      </c>
      <c r="C21" s="44" t="s">
        <v>48</v>
      </c>
    </row>
    <row r="22" spans="2:3" s="28" customFormat="1" ht="14.25" x14ac:dyDescent="0.2">
      <c r="B22" s="138"/>
      <c r="C22" s="44" t="s">
        <v>49</v>
      </c>
    </row>
    <row r="23" spans="2:3" s="28" customFormat="1" ht="14.25" x14ac:dyDescent="0.2">
      <c r="B23" s="139" t="s">
        <v>50</v>
      </c>
      <c r="C23" s="44" t="s">
        <v>87</v>
      </c>
    </row>
    <row r="24" spans="2:3" s="28" customFormat="1" ht="25.5" x14ac:dyDescent="0.2">
      <c r="B24" s="140"/>
      <c r="C24" s="46" t="s">
        <v>88</v>
      </c>
    </row>
    <row r="25" spans="2:3" s="28" customFormat="1" ht="14.25" x14ac:dyDescent="0.2">
      <c r="B25" s="140"/>
      <c r="C25" s="44" t="s">
        <v>89</v>
      </c>
    </row>
    <row r="26" spans="2:3" s="28" customFormat="1" ht="25.5" x14ac:dyDescent="0.2">
      <c r="B26" s="141"/>
      <c r="C26" s="46" t="s">
        <v>90</v>
      </c>
    </row>
    <row r="27" spans="2:3" ht="15" x14ac:dyDescent="0.25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zoomScale="103" zoomScaleNormal="80" workbookViewId="0">
      <selection activeCell="G17" sqref="G17"/>
    </sheetView>
  </sheetViews>
  <sheetFormatPr defaultColWidth="0" defaultRowHeight="0" customHeight="1" zeroHeight="1" outlineLevelRow="1" x14ac:dyDescent="0.25"/>
  <cols>
    <col min="1" max="1" width="3.5703125" style="3" customWidth="1"/>
    <col min="2" max="2" width="35.7109375" bestFit="1" customWidth="1"/>
    <col min="3" max="8" width="20.5703125" customWidth="1"/>
    <col min="9" max="9" width="3.5703125" customWidth="1"/>
    <col min="10" max="16384" width="9.140625" hidden="1"/>
  </cols>
  <sheetData>
    <row r="1" spans="1:9" ht="15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9" ht="15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9" ht="15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ht="15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 x14ac:dyDescent="0.25">
      <c r="A5" s="1"/>
      <c r="B5" s="2"/>
      <c r="C5" s="2"/>
      <c r="D5" s="2"/>
      <c r="E5" s="2"/>
      <c r="F5" s="2"/>
      <c r="G5" s="2"/>
      <c r="H5" s="2"/>
      <c r="I5" s="2"/>
    </row>
    <row r="6" spans="1:9" ht="15" x14ac:dyDescent="0.25"/>
    <row r="7" spans="1:9" s="28" customFormat="1" ht="14.25" x14ac:dyDescent="0.2">
      <c r="A7" s="31"/>
      <c r="B7" s="32" t="s">
        <v>80</v>
      </c>
      <c r="G7" s="33"/>
    </row>
    <row r="8" spans="1:9" s="28" customFormat="1" ht="4.9000000000000004" customHeight="1" x14ac:dyDescent="0.2">
      <c r="A8" s="31"/>
      <c r="C8" s="34" t="s">
        <v>0</v>
      </c>
      <c r="D8" s="33"/>
      <c r="E8" s="34"/>
      <c r="G8" s="33"/>
    </row>
    <row r="9" spans="1:9" s="51" customFormat="1" ht="15" customHeight="1" x14ac:dyDescent="0.2">
      <c r="A9" s="49"/>
      <c r="B9" s="147" t="s">
        <v>1</v>
      </c>
      <c r="C9" s="149" t="s">
        <v>2</v>
      </c>
      <c r="D9" s="149" t="s">
        <v>3</v>
      </c>
      <c r="E9" s="152" t="s">
        <v>4</v>
      </c>
      <c r="F9" s="151"/>
      <c r="G9" s="50"/>
    </row>
    <row r="10" spans="1:9" s="51" customFormat="1" ht="15" customHeight="1" x14ac:dyDescent="0.2">
      <c r="A10" s="52" t="s">
        <v>5</v>
      </c>
      <c r="B10" s="148"/>
      <c r="C10" s="150"/>
      <c r="D10" s="150"/>
      <c r="E10" s="153"/>
      <c r="F10" s="151"/>
      <c r="G10" s="50"/>
    </row>
    <row r="11" spans="1:9" s="51" customFormat="1" ht="12.75" x14ac:dyDescent="0.2">
      <c r="A11" s="52" t="s">
        <v>6</v>
      </c>
      <c r="B11" s="73" t="s">
        <v>93</v>
      </c>
      <c r="C11" s="53">
        <f>SUM(C12:C15)</f>
        <v>2369065799.9493556</v>
      </c>
      <c r="D11" s="54">
        <f>+C11/$C$22</f>
        <v>8.9164555127954584E-2</v>
      </c>
      <c r="E11" s="55">
        <f>SUM(E12:E15)</f>
        <v>834675.45847151638</v>
      </c>
      <c r="F11" s="56"/>
      <c r="G11" s="56"/>
    </row>
    <row r="12" spans="1:9" s="51" customFormat="1" ht="12.75" x14ac:dyDescent="0.2">
      <c r="A12" s="52" t="s">
        <v>8</v>
      </c>
      <c r="B12" s="74" t="s">
        <v>9</v>
      </c>
      <c r="C12" s="57">
        <v>2227962004.1393561</v>
      </c>
      <c r="D12" s="58">
        <f>+C12/$C$11</f>
        <v>0.94043905584512855</v>
      </c>
      <c r="E12" s="59">
        <v>819201.46493320109</v>
      </c>
      <c r="F12" s="60"/>
      <c r="G12" s="60"/>
    </row>
    <row r="13" spans="1:9" s="51" customFormat="1" ht="12.75" x14ac:dyDescent="0.2">
      <c r="A13" s="52" t="s">
        <v>10</v>
      </c>
      <c r="B13" s="74" t="s">
        <v>11</v>
      </c>
      <c r="C13" s="57">
        <v>139933613.0799993</v>
      </c>
      <c r="D13" s="58">
        <f>+C13/$C$11</f>
        <v>5.9067001466565731E-2</v>
      </c>
      <c r="E13" s="59">
        <v>15354.942739118298</v>
      </c>
      <c r="F13" s="60"/>
      <c r="G13" s="60"/>
    </row>
    <row r="14" spans="1:9" s="51" customFormat="1" ht="12.75" x14ac:dyDescent="0.2">
      <c r="A14" s="52" t="s">
        <v>12</v>
      </c>
      <c r="B14" s="74" t="s">
        <v>94</v>
      </c>
      <c r="C14" s="57">
        <v>814512.41999999899</v>
      </c>
      <c r="D14" s="58">
        <f>+C14/$C$11</f>
        <v>3.4381164930809906E-4</v>
      </c>
      <c r="E14" s="59">
        <v>84.114311943350003</v>
      </c>
      <c r="F14" s="60"/>
      <c r="G14" s="60"/>
    </row>
    <row r="15" spans="1:9" s="51" customFormat="1" ht="12.75" x14ac:dyDescent="0.2">
      <c r="A15" s="52" t="s">
        <v>13</v>
      </c>
      <c r="B15" s="74" t="s">
        <v>14</v>
      </c>
      <c r="C15" s="57">
        <v>355670.30999999994</v>
      </c>
      <c r="D15" s="58">
        <f>+C15/$C$11</f>
        <v>1.501310389975674E-4</v>
      </c>
      <c r="E15" s="59">
        <v>34.936487253698999</v>
      </c>
      <c r="F15" s="60"/>
      <c r="G15" s="60"/>
    </row>
    <row r="16" spans="1:9" s="51" customFormat="1" ht="12.75" x14ac:dyDescent="0.2">
      <c r="A16" s="52" t="s">
        <v>15</v>
      </c>
      <c r="B16" s="76" t="s">
        <v>16</v>
      </c>
      <c r="C16" s="53">
        <f>C17</f>
        <v>23303948897.049019</v>
      </c>
      <c r="D16" s="54">
        <f>+C16/$C$22</f>
        <v>0.87709097660959157</v>
      </c>
      <c r="E16" s="55">
        <f>E17</f>
        <v>422389.15387719905</v>
      </c>
      <c r="F16" s="56"/>
      <c r="G16" s="56"/>
    </row>
    <row r="17" spans="1:8" s="51" customFormat="1" ht="12.75" x14ac:dyDescent="0.2">
      <c r="A17" s="52" t="s">
        <v>17</v>
      </c>
      <c r="B17" s="74" t="s">
        <v>18</v>
      </c>
      <c r="C17" s="57">
        <v>23303948897.049019</v>
      </c>
      <c r="D17" s="58">
        <f>+C17/C16</f>
        <v>1</v>
      </c>
      <c r="E17" s="59">
        <v>422389.15387719905</v>
      </c>
      <c r="F17" s="61"/>
      <c r="G17" s="61"/>
    </row>
    <row r="18" spans="1:8" s="51" customFormat="1" ht="12.75" outlineLevel="1" x14ac:dyDescent="0.2">
      <c r="A18" s="52" t="s">
        <v>19</v>
      </c>
      <c r="B18" s="73" t="s">
        <v>20</v>
      </c>
      <c r="C18" s="53">
        <f>SUM(C19:C20)</f>
        <v>876406734.65999794</v>
      </c>
      <c r="D18" s="54">
        <f>+C18/$C$22</f>
        <v>3.2985329748448762E-2</v>
      </c>
      <c r="E18" s="55">
        <f>SUM(E19:E20)</f>
        <v>12148.850648519639</v>
      </c>
      <c r="F18" s="56"/>
      <c r="G18" s="56"/>
    </row>
    <row r="19" spans="1:8" s="51" customFormat="1" ht="12.75" outlineLevel="1" x14ac:dyDescent="0.2">
      <c r="A19" s="52" t="s">
        <v>8</v>
      </c>
      <c r="B19" s="74" t="s">
        <v>9</v>
      </c>
      <c r="C19" s="57">
        <v>758133074.00999892</v>
      </c>
      <c r="D19" s="58">
        <f>+C19/$C$18</f>
        <v>0.86504706550904897</v>
      </c>
      <c r="E19" s="59">
        <v>11442.487747327625</v>
      </c>
      <c r="F19" s="60"/>
      <c r="G19" s="60"/>
    </row>
    <row r="20" spans="1:8" s="51" customFormat="1" ht="12.75" outlineLevel="1" x14ac:dyDescent="0.2">
      <c r="A20" s="52" t="s">
        <v>10</v>
      </c>
      <c r="B20" s="74" t="s">
        <v>11</v>
      </c>
      <c r="C20" s="57">
        <v>118273660.64999899</v>
      </c>
      <c r="D20" s="58">
        <f>+C20/$C$18</f>
        <v>0.13495293449095103</v>
      </c>
      <c r="E20" s="59">
        <v>706.36290119201499</v>
      </c>
      <c r="F20" s="60"/>
      <c r="G20" s="60"/>
    </row>
    <row r="21" spans="1:8" s="51" customFormat="1" ht="12.75" outlineLevel="1" x14ac:dyDescent="0.2">
      <c r="A21" s="52" t="s">
        <v>19</v>
      </c>
      <c r="B21" s="73" t="s">
        <v>110</v>
      </c>
      <c r="C21" s="53">
        <f>17001344.3066991+3168655.85057476</f>
        <v>20170000.157273863</v>
      </c>
      <c r="D21" s="54">
        <f>+C21/$C$22</f>
        <v>7.5913851400520149E-4</v>
      </c>
      <c r="E21" s="132">
        <v>0</v>
      </c>
      <c r="F21" s="56"/>
      <c r="G21" s="56"/>
    </row>
    <row r="22" spans="1:8" s="51" customFormat="1" ht="12.75" x14ac:dyDescent="0.2">
      <c r="A22" s="49"/>
      <c r="B22" s="62" t="s">
        <v>21</v>
      </c>
      <c r="C22" s="63">
        <f>+C18+C16+C11+C21</f>
        <v>26569591431.815643</v>
      </c>
      <c r="D22" s="64">
        <f>+D11+D16+D18+D21</f>
        <v>1.0000000000000002</v>
      </c>
      <c r="E22" s="65">
        <f>E21+E18+E16+E11</f>
        <v>1269213.4629972351</v>
      </c>
      <c r="F22" s="56"/>
      <c r="G22" s="56"/>
    </row>
    <row r="23" spans="1:8" s="28" customFormat="1" ht="4.9000000000000004" customHeight="1" x14ac:dyDescent="0.2">
      <c r="A23" s="31"/>
      <c r="B23" s="36"/>
      <c r="C23" s="37"/>
      <c r="D23" s="37"/>
      <c r="E23" s="37"/>
      <c r="F23" s="38"/>
      <c r="G23" s="38"/>
    </row>
    <row r="24" spans="1:8" s="28" customFormat="1" ht="14.45" customHeight="1" x14ac:dyDescent="0.2">
      <c r="A24" s="31"/>
      <c r="B24" s="37"/>
      <c r="C24" s="37">
        <v>17001344.306699101</v>
      </c>
      <c r="D24" s="37"/>
      <c r="E24" s="37"/>
      <c r="F24" s="38"/>
      <c r="G24" s="38"/>
    </row>
    <row r="25" spans="1:8" s="28" customFormat="1" ht="14.45" customHeight="1" x14ac:dyDescent="0.2">
      <c r="A25" s="31"/>
      <c r="B25" s="32" t="s">
        <v>80</v>
      </c>
      <c r="C25" s="37"/>
      <c r="D25" s="37"/>
      <c r="E25" s="37"/>
      <c r="F25" s="38"/>
      <c r="G25" s="38"/>
    </row>
    <row r="26" spans="1:8" s="28" customFormat="1" ht="4.9000000000000004" customHeight="1" x14ac:dyDescent="0.2">
      <c r="A26" s="31"/>
      <c r="B26" s="37"/>
      <c r="C26" s="37"/>
      <c r="D26" s="37"/>
      <c r="E26" s="37"/>
      <c r="F26" s="38"/>
      <c r="G26" s="38"/>
    </row>
    <row r="27" spans="1:8" s="51" customFormat="1" ht="15" customHeight="1" x14ac:dyDescent="0.2">
      <c r="A27" s="49"/>
      <c r="B27" s="147" t="s">
        <v>1</v>
      </c>
      <c r="C27" s="149" t="s">
        <v>2</v>
      </c>
      <c r="D27" s="145" t="s">
        <v>91</v>
      </c>
      <c r="E27" s="145" t="s">
        <v>4</v>
      </c>
      <c r="F27" s="145" t="s">
        <v>95</v>
      </c>
      <c r="G27" s="145" t="s">
        <v>113</v>
      </c>
      <c r="H27" s="145" t="s">
        <v>92</v>
      </c>
    </row>
    <row r="28" spans="1:8" s="51" customFormat="1" ht="15" customHeight="1" x14ac:dyDescent="0.2">
      <c r="A28" s="49"/>
      <c r="B28" s="148"/>
      <c r="C28" s="150"/>
      <c r="D28" s="146"/>
      <c r="E28" s="146"/>
      <c r="F28" s="146"/>
      <c r="G28" s="146"/>
      <c r="H28" s="146"/>
    </row>
    <row r="29" spans="1:8" s="51" customFormat="1" ht="14.45" customHeight="1" x14ac:dyDescent="0.2">
      <c r="A29" s="49"/>
      <c r="B29" s="75" t="s">
        <v>93</v>
      </c>
      <c r="C29" s="66">
        <f>+C11</f>
        <v>2369065799.9493556</v>
      </c>
      <c r="D29" s="67" t="s">
        <v>74</v>
      </c>
      <c r="E29" s="68">
        <f>+E11</f>
        <v>834675.45847151638</v>
      </c>
      <c r="F29" s="69">
        <f>+('5. Área Bruta'!C13+'5. Área Bruta'!C14)*1000/'5. Área Bruta'!E12</f>
        <v>48.628503831680334</v>
      </c>
      <c r="G29" s="68">
        <f>+E29/(C29/1000000)</f>
        <v>352.32261530657343</v>
      </c>
      <c r="H29" s="70">
        <f>+(('5. Área Bruta'!C13*3)+('5. Área Bruta'!C14*4)+('5. Área Bruta'!C15*5))/SUM('5. Área Bruta'!C13:C15)</f>
        <v>4.0368088848942421</v>
      </c>
    </row>
    <row r="30" spans="1:8" s="51" customFormat="1" ht="14.45" customHeight="1" x14ac:dyDescent="0.2">
      <c r="A30" s="49"/>
      <c r="B30" s="77" t="s">
        <v>16</v>
      </c>
      <c r="C30" s="66">
        <f>+C16</f>
        <v>23303948897.049019</v>
      </c>
      <c r="D30" s="67" t="s">
        <v>74</v>
      </c>
      <c r="E30" s="68">
        <f>+E16</f>
        <v>422389.15387719905</v>
      </c>
      <c r="F30" s="69">
        <f>+('5. Área Bruta'!C17+'5. Área Bruta'!C18)*1000/'5. Área Bruta'!E16</f>
        <v>13.700149909982919</v>
      </c>
      <c r="G30" s="68">
        <f>+E30/(C30/1000000)</f>
        <v>18.125217993877691</v>
      </c>
      <c r="H30" s="70">
        <f>+(('5. Área Bruta'!C17*3)+('5. Área Bruta'!C18*4)+('5. Área Bruta'!C19*5))/SUM('5. Área Bruta'!C17:C19)</f>
        <v>3.835139578172023</v>
      </c>
    </row>
    <row r="31" spans="1:8" s="51" customFormat="1" ht="14.45" customHeight="1" x14ac:dyDescent="0.2">
      <c r="A31" s="49"/>
      <c r="B31" s="62" t="s">
        <v>21</v>
      </c>
      <c r="C31" s="63">
        <f>SUM(C29:C30)</f>
        <v>25673014696.998375</v>
      </c>
      <c r="D31" s="63"/>
      <c r="E31" s="71">
        <f>SUM(E29:E30)</f>
        <v>1257064.6123487153</v>
      </c>
      <c r="F31" s="71">
        <f>+F28+F26+F20</f>
        <v>0</v>
      </c>
      <c r="G31" s="72">
        <f>SUM(G29:G30)</f>
        <v>370.44783330045112</v>
      </c>
      <c r="H31" s="63"/>
    </row>
    <row r="32" spans="1:8" ht="14.45" customHeight="1" x14ac:dyDescent="0.25">
      <c r="B32" s="4"/>
      <c r="C32" s="4"/>
      <c r="D32" s="4"/>
      <c r="E32" s="4"/>
      <c r="F32" s="4"/>
      <c r="G32" s="4"/>
    </row>
  </sheetData>
  <mergeCells count="12">
    <mergeCell ref="F9:F10"/>
    <mergeCell ref="B9:B10"/>
    <mergeCell ref="C9:C10"/>
    <mergeCell ref="D9:D10"/>
    <mergeCell ref="E9:E10"/>
    <mergeCell ref="G27:G28"/>
    <mergeCell ref="H27:H28"/>
    <mergeCell ref="B27:B28"/>
    <mergeCell ref="C27:C28"/>
    <mergeCell ref="D27:D28"/>
    <mergeCell ref="E27:E28"/>
    <mergeCell ref="F27:F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>
      <selection activeCell="A21" sqref="A21"/>
    </sheetView>
  </sheetViews>
  <sheetFormatPr defaultRowHeight="15" zeroHeight="1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zoomScale="90" zoomScaleNormal="90" workbookViewId="0"/>
  </sheetViews>
  <sheetFormatPr defaultColWidth="0" defaultRowHeight="0" customHeight="1" zeroHeight="1" x14ac:dyDescent="0.2"/>
  <cols>
    <col min="1" max="1" width="3.5703125" style="31" customWidth="1"/>
    <col min="2" max="5" width="25.5703125" style="28" customWidth="1"/>
    <col min="6" max="6" width="3.28515625" style="28" customWidth="1"/>
    <col min="7" max="7" width="15.7109375" style="28" hidden="1" customWidth="1"/>
    <col min="8" max="8" width="13.42578125" style="28" hidden="1" customWidth="1"/>
    <col min="9" max="9" width="18" style="28" hidden="1" customWidth="1"/>
    <col min="10" max="10" width="23.28515625" style="28" hidden="1" customWidth="1"/>
    <col min="11" max="12" width="15.7109375" style="28" hidden="1" customWidth="1"/>
    <col min="13" max="13" width="3.28515625" style="28" hidden="1" customWidth="1"/>
    <col min="14" max="16384" width="0" style="28" hidden="1"/>
  </cols>
  <sheetData>
    <row r="1" spans="1:27" ht="14.25" x14ac:dyDescent="0.2">
      <c r="A1" s="78"/>
      <c r="B1" s="27"/>
      <c r="C1" s="27"/>
      <c r="D1" s="27"/>
      <c r="E1" s="27"/>
      <c r="F1" s="27"/>
    </row>
    <row r="2" spans="1:27" ht="14.25" x14ac:dyDescent="0.2">
      <c r="A2" s="78"/>
      <c r="B2" s="27"/>
      <c r="C2" s="27"/>
      <c r="D2" s="27"/>
      <c r="E2" s="27"/>
      <c r="F2" s="27"/>
    </row>
    <row r="3" spans="1:27" ht="14.25" x14ac:dyDescent="0.2">
      <c r="A3" s="78"/>
      <c r="B3" s="27"/>
      <c r="C3" s="27"/>
      <c r="D3" s="27"/>
      <c r="E3" s="27"/>
      <c r="F3" s="27"/>
    </row>
    <row r="4" spans="1:27" ht="14.25" x14ac:dyDescent="0.2">
      <c r="A4" s="78"/>
      <c r="B4" s="27"/>
      <c r="C4" s="27"/>
      <c r="D4" s="27"/>
      <c r="E4" s="27"/>
      <c r="F4" s="27"/>
    </row>
    <row r="5" spans="1:27" ht="3" customHeight="1" x14ac:dyDescent="0.2">
      <c r="A5" s="29"/>
      <c r="B5" s="30"/>
      <c r="C5" s="30"/>
      <c r="D5" s="30"/>
      <c r="E5" s="30"/>
      <c r="F5" s="30"/>
    </row>
    <row r="6" spans="1:27" ht="14.25" x14ac:dyDescent="0.2"/>
    <row r="7" spans="1:27" ht="14.25" x14ac:dyDescent="0.2">
      <c r="B7" s="79"/>
      <c r="G7" s="35"/>
      <c r="H7" s="35"/>
      <c r="I7" s="35"/>
      <c r="J7" s="35"/>
      <c r="K7" s="35"/>
    </row>
    <row r="8" spans="1:27" ht="14.25" x14ac:dyDescent="0.2">
      <c r="B8" s="80" t="s">
        <v>100</v>
      </c>
      <c r="C8" s="51"/>
      <c r="D8" s="51"/>
      <c r="E8" s="51"/>
      <c r="F8" s="51"/>
      <c r="G8" s="35"/>
      <c r="H8" s="35"/>
      <c r="I8" s="35"/>
      <c r="J8" s="35"/>
      <c r="K8" s="35"/>
    </row>
    <row r="9" spans="1:27" ht="4.9000000000000004" customHeight="1" x14ac:dyDescent="0.2">
      <c r="B9" s="51"/>
      <c r="C9" s="51"/>
      <c r="D9" s="51"/>
      <c r="E9" s="51"/>
      <c r="F9" s="51"/>
      <c r="G9" s="35"/>
      <c r="H9" s="35"/>
      <c r="I9" s="35"/>
      <c r="J9" s="35"/>
      <c r="K9" s="35"/>
    </row>
    <row r="10" spans="1:27" ht="15" customHeight="1" x14ac:dyDescent="0.2">
      <c r="B10" s="154" t="s">
        <v>24</v>
      </c>
      <c r="C10" s="149" t="s">
        <v>2</v>
      </c>
      <c r="D10" s="149" t="s">
        <v>3</v>
      </c>
      <c r="E10" s="145" t="s">
        <v>4</v>
      </c>
      <c r="F10" s="51"/>
      <c r="H10" s="35"/>
      <c r="I10" s="35"/>
      <c r="J10" s="35"/>
      <c r="K10" s="35"/>
    </row>
    <row r="11" spans="1:27" ht="15" customHeight="1" x14ac:dyDescent="0.2">
      <c r="B11" s="154"/>
      <c r="C11" s="150"/>
      <c r="D11" s="150"/>
      <c r="E11" s="146"/>
      <c r="F11" s="51"/>
      <c r="H11" s="35"/>
      <c r="I11" s="35"/>
      <c r="J11" s="35"/>
      <c r="K11" s="35"/>
    </row>
    <row r="12" spans="1:27" ht="14.25" x14ac:dyDescent="0.2">
      <c r="B12" s="81" t="s">
        <v>25</v>
      </c>
      <c r="C12" s="82">
        <v>11339142.855346801</v>
      </c>
      <c r="D12" s="83">
        <f t="shared" ref="D12:D19" si="0">C12/$C$20</f>
        <v>3.8358105564119095E-2</v>
      </c>
      <c r="E12" s="84">
        <v>98.453366540549993</v>
      </c>
      <c r="F12" s="51"/>
      <c r="H12" s="35"/>
      <c r="I12" s="35"/>
      <c r="J12" s="35"/>
      <c r="K12" s="35"/>
    </row>
    <row r="13" spans="1:27" s="31" customFormat="1" ht="14.25" x14ac:dyDescent="0.2">
      <c r="B13" s="85" t="s">
        <v>26</v>
      </c>
      <c r="C13" s="86">
        <v>1786795.07</v>
      </c>
      <c r="D13" s="87">
        <f t="shared" si="0"/>
        <v>6.0443787322239685E-3</v>
      </c>
      <c r="E13" s="88">
        <v>6.9953706710999999</v>
      </c>
      <c r="F13" s="51"/>
      <c r="G13" s="28"/>
      <c r="H13" s="35"/>
      <c r="I13" s="35"/>
      <c r="J13" s="35"/>
      <c r="K13" s="35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s="31" customFormat="1" ht="14.25" x14ac:dyDescent="0.2">
      <c r="B14" s="85" t="s">
        <v>27</v>
      </c>
      <c r="C14" s="86">
        <v>37128347.428131998</v>
      </c>
      <c r="D14" s="87">
        <f t="shared" si="0"/>
        <v>0.12559794759072371</v>
      </c>
      <c r="E14" s="88">
        <v>270.01945538989901</v>
      </c>
      <c r="F14" s="51"/>
      <c r="G14" s="28"/>
      <c r="H14" s="35"/>
      <c r="I14" s="35"/>
      <c r="J14" s="35"/>
      <c r="K14" s="35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s="31" customFormat="1" ht="14.25" x14ac:dyDescent="0.2">
      <c r="B15" s="85" t="s">
        <v>28</v>
      </c>
      <c r="C15" s="86">
        <v>55144200.679906301</v>
      </c>
      <c r="D15" s="87">
        <f t="shared" si="0"/>
        <v>0.18654206035788767</v>
      </c>
      <c r="E15" s="88">
        <v>749.21836744655002</v>
      </c>
      <c r="F15" s="51"/>
      <c r="G15" s="28"/>
      <c r="H15" s="35"/>
      <c r="I15" s="35"/>
      <c r="J15" s="35"/>
      <c r="K15" s="35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s="31" customFormat="1" ht="14.25" x14ac:dyDescent="0.2">
      <c r="B16" s="85" t="s">
        <v>29</v>
      </c>
      <c r="C16" s="86">
        <v>93233211.795725897</v>
      </c>
      <c r="D16" s="87">
        <f t="shared" si="0"/>
        <v>0.31538974557111266</v>
      </c>
      <c r="E16" s="88">
        <v>1776.68881580519</v>
      </c>
      <c r="F16" s="51"/>
      <c r="G16" s="28"/>
      <c r="H16" s="35"/>
      <c r="I16" s="35"/>
      <c r="J16" s="35"/>
      <c r="K16" s="35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2:27" s="31" customFormat="1" ht="14.25" x14ac:dyDescent="0.2">
      <c r="B17" s="85" t="s">
        <v>30</v>
      </c>
      <c r="C17" s="86">
        <v>65502919.713451803</v>
      </c>
      <c r="D17" s="87">
        <f t="shared" si="0"/>
        <v>0.22158358362526834</v>
      </c>
      <c r="E17" s="88">
        <v>540.90802885419896</v>
      </c>
      <c r="F17" s="51"/>
      <c r="G17" s="28"/>
      <c r="H17" s="35"/>
      <c r="I17" s="35"/>
      <c r="J17" s="35"/>
      <c r="K17" s="35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2:27" s="31" customFormat="1" ht="14.25" x14ac:dyDescent="0.2">
      <c r="B18" s="85" t="s">
        <v>31</v>
      </c>
      <c r="C18" s="86">
        <v>18208719.8855564</v>
      </c>
      <c r="D18" s="87">
        <f t="shared" si="0"/>
        <v>6.1596542919317966E-2</v>
      </c>
      <c r="E18" s="88">
        <v>224.43223953825</v>
      </c>
      <c r="F18" s="51"/>
      <c r="G18" s="28"/>
      <c r="H18" s="35"/>
      <c r="I18" s="35"/>
      <c r="J18" s="35"/>
      <c r="K18" s="35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2:27" s="31" customFormat="1" ht="14.25" x14ac:dyDescent="0.2">
      <c r="B19" s="85" t="s">
        <v>32</v>
      </c>
      <c r="C19" s="86">
        <v>13269354.8199999</v>
      </c>
      <c r="D19" s="87">
        <f t="shared" si="0"/>
        <v>4.488763563934671E-2</v>
      </c>
      <c r="E19" s="88">
        <v>4620.1745721899297</v>
      </c>
      <c r="F19" s="51"/>
      <c r="G19" s="28"/>
      <c r="H19" s="35"/>
      <c r="I19" s="35"/>
      <c r="J19" s="35"/>
      <c r="K19" s="35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2:27" s="31" customFormat="1" ht="14.25" x14ac:dyDescent="0.2">
      <c r="B20" s="89" t="s">
        <v>21</v>
      </c>
      <c r="C20" s="90">
        <f>+SUM(C12:C19)</f>
        <v>295612692.24811906</v>
      </c>
      <c r="D20" s="91">
        <f>SUM(D12:D19)</f>
        <v>1</v>
      </c>
      <c r="E20" s="92">
        <f>+SUM(E12:E19)</f>
        <v>8286.8902164356678</v>
      </c>
      <c r="F20" s="51"/>
      <c r="G20" s="28"/>
      <c r="H20" s="35"/>
      <c r="I20" s="35"/>
      <c r="J20" s="35"/>
      <c r="K20" s="3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2:27" s="31" customFormat="1" ht="4.9000000000000004" customHeight="1" x14ac:dyDescent="0.2">
      <c r="B21" s="51"/>
      <c r="C21" s="93"/>
      <c r="D21" s="93"/>
      <c r="E21" s="94"/>
      <c r="F21" s="51"/>
      <c r="G21" s="28"/>
      <c r="H21" s="35"/>
      <c r="I21" s="35"/>
      <c r="J21" s="35"/>
      <c r="K21" s="35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2:27" s="31" customFormat="1" ht="14.25" x14ac:dyDescent="0.2">
      <c r="B22" s="51"/>
      <c r="C22" s="93"/>
      <c r="D22" s="93"/>
      <c r="E22" s="94"/>
      <c r="F22" s="51"/>
      <c r="G22" s="28"/>
      <c r="H22" s="35"/>
      <c r="I22" s="35"/>
      <c r="J22" s="35"/>
      <c r="K22" s="35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2:27" s="31" customFormat="1" ht="14.25" x14ac:dyDescent="0.2">
      <c r="B23" s="80" t="s">
        <v>101</v>
      </c>
      <c r="C23" s="93"/>
      <c r="D23" s="93"/>
      <c r="E23" s="94"/>
      <c r="F23" s="51"/>
      <c r="G23" s="28"/>
      <c r="H23" s="35"/>
      <c r="I23" s="35"/>
      <c r="J23" s="35"/>
      <c r="K23" s="35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2:27" s="31" customFormat="1" ht="14.25" x14ac:dyDescent="0.2">
      <c r="B24" s="95" t="s">
        <v>34</v>
      </c>
      <c r="C24" s="93"/>
      <c r="D24" s="93"/>
      <c r="E24" s="94"/>
      <c r="F24" s="51"/>
      <c r="G24" s="28"/>
      <c r="H24" s="35"/>
      <c r="I24" s="35"/>
      <c r="J24" s="35"/>
      <c r="K24" s="35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2:27" s="31" customFormat="1" ht="4.9000000000000004" customHeight="1" x14ac:dyDescent="0.2">
      <c r="B25" s="51"/>
      <c r="C25" s="93"/>
      <c r="D25" s="93"/>
      <c r="E25" s="94"/>
      <c r="F25" s="51"/>
      <c r="G25" s="28"/>
      <c r="H25" s="35"/>
      <c r="I25" s="35"/>
      <c r="J25" s="35"/>
      <c r="K25" s="35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2:27" s="31" customFormat="1" ht="15" customHeight="1" x14ac:dyDescent="0.2">
      <c r="B26" s="154" t="s">
        <v>24</v>
      </c>
      <c r="C26" s="149" t="s">
        <v>2</v>
      </c>
      <c r="D26" s="149" t="s">
        <v>3</v>
      </c>
      <c r="E26" s="145" t="s">
        <v>4</v>
      </c>
      <c r="F26" s="51"/>
      <c r="G26" s="28"/>
      <c r="H26" s="35"/>
      <c r="I26" s="35"/>
      <c r="J26" s="35"/>
      <c r="K26" s="35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2:27" s="31" customFormat="1" ht="15" customHeight="1" x14ac:dyDescent="0.2">
      <c r="B27" s="154"/>
      <c r="C27" s="150"/>
      <c r="D27" s="150"/>
      <c r="E27" s="146"/>
      <c r="F27" s="51"/>
      <c r="G27" s="28"/>
      <c r="H27" s="35"/>
      <c r="I27" s="35"/>
      <c r="J27" s="35"/>
      <c r="K27" s="35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s="31" customFormat="1" ht="14.25" x14ac:dyDescent="0.2">
      <c r="B28" s="85" t="s">
        <v>25</v>
      </c>
      <c r="C28" s="86">
        <v>118247997.97386099</v>
      </c>
      <c r="D28" s="83">
        <f t="shared" ref="D28:D38" si="1">C28/$C$39</f>
        <v>5.656568975242704E-2</v>
      </c>
      <c r="E28" s="88">
        <v>200938.45962015699</v>
      </c>
      <c r="F28" s="51"/>
      <c r="G28" s="28"/>
      <c r="H28" s="35"/>
      <c r="I28" s="35"/>
      <c r="J28" s="35"/>
      <c r="K28" s="35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2:27" s="31" customFormat="1" ht="14.25" x14ac:dyDescent="0.2">
      <c r="B29" s="85" t="s">
        <v>26</v>
      </c>
      <c r="C29" s="86">
        <v>7792022.4534692504</v>
      </c>
      <c r="D29" s="87">
        <f t="shared" si="1"/>
        <v>3.72742991170403E-3</v>
      </c>
      <c r="E29" s="88">
        <v>9027.0737609504395</v>
      </c>
      <c r="F29" s="51"/>
      <c r="G29" s="28"/>
      <c r="H29" s="35"/>
      <c r="I29" s="35"/>
      <c r="J29" s="35"/>
      <c r="K29" s="35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2:27" s="31" customFormat="1" ht="14.25" x14ac:dyDescent="0.2">
      <c r="B30" s="85" t="s">
        <v>27</v>
      </c>
      <c r="C30" s="86">
        <v>98538605.594622806</v>
      </c>
      <c r="D30" s="87">
        <f t="shared" si="1"/>
        <v>4.7137408566818445E-2</v>
      </c>
      <c r="E30" s="88">
        <v>15226.141492791099</v>
      </c>
      <c r="F30" s="51"/>
      <c r="G30" s="28"/>
      <c r="H30" s="35"/>
      <c r="I30" s="35"/>
      <c r="J30" s="35"/>
      <c r="K30" s="35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2:27" s="31" customFormat="1" ht="14.25" x14ac:dyDescent="0.2">
      <c r="B31" s="85" t="s">
        <v>28</v>
      </c>
      <c r="C31" s="86">
        <v>184152982.278633</v>
      </c>
      <c r="D31" s="87">
        <f t="shared" si="1"/>
        <v>8.8092319878937786E-2</v>
      </c>
      <c r="E31" s="88">
        <v>11922.752905023999</v>
      </c>
      <c r="F31" s="51"/>
      <c r="G31" s="28"/>
      <c r="H31" s="35"/>
      <c r="I31" s="35"/>
      <c r="J31" s="35"/>
      <c r="K31" s="35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2:27" s="31" customFormat="1" ht="14.25" x14ac:dyDescent="0.2">
      <c r="B32" s="85" t="s">
        <v>29</v>
      </c>
      <c r="C32" s="86">
        <v>985602316.16979802</v>
      </c>
      <c r="D32" s="87">
        <f t="shared" si="1"/>
        <v>0.47147753696479711</v>
      </c>
      <c r="E32" s="88">
        <v>99167.333191554295</v>
      </c>
      <c r="F32" s="51"/>
      <c r="G32" s="28"/>
      <c r="H32" s="35"/>
      <c r="I32" s="35"/>
      <c r="J32" s="35"/>
      <c r="K32" s="35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2:29" s="31" customFormat="1" ht="14.25" x14ac:dyDescent="0.2">
      <c r="B33" s="85" t="s">
        <v>30</v>
      </c>
      <c r="C33" s="86">
        <v>360816702.98650801</v>
      </c>
      <c r="D33" s="87">
        <f t="shared" si="1"/>
        <v>0.17260204002050059</v>
      </c>
      <c r="E33" s="88">
        <v>127123.55158711399</v>
      </c>
      <c r="F33" s="51"/>
      <c r="G33" s="28"/>
      <c r="H33" s="35"/>
      <c r="I33" s="35"/>
      <c r="J33" s="35"/>
      <c r="K33" s="35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2:29" s="31" customFormat="1" ht="14.25" x14ac:dyDescent="0.2">
      <c r="B34" s="85" t="s">
        <v>31</v>
      </c>
      <c r="C34" s="86">
        <v>148334764.212378</v>
      </c>
      <c r="D34" s="87">
        <f t="shared" si="1"/>
        <v>7.0958142173295546E-2</v>
      </c>
      <c r="E34" s="88">
        <v>72637.539087754601</v>
      </c>
      <c r="F34" s="51"/>
      <c r="G34" s="28"/>
      <c r="H34" s="35"/>
      <c r="I34" s="35"/>
      <c r="J34" s="35"/>
      <c r="K34" s="35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2:29" s="31" customFormat="1" ht="14.25" x14ac:dyDescent="0.2">
      <c r="B35" s="85" t="s">
        <v>32</v>
      </c>
      <c r="C35" s="86">
        <v>92735492.154708907</v>
      </c>
      <c r="D35" s="87">
        <f t="shared" si="1"/>
        <v>4.4361402883298359E-2</v>
      </c>
      <c r="E35" s="88">
        <v>288507.345715084</v>
      </c>
      <c r="F35" s="51"/>
      <c r="G35" s="28"/>
      <c r="H35" s="35"/>
      <c r="I35" s="35"/>
      <c r="J35" s="35"/>
      <c r="K35" s="35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2:29" s="31" customFormat="1" ht="14.25" x14ac:dyDescent="0.2">
      <c r="B36" s="85" t="s">
        <v>33</v>
      </c>
      <c r="C36" s="86">
        <v>11432930.04446</v>
      </c>
      <c r="D36" s="87">
        <f t="shared" si="1"/>
        <v>5.4691122466114265E-3</v>
      </c>
      <c r="E36" s="88">
        <v>701.99098073426001</v>
      </c>
      <c r="F36" s="51"/>
      <c r="G36" s="28"/>
      <c r="H36" s="35"/>
      <c r="I36" s="35"/>
      <c r="J36" s="35"/>
      <c r="K36" s="35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2:29" s="31" customFormat="1" ht="14.25" x14ac:dyDescent="0.2">
      <c r="B37" s="85" t="s">
        <v>111</v>
      </c>
      <c r="C37" s="86">
        <v>65799293.832801647</v>
      </c>
      <c r="D37" s="87">
        <f t="shared" si="1"/>
        <v>3.1476071516219645E-2</v>
      </c>
      <c r="E37" s="88">
        <v>1136.3799139161499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1" customFormat="1" ht="14.25" x14ac:dyDescent="0.2">
      <c r="B38" s="85" t="s">
        <v>99</v>
      </c>
      <c r="C38" s="86">
        <v>17001344.306699131</v>
      </c>
      <c r="D38" s="87">
        <f t="shared" si="1"/>
        <v>8.1328460853901247E-3</v>
      </c>
      <c r="E38" s="88">
        <v>0</v>
      </c>
      <c r="F38" s="51"/>
      <c r="G38" s="28"/>
      <c r="H38" s="35"/>
      <c r="I38" s="35"/>
      <c r="J38" s="35"/>
      <c r="K38" s="35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2:29" s="31" customFormat="1" ht="14.25" x14ac:dyDescent="0.2">
      <c r="B39" s="89" t="s">
        <v>21</v>
      </c>
      <c r="C39" s="90">
        <f>+SUM(C28:C38)</f>
        <v>2090454452.0079396</v>
      </c>
      <c r="D39" s="91">
        <f>SUM(D28:D38)</f>
        <v>1.0000000000000002</v>
      </c>
      <c r="E39" s="92">
        <f>+SUM(E28:E38)</f>
        <v>826388.56825507979</v>
      </c>
      <c r="F39" s="51"/>
      <c r="G39" s="28"/>
      <c r="H39" s="35"/>
      <c r="I39" s="35"/>
      <c r="J39" s="35"/>
      <c r="K39" s="35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2:29" s="31" customFormat="1" ht="4.9000000000000004" customHeight="1" x14ac:dyDescent="0.2">
      <c r="B40" s="51"/>
      <c r="C40" s="93"/>
      <c r="D40" s="93"/>
      <c r="E40" s="94"/>
      <c r="F40" s="51"/>
      <c r="G40" s="28"/>
      <c r="H40" s="35"/>
      <c r="I40" s="35"/>
      <c r="J40" s="35"/>
      <c r="K40" s="35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9" s="31" customFormat="1" ht="14.25" x14ac:dyDescent="0.2">
      <c r="B41" s="51"/>
      <c r="C41" s="93"/>
      <c r="D41" s="51"/>
      <c r="E41" s="94"/>
      <c r="F41" s="51"/>
      <c r="G41" s="28"/>
      <c r="H41" s="35"/>
      <c r="I41" s="35"/>
      <c r="J41" s="35"/>
      <c r="K41" s="35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2:29" s="31" customFormat="1" ht="14.25" x14ac:dyDescent="0.2">
      <c r="B42" s="96" t="s">
        <v>96</v>
      </c>
      <c r="C42" s="94"/>
      <c r="D42" s="51"/>
      <c r="E42" s="51"/>
      <c r="F42" s="51"/>
      <c r="G42" s="28"/>
      <c r="H42" s="35"/>
      <c r="I42" s="35"/>
      <c r="J42" s="35"/>
      <c r="K42" s="35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2:29" s="31" customFormat="1" ht="4.9000000000000004" customHeight="1" x14ac:dyDescent="0.2">
      <c r="B43" s="51"/>
      <c r="C43" s="51"/>
      <c r="D43" s="51"/>
      <c r="E43" s="51"/>
      <c r="F43" s="51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2:29" s="31" customFormat="1" ht="15" customHeight="1" x14ac:dyDescent="0.2">
      <c r="B44" s="49"/>
      <c r="C44" s="149" t="s">
        <v>2</v>
      </c>
      <c r="D44" s="149" t="s">
        <v>3</v>
      </c>
      <c r="E44" s="145" t="s">
        <v>4</v>
      </c>
      <c r="F44" s="5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s="31" customFormat="1" ht="15" customHeight="1" x14ac:dyDescent="0.2">
      <c r="B45" s="49"/>
      <c r="C45" s="150"/>
      <c r="D45" s="150"/>
      <c r="E45" s="146"/>
      <c r="F45" s="5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2:29" s="31" customFormat="1" ht="14.25" x14ac:dyDescent="0.2">
      <c r="B46" s="97" t="s">
        <v>97</v>
      </c>
      <c r="C46" s="98">
        <f>+C20</f>
        <v>295612692.24811906</v>
      </c>
      <c r="D46" s="99">
        <f>C46/$C$49</f>
        <v>0.12389118762216846</v>
      </c>
      <c r="E46" s="100">
        <f>+E20</f>
        <v>8286.8902164356678</v>
      </c>
      <c r="F46" s="5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2:29" s="31" customFormat="1" ht="14.25" x14ac:dyDescent="0.2">
      <c r="B47" s="101" t="s">
        <v>98</v>
      </c>
      <c r="C47" s="102">
        <f>+SUM(C28:C37)</f>
        <v>2073453107.7012405</v>
      </c>
      <c r="D47" s="103">
        <f>C47/$C$49</f>
        <v>0.86898355425270868</v>
      </c>
      <c r="E47" s="104">
        <f>+SUM(E28:E37)</f>
        <v>826388.56825507979</v>
      </c>
      <c r="F47" s="51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2:29" s="31" customFormat="1" ht="14.25" x14ac:dyDescent="0.2">
      <c r="B48" s="101" t="s">
        <v>110</v>
      </c>
      <c r="C48" s="102">
        <f>+C38</f>
        <v>17001344.306699131</v>
      </c>
      <c r="D48" s="103">
        <f>C48/$C$49</f>
        <v>7.1252581251228389E-3</v>
      </c>
      <c r="E48" s="104">
        <f>+E38</f>
        <v>0</v>
      </c>
      <c r="F48" s="51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s="31" customFormat="1" ht="14.25" x14ac:dyDescent="0.2">
      <c r="B49" s="89" t="s">
        <v>21</v>
      </c>
      <c r="C49" s="90">
        <f>SUM(C46:C48)</f>
        <v>2386067144.2560587</v>
      </c>
      <c r="D49" s="91">
        <f>SUM(D46:D48)</f>
        <v>1</v>
      </c>
      <c r="E49" s="90">
        <f>SUM(E46:E48)</f>
        <v>834675.45847151545</v>
      </c>
      <c r="F49" s="5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s="31" customFormat="1" ht="14.25" x14ac:dyDescent="0.2">
      <c r="B50" s="51"/>
      <c r="C50" s="51"/>
      <c r="D50" s="51"/>
      <c r="E50" s="51"/>
      <c r="F50" s="51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s="31" customFormat="1" ht="14.25" hidden="1" x14ac:dyDescent="0.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s="31" customFormat="1" ht="14.25" hidden="1" x14ac:dyDescent="0.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s="31" customFormat="1" ht="14.25" hidden="1" x14ac:dyDescent="0.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s="31" customFormat="1" ht="14.25" hidden="1" x14ac:dyDescent="0.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s="31" customFormat="1" ht="14.25" hidden="1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s="31" customFormat="1" ht="14.25" hidden="1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s="31" customFormat="1" ht="14.25" hidden="1" x14ac:dyDescent="0.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s="31" customFormat="1" ht="14.25" hidden="1" x14ac:dyDescent="0.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s="31" customFormat="1" ht="14.25" hidden="1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s="31" customFormat="1" ht="14.25" hidden="1" x14ac:dyDescent="0.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s="31" customFormat="1" ht="14.25" hidden="1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s="31" customFormat="1" ht="14.25" hidden="1" x14ac:dyDescent="0.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s="31" customFormat="1" ht="14.25" hidden="1" x14ac:dyDescent="0.2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s="31" customFormat="1" ht="14.25" hidden="1" x14ac:dyDescent="0.2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s="31" customFormat="1" ht="14.25" hidden="1" x14ac:dyDescent="0.2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s="31" customFormat="1" ht="14.25" hidden="1" x14ac:dyDescent="0.2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s="31" customFormat="1" ht="14.25" hidden="1" x14ac:dyDescent="0.2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s="31" customFormat="1" ht="14.25" hidden="1" x14ac:dyDescent="0.2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s="31" customFormat="1" ht="14.25" hidden="1" x14ac:dyDescent="0.2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s="31" customFormat="1" ht="14.25" hidden="1" x14ac:dyDescent="0.2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s="31" customFormat="1" ht="14.25" hidden="1" x14ac:dyDescent="0.2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s="31" customFormat="1" ht="14.25" hidden="1" x14ac:dyDescent="0.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s="31" customFormat="1" ht="14.25" hidden="1" x14ac:dyDescent="0.2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s="31" customFormat="1" ht="14.25" hidden="1" x14ac:dyDescent="0.2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s="31" customFormat="1" ht="14.25" hidden="1" x14ac:dyDescent="0.2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s="31" customFormat="1" ht="14.25" hidden="1" x14ac:dyDescent="0.2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s="31" customFormat="1" ht="14.25" hidden="1" x14ac:dyDescent="0.2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s="31" customFormat="1" ht="14.25" hidden="1" x14ac:dyDescent="0.2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s="31" customFormat="1" ht="14.25" hidden="1" x14ac:dyDescent="0.2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s="31" customFormat="1" ht="14.25" hidden="1" x14ac:dyDescent="0.2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s="31" customFormat="1" ht="14.25" hidden="1" x14ac:dyDescent="0.2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s="31" customFormat="1" ht="14.25" hidden="1" x14ac:dyDescent="0.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s="31" customFormat="1" ht="14.25" hidden="1" x14ac:dyDescent="0.2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s="31" customFormat="1" ht="14.25" hidden="1" x14ac:dyDescent="0.2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s="31" customFormat="1" ht="14.25" hidden="1" x14ac:dyDescent="0.2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s="31" customFormat="1" ht="14.25" hidden="1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s="31" customFormat="1" ht="14.25" hidden="1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s="31" customFormat="1" ht="14.25" hidden="1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s="31" customFormat="1" ht="14.25" hidden="1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s="31" customFormat="1" ht="14.25" hidden="1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s="31" customFormat="1" ht="14.25" hidden="1" x14ac:dyDescent="0.2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s="31" customFormat="1" ht="14.25" hidden="1" x14ac:dyDescent="0.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s="31" customFormat="1" ht="14.25" hidden="1" x14ac:dyDescent="0.2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s="31" customFormat="1" ht="14.25" hidden="1" x14ac:dyDescent="0.2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s="31" customFormat="1" ht="14.25" hidden="1" x14ac:dyDescent="0.2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s="31" customFormat="1" ht="14.25" hidden="1" x14ac:dyDescent="0.2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s="31" customFormat="1" ht="14.25" hidden="1" x14ac:dyDescent="0.2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s="31" customFormat="1" ht="14.25" hidden="1" x14ac:dyDescent="0.2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s="31" customFormat="1" ht="14.25" hidden="1" x14ac:dyDescent="0.2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s="31" customFormat="1" ht="14.25" hidden="1" x14ac:dyDescent="0.2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s="31" customFormat="1" ht="14.25" hidden="1" x14ac:dyDescent="0.2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s="31" customFormat="1" ht="14.25" hidden="1" x14ac:dyDescent="0.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s="31" customFormat="1" ht="14.25" hidden="1" x14ac:dyDescent="0.2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s="31" customFormat="1" ht="14.25" hidden="1" x14ac:dyDescent="0.2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s="31" customFormat="1" ht="14.25" hidden="1" x14ac:dyDescent="0.2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s="31" customFormat="1" ht="14.25" hidden="1" x14ac:dyDescent="0.2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s="31" customFormat="1" ht="14.25" hidden="1" x14ac:dyDescent="0.2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s="31" customFormat="1" ht="14.25" hidden="1" x14ac:dyDescent="0.2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s="31" customFormat="1" ht="14.25" hidden="1" x14ac:dyDescent="0.2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s="31" customFormat="1" ht="14.25" hidden="1" x14ac:dyDescent="0.2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s="31" customFormat="1" ht="14.25" hidden="1" x14ac:dyDescent="0.2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s="31" customFormat="1" ht="14.25" hidden="1" x14ac:dyDescent="0.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s="31" customFormat="1" ht="14.25" hidden="1" x14ac:dyDescent="0.2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s="31" customFormat="1" ht="14.25" hidden="1" x14ac:dyDescent="0.2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s="31" customFormat="1" ht="14.25" hidden="1" x14ac:dyDescent="0.2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s="31" customFormat="1" ht="14.25" hidden="1" x14ac:dyDescent="0.2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s="31" customFormat="1" ht="14.25" hidden="1" x14ac:dyDescent="0.2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s="31" customFormat="1" ht="14.25" hidden="1" x14ac:dyDescent="0.2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s="31" customFormat="1" ht="14.25" hidden="1" x14ac:dyDescent="0.2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s="31" customFormat="1" ht="14.25" hidden="1" x14ac:dyDescent="0.2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s="31" customFormat="1" ht="14.25" hidden="1" x14ac:dyDescent="0.2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s="31" customFormat="1" ht="14.25" hidden="1" x14ac:dyDescent="0.2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s="31" customFormat="1" ht="14.25" hidden="1" x14ac:dyDescent="0.2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s="31" customFormat="1" ht="14.25" hidden="1" x14ac:dyDescent="0.2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s="31" customFormat="1" ht="14.25" hidden="1" x14ac:dyDescent="0.2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s="31" customFormat="1" ht="14.25" hidden="1" x14ac:dyDescent="0.2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s="31" customFormat="1" ht="14.25" hidden="1" x14ac:dyDescent="0.2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s="31" customFormat="1" ht="14.25" hidden="1" x14ac:dyDescent="0.2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s="31" customFormat="1" ht="14.25" hidden="1" x14ac:dyDescent="0.2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s="31" customFormat="1" ht="14.25" hidden="1" x14ac:dyDescent="0.2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s="31" customFormat="1" ht="14.25" hidden="1" x14ac:dyDescent="0.2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s="31" customFormat="1" ht="14.25" hidden="1" x14ac:dyDescent="0.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s="31" customFormat="1" ht="14.25" hidden="1" x14ac:dyDescent="0.2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s="31" customFormat="1" ht="14.25" hidden="1" x14ac:dyDescent="0.2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s="31" customFormat="1" ht="14.25" hidden="1" x14ac:dyDescent="0.2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s="31" customFormat="1" ht="14.25" hidden="1" x14ac:dyDescent="0.2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s="31" customFormat="1" ht="14.25" hidden="1" x14ac:dyDescent="0.2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s="31" customFormat="1" ht="14.25" hidden="1" x14ac:dyDescent="0.2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s="31" customFormat="1" ht="14.25" hidden="1" x14ac:dyDescent="0.2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s="31" customFormat="1" ht="14.25" hidden="1" x14ac:dyDescent="0.2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s="31" customFormat="1" ht="14.25" hidden="1" x14ac:dyDescent="0.2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s="31" customFormat="1" ht="14.25" hidden="1" x14ac:dyDescent="0.2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s="31" customFormat="1" ht="14.25" hidden="1" x14ac:dyDescent="0.2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s="31" customFormat="1" ht="14.25" hidden="1" x14ac:dyDescent="0.2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s="31" customFormat="1" ht="14.25" hidden="1" x14ac:dyDescent="0.2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s="31" customFormat="1" ht="14.25" hidden="1" x14ac:dyDescent="0.2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s="31" customFormat="1" ht="14.25" hidden="1" x14ac:dyDescent="0.2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s="31" customFormat="1" ht="14.25" hidden="1" x14ac:dyDescent="0.2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s="31" customFormat="1" ht="14.25" hidden="1" x14ac:dyDescent="0.2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s="31" customFormat="1" ht="14.25" hidden="1" x14ac:dyDescent="0.2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s="31" customFormat="1" ht="14.25" hidden="1" x14ac:dyDescent="0.2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s="31" customFormat="1" ht="14.25" hidden="1" x14ac:dyDescent="0.2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s="31" customFormat="1" ht="14.25" hidden="1" x14ac:dyDescent="0.2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s="31" customFormat="1" ht="14.25" hidden="1" x14ac:dyDescent="0.2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s="31" customFormat="1" ht="14.25" hidden="1" x14ac:dyDescent="0.2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s="31" customFormat="1" ht="14.25" hidden="1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s="31" customFormat="1" ht="14.25" hidden="1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s="31" customFormat="1" ht="14.25" hidden="1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s="31" customFormat="1" ht="14.25" hidden="1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s="31" customFormat="1" ht="14.25" hidden="1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s="31" customFormat="1" ht="14.25" hidden="1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s="31" customFormat="1" ht="14.25" hidden="1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s="31" customFormat="1" ht="14.25" hidden="1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s="31" customFormat="1" ht="14.25" hidden="1" x14ac:dyDescent="0.2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s="31" customFormat="1" ht="14.25" hidden="1" x14ac:dyDescent="0.2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s="31" customFormat="1" ht="14.25" hidden="1" x14ac:dyDescent="0.2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s="31" customFormat="1" ht="14.25" hidden="1" x14ac:dyDescent="0.2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s="31" customFormat="1" ht="14.25" hidden="1" x14ac:dyDescent="0.2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s="31" customFormat="1" ht="14.25" hidden="1" x14ac:dyDescent="0.2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s="31" customFormat="1" ht="14.25" hidden="1" x14ac:dyDescent="0.2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s="31" customFormat="1" ht="14.25" hidden="1" x14ac:dyDescent="0.2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s="31" customFormat="1" ht="14.25" hidden="1" x14ac:dyDescent="0.2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s="31" customFormat="1" ht="14.25" hidden="1" x14ac:dyDescent="0.2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s="31" customFormat="1" ht="14.25" hidden="1" x14ac:dyDescent="0.2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s="31" customFormat="1" ht="14.25" hidden="1" x14ac:dyDescent="0.2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s="31" customFormat="1" ht="14.25" hidden="1" x14ac:dyDescent="0.2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s="31" customFormat="1" ht="14.25" hidden="1" x14ac:dyDescent="0.2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s="31" customFormat="1" ht="14.25" hidden="1" x14ac:dyDescent="0.2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s="31" customFormat="1" ht="14.25" hidden="1" x14ac:dyDescent="0.2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s="31" customFormat="1" ht="14.25" hidden="1" x14ac:dyDescent="0.2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s="31" customFormat="1" ht="14.25" hidden="1" x14ac:dyDescent="0.2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s="31" customFormat="1" ht="14.25" hidden="1" x14ac:dyDescent="0.2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s="31" customFormat="1" ht="14.25" hidden="1" x14ac:dyDescent="0.2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s="31" customFormat="1" ht="14.25" hidden="1" x14ac:dyDescent="0.2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s="31" customFormat="1" ht="14.25" hidden="1" x14ac:dyDescent="0.2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s="31" customFormat="1" ht="14.25" hidden="1" x14ac:dyDescent="0.2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s="31" customFormat="1" ht="14.25" hidden="1" x14ac:dyDescent="0.2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s="31" customFormat="1" ht="14.25" hidden="1" x14ac:dyDescent="0.2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s="31" customFormat="1" ht="14.25" hidden="1" x14ac:dyDescent="0.2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s="31" customFormat="1" ht="14.25" hidden="1" x14ac:dyDescent="0.2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s="31" customFormat="1" ht="14.25" hidden="1" x14ac:dyDescent="0.2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s="31" customFormat="1" ht="14.25" hidden="1" x14ac:dyDescent="0.2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s="31" customFormat="1" ht="14.25" hidden="1" x14ac:dyDescent="0.2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s="31" customFormat="1" ht="14.25" hidden="1" x14ac:dyDescent="0.2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s="31" customFormat="1" ht="14.25" hidden="1" x14ac:dyDescent="0.2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s="31" customFormat="1" ht="14.25" hidden="1" x14ac:dyDescent="0.2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s="31" customFormat="1" ht="14.25" hidden="1" x14ac:dyDescent="0.2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s="31" customFormat="1" ht="14.25" hidden="1" x14ac:dyDescent="0.2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s="31" customFormat="1" ht="14.25" hidden="1" x14ac:dyDescent="0.2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s="31" customFormat="1" ht="14.25" hidden="1" x14ac:dyDescent="0.2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s="31" customFormat="1" ht="14.25" hidden="1" x14ac:dyDescent="0.2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s="31" customFormat="1" ht="14.25" hidden="1" x14ac:dyDescent="0.2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s="31" customFormat="1" ht="14.25" hidden="1" x14ac:dyDescent="0.2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s="31" customFormat="1" ht="14.25" hidden="1" x14ac:dyDescent="0.2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s="31" customFormat="1" ht="14.25" hidden="1" x14ac:dyDescent="0.2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s="31" customFormat="1" ht="14.25" hidden="1" x14ac:dyDescent="0.2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s="31" customFormat="1" ht="14.25" hidden="1" x14ac:dyDescent="0.2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s="31" customFormat="1" ht="14.25" hidden="1" x14ac:dyDescent="0.2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s="31" customFormat="1" ht="14.25" hidden="1" x14ac:dyDescent="0.2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s="31" customFormat="1" ht="14.25" hidden="1" x14ac:dyDescent="0.2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s="31" customFormat="1" ht="14.25" hidden="1" x14ac:dyDescent="0.2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s="31" customFormat="1" ht="14.25" hidden="1" x14ac:dyDescent="0.2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s="31" customFormat="1" ht="14.25" hidden="1" x14ac:dyDescent="0.2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2:29" s="31" customFormat="1" ht="14.25" hidden="1" x14ac:dyDescent="0.2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2:29" s="31" customFormat="1" ht="14.25" hidden="1" x14ac:dyDescent="0.2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2:29" s="31" customFormat="1" ht="14.25" hidden="1" x14ac:dyDescent="0.2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2:29" s="31" customFormat="1" ht="14.25" hidden="1" x14ac:dyDescent="0.2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2:29" s="31" customFormat="1" ht="14.25" hidden="1" x14ac:dyDescent="0.2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2:29" s="31" customFormat="1" ht="14.25" hidden="1" x14ac:dyDescent="0.2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2:29" s="31" customFormat="1" ht="14.25" hidden="1" x14ac:dyDescent="0.2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2:29" s="31" customFormat="1" ht="14.25" hidden="1" x14ac:dyDescent="0.2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2:29" s="31" customFormat="1" ht="14.25" hidden="1" x14ac:dyDescent="0.2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2:29" s="31" customFormat="1" ht="14.25" hidden="1" x14ac:dyDescent="0.2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2:29" s="31" customFormat="1" ht="14.25" hidden="1" x14ac:dyDescent="0.2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2:29" s="31" customFormat="1" ht="14.25" hidden="1" x14ac:dyDescent="0.2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2:29" s="31" customFormat="1" ht="14.25" hidden="1" x14ac:dyDescent="0.2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2:29" s="31" customFormat="1" ht="14.25" hidden="1" x14ac:dyDescent="0.2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2:29" s="31" customFormat="1" ht="14.25" hidden="1" x14ac:dyDescent="0.2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2:29" s="31" customFormat="1" ht="14.25" hidden="1" x14ac:dyDescent="0.2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2:29" s="31" customFormat="1" ht="14.25" hidden="1" x14ac:dyDescent="0.2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2:29" s="31" customFormat="1" ht="14.25" hidden="1" x14ac:dyDescent="0.2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2:29" s="31" customFormat="1" ht="14.25" hidden="1" x14ac:dyDescent="0.2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2:29" s="31" customFormat="1" ht="14.25" hidden="1" x14ac:dyDescent="0.2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2:29" s="31" customFormat="1" ht="14.25" hidden="1" x14ac:dyDescent="0.2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2:29" s="31" customFormat="1" ht="14.25" hidden="1" x14ac:dyDescent="0.2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2:29" s="31" customFormat="1" ht="14.25" hidden="1" x14ac:dyDescent="0.2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2:29" s="31" customFormat="1" ht="14.25" hidden="1" x14ac:dyDescent="0.2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2:29" s="31" customFormat="1" ht="14.25" hidden="1" x14ac:dyDescent="0.2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2:29" s="31" customFormat="1" ht="14.25" hidden="1" x14ac:dyDescent="0.2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2:29" s="31" customFormat="1" ht="14.25" hidden="1" x14ac:dyDescent="0.2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2:29" s="31" customFormat="1" ht="14.25" hidden="1" x14ac:dyDescent="0.2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2:29" s="31" customFormat="1" ht="14.25" hidden="1" x14ac:dyDescent="0.2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2:29" s="31" customFormat="1" ht="14.25" hidden="1" x14ac:dyDescent="0.2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2:29" s="31" customFormat="1" ht="14.25" hidden="1" x14ac:dyDescent="0.2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2:29" s="31" customFormat="1" ht="14.25" hidden="1" x14ac:dyDescent="0.2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2:29" s="31" customFormat="1" ht="14.25" hidden="1" x14ac:dyDescent="0.2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2:29" s="31" customFormat="1" ht="14.25" hidden="1" x14ac:dyDescent="0.2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2:29" s="31" customFormat="1" ht="14.25" hidden="1" x14ac:dyDescent="0.2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2:29" s="31" customFormat="1" ht="14.25" hidden="1" x14ac:dyDescent="0.2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2:29" s="31" customFormat="1" ht="14.25" hidden="1" x14ac:dyDescent="0.2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2:29" s="31" customFormat="1" ht="14.25" hidden="1" x14ac:dyDescent="0.2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2:29" s="31" customFormat="1" ht="14.25" hidden="1" x14ac:dyDescent="0.2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2:29" s="31" customFormat="1" ht="14.25" hidden="1" x14ac:dyDescent="0.2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2:29" s="31" customFormat="1" ht="14.25" hidden="1" x14ac:dyDescent="0.2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2:29" s="31" customFormat="1" ht="14.25" hidden="1" x14ac:dyDescent="0.2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2:29" s="31" customFormat="1" ht="14.25" hidden="1" x14ac:dyDescent="0.2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2:29" s="31" customFormat="1" ht="14.25" hidden="1" x14ac:dyDescent="0.2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2:29" s="31" customFormat="1" ht="14.25" hidden="1" x14ac:dyDescent="0.2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2:29" s="31" customFormat="1" ht="14.25" hidden="1" x14ac:dyDescent="0.2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2:29" s="31" customFormat="1" ht="14.25" hidden="1" x14ac:dyDescent="0.2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2:29" s="31" customFormat="1" ht="14.25" hidden="1" x14ac:dyDescent="0.2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2:29" s="31" customFormat="1" ht="14.25" hidden="1" x14ac:dyDescent="0.2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2:29" s="31" customFormat="1" ht="14.25" hidden="1" x14ac:dyDescent="0.2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2:29" s="31" customFormat="1" ht="14.25" hidden="1" x14ac:dyDescent="0.2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2:29" s="31" customFormat="1" ht="14.25" hidden="1" x14ac:dyDescent="0.2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2:29" s="31" customFormat="1" ht="14.25" hidden="1" x14ac:dyDescent="0.2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2:29" s="31" customFormat="1" ht="14.25" hidden="1" x14ac:dyDescent="0.2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2:29" s="31" customFormat="1" ht="14.25" hidden="1" x14ac:dyDescent="0.2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2:29" s="31" customFormat="1" ht="14.25" hidden="1" x14ac:dyDescent="0.2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2:29" s="31" customFormat="1" ht="14.25" hidden="1" x14ac:dyDescent="0.2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2:29" s="31" customFormat="1" ht="14.25" hidden="1" x14ac:dyDescent="0.2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2:29" s="31" customFormat="1" ht="14.25" hidden="1" x14ac:dyDescent="0.2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2:29" s="31" customFormat="1" ht="14.25" hidden="1" x14ac:dyDescent="0.2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2:29" s="31" customFormat="1" ht="14.25" hidden="1" x14ac:dyDescent="0.2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2:29" s="31" customFormat="1" ht="14.25" hidden="1" x14ac:dyDescent="0.2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2:29" s="31" customFormat="1" ht="14.25" hidden="1" x14ac:dyDescent="0.2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2:29" s="31" customFormat="1" ht="14.25" hidden="1" x14ac:dyDescent="0.2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2:29" s="31" customFormat="1" ht="14.25" hidden="1" x14ac:dyDescent="0.2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2:29" s="31" customFormat="1" ht="14.25" hidden="1" x14ac:dyDescent="0.2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2:29" s="31" customFormat="1" ht="14.25" hidden="1" x14ac:dyDescent="0.2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2:29" s="31" customFormat="1" ht="14.25" hidden="1" x14ac:dyDescent="0.2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2:29" s="31" customFormat="1" ht="14.25" hidden="1" x14ac:dyDescent="0.2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2:29" s="31" customFormat="1" ht="14.25" hidden="1" x14ac:dyDescent="0.2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2:29" s="31" customFormat="1" ht="14.25" hidden="1" x14ac:dyDescent="0.2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2:29" s="31" customFormat="1" ht="14.25" hidden="1" x14ac:dyDescent="0.2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2:29" s="31" customFormat="1" ht="14.25" hidden="1" x14ac:dyDescent="0.2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2:29" s="31" customFormat="1" ht="14.25" hidden="1" x14ac:dyDescent="0.2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2:29" s="31" customFormat="1" ht="14.25" hidden="1" x14ac:dyDescent="0.2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2:29" s="31" customFormat="1" ht="14.25" hidden="1" x14ac:dyDescent="0.2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2:29" s="31" customFormat="1" ht="14.25" hidden="1" x14ac:dyDescent="0.2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2:29" s="31" customFormat="1" ht="14.25" hidden="1" x14ac:dyDescent="0.2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2:29" s="31" customFormat="1" ht="14.25" hidden="1" x14ac:dyDescent="0.2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2:29" s="31" customFormat="1" ht="14.25" hidden="1" x14ac:dyDescent="0.2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2:29" s="31" customFormat="1" ht="14.25" hidden="1" x14ac:dyDescent="0.2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2:29" s="31" customFormat="1" ht="14.25" hidden="1" x14ac:dyDescent="0.2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2:29" s="31" customFormat="1" ht="14.25" hidden="1" x14ac:dyDescent="0.2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2:29" s="31" customFormat="1" ht="14.25" hidden="1" x14ac:dyDescent="0.2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2:29" s="31" customFormat="1" ht="14.25" hidden="1" x14ac:dyDescent="0.2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2:29" s="31" customFormat="1" ht="14.25" hidden="1" x14ac:dyDescent="0.2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2:29" s="31" customFormat="1" ht="14.25" hidden="1" x14ac:dyDescent="0.2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2:29" s="31" customFormat="1" ht="14.25" hidden="1" x14ac:dyDescent="0.2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2:29" s="31" customFormat="1" ht="14.25" hidden="1" x14ac:dyDescent="0.2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2:29" s="31" customFormat="1" ht="14.25" hidden="1" x14ac:dyDescent="0.2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2:29" s="31" customFormat="1" ht="14.25" hidden="1" x14ac:dyDescent="0.2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2:29" s="31" customFormat="1" ht="14.25" hidden="1" x14ac:dyDescent="0.2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2:29" s="31" customFormat="1" ht="14.25" hidden="1" x14ac:dyDescent="0.2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2:29" s="31" customFormat="1" ht="14.25" hidden="1" x14ac:dyDescent="0.2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2:29" s="31" customFormat="1" ht="14.25" hidden="1" x14ac:dyDescent="0.2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2:29" s="31" customFormat="1" ht="14.25" hidden="1" x14ac:dyDescent="0.2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2:29" s="31" customFormat="1" ht="14.25" hidden="1" x14ac:dyDescent="0.2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2:29" s="31" customFormat="1" ht="14.25" hidden="1" x14ac:dyDescent="0.2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2:29" s="31" customFormat="1" ht="14.25" hidden="1" x14ac:dyDescent="0.2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2:29" s="31" customFormat="1" ht="14.25" hidden="1" x14ac:dyDescent="0.2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2:29" s="31" customFormat="1" ht="14.25" hidden="1" x14ac:dyDescent="0.2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2:29" s="31" customFormat="1" ht="14.25" hidden="1" x14ac:dyDescent="0.2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2:29" s="31" customFormat="1" ht="14.25" hidden="1" x14ac:dyDescent="0.2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2:29" s="31" customFormat="1" ht="14.25" hidden="1" x14ac:dyDescent="0.2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2:29" s="31" customFormat="1" ht="14.25" hidden="1" x14ac:dyDescent="0.2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2:29" s="31" customFormat="1" ht="14.25" hidden="1" x14ac:dyDescent="0.2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2:29" s="31" customFormat="1" ht="14.25" hidden="1" x14ac:dyDescent="0.2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2:29" s="31" customFormat="1" ht="14.25" hidden="1" x14ac:dyDescent="0.2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2:29" s="31" customFormat="1" ht="14.25" hidden="1" x14ac:dyDescent="0.2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2:29" s="31" customFormat="1" ht="14.25" hidden="1" x14ac:dyDescent="0.2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2:29" s="31" customFormat="1" ht="14.25" hidden="1" x14ac:dyDescent="0.2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2:29" s="31" customFormat="1" ht="14.25" hidden="1" x14ac:dyDescent="0.2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2:29" s="31" customFormat="1" ht="14.25" hidden="1" x14ac:dyDescent="0.2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2:29" s="31" customFormat="1" ht="14.25" hidden="1" x14ac:dyDescent="0.2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2:29" s="31" customFormat="1" ht="14.25" hidden="1" x14ac:dyDescent="0.2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2:29" s="31" customFormat="1" ht="14.25" hidden="1" x14ac:dyDescent="0.2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2:29" s="31" customFormat="1" ht="14.25" hidden="1" x14ac:dyDescent="0.2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2:29" s="31" customFormat="1" ht="14.25" hidden="1" x14ac:dyDescent="0.2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2:29" s="31" customFormat="1" ht="14.25" hidden="1" x14ac:dyDescent="0.2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2:29" s="31" customFormat="1" ht="14.25" hidden="1" x14ac:dyDescent="0.2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2:29" s="31" customFormat="1" ht="14.25" hidden="1" x14ac:dyDescent="0.2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2:29" s="31" customFormat="1" ht="14.25" hidden="1" x14ac:dyDescent="0.2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2:29" s="31" customFormat="1" ht="14.25" hidden="1" x14ac:dyDescent="0.2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2:29" s="31" customFormat="1" ht="14.25" hidden="1" x14ac:dyDescent="0.2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2:29" s="31" customFormat="1" ht="14.25" hidden="1" x14ac:dyDescent="0.2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2:29" s="31" customFormat="1" ht="14.25" hidden="1" x14ac:dyDescent="0.2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2:29" s="31" customFormat="1" ht="14.25" hidden="1" x14ac:dyDescent="0.2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2:29" s="31" customFormat="1" ht="14.25" hidden="1" x14ac:dyDescent="0.2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2:29" s="31" customFormat="1" ht="14.25" hidden="1" x14ac:dyDescent="0.2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2:29" s="31" customFormat="1" ht="14.25" hidden="1" x14ac:dyDescent="0.2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2:29" s="31" customFormat="1" ht="14.25" hidden="1" x14ac:dyDescent="0.2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2:29" s="31" customFormat="1" ht="14.25" hidden="1" x14ac:dyDescent="0.2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2:29" s="31" customFormat="1" ht="14.25" hidden="1" x14ac:dyDescent="0.2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2:29" s="31" customFormat="1" ht="14.25" hidden="1" x14ac:dyDescent="0.2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2:29" s="31" customFormat="1" ht="14.25" hidden="1" x14ac:dyDescent="0.2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2:29" s="31" customFormat="1" ht="14.25" hidden="1" x14ac:dyDescent="0.2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2:29" s="31" customFormat="1" ht="14.25" hidden="1" x14ac:dyDescent="0.2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2:29" s="31" customFormat="1" ht="14.25" hidden="1" x14ac:dyDescent="0.2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2:29" s="31" customFormat="1" ht="14.25" hidden="1" x14ac:dyDescent="0.2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2:29" s="31" customFormat="1" ht="14.25" hidden="1" x14ac:dyDescent="0.2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2:29" s="31" customFormat="1" ht="14.25" hidden="1" x14ac:dyDescent="0.2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2:29" s="31" customFormat="1" ht="14.25" hidden="1" x14ac:dyDescent="0.2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2:29" s="31" customFormat="1" ht="14.25" hidden="1" x14ac:dyDescent="0.2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2:29" s="31" customFormat="1" ht="14.25" hidden="1" x14ac:dyDescent="0.2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2:29" s="31" customFormat="1" ht="14.25" hidden="1" x14ac:dyDescent="0.2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2:29" s="31" customFormat="1" ht="14.25" hidden="1" x14ac:dyDescent="0.2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2:29" s="31" customFormat="1" ht="14.25" hidden="1" x14ac:dyDescent="0.2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2:29" s="31" customFormat="1" ht="14.25" hidden="1" x14ac:dyDescent="0.2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2:29" s="31" customFormat="1" ht="14.25" hidden="1" x14ac:dyDescent="0.2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2:29" s="31" customFormat="1" ht="14.25" hidden="1" x14ac:dyDescent="0.2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2:29" s="31" customFormat="1" ht="14.25" hidden="1" x14ac:dyDescent="0.2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2:29" s="31" customFormat="1" ht="14.25" hidden="1" x14ac:dyDescent="0.2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2:29" s="31" customFormat="1" ht="14.25" hidden="1" x14ac:dyDescent="0.2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2:29" s="31" customFormat="1" ht="14.25" hidden="1" x14ac:dyDescent="0.2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2:29" s="31" customFormat="1" ht="14.25" hidden="1" x14ac:dyDescent="0.2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2:29" s="31" customFormat="1" ht="14.25" hidden="1" x14ac:dyDescent="0.2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2:29" s="31" customFormat="1" ht="14.25" hidden="1" x14ac:dyDescent="0.2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2:29" s="31" customFormat="1" ht="14.25" hidden="1" x14ac:dyDescent="0.2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2:29" s="31" customFormat="1" ht="14.25" hidden="1" x14ac:dyDescent="0.2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2:29" s="31" customFormat="1" ht="14.25" hidden="1" x14ac:dyDescent="0.2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2:29" s="31" customFormat="1" ht="14.25" hidden="1" x14ac:dyDescent="0.2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2:29" s="31" customFormat="1" ht="14.25" hidden="1" x14ac:dyDescent="0.2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2:29" s="31" customFormat="1" ht="14.25" hidden="1" x14ac:dyDescent="0.2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2:29" s="31" customFormat="1" ht="14.25" hidden="1" x14ac:dyDescent="0.2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2:29" s="31" customFormat="1" ht="14.25" hidden="1" x14ac:dyDescent="0.2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2:29" s="31" customFormat="1" ht="14.25" hidden="1" x14ac:dyDescent="0.2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2:29" s="31" customFormat="1" ht="14.25" hidden="1" x14ac:dyDescent="0.2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2:29" s="31" customFormat="1" ht="14.25" hidden="1" x14ac:dyDescent="0.2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2:29" s="31" customFormat="1" ht="14.25" hidden="1" x14ac:dyDescent="0.2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2:29" s="31" customFormat="1" ht="14.25" hidden="1" x14ac:dyDescent="0.2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2:29" s="31" customFormat="1" ht="14.25" hidden="1" x14ac:dyDescent="0.2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2:29" s="31" customFormat="1" ht="14.25" hidden="1" x14ac:dyDescent="0.2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2:29" s="31" customFormat="1" ht="14.25" hidden="1" x14ac:dyDescent="0.2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2:29" s="31" customFormat="1" ht="14.25" hidden="1" x14ac:dyDescent="0.2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2:29" s="31" customFormat="1" ht="14.25" hidden="1" x14ac:dyDescent="0.2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2:29" s="31" customFormat="1" ht="14.25" hidden="1" x14ac:dyDescent="0.2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2:29" s="31" customFormat="1" ht="14.25" hidden="1" x14ac:dyDescent="0.2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2:29" s="31" customFormat="1" ht="14.25" hidden="1" x14ac:dyDescent="0.2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2:29" s="31" customFormat="1" ht="14.25" hidden="1" x14ac:dyDescent="0.2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2:29" s="31" customFormat="1" ht="14.25" hidden="1" x14ac:dyDescent="0.2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2:29" s="31" customFormat="1" ht="14.25" hidden="1" x14ac:dyDescent="0.2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2:29" s="31" customFormat="1" ht="14.25" hidden="1" x14ac:dyDescent="0.2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2:29" s="31" customFormat="1" ht="14.25" hidden="1" x14ac:dyDescent="0.2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2:29" s="31" customFormat="1" ht="14.25" hidden="1" x14ac:dyDescent="0.2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2:29" s="31" customFormat="1" ht="14.25" hidden="1" x14ac:dyDescent="0.2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2:29" s="31" customFormat="1" ht="14.25" hidden="1" x14ac:dyDescent="0.2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2:29" s="31" customFormat="1" ht="14.25" hidden="1" x14ac:dyDescent="0.2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2:29" s="31" customFormat="1" ht="14.25" hidden="1" x14ac:dyDescent="0.2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2:29" s="31" customFormat="1" ht="14.25" hidden="1" x14ac:dyDescent="0.2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2:29" s="31" customFormat="1" ht="14.25" hidden="1" x14ac:dyDescent="0.2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2:29" s="31" customFormat="1" ht="14.25" hidden="1" x14ac:dyDescent="0.2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2:29" s="31" customFormat="1" ht="14.25" hidden="1" x14ac:dyDescent="0.2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2:29" s="31" customFormat="1" ht="14.25" hidden="1" x14ac:dyDescent="0.2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2:29" s="31" customFormat="1" ht="14.25" hidden="1" x14ac:dyDescent="0.2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2:29" s="31" customFormat="1" ht="14.25" hidden="1" x14ac:dyDescent="0.2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2:29" s="31" customFormat="1" ht="14.25" hidden="1" x14ac:dyDescent="0.2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2:29" s="31" customFormat="1" ht="14.25" hidden="1" x14ac:dyDescent="0.2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2:29" s="31" customFormat="1" ht="14.25" hidden="1" x14ac:dyDescent="0.2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2:29" s="31" customFormat="1" ht="14.25" hidden="1" x14ac:dyDescent="0.2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2:29" s="31" customFormat="1" ht="14.25" hidden="1" x14ac:dyDescent="0.2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2:29" s="31" customFormat="1" ht="14.25" hidden="1" x14ac:dyDescent="0.2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2:29" s="31" customFormat="1" ht="14.25" hidden="1" x14ac:dyDescent="0.2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2:29" s="31" customFormat="1" ht="14.25" hidden="1" x14ac:dyDescent="0.2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2:29" s="31" customFormat="1" ht="14.25" hidden="1" x14ac:dyDescent="0.2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2:29" s="31" customFormat="1" ht="14.25" hidden="1" x14ac:dyDescent="0.2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2:29" s="31" customFormat="1" ht="14.25" hidden="1" x14ac:dyDescent="0.2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2:29" s="31" customFormat="1" ht="14.25" hidden="1" x14ac:dyDescent="0.2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2:29" s="31" customFormat="1" ht="14.25" hidden="1" x14ac:dyDescent="0.2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2:29" s="31" customFormat="1" ht="14.25" hidden="1" x14ac:dyDescent="0.2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2:29" s="31" customFormat="1" ht="14.25" hidden="1" x14ac:dyDescent="0.2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2:29" s="31" customFormat="1" ht="14.25" hidden="1" x14ac:dyDescent="0.2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2:29" s="31" customFormat="1" ht="14.25" hidden="1" x14ac:dyDescent="0.2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2:29" s="31" customFormat="1" ht="14.25" hidden="1" x14ac:dyDescent="0.2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2:29" s="31" customFormat="1" ht="14.25" hidden="1" x14ac:dyDescent="0.2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2:29" s="31" customFormat="1" ht="14.25" hidden="1" x14ac:dyDescent="0.2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2:29" s="31" customFormat="1" ht="14.25" hidden="1" x14ac:dyDescent="0.2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2:29" s="31" customFormat="1" ht="14.25" hidden="1" x14ac:dyDescent="0.2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2:29" s="31" customFormat="1" ht="14.25" hidden="1" x14ac:dyDescent="0.2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2:29" s="31" customFormat="1" ht="14.25" hidden="1" x14ac:dyDescent="0.2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2:29" s="31" customFormat="1" ht="14.25" hidden="1" x14ac:dyDescent="0.2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2:29" s="31" customFormat="1" ht="14.25" hidden="1" x14ac:dyDescent="0.2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2:29" s="31" customFormat="1" ht="14.25" hidden="1" x14ac:dyDescent="0.2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2:29" s="31" customFormat="1" ht="14.25" hidden="1" x14ac:dyDescent="0.2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2:29" s="31" customFormat="1" ht="14.25" hidden="1" x14ac:dyDescent="0.2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2:29" s="31" customFormat="1" ht="14.25" hidden="1" x14ac:dyDescent="0.2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2:29" s="31" customFormat="1" ht="14.25" hidden="1" x14ac:dyDescent="0.2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2:29" s="31" customFormat="1" ht="14.25" hidden="1" x14ac:dyDescent="0.2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2:29" s="31" customFormat="1" ht="14.25" hidden="1" x14ac:dyDescent="0.2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2:29" s="31" customFormat="1" ht="14.25" hidden="1" x14ac:dyDescent="0.2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2:29" s="31" customFormat="1" ht="14.25" hidden="1" x14ac:dyDescent="0.2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2:29" s="31" customFormat="1" ht="14.25" hidden="1" x14ac:dyDescent="0.2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2:29" s="31" customFormat="1" ht="14.25" hidden="1" x14ac:dyDescent="0.2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2:29" s="31" customFormat="1" ht="14.25" hidden="1" x14ac:dyDescent="0.2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2:29" s="31" customFormat="1" ht="14.25" hidden="1" x14ac:dyDescent="0.2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2:29" s="31" customFormat="1" ht="14.25" hidden="1" x14ac:dyDescent="0.2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2:29" s="31" customFormat="1" ht="14.25" hidden="1" x14ac:dyDescent="0.2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2:29" s="31" customFormat="1" ht="14.25" hidden="1" x14ac:dyDescent="0.2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2:29" s="31" customFormat="1" ht="14.25" hidden="1" x14ac:dyDescent="0.2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2:29" s="31" customFormat="1" ht="14.25" hidden="1" x14ac:dyDescent="0.2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2:29" s="31" customFormat="1" ht="14.25" hidden="1" x14ac:dyDescent="0.2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2:29" s="31" customFormat="1" ht="14.25" hidden="1" x14ac:dyDescent="0.2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2:29" s="31" customFormat="1" ht="14.25" hidden="1" x14ac:dyDescent="0.2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2:29" s="31" customFormat="1" ht="14.25" hidden="1" x14ac:dyDescent="0.2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2:29" s="31" customFormat="1" ht="14.25" hidden="1" x14ac:dyDescent="0.2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2:29" s="31" customFormat="1" ht="14.25" hidden="1" x14ac:dyDescent="0.2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2:29" s="31" customFormat="1" ht="14.25" hidden="1" x14ac:dyDescent="0.2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2:29" s="31" customFormat="1" ht="14.25" hidden="1" x14ac:dyDescent="0.2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2:29" s="31" customFormat="1" ht="14.25" hidden="1" x14ac:dyDescent="0.2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2:29" s="31" customFormat="1" ht="14.25" hidden="1" x14ac:dyDescent="0.2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2:29" s="31" customFormat="1" ht="14.25" hidden="1" x14ac:dyDescent="0.2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2:29" s="31" customFormat="1" ht="14.25" hidden="1" x14ac:dyDescent="0.2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2:29" s="31" customFormat="1" ht="14.25" hidden="1" x14ac:dyDescent="0.2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2:29" s="31" customFormat="1" ht="14.25" hidden="1" x14ac:dyDescent="0.2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2:29" s="31" customFormat="1" ht="14.25" hidden="1" x14ac:dyDescent="0.2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2:29" s="31" customFormat="1" ht="14.25" hidden="1" x14ac:dyDescent="0.2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2:29" s="31" customFormat="1" ht="14.25" hidden="1" x14ac:dyDescent="0.2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2:29" s="31" customFormat="1" ht="14.25" hidden="1" x14ac:dyDescent="0.2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2:29" s="31" customFormat="1" ht="14.25" hidden="1" x14ac:dyDescent="0.2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2:29" s="31" customFormat="1" ht="14.25" hidden="1" x14ac:dyDescent="0.2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2:29" s="31" customFormat="1" ht="14.25" hidden="1" x14ac:dyDescent="0.2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2:29" s="31" customFormat="1" ht="14.25" hidden="1" x14ac:dyDescent="0.2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2:29" s="31" customFormat="1" ht="14.25" hidden="1" x14ac:dyDescent="0.2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2:29" s="31" customFormat="1" ht="14.25" hidden="1" x14ac:dyDescent="0.2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2:29" s="31" customFormat="1" ht="14.25" hidden="1" x14ac:dyDescent="0.2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2:29" s="31" customFormat="1" ht="14.25" hidden="1" x14ac:dyDescent="0.2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2:29" s="31" customFormat="1" ht="14.25" hidden="1" x14ac:dyDescent="0.2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2:29" s="31" customFormat="1" ht="14.25" hidden="1" x14ac:dyDescent="0.2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2:29" s="31" customFormat="1" ht="14.25" hidden="1" x14ac:dyDescent="0.2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2:29" s="31" customFormat="1" ht="14.25" hidden="1" x14ac:dyDescent="0.2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2:29" s="31" customFormat="1" ht="14.25" hidden="1" x14ac:dyDescent="0.2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2:29" s="31" customFormat="1" ht="14.25" hidden="1" x14ac:dyDescent="0.2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2:29" s="31" customFormat="1" ht="14.25" hidden="1" x14ac:dyDescent="0.2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2:29" s="31" customFormat="1" ht="14.25" hidden="1" x14ac:dyDescent="0.2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2:29" s="31" customFormat="1" ht="14.25" hidden="1" x14ac:dyDescent="0.2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2:29" s="31" customFormat="1" ht="14.25" hidden="1" x14ac:dyDescent="0.2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2:29" s="31" customFormat="1" ht="14.25" hidden="1" x14ac:dyDescent="0.2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2:29" s="31" customFormat="1" ht="14.25" hidden="1" x14ac:dyDescent="0.2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2:29" s="31" customFormat="1" ht="14.25" hidden="1" x14ac:dyDescent="0.2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2:29" s="31" customFormat="1" ht="14.25" hidden="1" x14ac:dyDescent="0.2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2:29" s="31" customFormat="1" ht="14.25" hidden="1" x14ac:dyDescent="0.2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2:29" s="31" customFormat="1" ht="14.25" hidden="1" x14ac:dyDescent="0.2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2:29" s="31" customFormat="1" ht="14.25" hidden="1" x14ac:dyDescent="0.2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2:29" s="31" customFormat="1" ht="14.25" hidden="1" x14ac:dyDescent="0.2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2:29" s="31" customFormat="1" ht="14.25" hidden="1" x14ac:dyDescent="0.2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2:29" s="31" customFormat="1" ht="14.25" hidden="1" x14ac:dyDescent="0.2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2:29" s="31" customFormat="1" ht="14.25" hidden="1" x14ac:dyDescent="0.2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2:29" s="31" customFormat="1" ht="14.25" hidden="1" x14ac:dyDescent="0.2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2:29" s="31" customFormat="1" ht="14.25" hidden="1" x14ac:dyDescent="0.2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2:29" s="31" customFormat="1" ht="14.25" hidden="1" x14ac:dyDescent="0.2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2:29" s="31" customFormat="1" ht="14.25" hidden="1" x14ac:dyDescent="0.2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2:29" s="31" customFormat="1" ht="14.25" hidden="1" x14ac:dyDescent="0.2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2:29" s="31" customFormat="1" ht="14.25" hidden="1" x14ac:dyDescent="0.2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2:29" s="31" customFormat="1" ht="14.25" hidden="1" x14ac:dyDescent="0.2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2:29" s="31" customFormat="1" ht="14.25" hidden="1" x14ac:dyDescent="0.2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2:29" s="31" customFormat="1" ht="14.25" hidden="1" x14ac:dyDescent="0.2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2:29" s="31" customFormat="1" ht="14.25" hidden="1" x14ac:dyDescent="0.2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2:29" s="31" customFormat="1" ht="14.25" hidden="1" x14ac:dyDescent="0.2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2:29" s="31" customFormat="1" ht="14.25" hidden="1" x14ac:dyDescent="0.2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2:29" s="31" customFormat="1" ht="14.25" hidden="1" x14ac:dyDescent="0.2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2:29" s="31" customFormat="1" ht="14.25" hidden="1" x14ac:dyDescent="0.2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2:29" s="31" customFormat="1" ht="14.25" hidden="1" x14ac:dyDescent="0.2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2:29" s="31" customFormat="1" ht="14.25" hidden="1" x14ac:dyDescent="0.2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2:29" s="31" customFormat="1" ht="14.25" hidden="1" x14ac:dyDescent="0.2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2:29" s="31" customFormat="1" ht="14.25" hidden="1" x14ac:dyDescent="0.2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2:29" s="31" customFormat="1" ht="14.25" hidden="1" x14ac:dyDescent="0.2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2:29" s="31" customFormat="1" ht="14.25" hidden="1" x14ac:dyDescent="0.2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2:29" s="31" customFormat="1" ht="14.25" hidden="1" x14ac:dyDescent="0.2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2:29" s="31" customFormat="1" ht="14.25" hidden="1" x14ac:dyDescent="0.2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2:29" s="31" customFormat="1" ht="14.25" hidden="1" x14ac:dyDescent="0.2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2:29" s="31" customFormat="1" ht="14.25" hidden="1" x14ac:dyDescent="0.2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2:29" s="31" customFormat="1" ht="14.25" hidden="1" x14ac:dyDescent="0.2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2:29" s="31" customFormat="1" ht="14.25" hidden="1" x14ac:dyDescent="0.2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2:29" s="31" customFormat="1" ht="14.25" hidden="1" x14ac:dyDescent="0.2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2:29" s="31" customFormat="1" ht="14.25" hidden="1" x14ac:dyDescent="0.2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2:29" s="31" customFormat="1" ht="14.25" hidden="1" x14ac:dyDescent="0.2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2:29" s="31" customFormat="1" ht="14.25" hidden="1" x14ac:dyDescent="0.2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2:29" s="31" customFormat="1" ht="14.25" hidden="1" x14ac:dyDescent="0.2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2:29" s="31" customFormat="1" ht="14.25" hidden="1" x14ac:dyDescent="0.2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2:29" s="31" customFormat="1" ht="14.25" hidden="1" x14ac:dyDescent="0.2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2:29" s="31" customFormat="1" ht="14.25" hidden="1" x14ac:dyDescent="0.2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2:29" s="31" customFormat="1" ht="14.25" hidden="1" x14ac:dyDescent="0.2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2:29" s="31" customFormat="1" ht="14.25" hidden="1" x14ac:dyDescent="0.2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2:29" s="31" customFormat="1" ht="14.25" hidden="1" x14ac:dyDescent="0.2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2:29" s="31" customFormat="1" ht="14.25" hidden="1" x14ac:dyDescent="0.2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2:29" s="31" customFormat="1" ht="14.25" hidden="1" x14ac:dyDescent="0.2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2:29" s="31" customFormat="1" ht="14.25" hidden="1" x14ac:dyDescent="0.2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2:29" s="31" customFormat="1" ht="14.25" hidden="1" x14ac:dyDescent="0.2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2:29" s="31" customFormat="1" ht="14.25" hidden="1" x14ac:dyDescent="0.2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2:29" s="31" customFormat="1" ht="14.25" hidden="1" x14ac:dyDescent="0.2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2:29" s="31" customFormat="1" ht="14.25" hidden="1" x14ac:dyDescent="0.2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2:29" s="31" customFormat="1" ht="14.25" hidden="1" x14ac:dyDescent="0.2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2:29" s="31" customFormat="1" ht="14.25" hidden="1" x14ac:dyDescent="0.2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2:29" s="31" customFormat="1" ht="14.25" hidden="1" x14ac:dyDescent="0.2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2:29" s="31" customFormat="1" ht="14.25" hidden="1" x14ac:dyDescent="0.2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2:29" s="31" customFormat="1" ht="14.25" hidden="1" x14ac:dyDescent="0.2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2:29" s="31" customFormat="1" ht="14.25" hidden="1" x14ac:dyDescent="0.2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2:29" s="31" customFormat="1" ht="14.25" hidden="1" x14ac:dyDescent="0.2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2:29" s="31" customFormat="1" ht="14.25" hidden="1" x14ac:dyDescent="0.2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2:29" s="31" customFormat="1" ht="14.25" hidden="1" x14ac:dyDescent="0.2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2:29" s="31" customFormat="1" ht="14.25" hidden="1" x14ac:dyDescent="0.2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2:29" s="31" customFormat="1" ht="14.25" hidden="1" x14ac:dyDescent="0.2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2:29" s="31" customFormat="1" ht="14.25" hidden="1" x14ac:dyDescent="0.2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2:29" s="31" customFormat="1" ht="14.25" hidden="1" x14ac:dyDescent="0.2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2:29" s="31" customFormat="1" ht="14.25" hidden="1" x14ac:dyDescent="0.2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2:29" s="31" customFormat="1" ht="14.25" hidden="1" x14ac:dyDescent="0.2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2:29" s="31" customFormat="1" ht="14.25" hidden="1" x14ac:dyDescent="0.2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2:29" s="31" customFormat="1" ht="14.25" hidden="1" x14ac:dyDescent="0.2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2:29" s="31" customFormat="1" ht="14.25" hidden="1" x14ac:dyDescent="0.2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2:29" s="31" customFormat="1" ht="14.25" hidden="1" x14ac:dyDescent="0.2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2:29" s="31" customFormat="1" ht="14.25" hidden="1" x14ac:dyDescent="0.2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2:29" s="31" customFormat="1" ht="14.25" hidden="1" x14ac:dyDescent="0.2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2:29" s="31" customFormat="1" ht="14.25" hidden="1" x14ac:dyDescent="0.2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2:29" s="31" customFormat="1" ht="14.25" hidden="1" x14ac:dyDescent="0.2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2:29" s="31" customFormat="1" ht="14.25" hidden="1" x14ac:dyDescent="0.2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2:29" s="31" customFormat="1" ht="14.25" hidden="1" x14ac:dyDescent="0.2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2:29" s="31" customFormat="1" ht="14.25" hidden="1" x14ac:dyDescent="0.2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2:29" s="31" customFormat="1" ht="14.25" hidden="1" x14ac:dyDescent="0.2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2:29" s="31" customFormat="1" ht="14.25" hidden="1" x14ac:dyDescent="0.2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2:29" s="31" customFormat="1" ht="14.25" hidden="1" x14ac:dyDescent="0.2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2:29" s="31" customFormat="1" ht="14.25" hidden="1" x14ac:dyDescent="0.2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2:29" s="31" customFormat="1" ht="14.25" hidden="1" x14ac:dyDescent="0.2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2:29" s="31" customFormat="1" ht="14.25" hidden="1" x14ac:dyDescent="0.2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2:29" s="31" customFormat="1" ht="14.25" hidden="1" x14ac:dyDescent="0.2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2:29" s="31" customFormat="1" ht="14.25" hidden="1" x14ac:dyDescent="0.2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2:29" s="31" customFormat="1" ht="14.25" hidden="1" x14ac:dyDescent="0.2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2:29" s="31" customFormat="1" ht="14.25" hidden="1" x14ac:dyDescent="0.2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2:29" s="31" customFormat="1" ht="14.25" hidden="1" x14ac:dyDescent="0.2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2:29" s="31" customFormat="1" ht="14.25" hidden="1" x14ac:dyDescent="0.2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2:29" s="31" customFormat="1" ht="14.25" hidden="1" x14ac:dyDescent="0.2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2:29" s="31" customFormat="1" ht="14.25" hidden="1" x14ac:dyDescent="0.2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2:29" s="31" customFormat="1" ht="14.25" hidden="1" x14ac:dyDescent="0.2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2:29" s="31" customFormat="1" ht="14.25" hidden="1" x14ac:dyDescent="0.2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2:29" s="31" customFormat="1" ht="14.25" hidden="1" x14ac:dyDescent="0.2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2:29" s="31" customFormat="1" ht="14.25" hidden="1" x14ac:dyDescent="0.2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2:29" s="31" customFormat="1" ht="14.25" hidden="1" x14ac:dyDescent="0.2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2:29" s="31" customFormat="1" ht="14.25" hidden="1" x14ac:dyDescent="0.2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2:29" s="31" customFormat="1" ht="14.25" hidden="1" x14ac:dyDescent="0.2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2:29" s="31" customFormat="1" ht="14.25" hidden="1" x14ac:dyDescent="0.2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2:29" s="31" customFormat="1" ht="14.25" hidden="1" x14ac:dyDescent="0.2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2:29" s="31" customFormat="1" ht="14.25" hidden="1" x14ac:dyDescent="0.2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2:29" s="31" customFormat="1" ht="14.25" hidden="1" x14ac:dyDescent="0.2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2:29" s="31" customFormat="1" ht="14.25" hidden="1" x14ac:dyDescent="0.2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2:29" s="31" customFormat="1" ht="14.25" hidden="1" x14ac:dyDescent="0.2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2:29" s="31" customFormat="1" ht="14.25" hidden="1" x14ac:dyDescent="0.2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2:29" s="31" customFormat="1" ht="14.25" hidden="1" x14ac:dyDescent="0.2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2:29" s="31" customFormat="1" ht="14.25" hidden="1" x14ac:dyDescent="0.2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2:29" s="31" customFormat="1" ht="14.25" hidden="1" x14ac:dyDescent="0.2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2:29" s="31" customFormat="1" ht="14.25" hidden="1" x14ac:dyDescent="0.2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2:29" s="31" customFormat="1" ht="14.25" hidden="1" x14ac:dyDescent="0.2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2:29" s="31" customFormat="1" ht="14.25" hidden="1" x14ac:dyDescent="0.2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2:29" s="31" customFormat="1" ht="14.25" hidden="1" x14ac:dyDescent="0.2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2:29" s="31" customFormat="1" ht="14.25" hidden="1" x14ac:dyDescent="0.2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2:29" s="31" customFormat="1" ht="14.25" hidden="1" x14ac:dyDescent="0.2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2:29" s="31" customFormat="1" ht="14.25" hidden="1" x14ac:dyDescent="0.2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2:29" s="31" customFormat="1" ht="14.25" hidden="1" x14ac:dyDescent="0.2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2:29" s="31" customFormat="1" ht="14.25" hidden="1" x14ac:dyDescent="0.2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2:29" s="31" customFormat="1" ht="14.25" hidden="1" x14ac:dyDescent="0.2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2:29" s="31" customFormat="1" ht="14.25" hidden="1" x14ac:dyDescent="0.2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2:29" s="31" customFormat="1" ht="14.25" hidden="1" x14ac:dyDescent="0.2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2:29" s="31" customFormat="1" ht="14.25" hidden="1" x14ac:dyDescent="0.2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2:29" s="31" customFormat="1" ht="14.25" hidden="1" x14ac:dyDescent="0.2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2:29" s="31" customFormat="1" ht="14.25" hidden="1" x14ac:dyDescent="0.2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2:29" s="31" customFormat="1" ht="14.25" hidden="1" x14ac:dyDescent="0.2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2:29" s="31" customFormat="1" ht="14.25" hidden="1" x14ac:dyDescent="0.2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2:29" s="31" customFormat="1" ht="14.25" hidden="1" x14ac:dyDescent="0.2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2:29" s="31" customFormat="1" ht="14.25" hidden="1" x14ac:dyDescent="0.2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2:29" s="31" customFormat="1" ht="14.25" hidden="1" x14ac:dyDescent="0.2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2:29" s="31" customFormat="1" ht="14.25" hidden="1" x14ac:dyDescent="0.2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2:29" s="31" customFormat="1" ht="14.25" hidden="1" x14ac:dyDescent="0.2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2:29" s="31" customFormat="1" ht="14.25" hidden="1" x14ac:dyDescent="0.2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2:29" s="31" customFormat="1" ht="14.25" hidden="1" x14ac:dyDescent="0.2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2:29" s="31" customFormat="1" ht="14.25" hidden="1" x14ac:dyDescent="0.2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2:29" s="31" customFormat="1" ht="14.25" hidden="1" x14ac:dyDescent="0.2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2:29" s="31" customFormat="1" ht="14.25" hidden="1" x14ac:dyDescent="0.2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2:29" s="31" customFormat="1" ht="14.25" hidden="1" x14ac:dyDescent="0.2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2:29" s="31" customFormat="1" ht="14.25" hidden="1" x14ac:dyDescent="0.2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2:29" s="31" customFormat="1" ht="14.25" hidden="1" x14ac:dyDescent="0.2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2:29" s="31" customFormat="1" ht="14.25" hidden="1" x14ac:dyDescent="0.2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2:29" s="31" customFormat="1" ht="14.25" hidden="1" x14ac:dyDescent="0.2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2:29" s="31" customFormat="1" ht="14.25" hidden="1" x14ac:dyDescent="0.2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2:29" s="31" customFormat="1" ht="14.25" hidden="1" x14ac:dyDescent="0.2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2:29" s="31" customFormat="1" ht="14.25" hidden="1" x14ac:dyDescent="0.2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2:29" s="31" customFormat="1" ht="14.25" hidden="1" x14ac:dyDescent="0.2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2:29" s="31" customFormat="1" ht="14.25" hidden="1" x14ac:dyDescent="0.2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2:29" s="31" customFormat="1" ht="14.25" hidden="1" x14ac:dyDescent="0.2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2:29" s="31" customFormat="1" ht="14.25" hidden="1" x14ac:dyDescent="0.2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2:29" s="31" customFormat="1" ht="14.25" hidden="1" x14ac:dyDescent="0.2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2:29" s="31" customFormat="1" ht="14.25" hidden="1" x14ac:dyDescent="0.2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2:29" s="31" customFormat="1" ht="14.25" hidden="1" x14ac:dyDescent="0.2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2:29" s="31" customFormat="1" ht="14.25" hidden="1" x14ac:dyDescent="0.2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2:29" s="31" customFormat="1" ht="14.25" hidden="1" x14ac:dyDescent="0.2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2:29" s="31" customFormat="1" ht="14.25" hidden="1" x14ac:dyDescent="0.2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2:29" s="31" customFormat="1" ht="14.25" hidden="1" x14ac:dyDescent="0.2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2:29" s="31" customFormat="1" ht="14.25" hidden="1" x14ac:dyDescent="0.2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2:29" s="31" customFormat="1" ht="14.25" hidden="1" x14ac:dyDescent="0.2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2:29" s="31" customFormat="1" ht="14.25" hidden="1" x14ac:dyDescent="0.2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2:29" s="31" customFormat="1" ht="14.25" hidden="1" x14ac:dyDescent="0.2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2:29" s="31" customFormat="1" ht="14.25" hidden="1" x14ac:dyDescent="0.2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2:29" s="31" customFormat="1" ht="14.25" hidden="1" x14ac:dyDescent="0.2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2:29" s="31" customFormat="1" ht="14.25" hidden="1" x14ac:dyDescent="0.2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2:29" s="31" customFormat="1" ht="14.25" hidden="1" x14ac:dyDescent="0.2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2:29" s="31" customFormat="1" ht="14.25" hidden="1" x14ac:dyDescent="0.2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2:29" s="31" customFormat="1" ht="14.25" hidden="1" x14ac:dyDescent="0.2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2:29" s="31" customFormat="1" ht="14.25" hidden="1" x14ac:dyDescent="0.2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2:29" s="31" customFormat="1" ht="14.25" hidden="1" x14ac:dyDescent="0.2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2:29" s="31" customFormat="1" ht="14.25" hidden="1" x14ac:dyDescent="0.2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2:29" s="31" customFormat="1" ht="14.25" hidden="1" x14ac:dyDescent="0.2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2:29" s="31" customFormat="1" ht="14.25" hidden="1" x14ac:dyDescent="0.2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2:29" s="31" customFormat="1" ht="14.25" hidden="1" x14ac:dyDescent="0.2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2:29" s="31" customFormat="1" ht="14.25" hidden="1" x14ac:dyDescent="0.2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2:29" s="31" customFormat="1" ht="14.25" hidden="1" x14ac:dyDescent="0.2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2:29" s="31" customFormat="1" ht="14.25" hidden="1" x14ac:dyDescent="0.2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2:29" s="31" customFormat="1" ht="14.25" hidden="1" x14ac:dyDescent="0.2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2:29" s="31" customFormat="1" ht="14.25" hidden="1" x14ac:dyDescent="0.2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2:29" s="31" customFormat="1" ht="14.25" hidden="1" x14ac:dyDescent="0.2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2:29" s="31" customFormat="1" ht="14.25" hidden="1" x14ac:dyDescent="0.2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2:29" s="31" customFormat="1" ht="14.25" hidden="1" x14ac:dyDescent="0.2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2:29" s="31" customFormat="1" ht="14.25" hidden="1" x14ac:dyDescent="0.2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2:29" s="31" customFormat="1" ht="14.25" hidden="1" x14ac:dyDescent="0.2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2:29" s="31" customFormat="1" ht="14.25" hidden="1" x14ac:dyDescent="0.2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2:29" s="31" customFormat="1" ht="14.25" hidden="1" x14ac:dyDescent="0.2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2:29" s="31" customFormat="1" ht="14.25" hidden="1" x14ac:dyDescent="0.2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2:29" s="31" customFormat="1" ht="14.25" hidden="1" x14ac:dyDescent="0.2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2:29" s="31" customFormat="1" ht="14.25" hidden="1" x14ac:dyDescent="0.2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2:29" s="31" customFormat="1" ht="14.25" hidden="1" x14ac:dyDescent="0.2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2:29" s="31" customFormat="1" ht="14.25" hidden="1" x14ac:dyDescent="0.2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2:29" s="31" customFormat="1" ht="14.25" hidden="1" x14ac:dyDescent="0.2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2:29" s="31" customFormat="1" ht="14.25" hidden="1" x14ac:dyDescent="0.2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2:29" s="31" customFormat="1" ht="14.25" hidden="1" x14ac:dyDescent="0.2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2:29" s="31" customFormat="1" ht="14.25" hidden="1" x14ac:dyDescent="0.2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2:29" s="31" customFormat="1" ht="14.25" hidden="1" x14ac:dyDescent="0.2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2:29" s="31" customFormat="1" ht="14.25" hidden="1" x14ac:dyDescent="0.2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2:29" s="31" customFormat="1" ht="14.25" hidden="1" x14ac:dyDescent="0.2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2:29" s="31" customFormat="1" ht="14.25" hidden="1" x14ac:dyDescent="0.2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2:29" s="31" customFormat="1" ht="14.25" hidden="1" x14ac:dyDescent="0.2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2:29" s="31" customFormat="1" ht="14.25" hidden="1" x14ac:dyDescent="0.2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2:29" s="31" customFormat="1" ht="14.25" hidden="1" x14ac:dyDescent="0.2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2:29" s="31" customFormat="1" ht="14.25" hidden="1" x14ac:dyDescent="0.2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2:29" s="31" customFormat="1" ht="14.25" hidden="1" x14ac:dyDescent="0.2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2:29" s="31" customFormat="1" ht="14.25" hidden="1" x14ac:dyDescent="0.2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2:29" s="31" customFormat="1" ht="14.25" hidden="1" x14ac:dyDescent="0.2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2:29" s="31" customFormat="1" ht="14.25" hidden="1" x14ac:dyDescent="0.2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2:29" s="31" customFormat="1" ht="14.25" hidden="1" x14ac:dyDescent="0.2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2:29" s="31" customFormat="1" ht="14.25" hidden="1" x14ac:dyDescent="0.2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2:29" s="31" customFormat="1" ht="14.25" hidden="1" x14ac:dyDescent="0.2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2:29" s="31" customFormat="1" ht="14.25" hidden="1" x14ac:dyDescent="0.2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2:29" s="31" customFormat="1" ht="14.25" hidden="1" x14ac:dyDescent="0.2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2:29" s="31" customFormat="1" ht="14.25" hidden="1" x14ac:dyDescent="0.2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2:29" s="31" customFormat="1" ht="14.25" hidden="1" x14ac:dyDescent="0.2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2:29" s="31" customFormat="1" ht="14.25" hidden="1" x14ac:dyDescent="0.2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2:29" s="31" customFormat="1" ht="14.25" hidden="1" x14ac:dyDescent="0.2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2:29" s="31" customFormat="1" ht="14.25" hidden="1" x14ac:dyDescent="0.2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2:29" s="31" customFormat="1" ht="14.25" hidden="1" x14ac:dyDescent="0.2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2:29" s="31" customFormat="1" ht="14.25" hidden="1" x14ac:dyDescent="0.2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2:29" s="31" customFormat="1" ht="14.25" hidden="1" x14ac:dyDescent="0.2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2:29" s="31" customFormat="1" ht="14.25" hidden="1" x14ac:dyDescent="0.2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2:29" s="31" customFormat="1" ht="14.25" hidden="1" x14ac:dyDescent="0.2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2:29" s="31" customFormat="1" ht="14.25" hidden="1" x14ac:dyDescent="0.2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2:29" s="31" customFormat="1" ht="14.25" hidden="1" x14ac:dyDescent="0.2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2:29" s="31" customFormat="1" ht="14.25" hidden="1" x14ac:dyDescent="0.2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2:29" s="31" customFormat="1" ht="14.25" hidden="1" x14ac:dyDescent="0.2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2:29" s="31" customFormat="1" ht="14.25" hidden="1" x14ac:dyDescent="0.2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2:29" s="31" customFormat="1" ht="14.25" hidden="1" x14ac:dyDescent="0.2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2:29" s="31" customFormat="1" ht="14.25" hidden="1" x14ac:dyDescent="0.2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2:29" s="31" customFormat="1" ht="14.25" hidden="1" x14ac:dyDescent="0.2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2:29" s="31" customFormat="1" ht="14.25" hidden="1" x14ac:dyDescent="0.2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2:29" s="31" customFormat="1" ht="14.25" hidden="1" x14ac:dyDescent="0.2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2:29" s="31" customFormat="1" ht="14.25" hidden="1" x14ac:dyDescent="0.2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2:29" s="31" customFormat="1" ht="14.25" hidden="1" x14ac:dyDescent="0.2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2:29" s="31" customFormat="1" ht="14.25" hidden="1" x14ac:dyDescent="0.2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2:29" s="31" customFormat="1" ht="14.25" hidden="1" x14ac:dyDescent="0.2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2:29" s="31" customFormat="1" ht="14.25" hidden="1" x14ac:dyDescent="0.2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2:29" s="31" customFormat="1" ht="14.25" hidden="1" x14ac:dyDescent="0.2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2:29" s="31" customFormat="1" ht="14.25" hidden="1" x14ac:dyDescent="0.2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2:29" s="31" customFormat="1" ht="14.25" hidden="1" x14ac:dyDescent="0.2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2:29" s="31" customFormat="1" ht="14.25" hidden="1" x14ac:dyDescent="0.2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2:29" s="31" customFormat="1" ht="14.25" hidden="1" x14ac:dyDescent="0.2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2:29" s="31" customFormat="1" ht="14.25" hidden="1" x14ac:dyDescent="0.2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2:29" s="31" customFormat="1" ht="14.25" hidden="1" x14ac:dyDescent="0.2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2:29" s="31" customFormat="1" ht="14.25" hidden="1" x14ac:dyDescent="0.2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2:29" s="31" customFormat="1" ht="14.25" hidden="1" x14ac:dyDescent="0.2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2:29" s="31" customFormat="1" ht="14.25" hidden="1" x14ac:dyDescent="0.2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2:29" s="31" customFormat="1" ht="14.25" hidden="1" x14ac:dyDescent="0.2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2:29" s="31" customFormat="1" ht="14.25" hidden="1" x14ac:dyDescent="0.2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2:29" s="31" customFormat="1" ht="14.25" hidden="1" x14ac:dyDescent="0.2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2:29" s="31" customFormat="1" ht="14.25" hidden="1" x14ac:dyDescent="0.2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2:29" s="31" customFormat="1" ht="14.25" hidden="1" x14ac:dyDescent="0.2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2:29" s="31" customFormat="1" ht="14.25" hidden="1" x14ac:dyDescent="0.2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2:29" s="31" customFormat="1" ht="14.25" hidden="1" x14ac:dyDescent="0.2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2:29" s="31" customFormat="1" ht="14.25" hidden="1" x14ac:dyDescent="0.2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2:29" s="31" customFormat="1" ht="14.25" hidden="1" x14ac:dyDescent="0.2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2:29" s="31" customFormat="1" ht="14.25" hidden="1" x14ac:dyDescent="0.2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2:29" s="31" customFormat="1" ht="14.25" hidden="1" x14ac:dyDescent="0.2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2:29" s="31" customFormat="1" ht="14.25" hidden="1" x14ac:dyDescent="0.2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2:29" s="31" customFormat="1" ht="14.25" hidden="1" x14ac:dyDescent="0.2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2:29" s="31" customFormat="1" ht="14.25" hidden="1" x14ac:dyDescent="0.2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2:29" s="31" customFormat="1" ht="14.25" hidden="1" x14ac:dyDescent="0.2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2:29" s="31" customFormat="1" ht="14.25" hidden="1" x14ac:dyDescent="0.2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2:29" s="31" customFormat="1" ht="14.25" hidden="1" x14ac:dyDescent="0.2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2:29" s="31" customFormat="1" ht="14.25" hidden="1" x14ac:dyDescent="0.2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2:29" s="31" customFormat="1" ht="14.25" hidden="1" x14ac:dyDescent="0.2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2:29" s="31" customFormat="1" ht="14.25" hidden="1" x14ac:dyDescent="0.2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2:29" s="31" customFormat="1" ht="14.25" hidden="1" x14ac:dyDescent="0.2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2:29" s="31" customFormat="1" ht="14.25" hidden="1" x14ac:dyDescent="0.2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2:29" s="31" customFormat="1" ht="14.25" hidden="1" x14ac:dyDescent="0.2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2:29" s="31" customFormat="1" ht="14.25" hidden="1" x14ac:dyDescent="0.2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2:29" s="31" customFormat="1" ht="14.25" hidden="1" x14ac:dyDescent="0.2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2:29" s="31" customFormat="1" ht="14.25" hidden="1" x14ac:dyDescent="0.2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2:29" s="31" customFormat="1" ht="14.25" hidden="1" x14ac:dyDescent="0.2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2:29" s="31" customFormat="1" ht="14.25" hidden="1" x14ac:dyDescent="0.2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2:29" s="31" customFormat="1" ht="14.25" hidden="1" x14ac:dyDescent="0.2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2:29" s="31" customFormat="1" ht="14.25" hidden="1" x14ac:dyDescent="0.2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2:29" s="31" customFormat="1" ht="14.25" hidden="1" x14ac:dyDescent="0.2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2:29" s="31" customFormat="1" ht="14.25" hidden="1" x14ac:dyDescent="0.2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2:29" s="31" customFormat="1" ht="14.25" hidden="1" x14ac:dyDescent="0.2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2:29" s="31" customFormat="1" ht="14.25" hidden="1" x14ac:dyDescent="0.2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2:29" s="31" customFormat="1" ht="14.25" hidden="1" x14ac:dyDescent="0.2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2:29" s="31" customFormat="1" ht="14.25" hidden="1" x14ac:dyDescent="0.2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2:29" s="31" customFormat="1" ht="14.25" hidden="1" x14ac:dyDescent="0.2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2:29" s="31" customFormat="1" ht="14.25" hidden="1" x14ac:dyDescent="0.2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2:29" s="31" customFormat="1" ht="14.25" hidden="1" x14ac:dyDescent="0.2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2:29" s="31" customFormat="1" ht="14.25" hidden="1" x14ac:dyDescent="0.2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2:29" s="31" customFormat="1" ht="14.25" hidden="1" x14ac:dyDescent="0.2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2:29" s="31" customFormat="1" ht="14.25" hidden="1" x14ac:dyDescent="0.2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2:29" s="31" customFormat="1" ht="14.25" hidden="1" x14ac:dyDescent="0.2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2:29" s="31" customFormat="1" ht="14.25" hidden="1" x14ac:dyDescent="0.2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2:29" s="31" customFormat="1" ht="14.25" hidden="1" x14ac:dyDescent="0.2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2:29" s="31" customFormat="1" ht="14.25" hidden="1" x14ac:dyDescent="0.2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2:29" s="31" customFormat="1" ht="14.25" hidden="1" x14ac:dyDescent="0.2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2:29" s="31" customFormat="1" ht="14.25" hidden="1" x14ac:dyDescent="0.2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2:29" s="31" customFormat="1" ht="14.25" hidden="1" x14ac:dyDescent="0.2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2:29" s="31" customFormat="1" ht="14.25" hidden="1" x14ac:dyDescent="0.2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2:29" s="31" customFormat="1" ht="14.25" hidden="1" x14ac:dyDescent="0.2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2:29" s="31" customFormat="1" ht="14.25" hidden="1" x14ac:dyDescent="0.2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2:29" s="31" customFormat="1" ht="14.25" hidden="1" x14ac:dyDescent="0.2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2:29" s="31" customFormat="1" ht="14.25" hidden="1" x14ac:dyDescent="0.2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2:29" s="31" customFormat="1" ht="14.25" hidden="1" x14ac:dyDescent="0.2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2:29" s="31" customFormat="1" ht="14.25" hidden="1" x14ac:dyDescent="0.2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2:29" s="31" customFormat="1" ht="14.25" hidden="1" x14ac:dyDescent="0.2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2:29" s="31" customFormat="1" ht="14.25" hidden="1" x14ac:dyDescent="0.2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2:29" s="31" customFormat="1" ht="14.25" hidden="1" x14ac:dyDescent="0.2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2:29" s="31" customFormat="1" ht="14.25" hidden="1" x14ac:dyDescent="0.2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2:29" s="31" customFormat="1" ht="14.25" hidden="1" x14ac:dyDescent="0.2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2:29" s="31" customFormat="1" ht="14.25" hidden="1" x14ac:dyDescent="0.2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2:29" s="31" customFormat="1" ht="14.25" hidden="1" x14ac:dyDescent="0.2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2:29" s="31" customFormat="1" ht="14.25" hidden="1" x14ac:dyDescent="0.2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2:29" s="31" customFormat="1" ht="14.25" hidden="1" x14ac:dyDescent="0.2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2:29" s="31" customFormat="1" ht="14.25" hidden="1" x14ac:dyDescent="0.2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2:29" s="31" customFormat="1" ht="14.25" hidden="1" x14ac:dyDescent="0.2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2:29" s="31" customFormat="1" ht="14.25" hidden="1" x14ac:dyDescent="0.2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2:29" s="31" customFormat="1" ht="14.25" hidden="1" x14ac:dyDescent="0.2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2:29" s="31" customFormat="1" ht="14.25" hidden="1" x14ac:dyDescent="0.2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2:29" s="31" customFormat="1" ht="14.25" hidden="1" x14ac:dyDescent="0.2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2:29" s="31" customFormat="1" ht="14.25" hidden="1" x14ac:dyDescent="0.2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2:29" s="31" customFormat="1" ht="14.25" hidden="1" x14ac:dyDescent="0.2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2:29" s="31" customFormat="1" ht="14.25" hidden="1" x14ac:dyDescent="0.2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2:29" s="31" customFormat="1" ht="14.25" hidden="1" x14ac:dyDescent="0.2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2:29" s="31" customFormat="1" ht="14.25" hidden="1" x14ac:dyDescent="0.2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2:29" s="31" customFormat="1" ht="14.25" hidden="1" x14ac:dyDescent="0.2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2:29" s="31" customFormat="1" ht="14.25" hidden="1" x14ac:dyDescent="0.2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2:29" s="31" customFormat="1" ht="14.25" hidden="1" x14ac:dyDescent="0.2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2:29" s="31" customFormat="1" ht="14.25" hidden="1" x14ac:dyDescent="0.2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2:29" s="31" customFormat="1" ht="14.25" hidden="1" x14ac:dyDescent="0.2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2:29" s="31" customFormat="1" ht="14.25" hidden="1" x14ac:dyDescent="0.2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2:29" s="31" customFormat="1" ht="14.25" hidden="1" x14ac:dyDescent="0.2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2:29" s="31" customFormat="1" ht="14.25" hidden="1" x14ac:dyDescent="0.2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2:29" s="31" customFormat="1" ht="14.25" hidden="1" x14ac:dyDescent="0.2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2:29" s="31" customFormat="1" ht="14.25" hidden="1" x14ac:dyDescent="0.2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2:29" s="31" customFormat="1" ht="14.25" hidden="1" x14ac:dyDescent="0.2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2:29" s="31" customFormat="1" ht="14.25" hidden="1" x14ac:dyDescent="0.2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2:29" s="31" customFormat="1" ht="14.25" hidden="1" x14ac:dyDescent="0.2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2:29" s="31" customFormat="1" ht="14.25" hidden="1" x14ac:dyDescent="0.2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2:29" s="31" customFormat="1" ht="14.25" hidden="1" x14ac:dyDescent="0.2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2:29" s="31" customFormat="1" ht="14.25" hidden="1" x14ac:dyDescent="0.2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2:29" s="31" customFormat="1" ht="14.25" hidden="1" x14ac:dyDescent="0.2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2:29" s="31" customFormat="1" ht="14.25" hidden="1" x14ac:dyDescent="0.2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2:29" s="31" customFormat="1" ht="14.25" hidden="1" x14ac:dyDescent="0.2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2:29" s="31" customFormat="1" ht="14.25" hidden="1" x14ac:dyDescent="0.2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2:29" s="31" customFormat="1" ht="14.25" hidden="1" x14ac:dyDescent="0.2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2:29" s="31" customFormat="1" ht="14.25" hidden="1" x14ac:dyDescent="0.2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2:29" s="31" customFormat="1" ht="14.25" hidden="1" x14ac:dyDescent="0.2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2:29" s="31" customFormat="1" ht="14.25" hidden="1" x14ac:dyDescent="0.2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2:29" s="31" customFormat="1" ht="14.25" hidden="1" x14ac:dyDescent="0.2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2:29" s="31" customFormat="1" ht="14.25" hidden="1" x14ac:dyDescent="0.2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2:29" s="31" customFormat="1" ht="14.25" hidden="1" x14ac:dyDescent="0.2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2:29" s="31" customFormat="1" ht="14.25" hidden="1" x14ac:dyDescent="0.2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2:29" s="31" customFormat="1" ht="14.25" hidden="1" x14ac:dyDescent="0.2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2:29" s="31" customFormat="1" ht="14.25" hidden="1" x14ac:dyDescent="0.2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2:29" s="31" customFormat="1" ht="14.25" hidden="1" x14ac:dyDescent="0.2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2:29" s="31" customFormat="1" ht="14.25" hidden="1" x14ac:dyDescent="0.2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2:29" s="31" customFormat="1" ht="14.25" hidden="1" x14ac:dyDescent="0.2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2:29" s="31" customFormat="1" ht="14.25" hidden="1" x14ac:dyDescent="0.2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2:29" s="31" customFormat="1" ht="14.25" hidden="1" x14ac:dyDescent="0.2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2:29" s="31" customFormat="1" ht="14.25" hidden="1" x14ac:dyDescent="0.2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2:29" s="31" customFormat="1" ht="14.25" hidden="1" x14ac:dyDescent="0.2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2:29" s="31" customFormat="1" ht="14.25" hidden="1" x14ac:dyDescent="0.2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2:29" s="31" customFormat="1" ht="14.25" hidden="1" x14ac:dyDescent="0.2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2:29" s="31" customFormat="1" ht="14.25" hidden="1" x14ac:dyDescent="0.2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2:29" s="31" customFormat="1" ht="14.25" hidden="1" x14ac:dyDescent="0.2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2:29" s="31" customFormat="1" ht="14.25" hidden="1" x14ac:dyDescent="0.2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2:29" s="31" customFormat="1" ht="14.25" hidden="1" x14ac:dyDescent="0.2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2:29" s="31" customFormat="1" ht="14.25" hidden="1" x14ac:dyDescent="0.2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2:29" s="31" customFormat="1" ht="14.25" hidden="1" x14ac:dyDescent="0.2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2:29" s="31" customFormat="1" ht="14.25" hidden="1" x14ac:dyDescent="0.2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2:29" s="31" customFormat="1" ht="14.25" hidden="1" x14ac:dyDescent="0.2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2:29" s="31" customFormat="1" ht="14.25" hidden="1" x14ac:dyDescent="0.2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2:29" s="31" customFormat="1" ht="14.25" hidden="1" x14ac:dyDescent="0.2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2:29" s="31" customFormat="1" ht="14.25" hidden="1" x14ac:dyDescent="0.2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2:29" s="31" customFormat="1" ht="14.25" hidden="1" x14ac:dyDescent="0.2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2:29" s="31" customFormat="1" ht="14.25" hidden="1" x14ac:dyDescent="0.2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2:29" s="31" customFormat="1" ht="14.25" hidden="1" x14ac:dyDescent="0.2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2:29" s="31" customFormat="1" ht="14.25" hidden="1" x14ac:dyDescent="0.2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2:29" s="31" customFormat="1" ht="14.25" hidden="1" x14ac:dyDescent="0.2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2:29" s="31" customFormat="1" ht="14.25" hidden="1" x14ac:dyDescent="0.2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2:29" s="31" customFormat="1" ht="14.25" hidden="1" x14ac:dyDescent="0.2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2:29" s="31" customFormat="1" ht="14.25" hidden="1" x14ac:dyDescent="0.2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2:29" s="31" customFormat="1" ht="14.25" hidden="1" x14ac:dyDescent="0.2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2:29" s="31" customFormat="1" ht="14.25" hidden="1" x14ac:dyDescent="0.2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2:29" s="31" customFormat="1" ht="14.25" hidden="1" x14ac:dyDescent="0.2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2:29" s="31" customFormat="1" ht="14.25" hidden="1" x14ac:dyDescent="0.2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2:29" s="31" customFormat="1" ht="14.25" hidden="1" x14ac:dyDescent="0.2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2:29" s="31" customFormat="1" ht="14.25" hidden="1" x14ac:dyDescent="0.2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2:29" s="31" customFormat="1" ht="14.25" hidden="1" x14ac:dyDescent="0.2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2:29" s="31" customFormat="1" ht="14.25" hidden="1" x14ac:dyDescent="0.2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2:29" s="31" customFormat="1" ht="14.25" hidden="1" x14ac:dyDescent="0.2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2:29" s="31" customFormat="1" ht="14.25" hidden="1" x14ac:dyDescent="0.2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2:29" s="31" customFormat="1" ht="14.25" hidden="1" x14ac:dyDescent="0.2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2:29" s="31" customFormat="1" ht="14.25" hidden="1" x14ac:dyDescent="0.2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2:29" s="31" customFormat="1" ht="14.25" hidden="1" x14ac:dyDescent="0.2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2:29" s="31" customFormat="1" ht="14.25" hidden="1" x14ac:dyDescent="0.2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2:29" s="31" customFormat="1" ht="14.25" hidden="1" x14ac:dyDescent="0.2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2:29" s="31" customFormat="1" ht="14.25" hidden="1" x14ac:dyDescent="0.2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2:29" s="31" customFormat="1" ht="14.25" hidden="1" x14ac:dyDescent="0.2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2:29" s="31" customFormat="1" ht="14.25" hidden="1" x14ac:dyDescent="0.2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2:29" s="31" customFormat="1" ht="14.25" hidden="1" x14ac:dyDescent="0.2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2:29" s="31" customFormat="1" ht="14.25" hidden="1" x14ac:dyDescent="0.2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2:29" s="31" customFormat="1" ht="14.25" hidden="1" x14ac:dyDescent="0.2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2:29" s="31" customFormat="1" ht="14.25" hidden="1" x14ac:dyDescent="0.2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2:29" s="31" customFormat="1" ht="14.25" hidden="1" x14ac:dyDescent="0.2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2:29" s="31" customFormat="1" ht="14.25" hidden="1" x14ac:dyDescent="0.2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2:29" s="31" customFormat="1" ht="14.25" hidden="1" x14ac:dyDescent="0.2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2:29" s="31" customFormat="1" ht="14.25" hidden="1" x14ac:dyDescent="0.2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2:29" s="31" customFormat="1" ht="14.25" hidden="1" x14ac:dyDescent="0.2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2:29" s="31" customFormat="1" ht="14.25" hidden="1" x14ac:dyDescent="0.2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2:29" s="31" customFormat="1" ht="14.25" hidden="1" x14ac:dyDescent="0.2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2:29" s="31" customFormat="1" ht="14.25" hidden="1" x14ac:dyDescent="0.2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2:29" s="31" customFormat="1" ht="14.25" hidden="1" x14ac:dyDescent="0.2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2:29" s="31" customFormat="1" ht="14.25" hidden="1" x14ac:dyDescent="0.2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2:29" s="31" customFormat="1" ht="14.25" hidden="1" x14ac:dyDescent="0.2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2:29" s="31" customFormat="1" ht="14.25" hidden="1" x14ac:dyDescent="0.2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2:29" s="31" customFormat="1" ht="14.25" hidden="1" x14ac:dyDescent="0.2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2:29" s="31" customFormat="1" ht="14.25" hidden="1" x14ac:dyDescent="0.2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2:29" s="31" customFormat="1" ht="14.25" hidden="1" x14ac:dyDescent="0.2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2:29" s="31" customFormat="1" ht="14.25" hidden="1" x14ac:dyDescent="0.2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2:29" s="31" customFormat="1" ht="14.25" hidden="1" x14ac:dyDescent="0.2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2:29" s="31" customFormat="1" ht="14.25" hidden="1" x14ac:dyDescent="0.2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2:29" s="31" customFormat="1" ht="14.25" hidden="1" x14ac:dyDescent="0.2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2:29" s="31" customFormat="1" ht="14.25" hidden="1" x14ac:dyDescent="0.2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2:29" s="31" customFormat="1" ht="14.25" hidden="1" x14ac:dyDescent="0.2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2:29" s="31" customFormat="1" ht="14.25" hidden="1" x14ac:dyDescent="0.2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2:29" s="31" customFormat="1" ht="14.25" hidden="1" x14ac:dyDescent="0.2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2:29" s="31" customFormat="1" ht="14.25" hidden="1" x14ac:dyDescent="0.2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2:29" s="31" customFormat="1" ht="14.25" hidden="1" x14ac:dyDescent="0.2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2:29" s="31" customFormat="1" ht="14.25" hidden="1" x14ac:dyDescent="0.2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2:29" s="31" customFormat="1" ht="14.25" hidden="1" x14ac:dyDescent="0.2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2:29" s="31" customFormat="1" ht="14.25" hidden="1" x14ac:dyDescent="0.2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2:29" s="31" customFormat="1" ht="14.25" hidden="1" x14ac:dyDescent="0.2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2:29" s="31" customFormat="1" ht="14.25" hidden="1" x14ac:dyDescent="0.2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2:29" s="31" customFormat="1" ht="14.25" hidden="1" x14ac:dyDescent="0.2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2:29" s="31" customFormat="1" ht="14.25" hidden="1" x14ac:dyDescent="0.2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2:29" s="31" customFormat="1" ht="14.25" hidden="1" x14ac:dyDescent="0.2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2:29" s="31" customFormat="1" ht="14.25" hidden="1" x14ac:dyDescent="0.2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2:29" s="31" customFormat="1" ht="14.25" hidden="1" x14ac:dyDescent="0.2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2:29" s="31" customFormat="1" ht="14.25" hidden="1" x14ac:dyDescent="0.2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2:29" s="31" customFormat="1" ht="14.25" hidden="1" x14ac:dyDescent="0.2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2:29" s="31" customFormat="1" ht="14.25" hidden="1" x14ac:dyDescent="0.2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2:29" s="31" customFormat="1" ht="14.25" hidden="1" x14ac:dyDescent="0.2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2:29" s="31" customFormat="1" ht="14.25" hidden="1" x14ac:dyDescent="0.2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2:29" s="31" customFormat="1" ht="14.25" hidden="1" x14ac:dyDescent="0.2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2:29" s="31" customFormat="1" ht="14.25" hidden="1" x14ac:dyDescent="0.2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2:29" s="31" customFormat="1" ht="14.25" hidden="1" x14ac:dyDescent="0.2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2:29" s="31" customFormat="1" ht="14.25" hidden="1" x14ac:dyDescent="0.2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2:29" s="31" customFormat="1" ht="14.25" hidden="1" x14ac:dyDescent="0.2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2:29" s="31" customFormat="1" ht="14.25" hidden="1" x14ac:dyDescent="0.2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2:29" s="31" customFormat="1" ht="14.25" hidden="1" x14ac:dyDescent="0.2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2:29" s="31" customFormat="1" ht="14.25" hidden="1" x14ac:dyDescent="0.2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2:29" s="31" customFormat="1" ht="14.25" hidden="1" x14ac:dyDescent="0.2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2:29" s="31" customFormat="1" ht="14.25" hidden="1" x14ac:dyDescent="0.2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2:29" s="31" customFormat="1" ht="14.25" hidden="1" x14ac:dyDescent="0.2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2:29" s="31" customFormat="1" ht="14.25" hidden="1" x14ac:dyDescent="0.2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2:29" s="31" customFormat="1" ht="14.25" hidden="1" x14ac:dyDescent="0.2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2:29" s="31" customFormat="1" ht="14.25" hidden="1" x14ac:dyDescent="0.2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2:29" s="31" customFormat="1" ht="14.25" hidden="1" x14ac:dyDescent="0.2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2:29" s="31" customFormat="1" ht="14.25" hidden="1" x14ac:dyDescent="0.2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2:29" s="31" customFormat="1" ht="14.25" hidden="1" x14ac:dyDescent="0.2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2:29" s="31" customFormat="1" ht="14.25" hidden="1" x14ac:dyDescent="0.2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2:29" s="31" customFormat="1" ht="14.25" hidden="1" x14ac:dyDescent="0.2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2:29" s="31" customFormat="1" ht="14.25" hidden="1" x14ac:dyDescent="0.2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2:29" s="31" customFormat="1" ht="14.25" hidden="1" x14ac:dyDescent="0.2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2:29" s="31" customFormat="1" ht="14.25" hidden="1" x14ac:dyDescent="0.2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2:29" s="31" customFormat="1" ht="14.25" hidden="1" x14ac:dyDescent="0.2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2:29" s="31" customFormat="1" ht="14.25" hidden="1" x14ac:dyDescent="0.2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2:29" s="31" customFormat="1" ht="14.25" hidden="1" x14ac:dyDescent="0.2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2:29" s="31" customFormat="1" ht="14.25" hidden="1" x14ac:dyDescent="0.2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2:29" s="31" customFormat="1" ht="14.25" hidden="1" x14ac:dyDescent="0.2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2:29" s="31" customFormat="1" ht="14.25" hidden="1" x14ac:dyDescent="0.2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2:29" s="31" customFormat="1" ht="14.25" hidden="1" x14ac:dyDescent="0.2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2:29" s="31" customFormat="1" ht="14.25" hidden="1" x14ac:dyDescent="0.2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2:29" s="31" customFormat="1" ht="14.25" hidden="1" x14ac:dyDescent="0.2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2:29" s="31" customFormat="1" ht="14.25" hidden="1" x14ac:dyDescent="0.2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2:29" s="31" customFormat="1" ht="14.25" hidden="1" x14ac:dyDescent="0.2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2:29" s="31" customFormat="1" ht="14.25" hidden="1" x14ac:dyDescent="0.2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2:29" s="31" customFormat="1" ht="14.25" hidden="1" x14ac:dyDescent="0.2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2:29" s="31" customFormat="1" ht="14.25" hidden="1" x14ac:dyDescent="0.2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2:29" s="31" customFormat="1" ht="14.25" hidden="1" x14ac:dyDescent="0.2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2:29" s="31" customFormat="1" ht="14.25" hidden="1" x14ac:dyDescent="0.2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2:29" s="31" customFormat="1" ht="14.25" hidden="1" x14ac:dyDescent="0.2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2:29" s="31" customFormat="1" ht="14.25" hidden="1" x14ac:dyDescent="0.2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2:29" s="31" customFormat="1" ht="14.25" hidden="1" x14ac:dyDescent="0.2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2:29" s="31" customFormat="1" ht="14.25" hidden="1" x14ac:dyDescent="0.2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2:29" s="31" customFormat="1" ht="14.25" hidden="1" x14ac:dyDescent="0.2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2:29" s="31" customFormat="1" ht="14.25" hidden="1" x14ac:dyDescent="0.2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2:29" s="31" customFormat="1" ht="14.25" hidden="1" x14ac:dyDescent="0.2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2:29" s="31" customFormat="1" ht="14.25" hidden="1" x14ac:dyDescent="0.2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2:29" s="31" customFormat="1" ht="14.25" hidden="1" x14ac:dyDescent="0.2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2:29" s="31" customFormat="1" ht="14.25" hidden="1" x14ac:dyDescent="0.2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2:29" s="31" customFormat="1" ht="14.25" hidden="1" x14ac:dyDescent="0.2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2:29" s="31" customFormat="1" ht="14.25" hidden="1" x14ac:dyDescent="0.2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2:29" s="31" customFormat="1" ht="14.25" hidden="1" x14ac:dyDescent="0.2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2:29" s="31" customFormat="1" ht="14.25" hidden="1" x14ac:dyDescent="0.2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2:29" s="31" customFormat="1" ht="14.25" hidden="1" x14ac:dyDescent="0.2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2:29" s="31" customFormat="1" ht="14.25" hidden="1" x14ac:dyDescent="0.2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2:29" s="31" customFormat="1" ht="14.25" hidden="1" x14ac:dyDescent="0.2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2:29" s="31" customFormat="1" ht="14.25" hidden="1" x14ac:dyDescent="0.2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2:29" s="31" customFormat="1" ht="14.25" hidden="1" x14ac:dyDescent="0.2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2:29" s="31" customFormat="1" ht="14.25" hidden="1" x14ac:dyDescent="0.2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2:29" s="31" customFormat="1" ht="14.25" hidden="1" x14ac:dyDescent="0.2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2:29" s="31" customFormat="1" ht="14.25" hidden="1" x14ac:dyDescent="0.2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2:29" s="31" customFormat="1" ht="14.25" hidden="1" x14ac:dyDescent="0.2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2:29" s="31" customFormat="1" ht="14.25" hidden="1" x14ac:dyDescent="0.2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2:29" s="31" customFormat="1" ht="14.25" hidden="1" x14ac:dyDescent="0.2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2:29" s="31" customFormat="1" ht="14.25" hidden="1" x14ac:dyDescent="0.2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2:29" s="31" customFormat="1" ht="14.25" hidden="1" x14ac:dyDescent="0.2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2:29" s="31" customFormat="1" ht="14.25" hidden="1" x14ac:dyDescent="0.2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2:29" s="31" customFormat="1" ht="14.25" hidden="1" x14ac:dyDescent="0.2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2:29" s="31" customFormat="1" ht="14.25" hidden="1" x14ac:dyDescent="0.2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2:29" s="31" customFormat="1" ht="14.25" hidden="1" x14ac:dyDescent="0.2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2:29" s="31" customFormat="1" ht="14.25" hidden="1" x14ac:dyDescent="0.2"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2:29" s="31" customFormat="1" ht="14.25" hidden="1" x14ac:dyDescent="0.2"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2:29" s="31" customFormat="1" ht="14.25" hidden="1" x14ac:dyDescent="0.2"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2:29" s="31" customFormat="1" ht="14.25" hidden="1" x14ac:dyDescent="0.2"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2:29" s="31" customFormat="1" ht="14.25" hidden="1" x14ac:dyDescent="0.2"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2:29" s="31" customFormat="1" ht="14.25" hidden="1" x14ac:dyDescent="0.2"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2:29" s="31" customFormat="1" ht="14.25" hidden="1" x14ac:dyDescent="0.2"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spans="2:29" s="31" customFormat="1" ht="14.25" hidden="1" x14ac:dyDescent="0.2"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  <row r="1009" spans="2:29" s="31" customFormat="1" ht="14.25" hidden="1" x14ac:dyDescent="0.2"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</row>
    <row r="1010" spans="2:29" s="31" customFormat="1" ht="14.25" hidden="1" x14ac:dyDescent="0.2"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</row>
    <row r="1011" spans="2:29" s="31" customFormat="1" ht="14.25" hidden="1" x14ac:dyDescent="0.2"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</row>
    <row r="1012" spans="2:29" s="31" customFormat="1" ht="14.25" hidden="1" x14ac:dyDescent="0.2"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</row>
    <row r="1013" spans="2:29" s="31" customFormat="1" ht="14.25" hidden="1" x14ac:dyDescent="0.2"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</row>
    <row r="1014" spans="2:29" s="31" customFormat="1" ht="14.25" hidden="1" x14ac:dyDescent="0.2"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</row>
    <row r="1015" spans="2:29" s="31" customFormat="1" ht="14.25" hidden="1" x14ac:dyDescent="0.2"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</row>
    <row r="1016" spans="2:29" s="31" customFormat="1" ht="14.25" hidden="1" x14ac:dyDescent="0.2"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</row>
    <row r="1017" spans="2:29" s="31" customFormat="1" ht="14.25" hidden="1" x14ac:dyDescent="0.2"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</row>
    <row r="1018" spans="2:29" s="31" customFormat="1" ht="14.25" hidden="1" x14ac:dyDescent="0.2"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</row>
    <row r="1019" spans="2:29" s="31" customFormat="1" ht="14.25" hidden="1" x14ac:dyDescent="0.2"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</row>
    <row r="1020" spans="2:29" s="31" customFormat="1" ht="14.25" hidden="1" x14ac:dyDescent="0.2"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</row>
    <row r="1021" spans="2:29" s="31" customFormat="1" ht="14.25" hidden="1" x14ac:dyDescent="0.2"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</row>
    <row r="1022" spans="2:29" s="31" customFormat="1" ht="14.25" hidden="1" x14ac:dyDescent="0.2"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</row>
    <row r="1023" spans="2:29" s="31" customFormat="1" ht="14.25" hidden="1" x14ac:dyDescent="0.2"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</row>
    <row r="1024" spans="2:29" s="31" customFormat="1" ht="14.25" hidden="1" x14ac:dyDescent="0.2"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</row>
    <row r="1025" spans="2:29" s="31" customFormat="1" ht="14.25" hidden="1" x14ac:dyDescent="0.2"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</row>
    <row r="1026" spans="2:29" s="31" customFormat="1" ht="14.25" hidden="1" x14ac:dyDescent="0.2"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</row>
    <row r="1027" spans="2:29" s="31" customFormat="1" ht="14.25" hidden="1" x14ac:dyDescent="0.2"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</row>
    <row r="1028" spans="2:29" s="31" customFormat="1" ht="14.25" hidden="1" x14ac:dyDescent="0.2"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</row>
    <row r="1029" spans="2:29" s="31" customFormat="1" ht="14.25" hidden="1" x14ac:dyDescent="0.2"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</row>
    <row r="1030" spans="2:29" s="31" customFormat="1" ht="14.25" hidden="1" x14ac:dyDescent="0.2"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</row>
    <row r="1031" spans="2:29" s="31" customFormat="1" ht="14.25" hidden="1" x14ac:dyDescent="0.2"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</row>
    <row r="1032" spans="2:29" s="31" customFormat="1" ht="14.25" hidden="1" x14ac:dyDescent="0.2"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</row>
    <row r="1033" spans="2:29" s="31" customFormat="1" ht="14.25" hidden="1" x14ac:dyDescent="0.2"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</row>
    <row r="1034" spans="2:29" s="31" customFormat="1" ht="14.25" hidden="1" x14ac:dyDescent="0.2"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</row>
    <row r="1035" spans="2:29" s="31" customFormat="1" ht="14.25" hidden="1" x14ac:dyDescent="0.2"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</row>
    <row r="1036" spans="2:29" s="31" customFormat="1" ht="14.25" hidden="1" x14ac:dyDescent="0.2"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</row>
    <row r="1037" spans="2:29" s="31" customFormat="1" ht="14.25" hidden="1" x14ac:dyDescent="0.2"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</row>
    <row r="1038" spans="2:29" s="31" customFormat="1" ht="14.25" hidden="1" x14ac:dyDescent="0.2"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</row>
    <row r="1039" spans="2:29" s="31" customFormat="1" ht="14.25" hidden="1" x14ac:dyDescent="0.2"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</row>
    <row r="1040" spans="2:29" s="31" customFormat="1" ht="14.25" hidden="1" x14ac:dyDescent="0.2"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</row>
    <row r="1041" spans="2:29" s="31" customFormat="1" ht="14.25" hidden="1" x14ac:dyDescent="0.2"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</row>
    <row r="1042" spans="2:29" s="31" customFormat="1" ht="14.25" hidden="1" x14ac:dyDescent="0.2"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</row>
    <row r="1043" spans="2:29" s="31" customFormat="1" ht="14.25" hidden="1" x14ac:dyDescent="0.2"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</row>
    <row r="1044" spans="2:29" s="31" customFormat="1" ht="14.25" hidden="1" x14ac:dyDescent="0.2"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</row>
    <row r="1045" spans="2:29" s="31" customFormat="1" ht="14.25" hidden="1" x14ac:dyDescent="0.2"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</row>
    <row r="1046" spans="2:29" s="31" customFormat="1" ht="14.25" hidden="1" x14ac:dyDescent="0.2"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</row>
    <row r="1047" spans="2:29" s="31" customFormat="1" ht="14.25" hidden="1" x14ac:dyDescent="0.2"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</row>
    <row r="1048" spans="2:29" s="31" customFormat="1" ht="14.25" hidden="1" x14ac:dyDescent="0.2"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</row>
    <row r="1049" spans="2:29" s="31" customFormat="1" ht="14.25" hidden="1" x14ac:dyDescent="0.2"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</row>
    <row r="1050" spans="2:29" s="31" customFormat="1" ht="14.25" hidden="1" x14ac:dyDescent="0.2"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</row>
    <row r="1051" spans="2:29" s="31" customFormat="1" ht="14.25" hidden="1" x14ac:dyDescent="0.2"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</row>
    <row r="1052" spans="2:29" s="31" customFormat="1" ht="14.25" hidden="1" x14ac:dyDescent="0.2"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</row>
    <row r="1053" spans="2:29" s="31" customFormat="1" ht="14.25" hidden="1" x14ac:dyDescent="0.2"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</row>
    <row r="1054" spans="2:29" s="31" customFormat="1" ht="14.25" hidden="1" x14ac:dyDescent="0.2"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</row>
    <row r="1055" spans="2:29" s="31" customFormat="1" ht="14.25" hidden="1" x14ac:dyDescent="0.2"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</row>
    <row r="1056" spans="2:29" s="31" customFormat="1" ht="14.25" hidden="1" x14ac:dyDescent="0.2"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</row>
    <row r="1057" spans="2:29" s="31" customFormat="1" ht="14.25" hidden="1" x14ac:dyDescent="0.2"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</row>
    <row r="1058" spans="2:29" s="31" customFormat="1" ht="14.25" hidden="1" x14ac:dyDescent="0.2"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</row>
    <row r="1059" spans="2:29" s="31" customFormat="1" ht="14.25" hidden="1" x14ac:dyDescent="0.2"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</row>
    <row r="1060" spans="2:29" s="31" customFormat="1" ht="14.25" hidden="1" x14ac:dyDescent="0.2"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</row>
    <row r="1061" spans="2:29" s="31" customFormat="1" ht="14.25" hidden="1" x14ac:dyDescent="0.2"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</row>
    <row r="1062" spans="2:29" s="31" customFormat="1" ht="14.25" hidden="1" x14ac:dyDescent="0.2"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</row>
    <row r="1063" spans="2:29" s="31" customFormat="1" ht="14.25" hidden="1" x14ac:dyDescent="0.2"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</row>
    <row r="1064" spans="2:29" s="31" customFormat="1" ht="14.25" hidden="1" x14ac:dyDescent="0.2"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</row>
    <row r="1065" spans="2:29" s="31" customFormat="1" ht="14.25" hidden="1" x14ac:dyDescent="0.2"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</row>
    <row r="1066" spans="2:29" s="31" customFormat="1" ht="14.25" hidden="1" x14ac:dyDescent="0.2"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</row>
    <row r="1067" spans="2:29" s="31" customFormat="1" ht="14.25" hidden="1" x14ac:dyDescent="0.2"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</row>
    <row r="1068" spans="2:29" s="31" customFormat="1" ht="14.25" hidden="1" x14ac:dyDescent="0.2"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</row>
    <row r="1069" spans="2:29" s="31" customFormat="1" ht="14.25" hidden="1" x14ac:dyDescent="0.2"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</row>
    <row r="1070" spans="2:29" s="31" customFormat="1" ht="14.25" hidden="1" x14ac:dyDescent="0.2"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</row>
    <row r="1071" spans="2:29" s="31" customFormat="1" ht="14.25" hidden="1" x14ac:dyDescent="0.2"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</row>
    <row r="1072" spans="2:29" s="31" customFormat="1" ht="14.25" hidden="1" x14ac:dyDescent="0.2"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</row>
    <row r="1073" spans="2:29" s="31" customFormat="1" ht="14.25" hidden="1" x14ac:dyDescent="0.2"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</row>
    <row r="1074" spans="2:29" s="31" customFormat="1" ht="14.25" hidden="1" x14ac:dyDescent="0.2"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</row>
    <row r="1075" spans="2:29" s="31" customFormat="1" ht="14.25" hidden="1" x14ac:dyDescent="0.2"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</row>
    <row r="1076" spans="2:29" s="31" customFormat="1" ht="14.25" hidden="1" x14ac:dyDescent="0.2"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</row>
    <row r="1077" spans="2:29" s="31" customFormat="1" ht="14.25" hidden="1" x14ac:dyDescent="0.2"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</row>
    <row r="1078" spans="2:29" s="31" customFormat="1" ht="14.25" hidden="1" x14ac:dyDescent="0.2"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</row>
    <row r="1079" spans="2:29" s="31" customFormat="1" ht="14.25" hidden="1" x14ac:dyDescent="0.2"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</row>
    <row r="1080" spans="2:29" s="31" customFormat="1" ht="14.25" hidden="1" x14ac:dyDescent="0.2"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</row>
    <row r="1081" spans="2:29" s="31" customFormat="1" ht="14.25" hidden="1" x14ac:dyDescent="0.2"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</row>
    <row r="1082" spans="2:29" s="31" customFormat="1" ht="14.25" hidden="1" x14ac:dyDescent="0.2"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</row>
    <row r="1083" spans="2:29" s="31" customFormat="1" ht="14.25" hidden="1" x14ac:dyDescent="0.2"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</row>
    <row r="1084" spans="2:29" s="31" customFormat="1" ht="14.25" hidden="1" x14ac:dyDescent="0.2"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</row>
    <row r="1085" spans="2:29" s="31" customFormat="1" ht="14.25" hidden="1" x14ac:dyDescent="0.2"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</row>
    <row r="1086" spans="2:29" s="31" customFormat="1" ht="14.25" hidden="1" x14ac:dyDescent="0.2"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</row>
    <row r="1087" spans="2:29" s="31" customFormat="1" ht="14.25" hidden="1" x14ac:dyDescent="0.2"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</row>
    <row r="1088" spans="2:29" s="31" customFormat="1" ht="14.25" hidden="1" x14ac:dyDescent="0.2"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</row>
    <row r="1089" spans="2:29" s="31" customFormat="1" ht="14.25" hidden="1" x14ac:dyDescent="0.2"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</row>
    <row r="1090" spans="2:29" s="31" customFormat="1" ht="14.25" hidden="1" x14ac:dyDescent="0.2"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</row>
    <row r="1091" spans="2:29" s="31" customFormat="1" ht="14.25" hidden="1" x14ac:dyDescent="0.2"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</row>
    <row r="1092" spans="2:29" s="31" customFormat="1" ht="14.25" hidden="1" x14ac:dyDescent="0.2"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</row>
    <row r="1093" spans="2:29" s="31" customFormat="1" ht="14.25" hidden="1" x14ac:dyDescent="0.2"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</row>
    <row r="1094" spans="2:29" s="31" customFormat="1" ht="14.25" hidden="1" x14ac:dyDescent="0.2"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</row>
    <row r="1095" spans="2:29" s="31" customFormat="1" ht="14.25" hidden="1" x14ac:dyDescent="0.2"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</row>
    <row r="1096" spans="2:29" s="31" customFormat="1" ht="14.25" hidden="1" x14ac:dyDescent="0.2"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</row>
    <row r="1097" spans="2:29" s="31" customFormat="1" ht="14.25" hidden="1" x14ac:dyDescent="0.2"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</row>
    <row r="1098" spans="2:29" s="31" customFormat="1" ht="14.25" hidden="1" x14ac:dyDescent="0.2"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</row>
    <row r="1099" spans="2:29" s="31" customFormat="1" ht="14.25" hidden="1" x14ac:dyDescent="0.2"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</row>
    <row r="1100" spans="2:29" s="31" customFormat="1" ht="14.25" hidden="1" x14ac:dyDescent="0.2"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</row>
    <row r="1101" spans="2:29" s="31" customFormat="1" ht="14.25" hidden="1" x14ac:dyDescent="0.2"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</row>
    <row r="1102" spans="2:29" s="31" customFormat="1" ht="14.25" hidden="1" x14ac:dyDescent="0.2"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</row>
    <row r="1103" spans="2:29" s="31" customFormat="1" ht="14.25" hidden="1" x14ac:dyDescent="0.2"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</row>
    <row r="1104" spans="2:29" s="31" customFormat="1" ht="14.25" hidden="1" x14ac:dyDescent="0.2"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</row>
    <row r="1105" spans="2:29" s="31" customFormat="1" ht="14.25" hidden="1" x14ac:dyDescent="0.2"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</row>
    <row r="1106" spans="2:29" s="31" customFormat="1" ht="14.25" hidden="1" x14ac:dyDescent="0.2"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</row>
    <row r="1107" spans="2:29" s="31" customFormat="1" ht="14.25" hidden="1" x14ac:dyDescent="0.2"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</row>
    <row r="1108" spans="2:29" s="31" customFormat="1" ht="14.25" hidden="1" x14ac:dyDescent="0.2"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</row>
    <row r="1109" spans="2:29" s="31" customFormat="1" ht="14.25" hidden="1" x14ac:dyDescent="0.2"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</row>
    <row r="1110" spans="2:29" s="31" customFormat="1" ht="14.25" hidden="1" x14ac:dyDescent="0.2"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</row>
    <row r="1111" spans="2:29" s="31" customFormat="1" ht="14.25" hidden="1" x14ac:dyDescent="0.2"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</row>
    <row r="1112" spans="2:29" s="31" customFormat="1" ht="14.25" hidden="1" x14ac:dyDescent="0.2"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</row>
    <row r="1113" spans="2:29" s="31" customFormat="1" ht="14.25" hidden="1" x14ac:dyDescent="0.2"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</row>
    <row r="1114" spans="2:29" s="31" customFormat="1" ht="14.25" hidden="1" x14ac:dyDescent="0.2"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</row>
    <row r="1115" spans="2:29" s="31" customFormat="1" ht="14.25" hidden="1" x14ac:dyDescent="0.2"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</row>
    <row r="1116" spans="2:29" s="31" customFormat="1" ht="14.25" hidden="1" x14ac:dyDescent="0.2"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</row>
    <row r="1117" spans="2:29" s="31" customFormat="1" ht="14.25" hidden="1" x14ac:dyDescent="0.2"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</row>
    <row r="1118" spans="2:29" s="31" customFormat="1" ht="14.25" hidden="1" x14ac:dyDescent="0.2"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</row>
    <row r="1119" spans="2:29" s="31" customFormat="1" ht="14.25" hidden="1" x14ac:dyDescent="0.2"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</row>
    <row r="1120" spans="2:29" s="31" customFormat="1" ht="14.25" hidden="1" x14ac:dyDescent="0.2"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</row>
    <row r="1121" spans="2:29" s="31" customFormat="1" ht="14.25" hidden="1" x14ac:dyDescent="0.2"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</row>
    <row r="1122" spans="2:29" s="31" customFormat="1" ht="14.25" hidden="1" x14ac:dyDescent="0.2"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</row>
    <row r="1123" spans="2:29" s="31" customFormat="1" ht="14.25" hidden="1" x14ac:dyDescent="0.2"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</row>
    <row r="1124" spans="2:29" s="31" customFormat="1" ht="14.25" hidden="1" x14ac:dyDescent="0.2"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</row>
    <row r="1125" spans="2:29" s="31" customFormat="1" ht="14.25" hidden="1" x14ac:dyDescent="0.2"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</row>
    <row r="1126" spans="2:29" s="31" customFormat="1" ht="14.25" hidden="1" x14ac:dyDescent="0.2"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</row>
    <row r="1127" spans="2:29" s="31" customFormat="1" ht="14.25" hidden="1" x14ac:dyDescent="0.2"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</row>
    <row r="1128" spans="2:29" s="31" customFormat="1" ht="14.25" hidden="1" x14ac:dyDescent="0.2"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</row>
    <row r="1129" spans="2:29" s="31" customFormat="1" ht="14.25" hidden="1" x14ac:dyDescent="0.2"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</row>
    <row r="1130" spans="2:29" s="31" customFormat="1" ht="14.25" hidden="1" x14ac:dyDescent="0.2"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</row>
    <row r="1131" spans="2:29" s="31" customFormat="1" ht="14.25" hidden="1" x14ac:dyDescent="0.2"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</row>
    <row r="1132" spans="2:29" s="31" customFormat="1" ht="14.25" hidden="1" x14ac:dyDescent="0.2"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</row>
    <row r="1133" spans="2:29" s="31" customFormat="1" ht="14.25" hidden="1" x14ac:dyDescent="0.2"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</row>
    <row r="1134" spans="2:29" s="31" customFormat="1" ht="14.25" hidden="1" x14ac:dyDescent="0.2"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</row>
    <row r="1135" spans="2:29" s="31" customFormat="1" ht="14.25" hidden="1" x14ac:dyDescent="0.2"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</row>
    <row r="1136" spans="2:29" s="31" customFormat="1" ht="14.25" hidden="1" x14ac:dyDescent="0.2"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</row>
    <row r="1137" spans="2:29" s="31" customFormat="1" ht="14.25" hidden="1" x14ac:dyDescent="0.2"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</row>
    <row r="1138" spans="2:29" s="31" customFormat="1" ht="14.25" hidden="1" x14ac:dyDescent="0.2"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</row>
    <row r="1139" spans="2:29" s="31" customFormat="1" ht="14.25" hidden="1" x14ac:dyDescent="0.2"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</row>
    <row r="1140" spans="2:29" s="31" customFormat="1" ht="14.25" hidden="1" x14ac:dyDescent="0.2"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</row>
    <row r="1141" spans="2:29" s="31" customFormat="1" ht="14.25" hidden="1" x14ac:dyDescent="0.2"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</row>
    <row r="1142" spans="2:29" s="31" customFormat="1" ht="14.25" hidden="1" x14ac:dyDescent="0.2"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</row>
    <row r="1143" spans="2:29" s="31" customFormat="1" ht="14.25" hidden="1" x14ac:dyDescent="0.2"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</row>
    <row r="1144" spans="2:29" s="31" customFormat="1" ht="14.25" hidden="1" x14ac:dyDescent="0.2"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</row>
    <row r="1145" spans="2:29" s="31" customFormat="1" ht="14.25" hidden="1" x14ac:dyDescent="0.2"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</row>
    <row r="1146" spans="2:29" s="31" customFormat="1" ht="14.25" hidden="1" x14ac:dyDescent="0.2"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</row>
    <row r="1147" spans="2:29" s="31" customFormat="1" ht="14.25" hidden="1" x14ac:dyDescent="0.2"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</row>
    <row r="1148" spans="2:29" s="31" customFormat="1" ht="14.25" hidden="1" x14ac:dyDescent="0.2"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</row>
    <row r="1149" spans="2:29" s="31" customFormat="1" ht="14.25" hidden="1" x14ac:dyDescent="0.2"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</row>
    <row r="1150" spans="2:29" s="31" customFormat="1" ht="14.25" hidden="1" x14ac:dyDescent="0.2"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</row>
    <row r="1151" spans="2:29" s="31" customFormat="1" ht="14.25" hidden="1" x14ac:dyDescent="0.2"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</row>
    <row r="1152" spans="2:29" s="31" customFormat="1" ht="14.25" hidden="1" x14ac:dyDescent="0.2"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</row>
    <row r="1153" spans="2:29" s="31" customFormat="1" ht="14.25" hidden="1" x14ac:dyDescent="0.2"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</row>
    <row r="1154" spans="2:29" s="31" customFormat="1" ht="14.25" hidden="1" x14ac:dyDescent="0.2"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</row>
    <row r="1155" spans="2:29" s="31" customFormat="1" ht="14.25" hidden="1" x14ac:dyDescent="0.2"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</row>
    <row r="1156" spans="2:29" s="31" customFormat="1" ht="14.25" hidden="1" x14ac:dyDescent="0.2"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</row>
    <row r="1157" spans="2:29" s="31" customFormat="1" ht="14.25" hidden="1" x14ac:dyDescent="0.2"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</row>
    <row r="1158" spans="2:29" s="31" customFormat="1" ht="14.25" hidden="1" x14ac:dyDescent="0.2"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</row>
    <row r="1159" spans="2:29" s="31" customFormat="1" ht="14.25" hidden="1" x14ac:dyDescent="0.2"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</row>
    <row r="1160" spans="2:29" s="31" customFormat="1" ht="14.25" hidden="1" x14ac:dyDescent="0.2"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</row>
    <row r="1161" spans="2:29" s="31" customFormat="1" ht="14.25" hidden="1" x14ac:dyDescent="0.2"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</row>
    <row r="1162" spans="2:29" s="31" customFormat="1" ht="14.25" hidden="1" x14ac:dyDescent="0.2"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</row>
    <row r="1163" spans="2:29" s="31" customFormat="1" ht="14.25" hidden="1" x14ac:dyDescent="0.2"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</row>
    <row r="1164" spans="2:29" s="31" customFormat="1" ht="14.25" hidden="1" x14ac:dyDescent="0.2"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2:29" s="31" customFormat="1" ht="14.25" hidden="1" x14ac:dyDescent="0.2"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</row>
    <row r="1166" spans="2:29" s="31" customFormat="1" ht="14.25" hidden="1" x14ac:dyDescent="0.2"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</row>
    <row r="1167" spans="2:29" s="31" customFormat="1" ht="14.25" hidden="1" x14ac:dyDescent="0.2"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</row>
    <row r="1168" spans="2:29" s="31" customFormat="1" ht="14.25" hidden="1" x14ac:dyDescent="0.2"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</row>
    <row r="1169" spans="2:29" s="31" customFormat="1" ht="14.25" hidden="1" x14ac:dyDescent="0.2"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</row>
    <row r="1170" spans="2:29" s="31" customFormat="1" ht="14.25" hidden="1" x14ac:dyDescent="0.2"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</row>
    <row r="1171" spans="2:29" s="31" customFormat="1" ht="14.25" hidden="1" x14ac:dyDescent="0.2"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</row>
    <row r="1172" spans="2:29" s="31" customFormat="1" ht="14.25" hidden="1" x14ac:dyDescent="0.2"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</row>
    <row r="1173" spans="2:29" s="31" customFormat="1" ht="14.25" hidden="1" x14ac:dyDescent="0.2"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</row>
    <row r="1174" spans="2:29" s="31" customFormat="1" ht="14.25" hidden="1" x14ac:dyDescent="0.2"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</row>
    <row r="1175" spans="2:29" s="31" customFormat="1" ht="14.25" hidden="1" x14ac:dyDescent="0.2"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</row>
    <row r="1176" spans="2:29" s="31" customFormat="1" ht="14.25" hidden="1" x14ac:dyDescent="0.2"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</row>
    <row r="1177" spans="2:29" s="31" customFormat="1" ht="14.25" hidden="1" x14ac:dyDescent="0.2"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</row>
    <row r="1178" spans="2:29" s="31" customFormat="1" ht="14.25" hidden="1" x14ac:dyDescent="0.2"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</row>
    <row r="1179" spans="2:29" s="31" customFormat="1" ht="14.25" hidden="1" x14ac:dyDescent="0.2"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</row>
    <row r="1180" spans="2:29" s="31" customFormat="1" ht="14.25" hidden="1" x14ac:dyDescent="0.2"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</row>
    <row r="1181" spans="2:29" s="31" customFormat="1" ht="14.25" hidden="1" x14ac:dyDescent="0.2"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</row>
    <row r="1182" spans="2:29" s="31" customFormat="1" ht="14.25" hidden="1" x14ac:dyDescent="0.2"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</row>
    <row r="1183" spans="2:29" s="31" customFormat="1" ht="14.25" hidden="1" x14ac:dyDescent="0.2"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</row>
    <row r="1184" spans="2:29" s="31" customFormat="1" ht="14.25" hidden="1" x14ac:dyDescent="0.2"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</row>
    <row r="1185" spans="2:29" s="31" customFormat="1" ht="14.25" hidden="1" x14ac:dyDescent="0.2"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</row>
    <row r="1186" spans="2:29" s="31" customFormat="1" ht="14.25" hidden="1" x14ac:dyDescent="0.2"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</row>
    <row r="1187" spans="2:29" s="31" customFormat="1" ht="14.25" hidden="1" x14ac:dyDescent="0.2"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</row>
    <row r="1188" spans="2:29" s="31" customFormat="1" ht="14.25" hidden="1" x14ac:dyDescent="0.2"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</row>
    <row r="1189" spans="2:29" s="31" customFormat="1" ht="14.25" hidden="1" x14ac:dyDescent="0.2"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</row>
    <row r="1190" spans="2:29" s="31" customFormat="1" ht="14.25" hidden="1" x14ac:dyDescent="0.2"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</row>
    <row r="1191" spans="2:29" s="31" customFormat="1" ht="14.25" hidden="1" x14ac:dyDescent="0.2"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</row>
    <row r="1192" spans="2:29" s="31" customFormat="1" ht="14.25" hidden="1" x14ac:dyDescent="0.2"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</row>
    <row r="1193" spans="2:29" s="31" customFormat="1" ht="14.25" hidden="1" x14ac:dyDescent="0.2"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</row>
    <row r="1194" spans="2:29" s="31" customFormat="1" ht="14.25" hidden="1" x14ac:dyDescent="0.2"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</row>
    <row r="1195" spans="2:29" s="31" customFormat="1" ht="14.25" hidden="1" x14ac:dyDescent="0.2"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</row>
    <row r="1196" spans="2:29" s="31" customFormat="1" ht="14.25" hidden="1" x14ac:dyDescent="0.2"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2:29" s="31" customFormat="1" ht="14.25" hidden="1" x14ac:dyDescent="0.2"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</row>
    <row r="1198" spans="2:29" s="31" customFormat="1" ht="14.25" hidden="1" x14ac:dyDescent="0.2"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</row>
    <row r="1199" spans="2:29" s="31" customFormat="1" ht="14.25" hidden="1" x14ac:dyDescent="0.2"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</row>
    <row r="1200" spans="2:29" s="31" customFormat="1" ht="14.25" hidden="1" x14ac:dyDescent="0.2"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</row>
    <row r="1201" spans="2:29" s="31" customFormat="1" ht="14.25" hidden="1" x14ac:dyDescent="0.2"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</row>
    <row r="1202" spans="2:29" s="31" customFormat="1" ht="14.25" hidden="1" x14ac:dyDescent="0.2"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</row>
    <row r="1203" spans="2:29" s="31" customFormat="1" ht="14.25" hidden="1" x14ac:dyDescent="0.2"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</row>
    <row r="1204" spans="2:29" s="31" customFormat="1" ht="14.25" hidden="1" x14ac:dyDescent="0.2"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</row>
    <row r="1205" spans="2:29" s="31" customFormat="1" ht="14.25" hidden="1" x14ac:dyDescent="0.2"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</row>
    <row r="1206" spans="2:29" s="31" customFormat="1" ht="14.25" hidden="1" x14ac:dyDescent="0.2"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</row>
    <row r="1207" spans="2:29" s="31" customFormat="1" ht="14.25" hidden="1" x14ac:dyDescent="0.2"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</row>
    <row r="1208" spans="2:29" s="31" customFormat="1" ht="14.25" hidden="1" x14ac:dyDescent="0.2"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</row>
    <row r="1209" spans="2:29" s="31" customFormat="1" ht="14.25" hidden="1" x14ac:dyDescent="0.2"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</row>
    <row r="1210" spans="2:29" s="31" customFormat="1" ht="14.25" hidden="1" x14ac:dyDescent="0.2"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</row>
    <row r="1211" spans="2:29" s="31" customFormat="1" ht="14.25" hidden="1" x14ac:dyDescent="0.2"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</row>
    <row r="1212" spans="2:29" s="31" customFormat="1" ht="14.25" hidden="1" x14ac:dyDescent="0.2"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</row>
    <row r="1213" spans="2:29" s="31" customFormat="1" ht="14.25" hidden="1" x14ac:dyDescent="0.2"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</row>
    <row r="1214" spans="2:29" s="31" customFormat="1" ht="14.25" hidden="1" x14ac:dyDescent="0.2"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</row>
    <row r="1215" spans="2:29" s="31" customFormat="1" ht="14.25" hidden="1" x14ac:dyDescent="0.2"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</row>
    <row r="1216" spans="2:29" s="31" customFormat="1" ht="14.25" hidden="1" x14ac:dyDescent="0.2"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</row>
    <row r="1217" spans="2:29" s="31" customFormat="1" ht="14.25" hidden="1" x14ac:dyDescent="0.2"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</row>
    <row r="1218" spans="2:29" s="31" customFormat="1" ht="14.25" hidden="1" x14ac:dyDescent="0.2"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</row>
    <row r="1219" spans="2:29" s="31" customFormat="1" ht="14.25" hidden="1" x14ac:dyDescent="0.2"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</row>
    <row r="1220" spans="2:29" s="31" customFormat="1" ht="14.25" hidden="1" x14ac:dyDescent="0.2"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</row>
    <row r="1221" spans="2:29" s="31" customFormat="1" ht="14.25" hidden="1" x14ac:dyDescent="0.2"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</row>
    <row r="1222" spans="2:29" s="31" customFormat="1" ht="14.25" hidden="1" x14ac:dyDescent="0.2"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</row>
    <row r="1223" spans="2:29" s="31" customFormat="1" ht="14.25" hidden="1" x14ac:dyDescent="0.2"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</row>
    <row r="1224" spans="2:29" s="31" customFormat="1" ht="14.25" hidden="1" x14ac:dyDescent="0.2"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</row>
    <row r="1225" spans="2:29" s="31" customFormat="1" ht="14.25" hidden="1" x14ac:dyDescent="0.2"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</row>
    <row r="1226" spans="2:29" s="31" customFormat="1" ht="14.25" hidden="1" x14ac:dyDescent="0.2"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</row>
    <row r="1227" spans="2:29" s="31" customFormat="1" ht="14.25" hidden="1" x14ac:dyDescent="0.2"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</row>
    <row r="1228" spans="2:29" s="31" customFormat="1" ht="14.25" hidden="1" x14ac:dyDescent="0.2"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</row>
    <row r="1229" spans="2:29" s="31" customFormat="1" ht="14.25" hidden="1" x14ac:dyDescent="0.2"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</row>
    <row r="1230" spans="2:29" s="31" customFormat="1" ht="14.25" hidden="1" x14ac:dyDescent="0.2"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</row>
    <row r="1231" spans="2:29" s="31" customFormat="1" ht="14.25" hidden="1" x14ac:dyDescent="0.2"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</row>
    <row r="1232" spans="2:29" s="31" customFormat="1" ht="14.25" hidden="1" x14ac:dyDescent="0.2"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</row>
    <row r="1233" spans="2:29" s="31" customFormat="1" ht="14.25" hidden="1" x14ac:dyDescent="0.2"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</row>
    <row r="1234" spans="2:29" s="31" customFormat="1" ht="14.25" hidden="1" x14ac:dyDescent="0.2"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</row>
    <row r="1235" spans="2:29" s="31" customFormat="1" ht="14.25" hidden="1" x14ac:dyDescent="0.2"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</row>
    <row r="1236" spans="2:29" s="31" customFormat="1" ht="14.25" hidden="1" x14ac:dyDescent="0.2"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</row>
    <row r="1237" spans="2:29" s="31" customFormat="1" ht="14.25" hidden="1" x14ac:dyDescent="0.2"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</row>
    <row r="1238" spans="2:29" s="31" customFormat="1" ht="14.25" hidden="1" x14ac:dyDescent="0.2"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</row>
    <row r="1239" spans="2:29" s="31" customFormat="1" ht="14.25" hidden="1" x14ac:dyDescent="0.2"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</row>
    <row r="1240" spans="2:29" s="31" customFormat="1" ht="14.25" hidden="1" x14ac:dyDescent="0.2"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</row>
    <row r="1241" spans="2:29" s="31" customFormat="1" ht="14.25" hidden="1" x14ac:dyDescent="0.2"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</row>
    <row r="1242" spans="2:29" s="31" customFormat="1" ht="14.25" hidden="1" x14ac:dyDescent="0.2"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</row>
    <row r="1243" spans="2:29" s="31" customFormat="1" ht="14.25" hidden="1" x14ac:dyDescent="0.2"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</row>
    <row r="1244" spans="2:29" s="31" customFormat="1" ht="14.25" hidden="1" x14ac:dyDescent="0.2"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</row>
    <row r="1245" spans="2:29" s="31" customFormat="1" ht="14.25" hidden="1" x14ac:dyDescent="0.2"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</row>
    <row r="1246" spans="2:29" s="31" customFormat="1" ht="14.25" hidden="1" x14ac:dyDescent="0.2"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</row>
    <row r="1247" spans="2:29" s="31" customFormat="1" ht="14.25" hidden="1" x14ac:dyDescent="0.2"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</row>
    <row r="1248" spans="2:29" s="31" customFormat="1" ht="14.25" hidden="1" x14ac:dyDescent="0.2"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</row>
    <row r="1249" spans="2:29" s="31" customFormat="1" ht="14.25" hidden="1" x14ac:dyDescent="0.2"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</row>
    <row r="1250" spans="2:29" s="31" customFormat="1" ht="14.25" hidden="1" x14ac:dyDescent="0.2"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</row>
    <row r="1251" spans="2:29" s="31" customFormat="1" ht="14.25" hidden="1" x14ac:dyDescent="0.2"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</row>
    <row r="1252" spans="2:29" s="31" customFormat="1" ht="14.25" hidden="1" x14ac:dyDescent="0.2"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</row>
    <row r="1253" spans="2:29" s="31" customFormat="1" ht="14.25" hidden="1" x14ac:dyDescent="0.2"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</row>
    <row r="1254" spans="2:29" s="31" customFormat="1" ht="14.25" hidden="1" x14ac:dyDescent="0.2"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</row>
    <row r="1255" spans="2:29" s="31" customFormat="1" ht="14.25" hidden="1" x14ac:dyDescent="0.2"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</row>
    <row r="1256" spans="2:29" s="31" customFormat="1" ht="14.25" hidden="1" x14ac:dyDescent="0.2"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</row>
    <row r="1257" spans="2:29" s="31" customFormat="1" ht="14.25" hidden="1" x14ac:dyDescent="0.2"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</row>
    <row r="1258" spans="2:29" s="31" customFormat="1" ht="14.25" hidden="1" x14ac:dyDescent="0.2"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</row>
    <row r="1259" spans="2:29" s="31" customFormat="1" ht="14.25" hidden="1" x14ac:dyDescent="0.2"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</row>
    <row r="1260" spans="2:29" s="31" customFormat="1" ht="14.25" hidden="1" x14ac:dyDescent="0.2"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</row>
    <row r="1261" spans="2:29" s="31" customFormat="1" ht="14.25" hidden="1" x14ac:dyDescent="0.2"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</row>
    <row r="1262" spans="2:29" s="31" customFormat="1" ht="14.25" hidden="1" x14ac:dyDescent="0.2"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</row>
    <row r="1263" spans="2:29" s="31" customFormat="1" ht="14.25" hidden="1" x14ac:dyDescent="0.2"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</row>
    <row r="1264" spans="2:29" s="31" customFormat="1" ht="14.25" hidden="1" x14ac:dyDescent="0.2"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</row>
    <row r="1265" spans="2:29" s="31" customFormat="1" ht="14.25" hidden="1" x14ac:dyDescent="0.2"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</row>
    <row r="1266" spans="2:29" s="31" customFormat="1" ht="14.25" hidden="1" x14ac:dyDescent="0.2"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</row>
    <row r="1267" spans="2:29" s="31" customFormat="1" ht="14.25" hidden="1" x14ac:dyDescent="0.2"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</row>
    <row r="1268" spans="2:29" s="31" customFormat="1" ht="14.25" hidden="1" x14ac:dyDescent="0.2"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</row>
    <row r="1269" spans="2:29" s="31" customFormat="1" ht="14.25" hidden="1" x14ac:dyDescent="0.2"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</row>
    <row r="1270" spans="2:29" s="31" customFormat="1" ht="14.25" hidden="1" x14ac:dyDescent="0.2"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</row>
    <row r="1271" spans="2:29" s="31" customFormat="1" ht="14.25" hidden="1" x14ac:dyDescent="0.2"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</row>
    <row r="1272" spans="2:29" s="31" customFormat="1" ht="14.25" hidden="1" x14ac:dyDescent="0.2"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</row>
    <row r="1273" spans="2:29" s="31" customFormat="1" ht="14.25" hidden="1" x14ac:dyDescent="0.2"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</row>
    <row r="1274" spans="2:29" s="31" customFormat="1" ht="14.25" hidden="1" x14ac:dyDescent="0.2"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</row>
    <row r="1275" spans="2:29" s="31" customFormat="1" ht="14.25" hidden="1" x14ac:dyDescent="0.2"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</row>
    <row r="1276" spans="2:29" s="31" customFormat="1" ht="14.25" hidden="1" x14ac:dyDescent="0.2"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</row>
    <row r="1277" spans="2:29" s="31" customFormat="1" ht="14.25" hidden="1" x14ac:dyDescent="0.2"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</row>
    <row r="1278" spans="2:29" s="31" customFormat="1" ht="14.25" hidden="1" x14ac:dyDescent="0.2"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</row>
    <row r="1279" spans="2:29" s="31" customFormat="1" ht="14.25" hidden="1" x14ac:dyDescent="0.2"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</row>
    <row r="1280" spans="2:29" s="31" customFormat="1" ht="14.25" hidden="1" x14ac:dyDescent="0.2"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</row>
    <row r="1281" spans="2:29" s="31" customFormat="1" ht="14.25" hidden="1" x14ac:dyDescent="0.2"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</row>
    <row r="1282" spans="2:29" s="31" customFormat="1" ht="14.25" hidden="1" x14ac:dyDescent="0.2"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</row>
    <row r="1283" spans="2:29" s="31" customFormat="1" ht="14.25" hidden="1" x14ac:dyDescent="0.2"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</row>
    <row r="1284" spans="2:29" s="31" customFormat="1" ht="14.25" hidden="1" x14ac:dyDescent="0.2"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</row>
    <row r="1285" spans="2:29" s="31" customFormat="1" ht="14.25" hidden="1" x14ac:dyDescent="0.2"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</row>
    <row r="1286" spans="2:29" s="31" customFormat="1" ht="14.25" hidden="1" x14ac:dyDescent="0.2"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</row>
    <row r="1287" spans="2:29" s="31" customFormat="1" ht="14.25" hidden="1" x14ac:dyDescent="0.2"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</row>
    <row r="1288" spans="2:29" s="31" customFormat="1" ht="14.25" hidden="1" x14ac:dyDescent="0.2"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</row>
    <row r="1289" spans="2:29" s="31" customFormat="1" ht="14.25" hidden="1" x14ac:dyDescent="0.2"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</row>
    <row r="1290" spans="2:29" s="31" customFormat="1" ht="14.25" hidden="1" x14ac:dyDescent="0.2"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</row>
    <row r="1291" spans="2:29" s="31" customFormat="1" ht="14.25" hidden="1" x14ac:dyDescent="0.2"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</row>
    <row r="1292" spans="2:29" s="31" customFormat="1" ht="14.25" hidden="1" x14ac:dyDescent="0.2"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</row>
    <row r="1293" spans="2:29" s="31" customFormat="1" ht="14.25" hidden="1" x14ac:dyDescent="0.2"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</row>
    <row r="1294" spans="2:29" s="31" customFormat="1" ht="14.25" hidden="1" x14ac:dyDescent="0.2"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</row>
    <row r="1295" spans="2:29" s="31" customFormat="1" ht="14.25" hidden="1" x14ac:dyDescent="0.2"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</row>
    <row r="1296" spans="2:29" s="31" customFormat="1" ht="14.25" hidden="1" x14ac:dyDescent="0.2"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</row>
    <row r="1297" spans="2:29" s="31" customFormat="1" ht="14.25" hidden="1" x14ac:dyDescent="0.2"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</row>
    <row r="1298" spans="2:29" s="31" customFormat="1" ht="14.25" hidden="1" x14ac:dyDescent="0.2"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</row>
    <row r="1299" spans="2:29" s="31" customFormat="1" ht="14.25" hidden="1" x14ac:dyDescent="0.2"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</row>
    <row r="1300" spans="2:29" s="31" customFormat="1" ht="14.25" hidden="1" x14ac:dyDescent="0.2"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</row>
    <row r="1301" spans="2:29" s="31" customFormat="1" ht="14.25" hidden="1" x14ac:dyDescent="0.2"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</row>
    <row r="1302" spans="2:29" s="31" customFormat="1" ht="14.25" hidden="1" x14ac:dyDescent="0.2"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</row>
    <row r="1303" spans="2:29" s="31" customFormat="1" ht="14.25" hidden="1" x14ac:dyDescent="0.2"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</row>
    <row r="1304" spans="2:29" s="31" customFormat="1" ht="14.25" hidden="1" x14ac:dyDescent="0.2"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</row>
    <row r="1305" spans="2:29" s="31" customFormat="1" ht="14.25" hidden="1" x14ac:dyDescent="0.2"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</row>
    <row r="1306" spans="2:29" s="31" customFormat="1" ht="14.25" hidden="1" x14ac:dyDescent="0.2"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</row>
    <row r="1307" spans="2:29" s="31" customFormat="1" ht="14.25" hidden="1" x14ac:dyDescent="0.2"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</row>
    <row r="1308" spans="2:29" s="31" customFormat="1" ht="14.25" hidden="1" x14ac:dyDescent="0.2"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</row>
    <row r="1309" spans="2:29" s="31" customFormat="1" ht="14.25" hidden="1" x14ac:dyDescent="0.2"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</row>
    <row r="1310" spans="2:29" s="31" customFormat="1" ht="14.25" hidden="1" x14ac:dyDescent="0.2"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</row>
    <row r="1311" spans="2:29" s="31" customFormat="1" ht="14.25" hidden="1" x14ac:dyDescent="0.2"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</row>
    <row r="1312" spans="2:29" s="31" customFormat="1" ht="14.25" hidden="1" x14ac:dyDescent="0.2"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</row>
    <row r="1313" spans="2:29" s="31" customFormat="1" ht="14.25" hidden="1" x14ac:dyDescent="0.2"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</row>
    <row r="1314" spans="2:29" s="31" customFormat="1" ht="14.25" hidden="1" x14ac:dyDescent="0.2"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</row>
    <row r="1315" spans="2:29" s="31" customFormat="1" ht="14.25" hidden="1" x14ac:dyDescent="0.2"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</row>
    <row r="1316" spans="2:29" s="31" customFormat="1" ht="14.25" hidden="1" x14ac:dyDescent="0.2"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</row>
    <row r="1317" spans="2:29" s="31" customFormat="1" ht="14.25" hidden="1" x14ac:dyDescent="0.2"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</row>
    <row r="1318" spans="2:29" s="31" customFormat="1" ht="14.25" hidden="1" x14ac:dyDescent="0.2"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</row>
    <row r="1319" spans="2:29" s="31" customFormat="1" ht="14.25" hidden="1" x14ac:dyDescent="0.2"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</row>
    <row r="1320" spans="2:29" s="31" customFormat="1" ht="14.25" hidden="1" x14ac:dyDescent="0.2"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</row>
    <row r="1321" spans="2:29" s="31" customFormat="1" ht="14.25" hidden="1" x14ac:dyDescent="0.2"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</row>
    <row r="1322" spans="2:29" s="31" customFormat="1" ht="14.25" hidden="1" x14ac:dyDescent="0.2"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</row>
    <row r="1323" spans="2:29" s="31" customFormat="1" ht="14.25" hidden="1" x14ac:dyDescent="0.2"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</row>
    <row r="1324" spans="2:29" s="31" customFormat="1" ht="14.25" hidden="1" x14ac:dyDescent="0.2"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</row>
    <row r="1325" spans="2:29" s="31" customFormat="1" ht="14.25" hidden="1" x14ac:dyDescent="0.2"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</row>
    <row r="1326" spans="2:29" s="31" customFormat="1" ht="14.25" hidden="1" x14ac:dyDescent="0.2"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</row>
    <row r="1327" spans="2:29" s="31" customFormat="1" ht="14.25" hidden="1" x14ac:dyDescent="0.2"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</row>
    <row r="1328" spans="2:29" s="31" customFormat="1" ht="14.25" hidden="1" x14ac:dyDescent="0.2"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</row>
    <row r="1329" spans="2:29" s="31" customFormat="1" ht="14.25" hidden="1" x14ac:dyDescent="0.2"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</row>
    <row r="1330" spans="2:29" s="31" customFormat="1" ht="14.25" hidden="1" x14ac:dyDescent="0.2"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</row>
    <row r="1331" spans="2:29" s="31" customFormat="1" ht="14.25" hidden="1" x14ac:dyDescent="0.2"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</row>
    <row r="1332" spans="2:29" s="31" customFormat="1" ht="14.25" hidden="1" x14ac:dyDescent="0.2"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</row>
    <row r="1333" spans="2:29" s="31" customFormat="1" ht="14.25" hidden="1" x14ac:dyDescent="0.2"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</row>
    <row r="1334" spans="2:29" s="31" customFormat="1" ht="14.25" hidden="1" x14ac:dyDescent="0.2"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</row>
    <row r="1335" spans="2:29" s="31" customFormat="1" ht="14.25" hidden="1" x14ac:dyDescent="0.2"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</row>
    <row r="1336" spans="2:29" s="31" customFormat="1" ht="14.25" hidden="1" x14ac:dyDescent="0.2"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</row>
    <row r="1337" spans="2:29" s="31" customFormat="1" ht="14.25" hidden="1" x14ac:dyDescent="0.2"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</row>
    <row r="1338" spans="2:29" s="31" customFormat="1" ht="14.25" hidden="1" x14ac:dyDescent="0.2"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</row>
    <row r="1339" spans="2:29" s="31" customFormat="1" ht="14.25" hidden="1" x14ac:dyDescent="0.2"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</row>
    <row r="1340" spans="2:29" s="31" customFormat="1" ht="14.25" hidden="1" x14ac:dyDescent="0.2"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</row>
    <row r="1341" spans="2:29" s="31" customFormat="1" ht="14.25" hidden="1" x14ac:dyDescent="0.2"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</row>
    <row r="1342" spans="2:29" s="31" customFormat="1" ht="14.25" hidden="1" x14ac:dyDescent="0.2"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</row>
    <row r="1343" spans="2:29" s="31" customFormat="1" ht="14.25" hidden="1" x14ac:dyDescent="0.2"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</row>
    <row r="1344" spans="2:29" s="31" customFormat="1" ht="14.25" hidden="1" x14ac:dyDescent="0.2"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</row>
    <row r="1345" spans="2:29" s="31" customFormat="1" ht="14.25" hidden="1" x14ac:dyDescent="0.2"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</row>
    <row r="1346" spans="2:29" s="31" customFormat="1" ht="14.25" hidden="1" x14ac:dyDescent="0.2"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</row>
    <row r="1347" spans="2:29" s="31" customFormat="1" ht="14.25" hidden="1" x14ac:dyDescent="0.2"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</row>
    <row r="1348" spans="2:29" s="31" customFormat="1" ht="14.25" hidden="1" x14ac:dyDescent="0.2"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</row>
    <row r="1349" spans="2:29" s="31" customFormat="1" ht="14.25" hidden="1" x14ac:dyDescent="0.2"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</row>
    <row r="1350" spans="2:29" s="31" customFormat="1" ht="14.25" hidden="1" x14ac:dyDescent="0.2"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</row>
    <row r="1351" spans="2:29" s="31" customFormat="1" ht="14.25" hidden="1" x14ac:dyDescent="0.2"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</row>
    <row r="1352" spans="2:29" s="31" customFormat="1" ht="14.25" hidden="1" x14ac:dyDescent="0.2"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</row>
    <row r="1353" spans="2:29" s="31" customFormat="1" ht="14.25" hidden="1" x14ac:dyDescent="0.2"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</row>
    <row r="1354" spans="2:29" s="31" customFormat="1" ht="14.25" hidden="1" x14ac:dyDescent="0.2"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</row>
    <row r="1355" spans="2:29" s="31" customFormat="1" ht="14.25" hidden="1" x14ac:dyDescent="0.2"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</row>
    <row r="1356" spans="2:29" s="31" customFormat="1" ht="14.25" hidden="1" x14ac:dyDescent="0.2"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</row>
    <row r="1357" spans="2:29" s="31" customFormat="1" ht="14.25" hidden="1" x14ac:dyDescent="0.2"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</row>
    <row r="1358" spans="2:29" s="31" customFormat="1" ht="14.25" hidden="1" x14ac:dyDescent="0.2"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</row>
    <row r="1359" spans="2:29" s="31" customFormat="1" ht="14.25" hidden="1" x14ac:dyDescent="0.2"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</row>
    <row r="1360" spans="2:29" s="31" customFormat="1" ht="14.25" hidden="1" x14ac:dyDescent="0.2"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</row>
    <row r="1361" spans="2:29" s="31" customFormat="1" ht="14.25" hidden="1" x14ac:dyDescent="0.2"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</row>
    <row r="1362" spans="2:29" s="31" customFormat="1" ht="14.25" hidden="1" x14ac:dyDescent="0.2"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</row>
    <row r="1363" spans="2:29" s="31" customFormat="1" ht="14.25" hidden="1" x14ac:dyDescent="0.2"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</row>
    <row r="1364" spans="2:29" s="31" customFormat="1" ht="14.25" hidden="1" x14ac:dyDescent="0.2"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</row>
    <row r="1365" spans="2:29" s="31" customFormat="1" ht="14.25" hidden="1" x14ac:dyDescent="0.2"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</row>
    <row r="1366" spans="2:29" s="31" customFormat="1" ht="14.25" hidden="1" x14ac:dyDescent="0.2"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</row>
    <row r="1367" spans="2:29" s="31" customFormat="1" ht="14.25" hidden="1" x14ac:dyDescent="0.2"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</row>
    <row r="1368" spans="2:29" s="31" customFormat="1" ht="14.25" hidden="1" x14ac:dyDescent="0.2"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</row>
    <row r="1369" spans="2:29" s="31" customFormat="1" ht="14.25" hidden="1" x14ac:dyDescent="0.2"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</row>
    <row r="1370" spans="2:29" s="31" customFormat="1" ht="14.25" hidden="1" x14ac:dyDescent="0.2"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</row>
    <row r="1371" spans="2:29" s="31" customFormat="1" ht="14.25" hidden="1" x14ac:dyDescent="0.2"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</row>
    <row r="1372" spans="2:29" s="31" customFormat="1" ht="14.25" hidden="1" x14ac:dyDescent="0.2"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</row>
    <row r="1373" spans="2:29" s="31" customFormat="1" ht="14.25" hidden="1" x14ac:dyDescent="0.2"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</row>
    <row r="1374" spans="2:29" s="31" customFormat="1" ht="14.25" hidden="1" x14ac:dyDescent="0.2"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</row>
    <row r="1375" spans="2:29" s="31" customFormat="1" ht="14.25" hidden="1" x14ac:dyDescent="0.2"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</row>
    <row r="1376" spans="2:29" s="31" customFormat="1" ht="14.25" hidden="1" x14ac:dyDescent="0.2"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</row>
    <row r="1377" spans="2:29" s="31" customFormat="1" ht="14.25" hidden="1" x14ac:dyDescent="0.2"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</row>
    <row r="1378" spans="2:29" s="31" customFormat="1" ht="14.25" hidden="1" x14ac:dyDescent="0.2"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</row>
    <row r="1379" spans="2:29" s="31" customFormat="1" ht="14.25" hidden="1" x14ac:dyDescent="0.2"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</row>
    <row r="1380" spans="2:29" s="31" customFormat="1" ht="14.25" hidden="1" x14ac:dyDescent="0.2"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</row>
    <row r="1381" spans="2:29" s="31" customFormat="1" ht="14.25" hidden="1" x14ac:dyDescent="0.2"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</row>
    <row r="1382" spans="2:29" s="31" customFormat="1" ht="14.25" hidden="1" x14ac:dyDescent="0.2"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</row>
    <row r="1383" spans="2:29" s="31" customFormat="1" ht="14.25" hidden="1" x14ac:dyDescent="0.2"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</row>
    <row r="1384" spans="2:29" s="31" customFormat="1" ht="14.25" hidden="1" x14ac:dyDescent="0.2"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</row>
    <row r="1385" spans="2:29" s="31" customFormat="1" ht="14.25" hidden="1" x14ac:dyDescent="0.2"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</row>
    <row r="1386" spans="2:29" s="31" customFormat="1" ht="14.25" hidden="1" x14ac:dyDescent="0.2"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</row>
    <row r="1387" spans="2:29" s="31" customFormat="1" ht="14.25" hidden="1" x14ac:dyDescent="0.2"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</row>
    <row r="1388" spans="2:29" s="31" customFormat="1" ht="14.25" hidden="1" x14ac:dyDescent="0.2"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</row>
    <row r="1389" spans="2:29" s="31" customFormat="1" ht="14.25" hidden="1" x14ac:dyDescent="0.2"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</row>
    <row r="1390" spans="2:29" s="31" customFormat="1" ht="14.25" hidden="1" x14ac:dyDescent="0.2"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</row>
    <row r="1391" spans="2:29" s="31" customFormat="1" ht="14.25" hidden="1" x14ac:dyDescent="0.2"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</row>
    <row r="1392" spans="2:29" s="31" customFormat="1" ht="14.25" hidden="1" x14ac:dyDescent="0.2"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</row>
    <row r="1393" spans="2:29" s="31" customFormat="1" ht="14.25" hidden="1" x14ac:dyDescent="0.2"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</row>
    <row r="1394" spans="2:29" s="31" customFormat="1" ht="14.25" hidden="1" x14ac:dyDescent="0.2"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</row>
    <row r="1395" spans="2:29" s="31" customFormat="1" ht="14.25" hidden="1" x14ac:dyDescent="0.2"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</row>
    <row r="1396" spans="2:29" s="31" customFormat="1" ht="14.25" hidden="1" x14ac:dyDescent="0.2"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</row>
    <row r="1397" spans="2:29" s="31" customFormat="1" ht="14.25" hidden="1" x14ac:dyDescent="0.2"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</row>
    <row r="1398" spans="2:29" s="31" customFormat="1" ht="14.25" hidden="1" x14ac:dyDescent="0.2"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</row>
    <row r="1399" spans="2:29" s="31" customFormat="1" ht="14.25" hidden="1" x14ac:dyDescent="0.2"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</row>
    <row r="1400" spans="2:29" s="31" customFormat="1" ht="14.25" hidden="1" x14ac:dyDescent="0.2"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</row>
    <row r="1401" spans="2:29" s="31" customFormat="1" ht="14.25" hidden="1" x14ac:dyDescent="0.2"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</row>
    <row r="1402" spans="2:29" s="31" customFormat="1" ht="14.25" hidden="1" x14ac:dyDescent="0.2"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</row>
    <row r="1403" spans="2:29" s="31" customFormat="1" ht="14.25" hidden="1" x14ac:dyDescent="0.2"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</row>
    <row r="1404" spans="2:29" s="31" customFormat="1" ht="14.25" hidden="1" x14ac:dyDescent="0.2"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</row>
    <row r="1405" spans="2:29" s="31" customFormat="1" ht="14.25" hidden="1" x14ac:dyDescent="0.2"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 spans="2:29" s="31" customFormat="1" ht="14.25" hidden="1" x14ac:dyDescent="0.2"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</row>
    <row r="1407" spans="2:29" s="31" customFormat="1" ht="14.25" hidden="1" x14ac:dyDescent="0.2"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</row>
    <row r="1408" spans="2:29" s="31" customFormat="1" ht="14.25" hidden="1" x14ac:dyDescent="0.2"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</row>
    <row r="1409" spans="2:29" s="31" customFormat="1" ht="14.25" hidden="1" x14ac:dyDescent="0.2"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</row>
    <row r="1410" spans="2:29" s="31" customFormat="1" ht="14.25" hidden="1" x14ac:dyDescent="0.2"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</row>
    <row r="1411" spans="2:29" s="31" customFormat="1" ht="14.25" hidden="1" x14ac:dyDescent="0.2"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</row>
    <row r="1412" spans="2:29" s="31" customFormat="1" ht="14.25" hidden="1" x14ac:dyDescent="0.2"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</row>
    <row r="1413" spans="2:29" s="31" customFormat="1" ht="14.25" hidden="1" x14ac:dyDescent="0.2"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</row>
    <row r="1414" spans="2:29" s="31" customFormat="1" ht="14.25" hidden="1" x14ac:dyDescent="0.2"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</row>
    <row r="1415" spans="2:29" s="31" customFormat="1" ht="14.25" hidden="1" x14ac:dyDescent="0.2"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</row>
    <row r="1416" spans="2:29" s="31" customFormat="1" ht="14.25" hidden="1" x14ac:dyDescent="0.2"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</row>
    <row r="1417" spans="2:29" s="31" customFormat="1" ht="14.25" hidden="1" x14ac:dyDescent="0.2"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</row>
    <row r="1418" spans="2:29" s="31" customFormat="1" ht="14.25" hidden="1" x14ac:dyDescent="0.2"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</row>
    <row r="1419" spans="2:29" s="31" customFormat="1" ht="14.25" hidden="1" x14ac:dyDescent="0.2"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</row>
    <row r="1420" spans="2:29" s="31" customFormat="1" ht="14.25" hidden="1" x14ac:dyDescent="0.2"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</row>
    <row r="1421" spans="2:29" s="31" customFormat="1" ht="14.25" hidden="1" x14ac:dyDescent="0.2"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</row>
    <row r="1422" spans="2:29" s="31" customFormat="1" ht="14.25" hidden="1" x14ac:dyDescent="0.2"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</row>
    <row r="1423" spans="2:29" s="31" customFormat="1" ht="14.25" hidden="1" x14ac:dyDescent="0.2"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</row>
    <row r="1424" spans="2:29" s="31" customFormat="1" ht="14.25" hidden="1" x14ac:dyDescent="0.2"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</row>
    <row r="1425" spans="2:29" s="31" customFormat="1" ht="14.25" hidden="1" x14ac:dyDescent="0.2"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</row>
    <row r="1426" spans="2:29" s="31" customFormat="1" ht="14.25" hidden="1" x14ac:dyDescent="0.2"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</row>
    <row r="1427" spans="2:29" s="31" customFormat="1" ht="14.25" hidden="1" x14ac:dyDescent="0.2"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</row>
    <row r="1428" spans="2:29" s="31" customFormat="1" ht="14.25" hidden="1" x14ac:dyDescent="0.2"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</row>
    <row r="1429" spans="2:29" s="31" customFormat="1" ht="14.25" hidden="1" x14ac:dyDescent="0.2"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</row>
    <row r="1430" spans="2:29" s="31" customFormat="1" ht="14.25" hidden="1" x14ac:dyDescent="0.2"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</row>
    <row r="1431" spans="2:29" s="31" customFormat="1" ht="14.25" hidden="1" x14ac:dyDescent="0.2"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</row>
    <row r="1432" spans="2:29" s="31" customFormat="1" ht="14.25" hidden="1" x14ac:dyDescent="0.2"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</row>
    <row r="1433" spans="2:29" s="31" customFormat="1" ht="14.25" hidden="1" x14ac:dyDescent="0.2"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</row>
    <row r="1434" spans="2:29" s="31" customFormat="1" ht="14.25" hidden="1" x14ac:dyDescent="0.2"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</row>
    <row r="1435" spans="2:29" s="31" customFormat="1" ht="14.25" hidden="1" x14ac:dyDescent="0.2"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</row>
    <row r="1436" spans="2:29" s="31" customFormat="1" ht="14.25" hidden="1" x14ac:dyDescent="0.2"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</row>
    <row r="1437" spans="2:29" s="31" customFormat="1" ht="14.25" hidden="1" x14ac:dyDescent="0.2"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</row>
    <row r="1438" spans="2:29" s="31" customFormat="1" ht="14.25" hidden="1" x14ac:dyDescent="0.2"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</row>
    <row r="1439" spans="2:29" s="31" customFormat="1" ht="14.25" hidden="1" x14ac:dyDescent="0.2"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</row>
    <row r="1440" spans="2:29" s="31" customFormat="1" ht="14.25" hidden="1" x14ac:dyDescent="0.2"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</row>
    <row r="1441" spans="2:29" s="31" customFormat="1" ht="14.25" hidden="1" x14ac:dyDescent="0.2"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</row>
    <row r="1442" spans="2:29" s="31" customFormat="1" ht="14.25" hidden="1" x14ac:dyDescent="0.2"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</row>
    <row r="1443" spans="2:29" s="31" customFormat="1" ht="14.25" hidden="1" x14ac:dyDescent="0.2"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</row>
    <row r="1444" spans="2:29" s="31" customFormat="1" ht="14.25" hidden="1" x14ac:dyDescent="0.2"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</row>
    <row r="1445" spans="2:29" s="31" customFormat="1" ht="14.25" hidden="1" x14ac:dyDescent="0.2"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</row>
    <row r="1446" spans="2:29" s="31" customFormat="1" ht="14.25" hidden="1" x14ac:dyDescent="0.2"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</row>
    <row r="1447" spans="2:29" s="31" customFormat="1" ht="14.25" hidden="1" x14ac:dyDescent="0.2"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</row>
    <row r="1448" spans="2:29" s="31" customFormat="1" ht="14.25" hidden="1" x14ac:dyDescent="0.2"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</row>
    <row r="1449" spans="2:29" s="31" customFormat="1" ht="14.25" hidden="1" x14ac:dyDescent="0.2"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</row>
    <row r="1450" spans="2:29" s="31" customFormat="1" ht="14.25" hidden="1" x14ac:dyDescent="0.2"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</row>
    <row r="1451" spans="2:29" s="31" customFormat="1" ht="14.25" hidden="1" x14ac:dyDescent="0.2"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</row>
    <row r="1452" spans="2:29" s="31" customFormat="1" ht="14.25" hidden="1" x14ac:dyDescent="0.2"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</row>
    <row r="1453" spans="2:29" s="31" customFormat="1" ht="14.25" hidden="1" x14ac:dyDescent="0.2"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</row>
    <row r="1454" spans="2:29" s="31" customFormat="1" ht="14.25" hidden="1" x14ac:dyDescent="0.2"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</row>
    <row r="1455" spans="2:29" s="31" customFormat="1" ht="14.25" hidden="1" x14ac:dyDescent="0.2"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</row>
    <row r="1456" spans="2:29" s="31" customFormat="1" ht="14.25" hidden="1" x14ac:dyDescent="0.2"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</row>
    <row r="1457" spans="2:29" s="31" customFormat="1" ht="14.25" hidden="1" x14ac:dyDescent="0.2"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</row>
    <row r="1458" spans="2:29" s="31" customFormat="1" ht="14.25" hidden="1" x14ac:dyDescent="0.2"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</row>
    <row r="1459" spans="2:29" s="31" customFormat="1" ht="14.25" hidden="1" x14ac:dyDescent="0.2"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</row>
    <row r="1460" spans="2:29" s="31" customFormat="1" ht="14.25" hidden="1" x14ac:dyDescent="0.2"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</row>
    <row r="1461" spans="2:29" s="31" customFormat="1" ht="14.25" hidden="1" x14ac:dyDescent="0.2"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</row>
    <row r="1462" spans="2:29" s="31" customFormat="1" ht="14.25" hidden="1" x14ac:dyDescent="0.2"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</row>
    <row r="1463" spans="2:29" s="31" customFormat="1" ht="14.25" hidden="1" x14ac:dyDescent="0.2"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</row>
    <row r="1464" spans="2:29" s="31" customFormat="1" ht="14.25" hidden="1" x14ac:dyDescent="0.2"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</row>
    <row r="1465" spans="2:29" s="31" customFormat="1" ht="14.25" hidden="1" x14ac:dyDescent="0.2"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</row>
    <row r="1466" spans="2:29" s="31" customFormat="1" ht="14.25" hidden="1" x14ac:dyDescent="0.2"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</row>
    <row r="1467" spans="2:29" s="31" customFormat="1" ht="14.25" hidden="1" x14ac:dyDescent="0.2"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</row>
    <row r="1468" spans="2:29" s="31" customFormat="1" ht="14.25" hidden="1" x14ac:dyDescent="0.2"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</row>
    <row r="1469" spans="2:29" s="31" customFormat="1" ht="14.25" hidden="1" x14ac:dyDescent="0.2"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</row>
    <row r="1470" spans="2:29" s="31" customFormat="1" ht="14.25" hidden="1" x14ac:dyDescent="0.2"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</row>
    <row r="1471" spans="2:29" s="31" customFormat="1" ht="14.25" hidden="1" x14ac:dyDescent="0.2"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</row>
    <row r="1472" spans="2:29" s="31" customFormat="1" ht="14.25" hidden="1" x14ac:dyDescent="0.2"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</row>
    <row r="1473" spans="2:29" s="31" customFormat="1" ht="14.25" hidden="1" x14ac:dyDescent="0.2"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</row>
    <row r="1474" spans="2:29" s="31" customFormat="1" ht="14.25" hidden="1" x14ac:dyDescent="0.2"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</row>
    <row r="1475" spans="2:29" s="31" customFormat="1" ht="14.25" hidden="1" x14ac:dyDescent="0.2"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</row>
    <row r="1476" spans="2:29" s="31" customFormat="1" ht="14.25" hidden="1" x14ac:dyDescent="0.2"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</row>
    <row r="1477" spans="2:29" s="31" customFormat="1" ht="14.25" hidden="1" x14ac:dyDescent="0.2"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</row>
    <row r="1478" spans="2:29" s="31" customFormat="1" ht="14.25" hidden="1" x14ac:dyDescent="0.2"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</row>
    <row r="1479" spans="2:29" s="31" customFormat="1" ht="14.25" hidden="1" x14ac:dyDescent="0.2"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</row>
    <row r="1480" spans="2:29" s="31" customFormat="1" ht="14.25" hidden="1" x14ac:dyDescent="0.2"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</row>
    <row r="1481" spans="2:29" s="31" customFormat="1" ht="14.25" hidden="1" x14ac:dyDescent="0.2"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</row>
    <row r="1482" spans="2:29" s="31" customFormat="1" ht="14.25" hidden="1" x14ac:dyDescent="0.2"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</row>
    <row r="1483" spans="2:29" s="31" customFormat="1" ht="14.25" hidden="1" x14ac:dyDescent="0.2"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</row>
    <row r="1484" spans="2:29" s="31" customFormat="1" ht="14.25" hidden="1" x14ac:dyDescent="0.2"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</row>
    <row r="1485" spans="2:29" s="31" customFormat="1" ht="14.25" hidden="1" x14ac:dyDescent="0.2"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</row>
    <row r="1486" spans="2:29" s="31" customFormat="1" ht="14.25" hidden="1" x14ac:dyDescent="0.2"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</row>
    <row r="1487" spans="2:29" s="31" customFormat="1" ht="14.25" hidden="1" x14ac:dyDescent="0.2"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</row>
    <row r="1488" spans="2:29" s="31" customFormat="1" ht="14.25" hidden="1" x14ac:dyDescent="0.2"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</row>
    <row r="1489" spans="2:29" s="31" customFormat="1" ht="15" hidden="1" customHeight="1" x14ac:dyDescent="0.2"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</row>
    <row r="1490" spans="2:29" s="31" customFormat="1" ht="15" hidden="1" customHeight="1" x14ac:dyDescent="0.2"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</row>
    <row r="1491" spans="2:29" s="31" customFormat="1" ht="15" hidden="1" customHeight="1" x14ac:dyDescent="0.2"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</row>
    <row r="1492" spans="2:29" s="31" customFormat="1" ht="15" hidden="1" customHeight="1" x14ac:dyDescent="0.2"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</row>
    <row r="1493" spans="2:29" s="31" customFormat="1" ht="15" hidden="1" customHeight="1" x14ac:dyDescent="0.2"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</row>
    <row r="1494" spans="2:29" s="31" customFormat="1" ht="15" hidden="1" customHeight="1" x14ac:dyDescent="0.2"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</row>
    <row r="1495" spans="2:29" s="31" customFormat="1" ht="15" hidden="1" customHeight="1" x14ac:dyDescent="0.2"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</row>
    <row r="1496" spans="2:29" s="31" customFormat="1" ht="15" hidden="1" customHeight="1" x14ac:dyDescent="0.2"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</row>
    <row r="1497" spans="2:29" s="31" customFormat="1" ht="15" hidden="1" customHeight="1" x14ac:dyDescent="0.2"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</row>
    <row r="1498" spans="2:29" s="31" customFormat="1" ht="15" hidden="1" customHeight="1" x14ac:dyDescent="0.2"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</row>
    <row r="1499" spans="2:29" s="31" customFormat="1" ht="15" hidden="1" customHeight="1" x14ac:dyDescent="0.2"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</row>
    <row r="1500" spans="2:29" s="31" customFormat="1" ht="15" hidden="1" customHeight="1" x14ac:dyDescent="0.2"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</row>
    <row r="1501" spans="2:29" s="31" customFormat="1" ht="15" hidden="1" customHeight="1" x14ac:dyDescent="0.2"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</row>
    <row r="1502" spans="2:29" s="31" customFormat="1" ht="15" hidden="1" customHeight="1" x14ac:dyDescent="0.2"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</row>
    <row r="1503" spans="2:29" s="31" customFormat="1" ht="15" hidden="1" customHeight="1" x14ac:dyDescent="0.2"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</row>
    <row r="1504" spans="2:29" s="31" customFormat="1" ht="15" hidden="1" customHeight="1" x14ac:dyDescent="0.2"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</row>
    <row r="1505" spans="2:29" s="31" customFormat="1" ht="15" hidden="1" customHeight="1" x14ac:dyDescent="0.2"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</row>
    <row r="1506" spans="2:29" s="31" customFormat="1" ht="15" hidden="1" customHeight="1" x14ac:dyDescent="0.2"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</row>
    <row r="1507" spans="2:29" s="31" customFormat="1" ht="15" hidden="1" customHeight="1" x14ac:dyDescent="0.2"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</row>
    <row r="1508" spans="2:29" s="31" customFormat="1" ht="15" hidden="1" customHeight="1" x14ac:dyDescent="0.2"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</row>
    <row r="1509" spans="2:29" s="31" customFormat="1" ht="15" hidden="1" customHeight="1" x14ac:dyDescent="0.2"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</row>
    <row r="1510" spans="2:29" s="31" customFormat="1" ht="15" hidden="1" customHeight="1" x14ac:dyDescent="0.2"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</row>
    <row r="1511" spans="2:29" s="31" customFormat="1" ht="15" hidden="1" customHeight="1" x14ac:dyDescent="0.2"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</row>
    <row r="1512" spans="2:29" s="31" customFormat="1" ht="15" hidden="1" customHeight="1" x14ac:dyDescent="0.2"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</row>
    <row r="1513" spans="2:29" s="31" customFormat="1" ht="15" hidden="1" customHeight="1" x14ac:dyDescent="0.2"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</row>
    <row r="1514" spans="2:29" s="31" customFormat="1" ht="15" hidden="1" customHeight="1" x14ac:dyDescent="0.2"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</row>
    <row r="1515" spans="2:29" s="31" customFormat="1" ht="15" hidden="1" customHeight="1" x14ac:dyDescent="0.2"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</row>
    <row r="1516" spans="2:29" s="31" customFormat="1" ht="15" hidden="1" customHeight="1" x14ac:dyDescent="0.2"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</row>
    <row r="1517" spans="2:29" s="31" customFormat="1" ht="15" hidden="1" customHeight="1" x14ac:dyDescent="0.2"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</row>
    <row r="1518" spans="2:29" s="31" customFormat="1" ht="15" hidden="1" customHeight="1" x14ac:dyDescent="0.2"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</row>
    <row r="1519" spans="2:29" s="31" customFormat="1" ht="15" hidden="1" customHeight="1" x14ac:dyDescent="0.2"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</row>
    <row r="1520" spans="2:29" s="31" customFormat="1" ht="15" hidden="1" customHeight="1" x14ac:dyDescent="0.2"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</row>
    <row r="1521" spans="2:29" s="31" customFormat="1" ht="15" hidden="1" customHeight="1" x14ac:dyDescent="0.2"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</row>
    <row r="1522" spans="2:29" s="31" customFormat="1" ht="15" hidden="1" customHeight="1" x14ac:dyDescent="0.2"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</row>
    <row r="1523" spans="2:29" s="31" customFormat="1" ht="15" hidden="1" customHeight="1" x14ac:dyDescent="0.2"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</row>
    <row r="1524" spans="2:29" s="31" customFormat="1" ht="15" hidden="1" customHeight="1" x14ac:dyDescent="0.2"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</row>
    <row r="1525" spans="2:29" s="31" customFormat="1" ht="15" hidden="1" customHeight="1" x14ac:dyDescent="0.2"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</row>
    <row r="1526" spans="2:29" s="31" customFormat="1" ht="15" hidden="1" customHeight="1" x14ac:dyDescent="0.2"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</row>
    <row r="1527" spans="2:29" s="31" customFormat="1" ht="15" hidden="1" customHeight="1" x14ac:dyDescent="0.2"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</row>
    <row r="1528" spans="2:29" s="31" customFormat="1" ht="15" hidden="1" customHeight="1" x14ac:dyDescent="0.2"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</row>
    <row r="1529" spans="2:29" s="31" customFormat="1" ht="15" hidden="1" customHeight="1" x14ac:dyDescent="0.2"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</row>
    <row r="1530" spans="2:29" s="31" customFormat="1" ht="15" hidden="1" customHeight="1" x14ac:dyDescent="0.2"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</row>
    <row r="1531" spans="2:29" s="31" customFormat="1" ht="15" hidden="1" customHeight="1" x14ac:dyDescent="0.2"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</row>
    <row r="1532" spans="2:29" s="31" customFormat="1" ht="15" hidden="1" customHeight="1" x14ac:dyDescent="0.2"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</row>
    <row r="1533" spans="2:29" s="31" customFormat="1" ht="15" hidden="1" customHeight="1" x14ac:dyDescent="0.2"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</row>
    <row r="1534" spans="2:29" s="31" customFormat="1" ht="15" hidden="1" customHeight="1" x14ac:dyDescent="0.2"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</row>
    <row r="1535" spans="2:29" s="31" customFormat="1" ht="15" hidden="1" customHeight="1" x14ac:dyDescent="0.2"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</row>
    <row r="1536" spans="2:29" s="31" customFormat="1" ht="15" hidden="1" customHeight="1" x14ac:dyDescent="0.2"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</row>
    <row r="1537" spans="2:29" s="31" customFormat="1" ht="15" hidden="1" customHeight="1" x14ac:dyDescent="0.2"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</row>
    <row r="1538" spans="2:29" s="31" customFormat="1" ht="15" hidden="1" customHeight="1" x14ac:dyDescent="0.2"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</row>
    <row r="1539" spans="2:29" s="31" customFormat="1" ht="15" hidden="1" customHeight="1" x14ac:dyDescent="0.2"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</row>
    <row r="1540" spans="2:29" s="31" customFormat="1" ht="15" hidden="1" customHeight="1" x14ac:dyDescent="0.2"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</row>
    <row r="1541" spans="2:29" s="31" customFormat="1" ht="15" hidden="1" customHeight="1" x14ac:dyDescent="0.2"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</row>
    <row r="1542" spans="2:29" s="31" customFormat="1" ht="15" hidden="1" customHeight="1" x14ac:dyDescent="0.2"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</row>
    <row r="1543" spans="2:29" s="31" customFormat="1" ht="15" hidden="1" customHeight="1" x14ac:dyDescent="0.2"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</row>
    <row r="1544" spans="2:29" s="31" customFormat="1" ht="15" hidden="1" customHeight="1" x14ac:dyDescent="0.2"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</row>
    <row r="1545" spans="2:29" s="31" customFormat="1" ht="15" hidden="1" customHeight="1" x14ac:dyDescent="0.2"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</row>
    <row r="1546" spans="2:29" s="31" customFormat="1" ht="15" hidden="1" customHeight="1" x14ac:dyDescent="0.2"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</row>
    <row r="1547" spans="2:29" s="31" customFormat="1" ht="15" hidden="1" customHeight="1" x14ac:dyDescent="0.2"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</row>
    <row r="1548" spans="2:29" s="31" customFormat="1" ht="15" hidden="1" customHeight="1" x14ac:dyDescent="0.2"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</row>
    <row r="1549" spans="2:29" s="31" customFormat="1" ht="15" hidden="1" customHeight="1" x14ac:dyDescent="0.2"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</row>
    <row r="1550" spans="2:29" s="31" customFormat="1" ht="15" hidden="1" customHeight="1" x14ac:dyDescent="0.2"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</row>
    <row r="1551" spans="2:29" s="31" customFormat="1" ht="15" hidden="1" customHeight="1" x14ac:dyDescent="0.2"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</row>
    <row r="1552" spans="2:29" s="31" customFormat="1" ht="15" hidden="1" customHeight="1" x14ac:dyDescent="0.2"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</row>
    <row r="1553" spans="2:29" s="31" customFormat="1" ht="15" hidden="1" customHeight="1" x14ac:dyDescent="0.2"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</row>
    <row r="1554" spans="2:29" ht="15" hidden="1" customHeight="1" x14ac:dyDescent="0.2"/>
    <row r="1555" spans="2:29" ht="15" hidden="1" customHeight="1" x14ac:dyDescent="0.2"/>
    <row r="1556" spans="2:29" ht="15" hidden="1" customHeight="1" x14ac:dyDescent="0.2"/>
    <row r="1557" spans="2:29" ht="15" hidden="1" customHeight="1" x14ac:dyDescent="0.2"/>
    <row r="1558" spans="2:29" ht="15" hidden="1" customHeight="1" x14ac:dyDescent="0.2"/>
    <row r="1559" spans="2:29" ht="15" hidden="1" customHeight="1" x14ac:dyDescent="0.2"/>
    <row r="1560" spans="2:29" ht="15" hidden="1" customHeight="1" x14ac:dyDescent="0.2"/>
    <row r="1561" spans="2:29" ht="15" hidden="1" customHeight="1" x14ac:dyDescent="0.2"/>
    <row r="1562" spans="2:29" ht="15" hidden="1" customHeight="1" x14ac:dyDescent="0.2"/>
    <row r="1563" spans="2:29" ht="15" hidden="1" customHeight="1" x14ac:dyDescent="0.2"/>
    <row r="1564" spans="2:29" ht="15" hidden="1" customHeight="1" x14ac:dyDescent="0.2"/>
    <row r="1565" spans="2:29" ht="15" hidden="1" customHeight="1" x14ac:dyDescent="0.2"/>
    <row r="1566" spans="2:29" ht="15" hidden="1" customHeight="1" x14ac:dyDescent="0.2"/>
    <row r="1567" spans="2:29" ht="15" hidden="1" customHeight="1" x14ac:dyDescent="0.2"/>
    <row r="1568" spans="2:29" ht="15" hidden="1" customHeight="1" x14ac:dyDescent="0.2"/>
    <row r="1569" ht="15" hidden="1" customHeight="1" x14ac:dyDescent="0.2"/>
    <row r="1570" ht="15" hidden="1" customHeight="1" x14ac:dyDescent="0.2"/>
    <row r="1571" ht="15" hidden="1" customHeight="1" x14ac:dyDescent="0.2"/>
    <row r="1572" ht="15" hidden="1" customHeight="1" x14ac:dyDescent="0.2"/>
    <row r="1573" ht="15" hidden="1" customHeight="1" x14ac:dyDescent="0.2"/>
    <row r="1574" ht="15" hidden="1" customHeight="1" x14ac:dyDescent="0.2"/>
    <row r="1575" ht="15" hidden="1" customHeight="1" x14ac:dyDescent="0.2"/>
    <row r="1576" ht="15" hidden="1" customHeight="1" x14ac:dyDescent="0.2"/>
    <row r="1577" ht="15" hidden="1" customHeight="1" x14ac:dyDescent="0.2"/>
    <row r="1578" ht="15" hidden="1" customHeight="1" x14ac:dyDescent="0.2"/>
    <row r="1579" ht="15" hidden="1" customHeight="1" x14ac:dyDescent="0.2"/>
    <row r="1580" ht="15" hidden="1" customHeight="1" x14ac:dyDescent="0.2"/>
    <row r="1581" ht="15" hidden="1" customHeight="1" x14ac:dyDescent="0.2"/>
    <row r="1582" ht="15" hidden="1" customHeight="1" x14ac:dyDescent="0.2"/>
    <row r="1583" ht="15" hidden="1" customHeight="1" x14ac:dyDescent="0.2"/>
    <row r="1584" ht="15" hidden="1" customHeight="1" x14ac:dyDescent="0.2"/>
    <row r="1585" ht="15" hidden="1" customHeight="1" x14ac:dyDescent="0.2"/>
    <row r="1586" ht="15" hidden="1" customHeight="1" x14ac:dyDescent="0.2"/>
    <row r="1587" ht="15" hidden="1" customHeight="1" x14ac:dyDescent="0.2"/>
    <row r="1588" ht="15" hidden="1" customHeight="1" x14ac:dyDescent="0.2"/>
    <row r="1589" ht="15" hidden="1" customHeight="1" x14ac:dyDescent="0.2"/>
    <row r="1590" ht="15" hidden="1" customHeight="1" x14ac:dyDescent="0.2"/>
    <row r="1591" ht="15" hidden="1" customHeight="1" x14ac:dyDescent="0.2"/>
    <row r="1592" ht="15" hidden="1" customHeight="1" x14ac:dyDescent="0.2"/>
    <row r="1593" ht="15" hidden="1" customHeight="1" x14ac:dyDescent="0.2"/>
    <row r="1594" ht="15" hidden="1" customHeight="1" x14ac:dyDescent="0.2"/>
    <row r="1595" ht="15" hidden="1" customHeight="1" x14ac:dyDescent="0.2"/>
    <row r="1596" ht="15" hidden="1" customHeight="1" x14ac:dyDescent="0.2"/>
    <row r="1597" ht="15" hidden="1" customHeight="1" x14ac:dyDescent="0.2"/>
    <row r="1598" ht="15" hidden="1" customHeight="1" x14ac:dyDescent="0.2"/>
    <row r="1599" ht="15" hidden="1" customHeight="1" x14ac:dyDescent="0.2"/>
    <row r="1600" ht="15" hidden="1" customHeight="1" x14ac:dyDescent="0.2"/>
    <row r="1601" ht="15" hidden="1" customHeight="1" x14ac:dyDescent="0.2"/>
    <row r="1602" ht="15" hidden="1" customHeight="1" x14ac:dyDescent="0.2"/>
    <row r="1603" ht="15" hidden="1" customHeight="1" x14ac:dyDescent="0.2"/>
    <row r="1604" ht="15" hidden="1" customHeight="1" x14ac:dyDescent="0.2"/>
    <row r="1605" ht="15" hidden="1" customHeight="1" x14ac:dyDescent="0.2"/>
    <row r="1606" ht="15" hidden="1" customHeight="1" x14ac:dyDescent="0.2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26:E27"/>
    <mergeCell ref="E10:E11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80" zoomScaleNormal="80" workbookViewId="0">
      <selection activeCell="C19" sqref="C19"/>
    </sheetView>
  </sheetViews>
  <sheetFormatPr defaultColWidth="0" defaultRowHeight="0" customHeight="1" zeroHeight="1" x14ac:dyDescent="0.25"/>
  <cols>
    <col min="1" max="1" width="3.5703125" style="3" customWidth="1"/>
    <col min="2" max="5" width="25.5703125" customWidth="1"/>
    <col min="6" max="6" width="3.28515625" customWidth="1"/>
    <col min="7" max="7" width="15.7109375" hidden="1" customWidth="1"/>
    <col min="8" max="8" width="13.42578125" hidden="1" customWidth="1"/>
    <col min="9" max="9" width="18" hidden="1" customWidth="1"/>
    <col min="10" max="10" width="23.28515625" hidden="1" customWidth="1"/>
    <col min="11" max="12" width="15.7109375" hidden="1" customWidth="1"/>
    <col min="13" max="13" width="3.28515625" hidden="1" customWidth="1"/>
    <col min="14" max="29" width="0" hidden="1" customWidth="1"/>
    <col min="30" max="16384" width="9" hidden="1"/>
  </cols>
  <sheetData>
    <row r="1" spans="1:27" ht="15" x14ac:dyDescent="0.25">
      <c r="A1" s="9"/>
      <c r="B1" s="10"/>
      <c r="C1" s="10"/>
      <c r="D1" s="10"/>
      <c r="E1" s="10"/>
      <c r="F1" s="10"/>
    </row>
    <row r="2" spans="1:27" ht="15" x14ac:dyDescent="0.25">
      <c r="A2" s="9"/>
      <c r="B2" s="10"/>
      <c r="C2" s="10"/>
      <c r="D2" s="10"/>
      <c r="E2" s="10"/>
      <c r="F2" s="10"/>
    </row>
    <row r="3" spans="1:27" ht="15" x14ac:dyDescent="0.25">
      <c r="A3" s="9"/>
      <c r="B3" s="10"/>
      <c r="C3" s="10"/>
      <c r="D3" s="10"/>
      <c r="E3" s="10"/>
      <c r="F3" s="10"/>
    </row>
    <row r="4" spans="1:27" ht="15" x14ac:dyDescent="0.25">
      <c r="A4" s="9"/>
      <c r="B4" s="10"/>
      <c r="C4" s="10"/>
      <c r="D4" s="10"/>
      <c r="E4" s="10"/>
      <c r="F4" s="10"/>
    </row>
    <row r="5" spans="1:27" ht="3" customHeight="1" x14ac:dyDescent="0.25">
      <c r="A5" s="1"/>
      <c r="B5" s="2"/>
      <c r="C5" s="2"/>
      <c r="D5" s="2"/>
      <c r="E5" s="2"/>
      <c r="F5" s="2"/>
    </row>
    <row r="6" spans="1:27" ht="15" x14ac:dyDescent="0.25"/>
    <row r="7" spans="1:27" ht="15" x14ac:dyDescent="0.25">
      <c r="B7" s="11"/>
      <c r="G7" s="7"/>
      <c r="H7" s="7"/>
      <c r="I7" s="7"/>
      <c r="J7" s="7"/>
      <c r="K7" s="7"/>
    </row>
    <row r="8" spans="1:27" ht="15" x14ac:dyDescent="0.25">
      <c r="B8" s="80" t="s">
        <v>102</v>
      </c>
      <c r="C8" s="51"/>
      <c r="D8" s="51"/>
      <c r="E8" s="51"/>
      <c r="F8" s="51"/>
      <c r="G8" s="61"/>
      <c r="K8" s="7"/>
    </row>
    <row r="9" spans="1:27" ht="4.9000000000000004" customHeight="1" x14ac:dyDescent="0.25">
      <c r="B9" s="51"/>
      <c r="C9" s="51"/>
      <c r="D9" s="51"/>
      <c r="E9" s="51"/>
      <c r="F9" s="51"/>
      <c r="G9" s="61"/>
      <c r="K9" s="7"/>
    </row>
    <row r="10" spans="1:27" ht="15" customHeight="1" x14ac:dyDescent="0.25">
      <c r="B10" s="154" t="s">
        <v>24</v>
      </c>
      <c r="C10" s="149" t="s">
        <v>2</v>
      </c>
      <c r="D10" s="149" t="s">
        <v>3</v>
      </c>
      <c r="E10" s="145" t="s">
        <v>4</v>
      </c>
      <c r="F10" s="51"/>
      <c r="G10" s="51"/>
    </row>
    <row r="11" spans="1:27" ht="15" customHeight="1" x14ac:dyDescent="0.25">
      <c r="B11" s="154"/>
      <c r="C11" s="150"/>
      <c r="D11" s="150"/>
      <c r="E11" s="146"/>
      <c r="F11" s="51"/>
      <c r="G11" s="51"/>
    </row>
    <row r="12" spans="1:27" ht="15" x14ac:dyDescent="0.25">
      <c r="B12" s="81" t="s">
        <v>25</v>
      </c>
      <c r="C12" s="82">
        <v>1167430129.0543399</v>
      </c>
      <c r="D12" s="83">
        <f t="shared" ref="D12:D19" si="0">C12/$C$20</f>
        <v>9.4653874462844276E-2</v>
      </c>
      <c r="E12" s="84">
        <v>1845.9660128569001</v>
      </c>
      <c r="F12" s="51"/>
      <c r="G12" s="51"/>
    </row>
    <row r="13" spans="1:27" s="3" customFormat="1" ht="15" x14ac:dyDescent="0.25">
      <c r="B13" s="85" t="s">
        <v>26</v>
      </c>
      <c r="C13" s="86">
        <v>499039026.67188698</v>
      </c>
      <c r="D13" s="87">
        <f t="shared" si="0"/>
        <v>4.0461502754707571E-2</v>
      </c>
      <c r="E13" s="88">
        <v>302.36619585239998</v>
      </c>
      <c r="F13" s="51"/>
      <c r="G13" s="5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5" x14ac:dyDescent="0.25">
      <c r="B14" s="85" t="s">
        <v>27</v>
      </c>
      <c r="C14" s="86">
        <v>790066918.75412703</v>
      </c>
      <c r="D14" s="87">
        <f t="shared" si="0"/>
        <v>6.4057705111291025E-2</v>
      </c>
      <c r="E14" s="88">
        <v>2313.3510086731499</v>
      </c>
      <c r="F14" s="51"/>
      <c r="G14" s="5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5" x14ac:dyDescent="0.25">
      <c r="B15" s="85" t="s">
        <v>28</v>
      </c>
      <c r="C15" s="86">
        <v>862835003.22305501</v>
      </c>
      <c r="D15" s="87">
        <f t="shared" si="0"/>
        <v>6.9957656603722454E-2</v>
      </c>
      <c r="E15" s="88">
        <v>3515.5613449252401</v>
      </c>
      <c r="F15" s="51"/>
      <c r="G15" s="5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5" x14ac:dyDescent="0.25">
      <c r="B16" s="85" t="s">
        <v>29</v>
      </c>
      <c r="C16" s="86">
        <v>3210616442.7512999</v>
      </c>
      <c r="D16" s="87">
        <f t="shared" si="0"/>
        <v>0.26031303986191695</v>
      </c>
      <c r="E16" s="88">
        <v>17605.226406739399</v>
      </c>
      <c r="F16" s="51"/>
      <c r="G16" s="5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5" x14ac:dyDescent="0.25">
      <c r="B17" s="85" t="s">
        <v>30</v>
      </c>
      <c r="C17" s="86">
        <v>3215966375.55234</v>
      </c>
      <c r="D17" s="87">
        <f t="shared" si="0"/>
        <v>0.26074680617917356</v>
      </c>
      <c r="E17" s="88">
        <v>26845.312980732</v>
      </c>
      <c r="F17" s="51"/>
      <c r="G17" s="5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5" x14ac:dyDescent="0.25">
      <c r="B18" s="85" t="s">
        <v>31</v>
      </c>
      <c r="C18" s="86">
        <v>1798652199.90046</v>
      </c>
      <c r="D18" s="87">
        <f t="shared" si="0"/>
        <v>0.14583262440691414</v>
      </c>
      <c r="E18" s="88">
        <v>21641.393918226298</v>
      </c>
      <c r="F18" s="51"/>
      <c r="G18" s="5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5" x14ac:dyDescent="0.25">
      <c r="B19" s="85" t="s">
        <v>32</v>
      </c>
      <c r="C19" s="86">
        <v>789068945.70535898</v>
      </c>
      <c r="D19" s="87">
        <f t="shared" si="0"/>
        <v>6.3976790619430249E-2</v>
      </c>
      <c r="E19" s="88">
        <v>13809.533351230901</v>
      </c>
      <c r="F19" s="51"/>
      <c r="G19" s="5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15" x14ac:dyDescent="0.25">
      <c r="B20" s="89" t="s">
        <v>21</v>
      </c>
      <c r="C20" s="90">
        <f>+SUM(C12:C19)</f>
        <v>12333675041.612865</v>
      </c>
      <c r="D20" s="91">
        <f>SUM(D12:D19)</f>
        <v>1.0000000000000002</v>
      </c>
      <c r="E20" s="92">
        <f>+SUM(E12:E19)</f>
        <v>87878.711219236284</v>
      </c>
      <c r="F20" s="51"/>
      <c r="G20" s="5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4.9000000000000004" customHeight="1" x14ac:dyDescent="0.25">
      <c r="B21" s="51"/>
      <c r="C21" s="93"/>
      <c r="D21" s="93"/>
      <c r="E21" s="94"/>
      <c r="F21" s="51"/>
      <c r="G21" s="5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5" x14ac:dyDescent="0.25">
      <c r="B22" s="51"/>
      <c r="C22" s="93"/>
      <c r="D22" s="93"/>
      <c r="E22" s="94"/>
      <c r="F22" s="51"/>
      <c r="G22" s="5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5" x14ac:dyDescent="0.25">
      <c r="B23" s="80" t="s">
        <v>103</v>
      </c>
      <c r="C23" s="93"/>
      <c r="D23" s="93"/>
      <c r="E23" s="94"/>
      <c r="F23" s="51"/>
      <c r="G23" s="5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15" x14ac:dyDescent="0.25">
      <c r="B24" s="95" t="s">
        <v>34</v>
      </c>
      <c r="C24" s="93"/>
      <c r="D24" s="93"/>
      <c r="E24" s="94"/>
      <c r="F24" s="51"/>
      <c r="G24" s="5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4.9000000000000004" customHeight="1" x14ac:dyDescent="0.25">
      <c r="B25" s="51"/>
      <c r="C25" s="93"/>
      <c r="D25" s="93"/>
      <c r="E25" s="94"/>
      <c r="F25" s="51"/>
      <c r="G25" s="5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 x14ac:dyDescent="0.25">
      <c r="B26" s="154" t="s">
        <v>24</v>
      </c>
      <c r="C26" s="149" t="s">
        <v>2</v>
      </c>
      <c r="D26" s="149" t="s">
        <v>3</v>
      </c>
      <c r="E26" s="145" t="s">
        <v>4</v>
      </c>
      <c r="F26" s="51"/>
      <c r="G26" s="5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5" customHeight="1" x14ac:dyDescent="0.25">
      <c r="B27" s="154"/>
      <c r="C27" s="150"/>
      <c r="D27" s="150"/>
      <c r="E27" s="146"/>
      <c r="F27" s="51"/>
      <c r="G27" s="5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5" x14ac:dyDescent="0.25">
      <c r="B28" s="85" t="s">
        <v>25</v>
      </c>
      <c r="C28" s="86">
        <v>507983691.03065503</v>
      </c>
      <c r="D28" s="87">
        <f t="shared" ref="D28:D38" si="1">C28/$C$39</f>
        <v>4.6292099357896493E-2</v>
      </c>
      <c r="E28" s="88">
        <v>9032.0622654625604</v>
      </c>
      <c r="F28" s="51"/>
      <c r="G28" s="5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5" x14ac:dyDescent="0.25">
      <c r="B29" s="85" t="s">
        <v>26</v>
      </c>
      <c r="C29" s="86">
        <v>186948690.72251201</v>
      </c>
      <c r="D29" s="87">
        <f t="shared" si="1"/>
        <v>1.7036466954670273E-2</v>
      </c>
      <c r="E29" s="88">
        <v>4152.0524416903399</v>
      </c>
      <c r="F29" s="51"/>
      <c r="G29" s="5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5" x14ac:dyDescent="0.25">
      <c r="B30" s="85" t="s">
        <v>27</v>
      </c>
      <c r="C30" s="86">
        <v>574733107.43702304</v>
      </c>
      <c r="D30" s="87">
        <f t="shared" si="1"/>
        <v>5.2374913965774775E-2</v>
      </c>
      <c r="E30" s="88">
        <v>32974.470361174099</v>
      </c>
      <c r="F30" s="51"/>
      <c r="G30" s="5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5" x14ac:dyDescent="0.25">
      <c r="B31" s="85" t="s">
        <v>28</v>
      </c>
      <c r="C31" s="86">
        <v>600855811.032745</v>
      </c>
      <c r="D31" s="87">
        <f t="shared" si="1"/>
        <v>5.4755452576958387E-2</v>
      </c>
      <c r="E31" s="88">
        <v>11618.4055120147</v>
      </c>
      <c r="F31" s="51"/>
      <c r="G31" s="5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5" x14ac:dyDescent="0.25">
      <c r="B32" s="85" t="s">
        <v>29</v>
      </c>
      <c r="C32" s="86">
        <v>3432446983.9467802</v>
      </c>
      <c r="D32" s="87">
        <f t="shared" si="1"/>
        <v>0.31279582322651328</v>
      </c>
      <c r="E32" s="88">
        <v>71345.767272631696</v>
      </c>
      <c r="F32" s="51"/>
      <c r="G32" s="5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5" x14ac:dyDescent="0.25">
      <c r="B33" s="85" t="s">
        <v>30</v>
      </c>
      <c r="C33" s="86">
        <v>3244184519.01864</v>
      </c>
      <c r="D33" s="87">
        <f t="shared" si="1"/>
        <v>0.29563963320369213</v>
      </c>
      <c r="E33" s="88">
        <v>130722.06146285099</v>
      </c>
      <c r="F33" s="51"/>
      <c r="G33" s="5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5" x14ac:dyDescent="0.25">
      <c r="B34" s="85" t="s">
        <v>31</v>
      </c>
      <c r="C34" s="86">
        <v>1429510835.1790299</v>
      </c>
      <c r="D34" s="87">
        <f t="shared" si="1"/>
        <v>0.13027004367213793</v>
      </c>
      <c r="E34" s="88">
        <v>29489.656494614701</v>
      </c>
      <c r="F34" s="51"/>
      <c r="G34" s="5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5" x14ac:dyDescent="0.25">
      <c r="B35" s="85" t="s">
        <v>32</v>
      </c>
      <c r="C35" s="86">
        <v>906530140.02200699</v>
      </c>
      <c r="D35" s="87">
        <f t="shared" si="1"/>
        <v>8.2611280743448354E-2</v>
      </c>
      <c r="E35" s="88">
        <v>43870.412001985103</v>
      </c>
      <c r="F35" s="51"/>
      <c r="G35" s="5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" customFormat="1" ht="15" x14ac:dyDescent="0.25">
      <c r="B36" s="85" t="s">
        <v>33</v>
      </c>
      <c r="C36" s="86">
        <v>49584303.332100399</v>
      </c>
      <c r="D36" s="87">
        <f t="shared" si="1"/>
        <v>4.5185732080976456E-3</v>
      </c>
      <c r="E36" s="88">
        <v>1065.66229468905</v>
      </c>
      <c r="F36" s="51"/>
      <c r="G36" s="5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31" customFormat="1" ht="14.25" x14ac:dyDescent="0.2">
      <c r="B37" s="85" t="s">
        <v>111</v>
      </c>
      <c r="C37" s="86">
        <v>37495773.714760303</v>
      </c>
      <c r="D37" s="87">
        <f t="shared" si="1"/>
        <v>3.4169563175998514E-3</v>
      </c>
      <c r="E37" s="88">
        <v>239.53170564430002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" customFormat="1" ht="15" x14ac:dyDescent="0.25">
      <c r="B38" s="85" t="s">
        <v>99</v>
      </c>
      <c r="C38" s="86">
        <v>3168655.8505747607</v>
      </c>
      <c r="D38" s="87">
        <f t="shared" si="1"/>
        <v>2.8875677321092382E-4</v>
      </c>
      <c r="E38" s="88">
        <v>0</v>
      </c>
      <c r="F38" s="51"/>
      <c r="G38" s="5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15" x14ac:dyDescent="0.25">
      <c r="B39" s="89" t="s">
        <v>21</v>
      </c>
      <c r="C39" s="90">
        <f>+SUM(C28:C38)</f>
        <v>10973442511.286827</v>
      </c>
      <c r="D39" s="91">
        <f>SUM(D28:D38)</f>
        <v>1</v>
      </c>
      <c r="E39" s="92">
        <f>+SUM(E28:E38)</f>
        <v>334510.08181275753</v>
      </c>
      <c r="F39" s="51"/>
      <c r="G39" s="5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4.9000000000000004" customHeight="1" x14ac:dyDescent="0.25">
      <c r="B40" s="51"/>
      <c r="C40" s="93"/>
      <c r="D40" s="93"/>
      <c r="E40" s="94"/>
      <c r="F40" s="51"/>
      <c r="G40" s="5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3" customFormat="1" ht="15" x14ac:dyDescent="0.25">
      <c r="B41" s="51"/>
      <c r="C41" s="93"/>
      <c r="D41" s="51"/>
      <c r="E41" s="93"/>
      <c r="F41" s="51"/>
      <c r="G41" s="5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15" x14ac:dyDescent="0.25">
      <c r="B42" s="96" t="s">
        <v>96</v>
      </c>
      <c r="C42" s="94"/>
      <c r="D42" s="51"/>
      <c r="E42" s="51"/>
      <c r="F42" s="51"/>
      <c r="G42" s="5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4.9000000000000004" customHeight="1" x14ac:dyDescent="0.25">
      <c r="B43" s="51"/>
      <c r="C43" s="51"/>
      <c r="D43" s="51"/>
      <c r="E43" s="51"/>
      <c r="F43" s="51"/>
      <c r="G43" s="51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3.9" customHeight="1" x14ac:dyDescent="0.25">
      <c r="B44" s="49"/>
      <c r="C44" s="149" t="s">
        <v>2</v>
      </c>
      <c r="D44" s="149" t="s">
        <v>3</v>
      </c>
      <c r="E44" s="145" t="s">
        <v>4</v>
      </c>
      <c r="F44" s="51"/>
      <c r="G44" s="51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5" x14ac:dyDescent="0.25">
      <c r="B45" s="49"/>
      <c r="C45" s="150"/>
      <c r="D45" s="150"/>
      <c r="E45" s="146"/>
      <c r="F45" s="51"/>
      <c r="G45" s="51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5" x14ac:dyDescent="0.25">
      <c r="B46" s="97" t="s">
        <v>97</v>
      </c>
      <c r="C46" s="98">
        <f>+C20</f>
        <v>12333675041.612865</v>
      </c>
      <c r="D46" s="99">
        <f>C46/$C$49</f>
        <v>0.52918062534414101</v>
      </c>
      <c r="E46" s="100">
        <f>+E20</f>
        <v>87878.711219236284</v>
      </c>
      <c r="F46" s="51"/>
      <c r="G46" s="51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5" x14ac:dyDescent="0.25">
      <c r="B47" s="101" t="s">
        <v>98</v>
      </c>
      <c r="C47" s="102">
        <f>+SUM(C28:C37)</f>
        <v>10970273855.436253</v>
      </c>
      <c r="D47" s="103">
        <f>C47/$C$49</f>
        <v>0.47068342237246819</v>
      </c>
      <c r="E47" s="104">
        <f>+SUM(E28:E37)</f>
        <v>334510.08181275753</v>
      </c>
      <c r="F47" s="51"/>
      <c r="G47" s="51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5" x14ac:dyDescent="0.25">
      <c r="B48" s="101" t="s">
        <v>110</v>
      </c>
      <c r="C48" s="102">
        <f>+C38</f>
        <v>3168655.8505747607</v>
      </c>
      <c r="D48" s="103">
        <f>C48/$C$49</f>
        <v>1.3595228339081085E-4</v>
      </c>
      <c r="E48" s="104">
        <f>+E38</f>
        <v>0</v>
      </c>
      <c r="F48" s="51"/>
      <c r="G48" s="51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5" x14ac:dyDescent="0.25">
      <c r="B49" s="89" t="s">
        <v>21</v>
      </c>
      <c r="C49" s="90">
        <f>SUM(C46:C48)</f>
        <v>23307117552.899693</v>
      </c>
      <c r="D49" s="91">
        <f>SUM(D46:D48)</f>
        <v>1</v>
      </c>
      <c r="E49" s="90">
        <f>SUM(E46:E48)</f>
        <v>422388.79303199379</v>
      </c>
      <c r="F49" s="51"/>
      <c r="G49" s="5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5" x14ac:dyDescent="0.25">
      <c r="B50" s="51"/>
      <c r="C50" s="51"/>
      <c r="D50" s="51"/>
      <c r="E50" s="51"/>
      <c r="F50" s="51"/>
      <c r="G50" s="51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5" hidden="1" x14ac:dyDescent="0.25">
      <c r="B51" s="51"/>
      <c r="C51" s="51"/>
      <c r="D51" s="51"/>
      <c r="E51" s="51"/>
      <c r="F51" s="51"/>
      <c r="G51" s="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5" hidden="1" x14ac:dyDescent="0.25">
      <c r="B52" s="51"/>
      <c r="C52" s="51"/>
      <c r="D52" s="51"/>
      <c r="E52" s="51"/>
      <c r="F52" s="51"/>
      <c r="G52" s="5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5" hidden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5" hidden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5" hidden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5" hidden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5" hidden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5" hidden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5" hidden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5" hidden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5" hidden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5" hidden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5" hidden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5" hidden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5" hidden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5" hidden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5" hidden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5" hidden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5" hidden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5" hidden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5" hidden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5" hidden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5" hidden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5" hidden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5" hidden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5" hidden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5" hidden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5" hidden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5" hidden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5" hidden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5" hidden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5" hidden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5" hidden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5" hidden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5" hidden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5" hidden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5" hidden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5" hidden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5" hidden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5" hidden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5" hidden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5" hidden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5" hidden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5" hidden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5" hidden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5" hidden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5" hidden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5" hidden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5" hidden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5" hidden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5" hidden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5" hidden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5" hidden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5" hidden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5" hidden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5" hidden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5" hidden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5" hidden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5" hidden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5" hidden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5" hidden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5" hidden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5" hidden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5" hidden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5" hidden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5" hidden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5" hidden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5" hidden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5" hidden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5" hidden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5" hidden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5" hidden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5" hidden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5" hidden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5" hidden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5" hidden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5" hidden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5" hidden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5" hidden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5" hidden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5" hidden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5" hidden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5" hidden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5" hidden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5" hidden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5" hidden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5" hidden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5" hidden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5" hidden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5" hidden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5" hidden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5" hidden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5" hidden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5" hidden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5" hidden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5" hidden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5" hidden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5" hidden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5" hidden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5" hidden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5" hidden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5" hidden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5" hidden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5" hidden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5" hidden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5" hidden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5" hidden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5" hidden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5" hidden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5" hidden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5" hidden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5" hidden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5" hidden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5" hidden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5" hidden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5" hidden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5" hidden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5" hidden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5" hidden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5" hidden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5" hidden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5" hidden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5" hidden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5" hidden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5" hidden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5" hidden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5" hidden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5" hidden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5" hidden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5" hidden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5" hidden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5" hidden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5" hidden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5" hidden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5" hidden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5" hidden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5" hidden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5" hidden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5" hidden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5" hidden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5" hidden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5" hidden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5" hidden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5" hidden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5" hidden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5" hidden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5" hidden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5" hidden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5" hidden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5" hidden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5" hidden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5" hidden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5" hidden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5" hidden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5" hidden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5" hidden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5" hidden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5" hidden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5" hidden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5" hidden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5" hidden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5" hidden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5" hidden="1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5" hidden="1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5" hidden="1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5" hidden="1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5" hidden="1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5" hidden="1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5" hidden="1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5" hidden="1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5" hidden="1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5" hidden="1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5" hidden="1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5" hidden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5" hidden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5" hidden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5" hidden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5" hidden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5" hidden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5" hidden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5" hidden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5" hidden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5" hidden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5" hidden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5" hidden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5" hidden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5" hidden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5" hidden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5" hidden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5" hidden="1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5" hidden="1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5" hidden="1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5" hidden="1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5" hidden="1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5" hidden="1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5" hidden="1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5" hidden="1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5" hidden="1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5" hidden="1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5" hidden="1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5" hidden="1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5" hidden="1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5" hidden="1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5" hidden="1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5" hidden="1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5" hidden="1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5" hidden="1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5" hidden="1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5" hidden="1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5" hidden="1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5" hidden="1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5" hidden="1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5" hidden="1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5" hidden="1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5" hidden="1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5" hidden="1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5" hidden="1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5" hidden="1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5" hidden="1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5" hidden="1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5" hidden="1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5" hidden="1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5" hidden="1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5" hidden="1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5" hidden="1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5" hidden="1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5" hidden="1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5" hidden="1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5" hidden="1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5" hidden="1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5" hidden="1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5" hidden="1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5" hidden="1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5" hidden="1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5" hidden="1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5" hidden="1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5" hidden="1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5" hidden="1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5" hidden="1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5" hidden="1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5" hidden="1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5" hidden="1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5" hidden="1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5" hidden="1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5" hidden="1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5" hidden="1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5" hidden="1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5" hidden="1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5" hidden="1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5" hidden="1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5" hidden="1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5" hidden="1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5" hidden="1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5" hidden="1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5" hidden="1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5" hidden="1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5" hidden="1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5" hidden="1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5" hidden="1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5" hidden="1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5" hidden="1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5" hidden="1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5" hidden="1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5" hidden="1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5" hidden="1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5" hidden="1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5" hidden="1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5" hidden="1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5" hidden="1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5" hidden="1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5" hidden="1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5" hidden="1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5" hidden="1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5" hidden="1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5" hidden="1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5" hidden="1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5" hidden="1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5" hidden="1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5" hidden="1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5" hidden="1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5" hidden="1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5" hidden="1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5" hidden="1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5" hidden="1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5" hidden="1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5" hidden="1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5" hidden="1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5" hidden="1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5" hidden="1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5" hidden="1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5" hidden="1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5" hidden="1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5" hidden="1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5" hidden="1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5" hidden="1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5" hidden="1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5" hidden="1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5" hidden="1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5" hidden="1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5" hidden="1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5" hidden="1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5" hidden="1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5" hidden="1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5" hidden="1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5" hidden="1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5" hidden="1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5" hidden="1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5" hidden="1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5" hidden="1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5" hidden="1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5" hidden="1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5" hidden="1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5" hidden="1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5" hidden="1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5" hidden="1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5" hidden="1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5" hidden="1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5" hidden="1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5" hidden="1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5" hidden="1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5" hidden="1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5" hidden="1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5" hidden="1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5" hidden="1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5" hidden="1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5" hidden="1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5" hidden="1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5" hidden="1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5" hidden="1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5" hidden="1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5" hidden="1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5" hidden="1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5" hidden="1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5" hidden="1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5" hidden="1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5" hidden="1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5" hidden="1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5" hidden="1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5" hidden="1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5" hidden="1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5" hidden="1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5" hidden="1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5" hidden="1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5" hidden="1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5" hidden="1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5" hidden="1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5" hidden="1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5" hidden="1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5" hidden="1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5" hidden="1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5" hidden="1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5" hidden="1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5" hidden="1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5" hidden="1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5" hidden="1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5" hidden="1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5" hidden="1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5" hidden="1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5" hidden="1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5" hidden="1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5" hidden="1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5" hidden="1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5" hidden="1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5" hidden="1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5" hidden="1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5" hidden="1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5" hidden="1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5" hidden="1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5" hidden="1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5" hidden="1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5" hidden="1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5" hidden="1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5" hidden="1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5" hidden="1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5" hidden="1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5" hidden="1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5" hidden="1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5" hidden="1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5" hidden="1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5" hidden="1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5" hidden="1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5" hidden="1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5" hidden="1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5" hidden="1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5" hidden="1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5" hidden="1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5" hidden="1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5" hidden="1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5" hidden="1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5" hidden="1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5" hidden="1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5" hidden="1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5" hidden="1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5" hidden="1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5" hidden="1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5" hidden="1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5" hidden="1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5" hidden="1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5" hidden="1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5" hidden="1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5" hidden="1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5" hidden="1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5" hidden="1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5" hidden="1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5" hidden="1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5" hidden="1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5" hidden="1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5" hidden="1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5" hidden="1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5" hidden="1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5" hidden="1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5" hidden="1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5" hidden="1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5" hidden="1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5" hidden="1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5" hidden="1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5" hidden="1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5" hidden="1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5" hidden="1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5" hidden="1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5" hidden="1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5" hidden="1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5" hidden="1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5" hidden="1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5" hidden="1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5" hidden="1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5" hidden="1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5" hidden="1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5" hidden="1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5" hidden="1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5" hidden="1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5" hidden="1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5" hidden="1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5" hidden="1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5" hidden="1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5" hidden="1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5" hidden="1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5" hidden="1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5" hidden="1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5" hidden="1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5" hidden="1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5" hidden="1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5" hidden="1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5" hidden="1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5" hidden="1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5" hidden="1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5" hidden="1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5" hidden="1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5" hidden="1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5" hidden="1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5" hidden="1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5" hidden="1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5" hidden="1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5" hidden="1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5" hidden="1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5" hidden="1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5" hidden="1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5" hidden="1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5" hidden="1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5" hidden="1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5" hidden="1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5" hidden="1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5" hidden="1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5" hidden="1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5" hidden="1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5" hidden="1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5" hidden="1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5" hidden="1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5" hidden="1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5" hidden="1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5" hidden="1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5" hidden="1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5" hidden="1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5" hidden="1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5" hidden="1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5" hidden="1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5" hidden="1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5" hidden="1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5" hidden="1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5" hidden="1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5" hidden="1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5" hidden="1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5" hidden="1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5" hidden="1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5" hidden="1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5" hidden="1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5" hidden="1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5" hidden="1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5" hidden="1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5" hidden="1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5" hidden="1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5" hidden="1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5" hidden="1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5" hidden="1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5" hidden="1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5" hidden="1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5" hidden="1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5" hidden="1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5" hidden="1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5" hidden="1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5" hidden="1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5" hidden="1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5" hidden="1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5" hidden="1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5" hidden="1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5" hidden="1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5" hidden="1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5" hidden="1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5" hidden="1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5" hidden="1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5" hidden="1" x14ac:dyDescent="0.2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5" hidden="1" x14ac:dyDescent="0.2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5" hidden="1" x14ac:dyDescent="0.2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5" hidden="1" x14ac:dyDescent="0.2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5" hidden="1" x14ac:dyDescent="0.2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5" hidden="1" x14ac:dyDescent="0.2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5" hidden="1" x14ac:dyDescent="0.2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5" hidden="1" x14ac:dyDescent="0.2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5" hidden="1" x14ac:dyDescent="0.2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5" hidden="1" x14ac:dyDescent="0.2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5" hidden="1" x14ac:dyDescent="0.2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5" hidden="1" x14ac:dyDescent="0.2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5" hidden="1" x14ac:dyDescent="0.2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5" hidden="1" x14ac:dyDescent="0.2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5" hidden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5" hidden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5" hidden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5" hidden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5" hidden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5" hidden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5" hidden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5" hidden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5" hidden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5" hidden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5" hidden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5" hidden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5" hidden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5" hidden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5" hidden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5" hidden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5" hidden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5" hidden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5" hidden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5" hidden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5" hidden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5" hidden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5" hidden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5" hidden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5" hidden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5" hidden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5" hidden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5" hidden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5" hidden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5" hidden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5" hidden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5" hidden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5" hidden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5" hidden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5" hidden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5" hidden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5" hidden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5" hidden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5" hidden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5" hidden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5" hidden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5" hidden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5" hidden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5" hidden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5" hidden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5" hidden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5" hidden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5" hidden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5" hidden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5" hidden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5" hidden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5" hidden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5" hidden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5" hidden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5" hidden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5" hidden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5" hidden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5" hidden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5" hidden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5" hidden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5" hidden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5" hidden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5" hidden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5" hidden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5" hidden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5" hidden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5" hidden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5" hidden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5" hidden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5" hidden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5" hidden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5" hidden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5" hidden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5" hidden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5" hidden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5" hidden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5" hidden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5" hidden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5" hidden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5" hidden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5" hidden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5" hidden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5" hidden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5" hidden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5" hidden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5" hidden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5" hidden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5" hidden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5" hidden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5" hidden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5" hidden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5" hidden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5" hidden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5" hidden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5" hidden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5" hidden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5" hidden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5" hidden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5" hidden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5" hidden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5" hidden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5" hidden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5" hidden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5" hidden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5" hidden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5" hidden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5" hidden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5" hidden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5" hidden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5" hidden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5" hidden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5" hidden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5" hidden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5" hidden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5" hidden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5" hidden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5" hidden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5" hidden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5" hidden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5" hidden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5" hidden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5" hidden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5" hidden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5" hidden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5" hidden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5" hidden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5" hidden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5" hidden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5" hidden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5" hidden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5" hidden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5" hidden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5" hidden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5" hidden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5" hidden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5" hidden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5" hidden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5" hidden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5" hidden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5" hidden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5" hidden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5" hidden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5" hidden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5" hidden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5" hidden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5" hidden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5" hidden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5" hidden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5" hidden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5" hidden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5" hidden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5" hidden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5" hidden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5" hidden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5" hidden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5" hidden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5" hidden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5" hidden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5" hidden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5" hidden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5" hidden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5" hidden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5" hidden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5" hidden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5" hidden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5" hidden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5" hidden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5" hidden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5" hidden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5" hidden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5" hidden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5" hidden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5" hidden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5" hidden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5" hidden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5" hidden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5" hidden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5" hidden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5" hidden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5" hidden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5" hidden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5" hidden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5" hidden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5" hidden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5" hidden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5" hidden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5" hidden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5" hidden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5" hidden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5" hidden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5" hidden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5" hidden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5" hidden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5" hidden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5" hidden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5" hidden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5" hidden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5" hidden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5" hidden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5" hidden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5" hidden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5" hidden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5" hidden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5" hidden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5" hidden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5" hidden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5" hidden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5" hidden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5" hidden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5" hidden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5" hidden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5" hidden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5" hidden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5" hidden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5" hidden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5" hidden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5" hidden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5" hidden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5" hidden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5" hidden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5" hidden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5" hidden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5" hidden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5" hidden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5" hidden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5" hidden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5" hidden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5" hidden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5" hidden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5" hidden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5" hidden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5" hidden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5" hidden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5" hidden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5" hidden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5" hidden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5" hidden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5" hidden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5" hidden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5" hidden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5" hidden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5" hidden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5" hidden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5" hidden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5" hidden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5" hidden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5" hidden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5" hidden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5" hidden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5" hidden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5" hidden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5" hidden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5" hidden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5" hidden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5" hidden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5" hidden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5" hidden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5" hidden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5" hidden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5" hidden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5" hidden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5" hidden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5" hidden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5" hidden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5" hidden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5" hidden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5" hidden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5" hidden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5" hidden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5" hidden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5" hidden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5" hidden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5" hidden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5" hidden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5" hidden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5" hidden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5" hidden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5" hidden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5" hidden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5" hidden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5" hidden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5" hidden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5" hidden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5" hidden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5" hidden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5" hidden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5" hidden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5" hidden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5" hidden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5" hidden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5" hidden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5" hidden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5" hidden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5" hidden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5" hidden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5" hidden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5" hidden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5" hidden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5" hidden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5" hidden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5" hidden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5" hidden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5" hidden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5" hidden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5" hidden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5" hidden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5" hidden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5" hidden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5" hidden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5" hidden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5" hidden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5" hidden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5" hidden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5" hidden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5" hidden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5" hidden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5" hidden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5" hidden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5" hidden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5" hidden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5" hidden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5" hidden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5" hidden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5" hidden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5" hidden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5" hidden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5" hidden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5" hidden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5" hidden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5" hidden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5" hidden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5" hidden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5" hidden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5" hidden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5" hidden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5" hidden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5" hidden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5" hidden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5" hidden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5" hidden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5" hidden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5" hidden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5" hidden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5" hidden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5" hidden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5" hidden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5" hidden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5" hidden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5" hidden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5" hidden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5" hidden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5" hidden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5" hidden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5" hidden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5" hidden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5" hidden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5" hidden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5" hidden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5" hidden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5" hidden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5" hidden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5" hidden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5" hidden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5" hidden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5" hidden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5" hidden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5" hidden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5" hidden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5" hidden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5" hidden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5" hidden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5" hidden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5" hidden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5" hidden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5" hidden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5" hidden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5" hidden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5" hidden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5" hidden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5" hidden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5" hidden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5" hidden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5" hidden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5" hidden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5" hidden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5" hidden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5" hidden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5" hidden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5" hidden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5" hidden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5" hidden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5" hidden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5" hidden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5" hidden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5" hidden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5" hidden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5" hidden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5" hidden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5" hidden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5" hidden="1" x14ac:dyDescent="0.2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5" hidden="1" x14ac:dyDescent="0.2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5" hidden="1" x14ac:dyDescent="0.2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5" hidden="1" x14ac:dyDescent="0.2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5" hidden="1" x14ac:dyDescent="0.2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5" hidden="1" x14ac:dyDescent="0.2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5" hidden="1" x14ac:dyDescent="0.2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5" hidden="1" x14ac:dyDescent="0.2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5" hidden="1" x14ac:dyDescent="0.2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5" hidden="1" x14ac:dyDescent="0.2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5" hidden="1" x14ac:dyDescent="0.2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5" hidden="1" x14ac:dyDescent="0.2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5" hidden="1" x14ac:dyDescent="0.2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5" hidden="1" x14ac:dyDescent="0.2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5" hidden="1" x14ac:dyDescent="0.2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5" hidden="1" x14ac:dyDescent="0.2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5" hidden="1" x14ac:dyDescent="0.2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5" hidden="1" x14ac:dyDescent="0.2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5" hidden="1" x14ac:dyDescent="0.2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5" hidden="1" x14ac:dyDescent="0.2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5" hidden="1" x14ac:dyDescent="0.2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5" hidden="1" x14ac:dyDescent="0.2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5" hidden="1" x14ac:dyDescent="0.2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5" hidden="1" x14ac:dyDescent="0.2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5" hidden="1" x14ac:dyDescent="0.2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5" hidden="1" x14ac:dyDescent="0.2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5" hidden="1" x14ac:dyDescent="0.2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5" hidden="1" x14ac:dyDescent="0.2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5" hidden="1" x14ac:dyDescent="0.2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5" hidden="1" x14ac:dyDescent="0.2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5" hidden="1" x14ac:dyDescent="0.2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5" hidden="1" x14ac:dyDescent="0.2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5" hidden="1" x14ac:dyDescent="0.2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5" hidden="1" x14ac:dyDescent="0.2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5" hidden="1" x14ac:dyDescent="0.2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5" hidden="1" x14ac:dyDescent="0.2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5" hidden="1" x14ac:dyDescent="0.2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5" hidden="1" x14ac:dyDescent="0.2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5" hidden="1" x14ac:dyDescent="0.2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5" hidden="1" x14ac:dyDescent="0.2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5" hidden="1" x14ac:dyDescent="0.2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5" hidden="1" x14ac:dyDescent="0.2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5" hidden="1" x14ac:dyDescent="0.2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5" hidden="1" x14ac:dyDescent="0.2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5" hidden="1" x14ac:dyDescent="0.2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5" hidden="1" x14ac:dyDescent="0.2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5" hidden="1" x14ac:dyDescent="0.2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5" hidden="1" x14ac:dyDescent="0.2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5" hidden="1" x14ac:dyDescent="0.2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5" hidden="1" x14ac:dyDescent="0.2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5" hidden="1" x14ac:dyDescent="0.2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5" hidden="1" x14ac:dyDescent="0.2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5" hidden="1" x14ac:dyDescent="0.2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5" hidden="1" x14ac:dyDescent="0.2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5" hidden="1" x14ac:dyDescent="0.2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5" hidden="1" x14ac:dyDescent="0.2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5" hidden="1" x14ac:dyDescent="0.2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5" hidden="1" x14ac:dyDescent="0.2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5" hidden="1" x14ac:dyDescent="0.2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5" hidden="1" x14ac:dyDescent="0.2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5" hidden="1" x14ac:dyDescent="0.2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5" hidden="1" x14ac:dyDescent="0.2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5" hidden="1" x14ac:dyDescent="0.2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5" hidden="1" x14ac:dyDescent="0.2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5" hidden="1" x14ac:dyDescent="0.2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5" hidden="1" x14ac:dyDescent="0.2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5" hidden="1" x14ac:dyDescent="0.2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5" hidden="1" x14ac:dyDescent="0.2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5" hidden="1" x14ac:dyDescent="0.2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5" hidden="1" x14ac:dyDescent="0.2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5" hidden="1" x14ac:dyDescent="0.2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5" hidden="1" x14ac:dyDescent="0.2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5" hidden="1" x14ac:dyDescent="0.2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5" hidden="1" x14ac:dyDescent="0.2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5" hidden="1" x14ac:dyDescent="0.2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5" hidden="1" x14ac:dyDescent="0.2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5" hidden="1" x14ac:dyDescent="0.2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5" hidden="1" x14ac:dyDescent="0.2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5" hidden="1" x14ac:dyDescent="0.2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5" hidden="1" x14ac:dyDescent="0.2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5" hidden="1" x14ac:dyDescent="0.2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5" hidden="1" x14ac:dyDescent="0.2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5" hidden="1" x14ac:dyDescent="0.2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5" hidden="1" x14ac:dyDescent="0.2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5" hidden="1" x14ac:dyDescent="0.2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5" hidden="1" x14ac:dyDescent="0.2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5" hidden="1" x14ac:dyDescent="0.2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5" hidden="1" x14ac:dyDescent="0.2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5" hidden="1" x14ac:dyDescent="0.2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5" hidden="1" x14ac:dyDescent="0.2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5" hidden="1" x14ac:dyDescent="0.2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5" hidden="1" x14ac:dyDescent="0.2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5" hidden="1" x14ac:dyDescent="0.2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5" hidden="1" x14ac:dyDescent="0.2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5" hidden="1" x14ac:dyDescent="0.2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5" hidden="1" x14ac:dyDescent="0.2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5" hidden="1" x14ac:dyDescent="0.2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5" hidden="1" x14ac:dyDescent="0.2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5" hidden="1" x14ac:dyDescent="0.2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5" hidden="1" x14ac:dyDescent="0.2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5" hidden="1" x14ac:dyDescent="0.2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5" hidden="1" x14ac:dyDescent="0.2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5" hidden="1" x14ac:dyDescent="0.2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5" hidden="1" x14ac:dyDescent="0.2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5" hidden="1" x14ac:dyDescent="0.2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5" hidden="1" x14ac:dyDescent="0.2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5" hidden="1" x14ac:dyDescent="0.2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5" hidden="1" x14ac:dyDescent="0.2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5" hidden="1" x14ac:dyDescent="0.2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5" hidden="1" x14ac:dyDescent="0.2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5" hidden="1" x14ac:dyDescent="0.2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5" hidden="1" x14ac:dyDescent="0.2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5" hidden="1" x14ac:dyDescent="0.2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5" hidden="1" x14ac:dyDescent="0.2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5" hidden="1" x14ac:dyDescent="0.2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5" hidden="1" x14ac:dyDescent="0.2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5" hidden="1" x14ac:dyDescent="0.2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5" hidden="1" x14ac:dyDescent="0.2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5" hidden="1" x14ac:dyDescent="0.2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5" hidden="1" x14ac:dyDescent="0.2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5" hidden="1" x14ac:dyDescent="0.2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5" hidden="1" x14ac:dyDescent="0.2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5" hidden="1" x14ac:dyDescent="0.2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5" hidden="1" x14ac:dyDescent="0.2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5" hidden="1" x14ac:dyDescent="0.2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5" hidden="1" x14ac:dyDescent="0.2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5" hidden="1" x14ac:dyDescent="0.2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5" hidden="1" x14ac:dyDescent="0.2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5" hidden="1" x14ac:dyDescent="0.2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5" hidden="1" x14ac:dyDescent="0.2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5" hidden="1" x14ac:dyDescent="0.2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5" hidden="1" x14ac:dyDescent="0.2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5" hidden="1" x14ac:dyDescent="0.2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5" hidden="1" x14ac:dyDescent="0.2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5" hidden="1" x14ac:dyDescent="0.2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5" hidden="1" x14ac:dyDescent="0.2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5" hidden="1" x14ac:dyDescent="0.2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5" hidden="1" x14ac:dyDescent="0.2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5" hidden="1" x14ac:dyDescent="0.2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5" hidden="1" x14ac:dyDescent="0.2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5" hidden="1" x14ac:dyDescent="0.2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5" hidden="1" x14ac:dyDescent="0.2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5" hidden="1" x14ac:dyDescent="0.2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5" hidden="1" x14ac:dyDescent="0.2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5" hidden="1" x14ac:dyDescent="0.2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5" hidden="1" x14ac:dyDescent="0.2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5" hidden="1" x14ac:dyDescent="0.2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5" hidden="1" x14ac:dyDescent="0.2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5" hidden="1" x14ac:dyDescent="0.2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5" hidden="1" x14ac:dyDescent="0.2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5" hidden="1" x14ac:dyDescent="0.2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5" hidden="1" x14ac:dyDescent="0.2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5" hidden="1" x14ac:dyDescent="0.2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5" hidden="1" x14ac:dyDescent="0.2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5" hidden="1" x14ac:dyDescent="0.2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5" hidden="1" x14ac:dyDescent="0.2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5" hidden="1" x14ac:dyDescent="0.2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5" hidden="1" x14ac:dyDescent="0.2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5" hidden="1" x14ac:dyDescent="0.2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5" hidden="1" x14ac:dyDescent="0.2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5" hidden="1" x14ac:dyDescent="0.2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5" hidden="1" x14ac:dyDescent="0.2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5" hidden="1" x14ac:dyDescent="0.2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5" hidden="1" x14ac:dyDescent="0.2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5" hidden="1" x14ac:dyDescent="0.2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5" hidden="1" x14ac:dyDescent="0.2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5" hidden="1" x14ac:dyDescent="0.2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5" hidden="1" x14ac:dyDescent="0.2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5" hidden="1" x14ac:dyDescent="0.2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5" hidden="1" x14ac:dyDescent="0.2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5" hidden="1" x14ac:dyDescent="0.2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5" hidden="1" x14ac:dyDescent="0.2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5" hidden="1" x14ac:dyDescent="0.2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5" hidden="1" x14ac:dyDescent="0.2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5" hidden="1" x14ac:dyDescent="0.2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5" hidden="1" x14ac:dyDescent="0.2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5" hidden="1" x14ac:dyDescent="0.2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5" hidden="1" x14ac:dyDescent="0.2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5" hidden="1" x14ac:dyDescent="0.2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5" hidden="1" x14ac:dyDescent="0.2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5" hidden="1" x14ac:dyDescent="0.2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5" hidden="1" x14ac:dyDescent="0.2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5" hidden="1" x14ac:dyDescent="0.2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5" hidden="1" x14ac:dyDescent="0.2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5" hidden="1" x14ac:dyDescent="0.2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5" hidden="1" x14ac:dyDescent="0.2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5" hidden="1" x14ac:dyDescent="0.2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5" hidden="1" x14ac:dyDescent="0.2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5" hidden="1" x14ac:dyDescent="0.2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5" hidden="1" x14ac:dyDescent="0.2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5" hidden="1" x14ac:dyDescent="0.2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5" hidden="1" x14ac:dyDescent="0.2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5" hidden="1" x14ac:dyDescent="0.2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5" hidden="1" x14ac:dyDescent="0.2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5" hidden="1" x14ac:dyDescent="0.2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5" hidden="1" x14ac:dyDescent="0.2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5" hidden="1" x14ac:dyDescent="0.2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5" hidden="1" x14ac:dyDescent="0.2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5" hidden="1" x14ac:dyDescent="0.2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5" hidden="1" x14ac:dyDescent="0.2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5" hidden="1" x14ac:dyDescent="0.2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5" hidden="1" x14ac:dyDescent="0.2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5" hidden="1" x14ac:dyDescent="0.2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5" hidden="1" x14ac:dyDescent="0.2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5" hidden="1" x14ac:dyDescent="0.2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5" hidden="1" x14ac:dyDescent="0.2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5" hidden="1" x14ac:dyDescent="0.2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5" hidden="1" x14ac:dyDescent="0.2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5" hidden="1" x14ac:dyDescent="0.2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5" hidden="1" x14ac:dyDescent="0.2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5" hidden="1" x14ac:dyDescent="0.2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5" hidden="1" x14ac:dyDescent="0.2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5" hidden="1" x14ac:dyDescent="0.2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5" hidden="1" x14ac:dyDescent="0.2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5" hidden="1" x14ac:dyDescent="0.2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5" hidden="1" x14ac:dyDescent="0.2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5" hidden="1" x14ac:dyDescent="0.2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5" hidden="1" x14ac:dyDescent="0.2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5" hidden="1" x14ac:dyDescent="0.2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5" hidden="1" x14ac:dyDescent="0.2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5" hidden="1" x14ac:dyDescent="0.2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5" hidden="1" x14ac:dyDescent="0.2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5" hidden="1" x14ac:dyDescent="0.2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5" hidden="1" x14ac:dyDescent="0.2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5" hidden="1" x14ac:dyDescent="0.2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5" hidden="1" x14ac:dyDescent="0.2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5" hidden="1" x14ac:dyDescent="0.2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5" hidden="1" x14ac:dyDescent="0.2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5" hidden="1" x14ac:dyDescent="0.2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5" hidden="1" x14ac:dyDescent="0.2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5" hidden="1" x14ac:dyDescent="0.2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5" hidden="1" x14ac:dyDescent="0.2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5" hidden="1" x14ac:dyDescent="0.2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5" hidden="1" x14ac:dyDescent="0.2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5" hidden="1" x14ac:dyDescent="0.2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5" hidden="1" x14ac:dyDescent="0.2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5" hidden="1" x14ac:dyDescent="0.2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5" hidden="1" x14ac:dyDescent="0.2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5" hidden="1" x14ac:dyDescent="0.2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5" hidden="1" x14ac:dyDescent="0.2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5" hidden="1" x14ac:dyDescent="0.2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5" hidden="1" x14ac:dyDescent="0.2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5" hidden="1" x14ac:dyDescent="0.2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5" hidden="1" x14ac:dyDescent="0.2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5" hidden="1" x14ac:dyDescent="0.2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5" hidden="1" x14ac:dyDescent="0.2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5" hidden="1" x14ac:dyDescent="0.2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5" hidden="1" x14ac:dyDescent="0.2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5" hidden="1" x14ac:dyDescent="0.2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5" hidden="1" x14ac:dyDescent="0.2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5" hidden="1" x14ac:dyDescent="0.2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5" hidden="1" x14ac:dyDescent="0.2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5" hidden="1" x14ac:dyDescent="0.2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5" hidden="1" x14ac:dyDescent="0.2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5" hidden="1" x14ac:dyDescent="0.2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5" hidden="1" x14ac:dyDescent="0.2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5" hidden="1" x14ac:dyDescent="0.2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5" hidden="1" x14ac:dyDescent="0.2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5" hidden="1" x14ac:dyDescent="0.2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5" hidden="1" x14ac:dyDescent="0.2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5" hidden="1" x14ac:dyDescent="0.2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5" hidden="1" x14ac:dyDescent="0.2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5" hidden="1" x14ac:dyDescent="0.2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5" hidden="1" x14ac:dyDescent="0.2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5" hidden="1" x14ac:dyDescent="0.2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5" hidden="1" x14ac:dyDescent="0.2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5" hidden="1" x14ac:dyDescent="0.2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5" hidden="1" x14ac:dyDescent="0.2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5" hidden="1" x14ac:dyDescent="0.2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5" hidden="1" x14ac:dyDescent="0.2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5" hidden="1" x14ac:dyDescent="0.2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5" hidden="1" x14ac:dyDescent="0.2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5" hidden="1" x14ac:dyDescent="0.2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5" hidden="1" x14ac:dyDescent="0.2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5" hidden="1" x14ac:dyDescent="0.2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5" hidden="1" x14ac:dyDescent="0.2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5" hidden="1" x14ac:dyDescent="0.2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5" hidden="1" x14ac:dyDescent="0.2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5" hidden="1" x14ac:dyDescent="0.2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5" hidden="1" x14ac:dyDescent="0.2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5" hidden="1" x14ac:dyDescent="0.2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5" hidden="1" x14ac:dyDescent="0.2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5" hidden="1" x14ac:dyDescent="0.2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5" hidden="1" x14ac:dyDescent="0.2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5" hidden="1" x14ac:dyDescent="0.2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5" hidden="1" x14ac:dyDescent="0.2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5" hidden="1" x14ac:dyDescent="0.2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5" hidden="1" x14ac:dyDescent="0.2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5" hidden="1" x14ac:dyDescent="0.2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5" hidden="1" x14ac:dyDescent="0.2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5" hidden="1" x14ac:dyDescent="0.2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5" hidden="1" x14ac:dyDescent="0.2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5" hidden="1" x14ac:dyDescent="0.2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5" hidden="1" x14ac:dyDescent="0.2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5" hidden="1" x14ac:dyDescent="0.2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5" hidden="1" x14ac:dyDescent="0.2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5" hidden="1" x14ac:dyDescent="0.2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5" hidden="1" x14ac:dyDescent="0.2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5" hidden="1" x14ac:dyDescent="0.2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5" hidden="1" x14ac:dyDescent="0.2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5" hidden="1" x14ac:dyDescent="0.2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5" hidden="1" x14ac:dyDescent="0.2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5" hidden="1" x14ac:dyDescent="0.2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5" hidden="1" x14ac:dyDescent="0.2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5" hidden="1" x14ac:dyDescent="0.2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5" hidden="1" x14ac:dyDescent="0.2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5" hidden="1" x14ac:dyDescent="0.2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5" hidden="1" x14ac:dyDescent="0.2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5" hidden="1" x14ac:dyDescent="0.2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5" hidden="1" x14ac:dyDescent="0.2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5" hidden="1" x14ac:dyDescent="0.2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5" hidden="1" x14ac:dyDescent="0.2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5" hidden="1" x14ac:dyDescent="0.2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5" hidden="1" x14ac:dyDescent="0.2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5" hidden="1" x14ac:dyDescent="0.2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5" hidden="1" x14ac:dyDescent="0.2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5" hidden="1" x14ac:dyDescent="0.2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5" hidden="1" x14ac:dyDescent="0.2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5" hidden="1" x14ac:dyDescent="0.2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5" hidden="1" x14ac:dyDescent="0.2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5" hidden="1" x14ac:dyDescent="0.2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5" hidden="1" x14ac:dyDescent="0.2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5" hidden="1" x14ac:dyDescent="0.2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5" hidden="1" x14ac:dyDescent="0.2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5" hidden="1" x14ac:dyDescent="0.2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5" hidden="1" x14ac:dyDescent="0.2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5" hidden="1" x14ac:dyDescent="0.2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5" hidden="1" x14ac:dyDescent="0.2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5" hidden="1" x14ac:dyDescent="0.2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5" hidden="1" x14ac:dyDescent="0.2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5" hidden="1" x14ac:dyDescent="0.2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5" hidden="1" x14ac:dyDescent="0.2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5" hidden="1" x14ac:dyDescent="0.2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5" hidden="1" x14ac:dyDescent="0.2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5" hidden="1" x14ac:dyDescent="0.2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5" hidden="1" x14ac:dyDescent="0.2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5" hidden="1" x14ac:dyDescent="0.2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5" hidden="1" x14ac:dyDescent="0.2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5" hidden="1" x14ac:dyDescent="0.2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5" hidden="1" x14ac:dyDescent="0.2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5" hidden="1" x14ac:dyDescent="0.2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5" hidden="1" x14ac:dyDescent="0.2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5" hidden="1" x14ac:dyDescent="0.2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5" hidden="1" x14ac:dyDescent="0.2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5" hidden="1" x14ac:dyDescent="0.2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5" hidden="1" x14ac:dyDescent="0.2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5" hidden="1" x14ac:dyDescent="0.2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5" hidden="1" x14ac:dyDescent="0.2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5" hidden="1" x14ac:dyDescent="0.2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5" hidden="1" x14ac:dyDescent="0.2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5" hidden="1" x14ac:dyDescent="0.2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5" hidden="1" x14ac:dyDescent="0.2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5" hidden="1" x14ac:dyDescent="0.2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5" hidden="1" x14ac:dyDescent="0.2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5" hidden="1" x14ac:dyDescent="0.2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5" hidden="1" x14ac:dyDescent="0.2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5" hidden="1" x14ac:dyDescent="0.2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5" hidden="1" x14ac:dyDescent="0.2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5" hidden="1" x14ac:dyDescent="0.2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5" hidden="1" x14ac:dyDescent="0.2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5" hidden="1" x14ac:dyDescent="0.2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5" hidden="1" x14ac:dyDescent="0.2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5" hidden="1" x14ac:dyDescent="0.2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5" hidden="1" x14ac:dyDescent="0.2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5" hidden="1" x14ac:dyDescent="0.2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5" hidden="1" x14ac:dyDescent="0.2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5" hidden="1" x14ac:dyDescent="0.2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5" hidden="1" x14ac:dyDescent="0.2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5" hidden="1" x14ac:dyDescent="0.2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5" hidden="1" x14ac:dyDescent="0.2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5" hidden="1" x14ac:dyDescent="0.2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5" hidden="1" x14ac:dyDescent="0.2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5" hidden="1" x14ac:dyDescent="0.2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5" hidden="1" x14ac:dyDescent="0.2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5" hidden="1" x14ac:dyDescent="0.2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5" hidden="1" x14ac:dyDescent="0.2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5" hidden="1" x14ac:dyDescent="0.2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5" hidden="1" x14ac:dyDescent="0.2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5" hidden="1" x14ac:dyDescent="0.2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5" hidden="1" x14ac:dyDescent="0.2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5" hidden="1" x14ac:dyDescent="0.2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5" hidden="1" x14ac:dyDescent="0.2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5" hidden="1" x14ac:dyDescent="0.2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5" hidden="1" x14ac:dyDescent="0.2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5" hidden="1" x14ac:dyDescent="0.2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5" hidden="1" x14ac:dyDescent="0.2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5" hidden="1" x14ac:dyDescent="0.2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5" hidden="1" x14ac:dyDescent="0.2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5" hidden="1" x14ac:dyDescent="0.2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5" hidden="1" x14ac:dyDescent="0.2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5" hidden="1" x14ac:dyDescent="0.2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5" hidden="1" x14ac:dyDescent="0.2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5" hidden="1" x14ac:dyDescent="0.2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5" hidden="1" x14ac:dyDescent="0.2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5" hidden="1" x14ac:dyDescent="0.2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5" hidden="1" x14ac:dyDescent="0.2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5" hidden="1" x14ac:dyDescent="0.2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5" hidden="1" x14ac:dyDescent="0.2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5" hidden="1" x14ac:dyDescent="0.2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5" hidden="1" x14ac:dyDescent="0.2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5" hidden="1" x14ac:dyDescent="0.2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5" hidden="1" x14ac:dyDescent="0.2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5" hidden="1" x14ac:dyDescent="0.2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5" hidden="1" x14ac:dyDescent="0.2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5" hidden="1" x14ac:dyDescent="0.2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5" hidden="1" x14ac:dyDescent="0.2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5" hidden="1" x14ac:dyDescent="0.2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5" hidden="1" x14ac:dyDescent="0.2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5" hidden="1" x14ac:dyDescent="0.2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5" hidden="1" x14ac:dyDescent="0.2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5" hidden="1" x14ac:dyDescent="0.2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5" hidden="1" x14ac:dyDescent="0.2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5" hidden="1" x14ac:dyDescent="0.2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5" hidden="1" x14ac:dyDescent="0.2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5" hidden="1" x14ac:dyDescent="0.2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5" hidden="1" x14ac:dyDescent="0.2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5" hidden="1" x14ac:dyDescent="0.2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5" hidden="1" x14ac:dyDescent="0.2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5" hidden="1" x14ac:dyDescent="0.2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5" hidden="1" x14ac:dyDescent="0.2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5" hidden="1" x14ac:dyDescent="0.2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5" hidden="1" x14ac:dyDescent="0.2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5" hidden="1" x14ac:dyDescent="0.2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5" hidden="1" x14ac:dyDescent="0.2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5" hidden="1" x14ac:dyDescent="0.2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5" hidden="1" x14ac:dyDescent="0.2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5" hidden="1" x14ac:dyDescent="0.2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5" hidden="1" x14ac:dyDescent="0.2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5" hidden="1" x14ac:dyDescent="0.2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5" hidden="1" x14ac:dyDescent="0.2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5" hidden="1" x14ac:dyDescent="0.2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5" hidden="1" x14ac:dyDescent="0.2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5" hidden="1" x14ac:dyDescent="0.2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5" hidden="1" x14ac:dyDescent="0.2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5" hidden="1" x14ac:dyDescent="0.2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5" hidden="1" x14ac:dyDescent="0.2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5" hidden="1" x14ac:dyDescent="0.2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5" hidden="1" x14ac:dyDescent="0.2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5" hidden="1" x14ac:dyDescent="0.2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5" hidden="1" x14ac:dyDescent="0.2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5" hidden="1" x14ac:dyDescent="0.2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5" hidden="1" x14ac:dyDescent="0.2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5" hidden="1" x14ac:dyDescent="0.2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5" hidden="1" x14ac:dyDescent="0.2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5" hidden="1" x14ac:dyDescent="0.2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5" hidden="1" x14ac:dyDescent="0.2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5" hidden="1" x14ac:dyDescent="0.2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5" hidden="1" x14ac:dyDescent="0.2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5" hidden="1" x14ac:dyDescent="0.2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5" hidden="1" x14ac:dyDescent="0.2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5" hidden="1" x14ac:dyDescent="0.2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5" hidden="1" x14ac:dyDescent="0.2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5" hidden="1" x14ac:dyDescent="0.2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5" hidden="1" x14ac:dyDescent="0.2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5" hidden="1" x14ac:dyDescent="0.2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5" hidden="1" x14ac:dyDescent="0.2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5" hidden="1" x14ac:dyDescent="0.2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5" hidden="1" x14ac:dyDescent="0.2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5" hidden="1" x14ac:dyDescent="0.2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5" hidden="1" x14ac:dyDescent="0.2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5" hidden="1" x14ac:dyDescent="0.2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5" hidden="1" x14ac:dyDescent="0.2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5" hidden="1" x14ac:dyDescent="0.2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5" hidden="1" x14ac:dyDescent="0.2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5" hidden="1" x14ac:dyDescent="0.2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5" hidden="1" x14ac:dyDescent="0.2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5" hidden="1" x14ac:dyDescent="0.2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5" hidden="1" x14ac:dyDescent="0.2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5" hidden="1" x14ac:dyDescent="0.2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5" hidden="1" x14ac:dyDescent="0.2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5" hidden="1" x14ac:dyDescent="0.2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5" hidden="1" x14ac:dyDescent="0.2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5" hidden="1" x14ac:dyDescent="0.2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5" hidden="1" x14ac:dyDescent="0.2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5" hidden="1" x14ac:dyDescent="0.2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5" hidden="1" x14ac:dyDescent="0.2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5" hidden="1" x14ac:dyDescent="0.2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5" hidden="1" x14ac:dyDescent="0.2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5" hidden="1" x14ac:dyDescent="0.2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5" hidden="1" x14ac:dyDescent="0.2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5" hidden="1" x14ac:dyDescent="0.2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5" hidden="1" x14ac:dyDescent="0.2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5" hidden="1" x14ac:dyDescent="0.2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5" hidden="1" x14ac:dyDescent="0.2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5" hidden="1" x14ac:dyDescent="0.2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5" hidden="1" x14ac:dyDescent="0.2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5" hidden="1" x14ac:dyDescent="0.2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5" hidden="1" x14ac:dyDescent="0.2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5" hidden="1" x14ac:dyDescent="0.2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5" hidden="1" x14ac:dyDescent="0.2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5" hidden="1" x14ac:dyDescent="0.2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5" hidden="1" x14ac:dyDescent="0.2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5" hidden="1" x14ac:dyDescent="0.2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5" hidden="1" x14ac:dyDescent="0.2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5" hidden="1" x14ac:dyDescent="0.2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5" hidden="1" x14ac:dyDescent="0.2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5" hidden="1" x14ac:dyDescent="0.2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5" hidden="1" x14ac:dyDescent="0.2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5" hidden="1" x14ac:dyDescent="0.2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5" hidden="1" x14ac:dyDescent="0.2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5" hidden="1" x14ac:dyDescent="0.2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5" hidden="1" x14ac:dyDescent="0.2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5" hidden="1" x14ac:dyDescent="0.2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5" hidden="1" x14ac:dyDescent="0.2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5" hidden="1" x14ac:dyDescent="0.2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5" hidden="1" x14ac:dyDescent="0.2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5" hidden="1" x14ac:dyDescent="0.2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5" hidden="1" x14ac:dyDescent="0.2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5" hidden="1" x14ac:dyDescent="0.2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5" hidden="1" x14ac:dyDescent="0.2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5" hidden="1" x14ac:dyDescent="0.2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5" hidden="1" x14ac:dyDescent="0.2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5" hidden="1" x14ac:dyDescent="0.2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5" hidden="1" x14ac:dyDescent="0.2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 x14ac:dyDescent="0.2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 x14ac:dyDescent="0.2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 x14ac:dyDescent="0.2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 x14ac:dyDescent="0.2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 x14ac:dyDescent="0.2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 x14ac:dyDescent="0.2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 x14ac:dyDescent="0.2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 x14ac:dyDescent="0.2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 x14ac:dyDescent="0.2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 x14ac:dyDescent="0.2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 x14ac:dyDescent="0.2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 x14ac:dyDescent="0.2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 x14ac:dyDescent="0.2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 x14ac:dyDescent="0.2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 x14ac:dyDescent="0.2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 x14ac:dyDescent="0.2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 x14ac:dyDescent="0.2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 x14ac:dyDescent="0.2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 x14ac:dyDescent="0.2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 x14ac:dyDescent="0.2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 x14ac:dyDescent="0.2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 x14ac:dyDescent="0.2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 x14ac:dyDescent="0.2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 x14ac:dyDescent="0.2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 x14ac:dyDescent="0.2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 x14ac:dyDescent="0.2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 x14ac:dyDescent="0.2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 x14ac:dyDescent="0.2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 x14ac:dyDescent="0.2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 x14ac:dyDescent="0.2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 x14ac:dyDescent="0.2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 x14ac:dyDescent="0.2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 x14ac:dyDescent="0.2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 x14ac:dyDescent="0.2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 x14ac:dyDescent="0.2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 x14ac:dyDescent="0.2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 x14ac:dyDescent="0.2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 x14ac:dyDescent="0.2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 x14ac:dyDescent="0.2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 x14ac:dyDescent="0.2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 x14ac:dyDescent="0.2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 x14ac:dyDescent="0.2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 x14ac:dyDescent="0.2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 x14ac:dyDescent="0.2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 x14ac:dyDescent="0.2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 x14ac:dyDescent="0.2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 x14ac:dyDescent="0.2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 x14ac:dyDescent="0.2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 x14ac:dyDescent="0.2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 x14ac:dyDescent="0.2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 x14ac:dyDescent="0.2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 x14ac:dyDescent="0.2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 x14ac:dyDescent="0.2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 x14ac:dyDescent="0.2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 x14ac:dyDescent="0.2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 x14ac:dyDescent="0.2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 x14ac:dyDescent="0.2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 x14ac:dyDescent="0.2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 x14ac:dyDescent="0.2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 x14ac:dyDescent="0.2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 x14ac:dyDescent="0.2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 x14ac:dyDescent="0.2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 x14ac:dyDescent="0.2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 x14ac:dyDescent="0.2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3" customFormat="1" ht="15" hidden="1" customHeight="1" x14ac:dyDescent="0.2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 x14ac:dyDescent="0.25"/>
    <row r="1555" spans="2:29" ht="15" hidden="1" customHeight="1" x14ac:dyDescent="0.25"/>
    <row r="1556" spans="2:29" ht="15" hidden="1" customHeight="1" x14ac:dyDescent="0.25"/>
    <row r="1557" spans="2:29" ht="15" hidden="1" customHeight="1" x14ac:dyDescent="0.25"/>
    <row r="1558" spans="2:29" ht="15" hidden="1" customHeight="1" x14ac:dyDescent="0.25"/>
    <row r="1559" spans="2:29" ht="15" hidden="1" customHeight="1" x14ac:dyDescent="0.25"/>
    <row r="1560" spans="2:29" ht="15" hidden="1" customHeight="1" x14ac:dyDescent="0.25"/>
    <row r="1561" spans="2:29" ht="15" hidden="1" customHeight="1" x14ac:dyDescent="0.25"/>
    <row r="1562" spans="2:29" ht="15" hidden="1" customHeight="1" x14ac:dyDescent="0.25"/>
    <row r="1563" spans="2:29" ht="15" hidden="1" customHeight="1" x14ac:dyDescent="0.25"/>
    <row r="1564" spans="2:29" ht="15" hidden="1" customHeight="1" x14ac:dyDescent="0.25"/>
    <row r="1565" spans="2:29" ht="15" hidden="1" customHeight="1" x14ac:dyDescent="0.25"/>
    <row r="1566" spans="2:29" ht="15" hidden="1" customHeight="1" x14ac:dyDescent="0.25"/>
    <row r="1567" spans="2:29" ht="15" hidden="1" customHeight="1" x14ac:dyDescent="0.25"/>
    <row r="1568" spans="2:29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10:E11"/>
    <mergeCell ref="E26:E27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39"/>
  <sheetViews>
    <sheetView showGridLines="0" zoomScale="80" zoomScaleNormal="80" workbookViewId="0">
      <selection activeCell="F18" sqref="F18"/>
    </sheetView>
  </sheetViews>
  <sheetFormatPr defaultColWidth="0" defaultRowHeight="0" customHeight="1" zeroHeight="1" x14ac:dyDescent="0.25"/>
  <cols>
    <col min="1" max="1" width="3.5703125" style="3" customWidth="1"/>
    <col min="2" max="2" width="54.7109375" bestFit="1" customWidth="1"/>
    <col min="3" max="5" width="25.5703125" customWidth="1"/>
    <col min="6" max="6" width="6" style="5" bestFit="1" customWidth="1"/>
    <col min="7" max="8" width="0" hidden="1" customWidth="1"/>
    <col min="9" max="16384" width="9" hidden="1"/>
  </cols>
  <sheetData>
    <row r="1" spans="1:6" ht="15" x14ac:dyDescent="0.25">
      <c r="A1" s="9"/>
      <c r="B1" s="10"/>
      <c r="C1" s="10"/>
      <c r="D1" s="10"/>
      <c r="E1" s="10"/>
      <c r="F1" s="160"/>
    </row>
    <row r="2" spans="1:6" ht="15" x14ac:dyDescent="0.25">
      <c r="A2" s="9"/>
      <c r="B2" s="10"/>
      <c r="C2" s="10"/>
      <c r="D2" s="10"/>
      <c r="E2" s="10"/>
      <c r="F2" s="160"/>
    </row>
    <row r="3" spans="1:6" ht="15" x14ac:dyDescent="0.25">
      <c r="A3" s="9"/>
      <c r="B3" s="10"/>
      <c r="C3" s="10"/>
      <c r="D3" s="10"/>
      <c r="E3" s="10"/>
      <c r="F3" s="160"/>
    </row>
    <row r="4" spans="1:6" ht="15" x14ac:dyDescent="0.25">
      <c r="A4" s="9"/>
      <c r="B4" s="10"/>
      <c r="C4" s="10"/>
      <c r="D4" s="10"/>
      <c r="E4" s="10"/>
      <c r="F4" s="160"/>
    </row>
    <row r="5" spans="1:6" ht="3" customHeight="1" x14ac:dyDescent="0.25">
      <c r="A5" s="1"/>
      <c r="B5" s="2"/>
      <c r="C5" s="2"/>
      <c r="D5" s="2"/>
      <c r="E5" s="2"/>
      <c r="F5" s="161"/>
    </row>
    <row r="6" spans="1:6" ht="15" x14ac:dyDescent="0.25"/>
    <row r="7" spans="1:6" ht="15" x14ac:dyDescent="0.25">
      <c r="A7" s="49"/>
      <c r="B7" s="51"/>
      <c r="C7" s="51"/>
      <c r="D7" s="51"/>
      <c r="E7" s="51"/>
      <c r="F7" s="94"/>
    </row>
    <row r="8" spans="1:6" ht="15" x14ac:dyDescent="0.25">
      <c r="A8" s="49"/>
      <c r="B8" s="80" t="s">
        <v>104</v>
      </c>
      <c r="C8" s="51"/>
      <c r="D8" s="51"/>
      <c r="E8" s="51"/>
      <c r="F8" s="94"/>
    </row>
    <row r="9" spans="1:6" ht="4.9000000000000004" customHeight="1" x14ac:dyDescent="0.25">
      <c r="A9" s="49"/>
      <c r="B9" s="51"/>
      <c r="C9" s="51"/>
      <c r="D9" s="51"/>
      <c r="E9" s="51"/>
      <c r="F9" s="94"/>
    </row>
    <row r="10" spans="1:6" ht="15" customHeight="1" x14ac:dyDescent="0.25">
      <c r="A10" s="49"/>
      <c r="B10" s="147" t="s">
        <v>1</v>
      </c>
      <c r="C10" s="145" t="s">
        <v>4</v>
      </c>
      <c r="D10" s="145" t="s">
        <v>75</v>
      </c>
      <c r="E10" s="155" t="s">
        <v>78</v>
      </c>
      <c r="F10" s="94"/>
    </row>
    <row r="11" spans="1:6" ht="15" customHeight="1" x14ac:dyDescent="0.25">
      <c r="A11" s="49"/>
      <c r="B11" s="148"/>
      <c r="C11" s="146"/>
      <c r="D11" s="146"/>
      <c r="E11" s="155"/>
      <c r="F11" s="94"/>
    </row>
    <row r="12" spans="1:6" ht="15" x14ac:dyDescent="0.25">
      <c r="A12" s="49"/>
      <c r="B12" s="73" t="s">
        <v>7</v>
      </c>
      <c r="C12" s="106">
        <f>+SUM(C13:C15)</f>
        <v>834675.45847151708</v>
      </c>
      <c r="D12" s="105">
        <f>+C12/$C$20</f>
        <v>0.66398771413348334</v>
      </c>
      <c r="E12" s="106">
        <f>+SUM(E13:E15)</f>
        <v>16398496.26</v>
      </c>
      <c r="F12" s="94"/>
    </row>
    <row r="13" spans="1:6" ht="15" x14ac:dyDescent="0.25">
      <c r="A13" s="49"/>
      <c r="B13" s="74" t="s">
        <v>105</v>
      </c>
      <c r="C13" s="108">
        <v>6517.6473833845803</v>
      </c>
      <c r="D13" s="107">
        <f>+C13/$C$12</f>
        <v>7.808600716882096E-3</v>
      </c>
      <c r="E13" s="108">
        <v>379909.39</v>
      </c>
      <c r="F13" s="94"/>
    </row>
    <row r="14" spans="1:6" ht="15" x14ac:dyDescent="0.25">
      <c r="A14" s="49"/>
      <c r="B14" s="74" t="s">
        <v>106</v>
      </c>
      <c r="C14" s="108">
        <v>790916.69082982105</v>
      </c>
      <c r="D14" s="107">
        <f>+C14/$C$12</f>
        <v>0.94757391367199362</v>
      </c>
      <c r="E14" s="108">
        <v>16018586.869999999</v>
      </c>
      <c r="F14" s="94"/>
    </row>
    <row r="15" spans="1:6" ht="15" x14ac:dyDescent="0.25">
      <c r="A15" s="49"/>
      <c r="B15" s="74" t="s">
        <v>107</v>
      </c>
      <c r="C15" s="108">
        <v>37241.120258311501</v>
      </c>
      <c r="D15" s="107">
        <f>+C15/$C$12</f>
        <v>4.4617485611124309E-2</v>
      </c>
      <c r="E15" s="109" t="s">
        <v>77</v>
      </c>
      <c r="F15" s="94"/>
    </row>
    <row r="16" spans="1:6" ht="15" x14ac:dyDescent="0.25">
      <c r="A16" s="49"/>
      <c r="B16" s="73" t="s">
        <v>16</v>
      </c>
      <c r="C16" s="106">
        <f>+SUM(C17:C19)</f>
        <v>422389.15387719858</v>
      </c>
      <c r="D16" s="105">
        <f>+C16/$C$20</f>
        <v>0.3360122858665166</v>
      </c>
      <c r="E16" s="106">
        <f>+SUM(E17:E19)</f>
        <v>29537894.210000001</v>
      </c>
      <c r="F16" s="94"/>
    </row>
    <row r="17" spans="1:6" ht="15" x14ac:dyDescent="0.25">
      <c r="A17" s="49"/>
      <c r="B17" s="74" t="s">
        <v>105</v>
      </c>
      <c r="C17" s="108">
        <v>87350.829258739497</v>
      </c>
      <c r="D17" s="107">
        <f>+C17/$C$16</f>
        <v>0.20680178090968465</v>
      </c>
      <c r="E17" s="108">
        <v>9226649.7899999991</v>
      </c>
      <c r="F17" s="94">
        <f>+C17*1000/E17</f>
        <v>9.4672314704533189</v>
      </c>
    </row>
    <row r="18" spans="1:6" ht="15" x14ac:dyDescent="0.25">
      <c r="A18" s="49"/>
      <c r="B18" s="74" t="s">
        <v>106</v>
      </c>
      <c r="C18" s="108">
        <v>317322.74944347702</v>
      </c>
      <c r="D18" s="107">
        <f>+C18/$C$16</f>
        <v>0.75125686000860814</v>
      </c>
      <c r="E18" s="108">
        <v>20311244.420000002</v>
      </c>
      <c r="F18" s="94">
        <f>+C18*1000/E18</f>
        <v>15.623008757209226</v>
      </c>
    </row>
    <row r="19" spans="1:6" ht="15" x14ac:dyDescent="0.25">
      <c r="A19" s="49"/>
      <c r="B19" s="74" t="s">
        <v>107</v>
      </c>
      <c r="C19" s="108">
        <v>17715.575174982099</v>
      </c>
      <c r="D19" s="107">
        <f>+C19/$C$16</f>
        <v>4.1941359081707284E-2</v>
      </c>
      <c r="E19" s="107" t="s">
        <v>77</v>
      </c>
      <c r="F19" s="94"/>
    </row>
    <row r="20" spans="1:6" s="3" customFormat="1" ht="15" x14ac:dyDescent="0.25">
      <c r="A20" s="49"/>
      <c r="B20" s="89" t="s">
        <v>21</v>
      </c>
      <c r="C20" s="111">
        <f>+C16+C12</f>
        <v>1257064.6123487158</v>
      </c>
      <c r="D20" s="110">
        <f>+D12+D16</f>
        <v>1</v>
      </c>
      <c r="E20" s="111">
        <f>+E12+E16</f>
        <v>45936390.469999999</v>
      </c>
      <c r="F20" s="94"/>
    </row>
    <row r="21" spans="1:6" s="3" customFormat="1" ht="15" x14ac:dyDescent="0.25">
      <c r="A21" s="49"/>
      <c r="B21" s="49"/>
      <c r="C21" s="49"/>
      <c r="D21" s="49"/>
      <c r="E21" s="49"/>
      <c r="F21" s="162"/>
    </row>
    <row r="22" spans="1:6" s="3" customFormat="1" ht="15" hidden="1" x14ac:dyDescent="0.25">
      <c r="A22" s="49"/>
      <c r="B22" s="49"/>
      <c r="C22" s="49"/>
      <c r="D22" s="49"/>
      <c r="E22" s="49"/>
      <c r="F22" s="162"/>
    </row>
    <row r="23" spans="1:6" s="3" customFormat="1" ht="15" hidden="1" x14ac:dyDescent="0.25">
      <c r="B23" s="7"/>
      <c r="C23" s="7"/>
      <c r="D23"/>
      <c r="E23"/>
      <c r="F23" s="5"/>
    </row>
    <row r="24" spans="1:6" s="3" customFormat="1" ht="15" hidden="1" x14ac:dyDescent="0.25">
      <c r="B24" s="7"/>
      <c r="C24" s="7"/>
      <c r="D24"/>
      <c r="E24"/>
      <c r="F24" s="5"/>
    </row>
    <row r="25" spans="1:6" s="3" customFormat="1" ht="15" hidden="1" x14ac:dyDescent="0.25">
      <c r="D25"/>
      <c r="E25"/>
      <c r="F25" s="5"/>
    </row>
    <row r="26" spans="1:6" s="3" customFormat="1" ht="15" hidden="1" x14ac:dyDescent="0.25">
      <c r="D26"/>
      <c r="E26"/>
      <c r="F26" s="5"/>
    </row>
    <row r="27" spans="1:6" s="3" customFormat="1" ht="15" hidden="1" x14ac:dyDescent="0.25">
      <c r="D27"/>
      <c r="E27"/>
      <c r="F27" s="5"/>
    </row>
    <row r="28" spans="1:6" s="3" customFormat="1" ht="15" hidden="1" x14ac:dyDescent="0.25">
      <c r="D28"/>
      <c r="E28"/>
      <c r="F28" s="5"/>
    </row>
    <row r="29" spans="1:6" s="3" customFormat="1" ht="15" hidden="1" x14ac:dyDescent="0.25">
      <c r="D29" s="5"/>
      <c r="E29" s="5"/>
      <c r="F29" s="5"/>
    </row>
    <row r="30" spans="1:6" s="3" customFormat="1" ht="15" hidden="1" x14ac:dyDescent="0.25">
      <c r="D30"/>
      <c r="E30"/>
      <c r="F30" s="5"/>
    </row>
    <row r="31" spans="1:6" s="3" customFormat="1" ht="15" hidden="1" x14ac:dyDescent="0.25">
      <c r="D31"/>
      <c r="E31"/>
      <c r="F31" s="5"/>
    </row>
    <row r="32" spans="1:6" s="3" customFormat="1" ht="15" hidden="1" x14ac:dyDescent="0.25">
      <c r="D32"/>
      <c r="E32"/>
      <c r="F32" s="5"/>
    </row>
    <row r="33" spans="2:6" s="3" customFormat="1" ht="15" hidden="1" x14ac:dyDescent="0.25">
      <c r="D33"/>
      <c r="E33"/>
      <c r="F33" s="5"/>
    </row>
    <row r="34" spans="2:6" s="3" customFormat="1" ht="15" hidden="1" x14ac:dyDescent="0.25">
      <c r="D34"/>
      <c r="E34"/>
      <c r="F34" s="5"/>
    </row>
    <row r="35" spans="2:6" s="3" customFormat="1" ht="15" hidden="1" x14ac:dyDescent="0.25">
      <c r="F35" s="163"/>
    </row>
    <row r="36" spans="2:6" s="3" customFormat="1" ht="15" hidden="1" x14ac:dyDescent="0.25">
      <c r="B36" s="17"/>
      <c r="F36" s="163"/>
    </row>
    <row r="37" spans="2:6" s="3" customFormat="1" ht="15" hidden="1" x14ac:dyDescent="0.25">
      <c r="B37" s="17"/>
      <c r="F37" s="163"/>
    </row>
    <row r="38" spans="2:6" s="3" customFormat="1" ht="15" hidden="1" x14ac:dyDescent="0.25">
      <c r="B38" s="17"/>
      <c r="F38" s="163"/>
    </row>
    <row r="39" spans="2:6" s="3" customFormat="1" ht="15" hidden="1" x14ac:dyDescent="0.25">
      <c r="F39" s="163"/>
    </row>
  </sheetData>
  <mergeCells count="4">
    <mergeCell ref="B10:B11"/>
    <mergeCell ref="C10:C11"/>
    <mergeCell ref="E10:E11"/>
    <mergeCell ref="D10:D1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6"/>
  <sheetViews>
    <sheetView showGridLines="0" tabSelected="1" zoomScale="80" zoomScaleNormal="80" workbookViewId="0">
      <selection activeCell="D13" sqref="D13"/>
    </sheetView>
  </sheetViews>
  <sheetFormatPr defaultColWidth="0" defaultRowHeight="0" customHeight="1" zeroHeight="1" x14ac:dyDescent="0.25"/>
  <cols>
    <col min="1" max="1" width="3.5703125" customWidth="1"/>
    <col min="2" max="2" width="30.140625" bestFit="1" customWidth="1"/>
    <col min="3" max="3" width="47.28515625" bestFit="1" customWidth="1"/>
    <col min="4" max="5" width="23.140625" customWidth="1"/>
    <col min="6" max="6" width="3.7109375" customWidth="1"/>
    <col min="7" max="10" width="23.140625" hidden="1" customWidth="1"/>
    <col min="11" max="11" width="19.42578125" hidden="1" customWidth="1"/>
    <col min="12" max="47" width="0" hidden="1" customWidth="1"/>
    <col min="48" max="16384" width="9.140625" hidden="1"/>
  </cols>
  <sheetData>
    <row r="1" spans="1:11" ht="15" x14ac:dyDescent="0.25">
      <c r="A1" s="10"/>
      <c r="B1" s="10"/>
      <c r="C1" s="10"/>
      <c r="D1" s="10"/>
      <c r="E1" s="10"/>
      <c r="F1" s="10"/>
    </row>
    <row r="2" spans="1:11" ht="15" x14ac:dyDescent="0.25">
      <c r="A2" s="10"/>
      <c r="B2" s="10"/>
      <c r="C2" s="10"/>
      <c r="D2" s="10"/>
      <c r="E2" s="10"/>
      <c r="F2" s="10"/>
    </row>
    <row r="3" spans="1:11" ht="15" x14ac:dyDescent="0.25">
      <c r="A3" s="10"/>
      <c r="B3" s="10"/>
      <c r="C3" s="10"/>
      <c r="D3" s="10"/>
      <c r="E3" s="10"/>
      <c r="F3" s="10"/>
    </row>
    <row r="4" spans="1:11" ht="15" x14ac:dyDescent="0.25">
      <c r="A4" s="10"/>
      <c r="B4" s="10"/>
      <c r="C4" s="10"/>
      <c r="D4" s="10"/>
      <c r="E4" s="10"/>
      <c r="F4" s="10"/>
    </row>
    <row r="5" spans="1:11" ht="3" customHeight="1" x14ac:dyDescent="0.25">
      <c r="A5" s="2"/>
      <c r="B5" s="2"/>
      <c r="C5" s="2"/>
      <c r="D5" s="2"/>
      <c r="E5" s="2"/>
      <c r="F5" s="2"/>
    </row>
    <row r="6" spans="1:11" ht="15" x14ac:dyDescent="0.25">
      <c r="A6" s="51"/>
      <c r="B6" s="51"/>
      <c r="C6" s="51"/>
      <c r="D6" s="51"/>
      <c r="E6" s="51"/>
      <c r="F6" s="51"/>
    </row>
    <row r="7" spans="1:11" ht="15" x14ac:dyDescent="0.25">
      <c r="A7" s="51"/>
      <c r="B7" s="80" t="s">
        <v>108</v>
      </c>
      <c r="C7" s="51"/>
      <c r="D7" s="93"/>
      <c r="E7" s="93"/>
      <c r="F7" s="93"/>
      <c r="G7" s="8"/>
      <c r="H7" s="8"/>
      <c r="I7" s="8"/>
      <c r="J7" s="8"/>
    </row>
    <row r="8" spans="1:11" ht="4.9000000000000004" customHeight="1" x14ac:dyDescent="0.25">
      <c r="A8" s="51"/>
      <c r="B8" s="112"/>
      <c r="C8" s="51"/>
      <c r="D8" s="93"/>
      <c r="E8" s="93"/>
      <c r="F8" s="93"/>
      <c r="G8" s="8"/>
      <c r="H8" s="8"/>
      <c r="I8" s="8"/>
      <c r="J8" s="8"/>
    </row>
    <row r="9" spans="1:11" ht="15" customHeight="1" x14ac:dyDescent="0.25">
      <c r="A9" s="51"/>
      <c r="B9" s="156" t="s">
        <v>51</v>
      </c>
      <c r="C9" s="158" t="s">
        <v>52</v>
      </c>
      <c r="D9" s="145" t="s">
        <v>53</v>
      </c>
      <c r="E9" s="145" t="s">
        <v>4</v>
      </c>
      <c r="F9" s="50"/>
      <c r="G9" s="6" t="s">
        <v>22</v>
      </c>
      <c r="H9" s="6" t="s">
        <v>76</v>
      </c>
      <c r="I9" s="6" t="s">
        <v>23</v>
      </c>
      <c r="J9" s="6" t="s">
        <v>35</v>
      </c>
    </row>
    <row r="10" spans="1:11" ht="15" customHeight="1" x14ac:dyDescent="0.25">
      <c r="A10" s="51"/>
      <c r="B10" s="157"/>
      <c r="C10" s="159"/>
      <c r="D10" s="146"/>
      <c r="E10" s="146"/>
      <c r="F10" s="50"/>
      <c r="G10" s="6"/>
      <c r="H10" s="6"/>
      <c r="I10" s="6"/>
      <c r="J10" s="6"/>
    </row>
    <row r="11" spans="1:11" ht="15" x14ac:dyDescent="0.25">
      <c r="A11" s="51"/>
      <c r="B11" s="73" t="s">
        <v>6</v>
      </c>
      <c r="C11" s="73"/>
      <c r="D11" s="123">
        <f>+SUM(D12:D23)</f>
        <v>2369065799.9493589</v>
      </c>
      <c r="E11" s="124">
        <f>+SUM(E12:E23)</f>
        <v>833845.51248968043</v>
      </c>
      <c r="F11" s="113"/>
      <c r="G11" s="18"/>
      <c r="H11" s="20"/>
      <c r="I11" s="18"/>
      <c r="J11" s="21"/>
    </row>
    <row r="12" spans="1:11" ht="15" x14ac:dyDescent="0.25">
      <c r="A12" s="51"/>
      <c r="B12" s="114" t="s">
        <v>54</v>
      </c>
      <c r="C12" s="114" t="s">
        <v>15</v>
      </c>
      <c r="D12" s="115">
        <v>464990948.11473107</v>
      </c>
      <c r="E12" s="116">
        <v>16299.99791</v>
      </c>
      <c r="F12" s="117"/>
      <c r="G12" s="14"/>
      <c r="H12" s="16"/>
      <c r="I12" s="18"/>
      <c r="J12" s="15"/>
      <c r="K12" s="12"/>
    </row>
    <row r="13" spans="1:11" ht="15" x14ac:dyDescent="0.25">
      <c r="A13" s="51"/>
      <c r="B13" s="114" t="s">
        <v>57</v>
      </c>
      <c r="C13" s="114" t="s">
        <v>58</v>
      </c>
      <c r="D13" s="115">
        <v>1251066674.6644807</v>
      </c>
      <c r="E13" s="116">
        <v>641082.75190000003</v>
      </c>
      <c r="F13" s="117"/>
      <c r="G13" s="14"/>
      <c r="H13" s="16"/>
      <c r="I13" s="18"/>
      <c r="J13" s="15"/>
      <c r="K13" s="12"/>
    </row>
    <row r="14" spans="1:11" ht="15" x14ac:dyDescent="0.25">
      <c r="A14" s="51"/>
      <c r="B14" s="114" t="s">
        <v>61</v>
      </c>
      <c r="C14" s="114" t="s">
        <v>62</v>
      </c>
      <c r="D14" s="115">
        <v>111864493.14043665</v>
      </c>
      <c r="E14" s="116">
        <v>4895.9557089999998</v>
      </c>
      <c r="F14" s="117"/>
      <c r="G14" s="14"/>
      <c r="H14" s="16"/>
      <c r="I14" s="18"/>
      <c r="J14" s="15"/>
      <c r="K14" s="12"/>
    </row>
    <row r="15" spans="1:11" ht="15" x14ac:dyDescent="0.25">
      <c r="A15" s="51"/>
      <c r="B15" s="114" t="s">
        <v>59</v>
      </c>
      <c r="C15" s="114" t="s">
        <v>60</v>
      </c>
      <c r="D15" s="115">
        <v>301935444.77652776</v>
      </c>
      <c r="E15" s="116">
        <v>62565.588919818103</v>
      </c>
      <c r="F15" s="117"/>
      <c r="G15" s="14"/>
      <c r="H15" s="16"/>
      <c r="I15" s="18"/>
      <c r="J15" s="15"/>
      <c r="K15" s="12"/>
    </row>
    <row r="16" spans="1:11" ht="15" x14ac:dyDescent="0.25">
      <c r="A16" s="51"/>
      <c r="B16" s="114" t="s">
        <v>63</v>
      </c>
      <c r="C16" s="114" t="s">
        <v>64</v>
      </c>
      <c r="D16" s="115">
        <v>73925219.673434094</v>
      </c>
      <c r="E16" s="116">
        <v>18319.395929999999</v>
      </c>
      <c r="F16" s="117"/>
      <c r="G16" s="14"/>
      <c r="H16" s="16"/>
      <c r="I16" s="18"/>
      <c r="J16" s="15"/>
      <c r="K16" s="12"/>
    </row>
    <row r="17" spans="1:11" ht="15" x14ac:dyDescent="0.25">
      <c r="A17" s="51"/>
      <c r="B17" s="114" t="s">
        <v>55</v>
      </c>
      <c r="C17" s="114" t="s">
        <v>56</v>
      </c>
      <c r="D17" s="115">
        <v>18767292.166452151</v>
      </c>
      <c r="E17" s="116">
        <v>89512.657480258553</v>
      </c>
      <c r="F17" s="117"/>
      <c r="G17" s="14"/>
      <c r="H17" s="16"/>
      <c r="I17" s="18"/>
      <c r="J17" s="15"/>
      <c r="K17" s="12"/>
    </row>
    <row r="18" spans="1:11" ht="15" x14ac:dyDescent="0.25">
      <c r="A18" s="51"/>
      <c r="B18" s="114" t="s">
        <v>66</v>
      </c>
      <c r="C18" s="114" t="s">
        <v>67</v>
      </c>
      <c r="D18" s="115">
        <v>35998423.102054596</v>
      </c>
      <c r="E18" s="116">
        <v>465.8249477</v>
      </c>
      <c r="F18" s="117"/>
      <c r="G18" s="14"/>
      <c r="H18" s="16"/>
      <c r="I18" s="18"/>
      <c r="J18" s="15"/>
      <c r="K18" s="12"/>
    </row>
    <row r="19" spans="1:11" ht="15" x14ac:dyDescent="0.25">
      <c r="A19" s="51"/>
      <c r="B19" s="114" t="s">
        <v>68</v>
      </c>
      <c r="C19" s="114" t="s">
        <v>69</v>
      </c>
      <c r="D19" s="115">
        <v>2153029.7114285701</v>
      </c>
      <c r="E19" s="116">
        <v>130.6651454</v>
      </c>
      <c r="F19" s="117"/>
      <c r="G19" s="14"/>
      <c r="H19" s="16"/>
      <c r="I19" s="18"/>
      <c r="J19" s="15"/>
      <c r="K19" s="12"/>
    </row>
    <row r="20" spans="1:11" ht="15" x14ac:dyDescent="0.25">
      <c r="A20" s="51"/>
      <c r="B20" s="114">
        <v>11</v>
      </c>
      <c r="C20" s="114" t="s">
        <v>65</v>
      </c>
      <c r="D20" s="115">
        <v>36524098.489999898</v>
      </c>
      <c r="E20" s="116">
        <v>421.47724190000002</v>
      </c>
      <c r="F20" s="117"/>
      <c r="G20" s="14"/>
      <c r="H20" s="16"/>
      <c r="I20" s="18"/>
      <c r="J20" s="15"/>
      <c r="K20" s="12"/>
    </row>
    <row r="21" spans="1:11" ht="14.45" customHeight="1" x14ac:dyDescent="0.25">
      <c r="A21" s="51"/>
      <c r="B21" s="114" t="s">
        <v>70</v>
      </c>
      <c r="C21" s="114" t="s">
        <v>71</v>
      </c>
      <c r="D21" s="115">
        <v>609008.20718012005</v>
      </c>
      <c r="E21" s="116">
        <v>2.0560865270000002</v>
      </c>
      <c r="F21" s="117"/>
      <c r="G21" s="14"/>
      <c r="H21" s="16"/>
      <c r="I21" s="18"/>
      <c r="J21" s="14"/>
      <c r="K21" s="12"/>
    </row>
    <row r="22" spans="1:11" ht="14.45" customHeight="1" x14ac:dyDescent="0.25">
      <c r="A22" s="51"/>
      <c r="B22" s="114" t="s">
        <v>112</v>
      </c>
      <c r="C22" s="114"/>
      <c r="D22" s="133">
        <v>18443627.602633402</v>
      </c>
      <c r="E22" s="134">
        <v>149.14121907685001</v>
      </c>
      <c r="F22" s="117"/>
      <c r="G22" s="14"/>
      <c r="H22" s="16"/>
      <c r="I22" s="18"/>
      <c r="J22" s="14"/>
      <c r="K22" s="12"/>
    </row>
    <row r="23" spans="1:11" ht="14.45" customHeight="1" x14ac:dyDescent="0.25">
      <c r="A23" s="51"/>
      <c r="B23" s="114" t="s">
        <v>72</v>
      </c>
      <c r="C23" s="114"/>
      <c r="D23" s="133">
        <v>52787540.299999997</v>
      </c>
      <c r="E23" s="134" t="s">
        <v>77</v>
      </c>
      <c r="F23" s="117"/>
      <c r="G23" s="14"/>
      <c r="H23" s="16"/>
      <c r="I23" s="18"/>
      <c r="J23" s="14"/>
      <c r="K23" s="12"/>
    </row>
    <row r="24" spans="1:11" ht="14.45" customHeight="1" x14ac:dyDescent="0.25">
      <c r="A24" s="51"/>
      <c r="B24" s="73" t="s">
        <v>99</v>
      </c>
      <c r="C24" s="73"/>
      <c r="D24" s="123">
        <v>17001344.30669912</v>
      </c>
      <c r="E24" s="125">
        <v>0</v>
      </c>
      <c r="F24" s="117"/>
      <c r="G24" s="14"/>
      <c r="H24" s="16"/>
      <c r="I24" s="18"/>
      <c r="J24" s="14"/>
      <c r="K24" s="12"/>
    </row>
    <row r="25" spans="1:11" ht="14.45" customHeight="1" x14ac:dyDescent="0.25">
      <c r="A25" s="51"/>
      <c r="B25" s="89" t="s">
        <v>21</v>
      </c>
      <c r="C25" s="89"/>
      <c r="D25" s="126">
        <f>+D24+D11</f>
        <v>2386067144.2560582</v>
      </c>
      <c r="E25" s="127">
        <f>+E24+E11</f>
        <v>833845.51248968043</v>
      </c>
      <c r="F25" s="118"/>
      <c r="G25" s="19"/>
      <c r="H25" s="23"/>
      <c r="I25" s="18"/>
      <c r="J25" s="19"/>
      <c r="K25" s="12"/>
    </row>
    <row r="26" spans="1:11" ht="4.9000000000000004" customHeight="1" x14ac:dyDescent="0.25">
      <c r="A26" s="51"/>
      <c r="B26" s="51"/>
      <c r="C26" s="51"/>
      <c r="D26" s="51"/>
      <c r="E26" s="51"/>
      <c r="F26" s="119"/>
      <c r="G26" s="14"/>
      <c r="H26" s="16"/>
      <c r="I26" s="18"/>
      <c r="J26" s="14"/>
      <c r="K26" s="12"/>
    </row>
    <row r="27" spans="1:11" ht="15" x14ac:dyDescent="0.25">
      <c r="A27" s="51"/>
      <c r="B27" s="120"/>
      <c r="C27" s="120"/>
      <c r="D27" s="117"/>
      <c r="E27" s="117"/>
      <c r="F27" s="117"/>
      <c r="G27" s="14"/>
      <c r="H27" s="16"/>
      <c r="I27" s="18"/>
      <c r="J27" s="14"/>
    </row>
    <row r="28" spans="1:11" ht="15" x14ac:dyDescent="0.25">
      <c r="A28" s="51"/>
      <c r="B28" s="80" t="s">
        <v>109</v>
      </c>
      <c r="C28" s="51"/>
      <c r="D28" s="93"/>
      <c r="E28" s="93"/>
      <c r="F28" s="93"/>
      <c r="G28" s="24"/>
      <c r="H28" s="23"/>
      <c r="I28" s="18"/>
      <c r="J28" s="24"/>
    </row>
    <row r="29" spans="1:11" ht="4.9000000000000004" customHeight="1" x14ac:dyDescent="0.25">
      <c r="A29" s="51"/>
      <c r="B29" s="112"/>
      <c r="C29" s="51"/>
      <c r="D29" s="93"/>
      <c r="E29" s="93"/>
      <c r="F29" s="93"/>
      <c r="G29" s="24"/>
      <c r="H29" s="23"/>
      <c r="I29" s="18"/>
      <c r="J29" s="24"/>
    </row>
    <row r="30" spans="1:11" ht="15" customHeight="1" x14ac:dyDescent="0.25">
      <c r="A30" s="51"/>
      <c r="B30" s="156" t="s">
        <v>51</v>
      </c>
      <c r="C30" s="158" t="s">
        <v>52</v>
      </c>
      <c r="D30" s="145" t="s">
        <v>53</v>
      </c>
      <c r="E30" s="145" t="s">
        <v>4</v>
      </c>
      <c r="F30" s="121"/>
      <c r="G30" s="25"/>
      <c r="H30" s="26"/>
      <c r="I30" s="18"/>
      <c r="J30" s="25"/>
    </row>
    <row r="31" spans="1:11" ht="15" customHeight="1" x14ac:dyDescent="0.25">
      <c r="A31" s="51"/>
      <c r="B31" s="157"/>
      <c r="C31" s="159"/>
      <c r="D31" s="146"/>
      <c r="E31" s="146"/>
      <c r="F31" s="121"/>
      <c r="G31" s="25"/>
      <c r="H31" s="26"/>
      <c r="I31" s="18"/>
      <c r="J31" s="25"/>
    </row>
    <row r="32" spans="1:11" ht="14.45" customHeight="1" x14ac:dyDescent="0.25">
      <c r="A32" s="51"/>
      <c r="B32" s="73" t="s">
        <v>73</v>
      </c>
      <c r="C32" s="73"/>
      <c r="D32" s="123">
        <f>+SUM(D33:D42)</f>
        <v>23303948897.049007</v>
      </c>
      <c r="E32" s="124">
        <f>+SUM(E33:E42)</f>
        <v>422388.79303199449</v>
      </c>
      <c r="F32" s="113"/>
      <c r="G32" s="18"/>
      <c r="H32" s="20"/>
      <c r="I32" s="18"/>
      <c r="J32" s="21"/>
    </row>
    <row r="33" spans="1:11" ht="14.45" customHeight="1" x14ac:dyDescent="0.25">
      <c r="A33" s="51"/>
      <c r="B33" s="114" t="s">
        <v>54</v>
      </c>
      <c r="C33" s="114" t="s">
        <v>15</v>
      </c>
      <c r="D33" s="115">
        <v>23225080946.998222</v>
      </c>
      <c r="E33" s="116">
        <v>396765.63724497356</v>
      </c>
      <c r="F33" s="117"/>
      <c r="G33" s="14"/>
      <c r="H33" s="16"/>
      <c r="I33" s="18"/>
      <c r="J33" s="15"/>
    </row>
    <row r="34" spans="1:11" ht="15" x14ac:dyDescent="0.25">
      <c r="A34" s="51"/>
      <c r="B34" s="114" t="s">
        <v>57</v>
      </c>
      <c r="C34" s="114" t="s">
        <v>58</v>
      </c>
      <c r="D34" s="115">
        <v>30591558.00241933</v>
      </c>
      <c r="E34" s="116">
        <v>19066.796236959239</v>
      </c>
      <c r="F34" s="117"/>
      <c r="G34" s="14"/>
      <c r="H34" s="16"/>
      <c r="I34" s="18"/>
      <c r="J34" s="15"/>
    </row>
    <row r="35" spans="1:11" ht="15" x14ac:dyDescent="0.25">
      <c r="A35" s="51"/>
      <c r="B35" s="114" t="s">
        <v>61</v>
      </c>
      <c r="C35" s="114" t="s">
        <v>62</v>
      </c>
      <c r="D35" s="115">
        <v>4097961.0242947862</v>
      </c>
      <c r="E35" s="116">
        <v>986.00506824940089</v>
      </c>
      <c r="F35" s="117"/>
      <c r="G35" s="14"/>
      <c r="H35" s="16"/>
      <c r="I35" s="18"/>
      <c r="J35" s="15"/>
    </row>
    <row r="36" spans="1:11" ht="15" x14ac:dyDescent="0.25">
      <c r="A36" s="51"/>
      <c r="B36" s="114" t="s">
        <v>59</v>
      </c>
      <c r="C36" s="114" t="s">
        <v>60</v>
      </c>
      <c r="D36" s="115">
        <v>6162600.2846490573</v>
      </c>
      <c r="E36" s="116">
        <v>1284.1378455685563</v>
      </c>
      <c r="F36" s="117"/>
      <c r="G36" s="14"/>
      <c r="H36" s="16"/>
      <c r="I36" s="18"/>
      <c r="J36" s="15"/>
    </row>
    <row r="37" spans="1:11" ht="15" x14ac:dyDescent="0.25">
      <c r="A37" s="51"/>
      <c r="B37" s="114" t="s">
        <v>63</v>
      </c>
      <c r="C37" s="114" t="s">
        <v>64</v>
      </c>
      <c r="D37" s="115">
        <v>168410.06315332442</v>
      </c>
      <c r="E37" s="116">
        <v>43.465183342372001</v>
      </c>
      <c r="F37" s="117"/>
      <c r="G37" s="14"/>
      <c r="H37" s="16"/>
      <c r="I37" s="18"/>
      <c r="J37" s="15"/>
    </row>
    <row r="38" spans="1:11" ht="15" x14ac:dyDescent="0.25">
      <c r="A38" s="51"/>
      <c r="B38" s="114" t="s">
        <v>55</v>
      </c>
      <c r="C38" s="114" t="s">
        <v>56</v>
      </c>
      <c r="D38" s="115">
        <v>1038375.2515091239</v>
      </c>
      <c r="E38" s="116">
        <v>4001.1589692649104</v>
      </c>
      <c r="F38" s="117"/>
      <c r="G38" s="14"/>
      <c r="H38" s="16"/>
      <c r="I38" s="18"/>
      <c r="J38" s="15"/>
      <c r="K38" s="8"/>
    </row>
    <row r="39" spans="1:11" ht="15" x14ac:dyDescent="0.25">
      <c r="A39" s="51"/>
      <c r="B39" s="114" t="s">
        <v>68</v>
      </c>
      <c r="C39" s="114" t="s">
        <v>69</v>
      </c>
      <c r="D39" s="115">
        <v>93777.47</v>
      </c>
      <c r="E39" s="116">
        <v>9.9314130129499993</v>
      </c>
      <c r="F39" s="117"/>
      <c r="G39" s="14"/>
      <c r="H39" s="16"/>
      <c r="I39" s="18"/>
      <c r="J39" s="15"/>
    </row>
    <row r="40" spans="1:11" ht="15" x14ac:dyDescent="0.25">
      <c r="A40" s="51"/>
      <c r="B40" s="114">
        <v>11</v>
      </c>
      <c r="C40" s="114" t="s">
        <v>65</v>
      </c>
      <c r="D40" s="115">
        <v>3640.1</v>
      </c>
      <c r="E40" s="116">
        <v>2.8573797823999998</v>
      </c>
      <c r="F40" s="117"/>
      <c r="G40" s="14"/>
      <c r="H40" s="14"/>
      <c r="I40" s="18"/>
      <c r="J40" s="15"/>
    </row>
    <row r="41" spans="1:11" ht="15" x14ac:dyDescent="0.25">
      <c r="A41" s="51"/>
      <c r="B41" s="114" t="s">
        <v>112</v>
      </c>
      <c r="C41" s="114"/>
      <c r="D41" s="133">
        <v>35637.4647603466</v>
      </c>
      <c r="E41" s="134">
        <v>228.80369084105001</v>
      </c>
      <c r="F41" s="117"/>
      <c r="G41" s="14"/>
      <c r="H41" s="14"/>
      <c r="I41" s="18"/>
      <c r="J41" s="15"/>
    </row>
    <row r="42" spans="1:11" ht="15" x14ac:dyDescent="0.25">
      <c r="A42" s="51"/>
      <c r="B42" s="114" t="s">
        <v>72</v>
      </c>
      <c r="C42" s="114"/>
      <c r="D42" s="115">
        <v>36675990.390000001</v>
      </c>
      <c r="E42" s="134" t="s">
        <v>77</v>
      </c>
      <c r="F42" s="117"/>
      <c r="G42" s="14"/>
      <c r="H42" s="14"/>
      <c r="I42" s="18"/>
      <c r="J42" s="15"/>
    </row>
    <row r="43" spans="1:11" ht="15" x14ac:dyDescent="0.25">
      <c r="A43" s="51"/>
      <c r="B43" s="73" t="s">
        <v>99</v>
      </c>
      <c r="C43" s="73"/>
      <c r="D43" s="123">
        <v>3168655.85057475</v>
      </c>
      <c r="E43" s="136">
        <v>0</v>
      </c>
      <c r="F43" s="117"/>
      <c r="G43" s="14"/>
      <c r="H43" s="14"/>
      <c r="I43" s="18"/>
      <c r="J43" s="15"/>
    </row>
    <row r="44" spans="1:11" ht="15" x14ac:dyDescent="0.25">
      <c r="A44" s="51"/>
      <c r="B44" s="128" t="s">
        <v>21</v>
      </c>
      <c r="C44" s="128"/>
      <c r="D44" s="129">
        <f>+D43+D32</f>
        <v>23307117552.899582</v>
      </c>
      <c r="E44" s="135">
        <f>+E43+E32</f>
        <v>422388.79303199449</v>
      </c>
      <c r="F44" s="117"/>
      <c r="G44" s="14"/>
      <c r="H44" s="14"/>
      <c r="I44" s="18"/>
      <c r="J44" s="15"/>
    </row>
    <row r="45" spans="1:11" ht="15" x14ac:dyDescent="0.25">
      <c r="A45" s="51"/>
      <c r="B45" s="120"/>
      <c r="C45" s="120"/>
      <c r="D45" s="130"/>
      <c r="E45" s="131"/>
      <c r="F45" s="117"/>
      <c r="G45" s="14"/>
      <c r="H45" s="13"/>
      <c r="I45" s="18"/>
      <c r="J45" s="13"/>
    </row>
    <row r="46" spans="1:11" ht="15" x14ac:dyDescent="0.25">
      <c r="A46" s="51"/>
      <c r="B46" s="51"/>
      <c r="C46" s="51"/>
      <c r="D46" s="93"/>
      <c r="E46" s="93"/>
      <c r="F46" s="93"/>
      <c r="G46" s="22"/>
      <c r="H46" s="8"/>
      <c r="I46" s="18"/>
      <c r="J46" s="8"/>
      <c r="K46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854283a7-3fb6-477f-93d1-fdd87b0bdce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ACFCD4-A1C7-4826-8DA8-2C95E8DB6CEC}"/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1. Pressupostos</vt:lpstr>
      <vt:lpstr>2. Resumo Emissões Dez 24</vt:lpstr>
      <vt:lpstr>Analises &gt;&gt;</vt:lpstr>
      <vt:lpstr>3. EPC - Commercial Real Estate</vt:lpstr>
      <vt:lpstr>4. EPC - Mortgages Loans</vt:lpstr>
      <vt:lpstr>5. Área Bruta</vt:lpstr>
      <vt:lpstr>6.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Luís Alexandre Aires de Almeida</cp:lastModifiedBy>
  <cp:lastPrinted>2025-12-22T21:17:30Z</cp:lastPrinted>
  <dcterms:created xsi:type="dcterms:W3CDTF">2025-12-22T16:36:01Z</dcterms:created>
  <dcterms:modified xsi:type="dcterms:W3CDTF">2026-01-13T11:46:42Z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