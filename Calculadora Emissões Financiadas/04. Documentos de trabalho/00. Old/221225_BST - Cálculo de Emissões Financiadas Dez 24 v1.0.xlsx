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0. Old/"/>
    </mc:Choice>
  </mc:AlternateContent>
  <xr:revisionPtr revIDLastSave="65" documentId="8_{09454E78-597A-4084-8C48-74B35F639022}" xr6:coauthVersionLast="47" xr6:coauthVersionMax="47" xr10:uidLastSave="{6C54A53E-EE95-401C-808D-CC0227AA334F}"/>
  <bookViews>
    <workbookView xWindow="-96" yWindow="0" windowWidth="11712" windowHeight="12336" firstSheet="2" activeTab="2" xr2:uid="{EA0C69EA-69EA-46C7-9371-21A2A99C8DEE}"/>
  </bookViews>
  <sheets>
    <sheet name="Capa" sheetId="20" r:id="rId1"/>
    <sheet name="Pressupostos" sheetId="8" r:id="rId2"/>
    <sheet name="Overview - Emissões Dez24" sheetId="2" r:id="rId3"/>
    <sheet name="Analises &gt;&gt;" sheetId="21" r:id="rId4"/>
    <sheet name="1. EPC - Commercial Real Estate" sheetId="4" r:id="rId5"/>
    <sheet name="2. EPC - Mortgages Loans" sheetId="5" r:id="rId6"/>
    <sheet name="3. Área" sheetId="10" r:id="rId7"/>
    <sheet name="4. Finalidade" sheetId="14" r:id="rId8"/>
  </sheets>
  <definedNames>
    <definedName name="Ambiente">#REF!</definedName>
    <definedName name="Estado">#REF!</definedName>
    <definedName name="Met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0" l="1"/>
  <c r="G8" i="10"/>
  <c r="E8" i="10"/>
  <c r="F29" i="2" l="1"/>
  <c r="F28" i="2"/>
  <c r="D11" i="14"/>
  <c r="D31" i="14"/>
  <c r="D16" i="10"/>
  <c r="G17" i="10"/>
  <c r="E17" i="10"/>
  <c r="F19" i="10" s="1"/>
  <c r="E12" i="10"/>
  <c r="F15" i="10" s="1"/>
  <c r="C17" i="10"/>
  <c r="D21" i="10" s="1"/>
  <c r="C12" i="10"/>
  <c r="C40" i="4"/>
  <c r="D34" i="4" s="1"/>
  <c r="E28" i="2"/>
  <c r="G28" i="2" s="1"/>
  <c r="B18" i="20"/>
  <c r="E29" i="2"/>
  <c r="H29" i="2"/>
  <c r="H28" i="2"/>
  <c r="G12" i="10"/>
  <c r="D20" i="2"/>
  <c r="D19" i="2"/>
  <c r="D17" i="2"/>
  <c r="D13" i="2"/>
  <c r="D14" i="2"/>
  <c r="D15" i="2"/>
  <c r="D12" i="2"/>
  <c r="C29" i="2"/>
  <c r="C28" i="2"/>
  <c r="E21" i="2"/>
  <c r="C21" i="2"/>
  <c r="D18" i="2" s="1"/>
  <c r="E31" i="14"/>
  <c r="E11" i="14"/>
  <c r="E40" i="5"/>
  <c r="E48" i="5" s="1"/>
  <c r="C40" i="5"/>
  <c r="D31" i="5" s="1"/>
  <c r="E21" i="5"/>
  <c r="E47" i="5" s="1"/>
  <c r="C21" i="5"/>
  <c r="D16" i="5" s="1"/>
  <c r="E40" i="4"/>
  <c r="E48" i="4" s="1"/>
  <c r="E21" i="4"/>
  <c r="E47" i="4" s="1"/>
  <c r="C21" i="4"/>
  <c r="D16" i="4" s="1"/>
  <c r="C30" i="2" l="1"/>
  <c r="E30" i="2"/>
  <c r="D11" i="2"/>
  <c r="D16" i="2"/>
  <c r="G29" i="2"/>
  <c r="D19" i="10"/>
  <c r="F20" i="10"/>
  <c r="D38" i="5"/>
  <c r="D34" i="5"/>
  <c r="E49" i="5"/>
  <c r="D35" i="5"/>
  <c r="D17" i="5"/>
  <c r="C47" i="5"/>
  <c r="D18" i="5"/>
  <c r="D32" i="5"/>
  <c r="C48" i="5"/>
  <c r="D33" i="5"/>
  <c r="E49" i="4"/>
  <c r="C47" i="4"/>
  <c r="D33" i="4"/>
  <c r="C48" i="4"/>
  <c r="D32" i="4"/>
  <c r="D17" i="4"/>
  <c r="D19" i="5"/>
  <c r="D12" i="5"/>
  <c r="D20" i="5"/>
  <c r="D13" i="5"/>
  <c r="D36" i="5"/>
  <c r="D14" i="5"/>
  <c r="D29" i="5"/>
  <c r="D37" i="5"/>
  <c r="D15" i="5"/>
  <c r="D30" i="5"/>
  <c r="D39" i="5"/>
  <c r="D36" i="4"/>
  <c r="D12" i="4"/>
  <c r="D13" i="4"/>
  <c r="D29" i="4"/>
  <c r="D37" i="4"/>
  <c r="D18" i="4"/>
  <c r="D19" i="4"/>
  <c r="D20" i="4"/>
  <c r="D35" i="4"/>
  <c r="D14" i="4"/>
  <c r="D15" i="4"/>
  <c r="D30" i="4"/>
  <c r="D38" i="4"/>
  <c r="D31" i="4"/>
  <c r="D21" i="2"/>
  <c r="D14" i="10"/>
  <c r="F14" i="10"/>
  <c r="C22" i="10"/>
  <c r="D17" i="10" s="1"/>
  <c r="E22" i="10"/>
  <c r="F12" i="10" s="1"/>
  <c r="D13" i="10"/>
  <c r="D15" i="10"/>
  <c r="F18" i="10"/>
  <c r="D18" i="10"/>
  <c r="F13" i="10"/>
  <c r="D20" i="10"/>
  <c r="C49" i="5" l="1"/>
  <c r="C49" i="4"/>
  <c r="D47" i="4" s="1"/>
  <c r="D21" i="5"/>
  <c r="D40" i="5"/>
  <c r="D40" i="4"/>
  <c r="D21" i="4"/>
  <c r="D12" i="10"/>
  <c r="D22" i="10" s="1"/>
  <c r="F17" i="10"/>
  <c r="F22" i="10" s="1"/>
  <c r="D47" i="5" l="1"/>
  <c r="D48" i="5"/>
  <c r="D48" i="4"/>
  <c r="D49" i="4" s="1"/>
  <c r="G22" i="10"/>
  <c r="D49" i="5" l="1"/>
</calcChain>
</file>

<file path=xl/sharedStrings.xml><?xml version="1.0" encoding="utf-8"?>
<sst xmlns="http://schemas.openxmlformats.org/spreadsheetml/2006/main" count="239" uniqueCount="116">
  <si>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</si>
  <si>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</si>
  <si>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</si>
  <si>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</si>
  <si>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</si>
  <si>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</si>
  <si>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</si>
  <si>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Commercial Real Estate (CRE)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</si>
  <si>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</si>
  <si>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</si>
  <si>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</si>
  <si>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</si>
  <si>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</si>
  <si>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</si>
  <si>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</si>
  <si>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</si>
  <si>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</si>
  <si>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</si>
  <si>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</si>
  <si>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</si>
  <si>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</si>
  <si>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Total</t>
  </si>
  <si>
    <t>purpose_code</t>
  </si>
  <si>
    <t>valor_bruto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</si>
  <si>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</si>
  <si>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</si>
  <si>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</si>
  <si>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</si>
  <si>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</si>
  <si>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</si>
  <si>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</si>
  <si>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</si>
  <si>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</si>
  <si>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</si>
  <si>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</si>
  <si>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Sem informação</t>
  </si>
  <si>
    <t>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</si>
  <si>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</si>
  <si>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</si>
  <si>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</si>
  <si>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</si>
  <si>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</si>
  <si>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</si>
  <si>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</si>
  <si>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</si>
  <si>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</si>
  <si>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</si>
  <si>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</si>
  <si>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</si>
  <si>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</si>
  <si>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</si>
  <si>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</si>
  <si>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property_purpose_code</t>
  </si>
  <si>
    <t>Descritivo cgarant bem</t>
  </si>
  <si>
    <t>Exposição (€)</t>
  </si>
  <si>
    <t>01</t>
  </si>
  <si>
    <t>08</t>
  </si>
  <si>
    <t>Outras</t>
  </si>
  <si>
    <t>02</t>
  </si>
  <si>
    <t>Comercio</t>
  </si>
  <si>
    <t>04</t>
  </si>
  <si>
    <t>Armazem</t>
  </si>
  <si>
    <t>03</t>
  </si>
  <si>
    <t>Escritorio</t>
  </si>
  <si>
    <t>05</t>
  </si>
  <si>
    <t>Industria</t>
  </si>
  <si>
    <t>Saude</t>
  </si>
  <si>
    <t>09</t>
  </si>
  <si>
    <t>Hotel</t>
  </si>
  <si>
    <t>06</t>
  </si>
  <si>
    <t xml:space="preserve">Estacionamento </t>
  </si>
  <si>
    <t>07</t>
  </si>
  <si>
    <t xml:space="preserve">Garagem </t>
  </si>
  <si>
    <t>10</t>
  </si>
  <si>
    <t>Educacao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</si>
  <si>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</si>
  <si>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</si>
  <si>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</si>
  <si>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</si>
  <si>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</si>
  <si>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</si>
  <si>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</si>
  <si>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</si>
  <si>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</si>
  <si>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</si>
  <si>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</si>
  <si>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</si>
  <si>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</si>
  <si>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</si>
  <si>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</si>
  <si>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</si>
  <si>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</si>
  <si>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</si>
  <si>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</si>
  <si>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</si>
  <si>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</si>
  <si>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</si>
  <si>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</si>
  <si>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</si>
  <si>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</si>
  <si>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</si>
  <si>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</si>
  <si>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</si>
  <si>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</si>
  <si>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</si>
  <si>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</si>
  <si>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</si>
  <si>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</si>
  <si>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</si>
  <si>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</si>
  <si>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</si>
  <si>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</si>
  <si>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</si>
  <si>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</si>
  <si>
    <r>
      <rPr>
        <b/>
        <i/>
        <sz val="10"/>
        <color theme="0"/>
        <rFont val="Arial"/>
        <family val="2"/>
      </rPr>
      <t>Physical Emission Intensity</t>
    </r>
    <r>
      <rPr>
        <b/>
        <sz val="10"/>
        <color theme="0"/>
        <rFont val="Arial"/>
        <family val="2"/>
      </rPr>
      <t xml:space="preserve"> (kgCO2e/m2)</t>
    </r>
  </si>
  <si>
    <r>
      <rPr>
        <b/>
        <i/>
        <sz val="10"/>
        <color theme="0"/>
        <rFont val="Arial"/>
        <family val="2"/>
      </rPr>
      <t>Economic Emission Intensity</t>
    </r>
    <r>
      <rPr>
        <b/>
        <sz val="10"/>
        <color theme="0"/>
        <rFont val="Arial"/>
        <family val="2"/>
      </rPr>
      <t xml:space="preserve"> (tCO2e/€MM)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</si>
</sst>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#,##0.0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8"/>
      <color theme="2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theme="0" tint="-0.499984740745262"/>
      </top>
      <bottom style="dotted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7">
    <xf numFmtId="0" fontId="0" fillId="0" borderId="0" xfId="0"/>
    <xf numFmtId="0" fontId="4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8" borderId="0" xfId="0" applyFont="1" applyFill="1"/>
    <xf numFmtId="0" fontId="0" fillId="8" borderId="0" xfId="0" applyFill="1"/>
    <xf numFmtId="0" fontId="6" fillId="0" borderId="0" xfId="0" applyFont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7" fillId="8" borderId="0" xfId="0" applyFont="1" applyFill="1"/>
    <xf numFmtId="0" fontId="7" fillId="0" borderId="0" xfId="0" applyFont="1"/>
    <xf numFmtId="0" fontId="8" fillId="3" borderId="0" xfId="0" applyFont="1" applyFill="1"/>
    <xf numFmtId="0" fontId="7" fillId="3" borderId="0" xfId="0" applyFont="1" applyFill="1"/>
    <xf numFmtId="0" fontId="8" fillId="0" borderId="0" xfId="0" applyFont="1"/>
    <xf numFmtId="0" fontId="7" fillId="0" borderId="1" xfId="0" applyFont="1" applyBorder="1" applyAlignment="1">
      <alignment horizontal="left" indent="1"/>
    </xf>
    <xf numFmtId="3" fontId="10" fillId="0" borderId="0" xfId="0" applyNumberFormat="1" applyFont="1"/>
    <xf numFmtId="0" fontId="11" fillId="0" borderId="0" xfId="0" applyFont="1"/>
    <xf numFmtId="3" fontId="7" fillId="0" borderId="0" xfId="0" applyNumberFormat="1" applyFont="1"/>
    <xf numFmtId="0" fontId="13" fillId="0" borderId="0" xfId="0" applyFont="1" applyAlignment="1">
      <alignment horizontal="left" indent="2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 indent="2"/>
    </xf>
    <xf numFmtId="0" fontId="12" fillId="3" borderId="0" xfId="0" applyFont="1" applyFill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4" fillId="8" borderId="11" xfId="0" applyFont="1" applyFill="1" applyBorder="1" applyAlignment="1">
      <alignment vertical="center"/>
    </xf>
    <xf numFmtId="0" fontId="15" fillId="0" borderId="11" xfId="0" applyFont="1" applyBorder="1" applyAlignment="1">
      <alignment horizontal="left" vertical="center" wrapText="1"/>
    </xf>
    <xf numFmtId="0" fontId="14" fillId="8" borderId="0" xfId="0" applyFont="1" applyFill="1" applyAlignment="1">
      <alignment vertical="center"/>
    </xf>
    <xf numFmtId="0" fontId="15" fillId="0" borderId="12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7" fillId="8" borderId="12" xfId="0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15" fillId="0" borderId="0" xfId="0" applyFont="1"/>
    <xf numFmtId="0" fontId="20" fillId="0" borderId="0" xfId="0" applyFont="1"/>
    <xf numFmtId="164" fontId="14" fillId="6" borderId="4" xfId="0" applyNumberFormat="1" applyFont="1" applyFill="1" applyBorder="1"/>
    <xf numFmtId="10" fontId="14" fillId="6" borderId="4" xfId="1" applyNumberFormat="1" applyFont="1" applyFill="1" applyBorder="1"/>
    <xf numFmtId="3" fontId="14" fillId="6" borderId="4" xfId="0" applyNumberFormat="1" applyFont="1" applyFill="1" applyBorder="1"/>
    <xf numFmtId="3" fontId="14" fillId="0" borderId="0" xfId="0" applyNumberFormat="1" applyFont="1"/>
    <xf numFmtId="164" fontId="16" fillId="0" borderId="4" xfId="0" applyNumberFormat="1" applyFont="1" applyBorder="1"/>
    <xf numFmtId="10" fontId="16" fillId="0" borderId="4" xfId="1" applyNumberFormat="1" applyFont="1" applyBorder="1"/>
    <xf numFmtId="3" fontId="16" fillId="0" borderId="4" xfId="0" applyNumberFormat="1" applyFont="1" applyBorder="1"/>
    <xf numFmtId="3" fontId="16" fillId="0" borderId="0" xfId="0" applyNumberFormat="1" applyFont="1"/>
    <xf numFmtId="3" fontId="15" fillId="0" borderId="0" xfId="0" applyNumberFormat="1" applyFont="1"/>
    <xf numFmtId="0" fontId="14" fillId="7" borderId="0" xfId="0" applyFont="1" applyFill="1"/>
    <xf numFmtId="164" fontId="14" fillId="7" borderId="0" xfId="0" applyNumberFormat="1" applyFont="1" applyFill="1"/>
    <xf numFmtId="9" fontId="14" fillId="7" borderId="0" xfId="1" applyFont="1" applyFill="1"/>
    <xf numFmtId="3" fontId="14" fillId="7" borderId="0" xfId="0" applyNumberFormat="1" applyFont="1" applyFill="1"/>
    <xf numFmtId="164" fontId="14" fillId="0" borderId="4" xfId="2" applyNumberFormat="1" applyFont="1" applyBorder="1"/>
    <xf numFmtId="0" fontId="14" fillId="0" borderId="4" xfId="1" applyNumberFormat="1" applyFont="1" applyFill="1" applyBorder="1" applyAlignment="1">
      <alignment horizontal="center"/>
    </xf>
    <xf numFmtId="4" fontId="14" fillId="0" borderId="4" xfId="0" applyNumberFormat="1" applyFont="1" applyBorder="1"/>
    <xf numFmtId="165" fontId="14" fillId="0" borderId="4" xfId="0" applyNumberFormat="1" applyFont="1" applyBorder="1"/>
    <xf numFmtId="4" fontId="14" fillId="7" borderId="0" xfId="0" applyNumberFormat="1" applyFont="1" applyFill="1"/>
    <xf numFmtId="166" fontId="14" fillId="7" borderId="0" xfId="0" applyNumberFormat="1" applyFont="1" applyFill="1"/>
    <xf numFmtId="0" fontId="14" fillId="6" borderId="4" xfId="0" applyFont="1" applyFill="1" applyBorder="1" applyAlignment="1">
      <alignment horizontal="left" indent="1"/>
    </xf>
    <xf numFmtId="0" fontId="15" fillId="0" borderId="4" xfId="0" applyFont="1" applyBorder="1" applyAlignment="1">
      <alignment horizontal="left" indent="2"/>
    </xf>
    <xf numFmtId="0" fontId="14" fillId="0" borderId="4" xfId="0" applyFont="1" applyBorder="1" applyAlignment="1">
      <alignment horizontal="left" indent="1"/>
    </xf>
    <xf numFmtId="0" fontId="17" fillId="6" borderId="4" xfId="0" applyFont="1" applyFill="1" applyBorder="1" applyAlignment="1">
      <alignment horizontal="left" indent="1"/>
    </xf>
    <xf numFmtId="0" fontId="17" fillId="0" borderId="4" xfId="0" applyFont="1" applyBorder="1" applyAlignment="1">
      <alignment horizontal="left" indent="1"/>
    </xf>
    <xf numFmtId="0" fontId="8" fillId="8" borderId="0" xfId="0" applyFont="1" applyFill="1"/>
    <xf numFmtId="0" fontId="22" fillId="0" borderId="0" xfId="0" applyFont="1"/>
    <xf numFmtId="0" fontId="15" fillId="0" borderId="1" xfId="0" applyFont="1" applyBorder="1" applyAlignment="1">
      <alignment horizontal="left" indent="1"/>
    </xf>
    <xf numFmtId="0" fontId="15" fillId="0" borderId="6" xfId="0" applyFont="1" applyBorder="1"/>
    <xf numFmtId="164" fontId="15" fillId="0" borderId="6" xfId="0" applyNumberFormat="1" applyFont="1" applyBorder="1"/>
    <xf numFmtId="10" fontId="15" fillId="0" borderId="6" xfId="1" applyNumberFormat="1" applyFont="1" applyBorder="1"/>
    <xf numFmtId="4" fontId="15" fillId="0" borderId="6" xfId="0" applyNumberFormat="1" applyFont="1" applyBorder="1"/>
    <xf numFmtId="0" fontId="15" fillId="0" borderId="7" xfId="0" applyFont="1" applyBorder="1"/>
    <xf numFmtId="164" fontId="15" fillId="0" borderId="7" xfId="0" applyNumberFormat="1" applyFont="1" applyBorder="1"/>
    <xf numFmtId="10" fontId="15" fillId="0" borderId="7" xfId="1" applyNumberFormat="1" applyFont="1" applyBorder="1"/>
    <xf numFmtId="4" fontId="15" fillId="0" borderId="7" xfId="0" applyNumberFormat="1" applyFont="1" applyBorder="1"/>
    <xf numFmtId="0" fontId="14" fillId="9" borderId="9" xfId="0" applyFont="1" applyFill="1" applyBorder="1"/>
    <xf numFmtId="164" fontId="14" fillId="9" borderId="9" xfId="0" applyNumberFormat="1" applyFont="1" applyFill="1" applyBorder="1"/>
    <xf numFmtId="9" fontId="14" fillId="9" borderId="9" xfId="1" applyFont="1" applyFill="1" applyBorder="1"/>
    <xf numFmtId="4" fontId="14" fillId="9" borderId="9" xfId="0" applyNumberFormat="1" applyFont="1" applyFill="1" applyBorder="1"/>
    <xf numFmtId="164" fontId="15" fillId="0" borderId="0" xfId="0" applyNumberFormat="1" applyFont="1"/>
    <xf numFmtId="4" fontId="15" fillId="0" borderId="0" xfId="0" applyNumberFormat="1" applyFont="1"/>
    <xf numFmtId="0" fontId="15" fillId="0" borderId="0" xfId="0" applyFont="1" applyAlignment="1">
      <alignment horizontal="left" indent="2"/>
    </xf>
    <xf numFmtId="0" fontId="14" fillId="0" borderId="1" xfId="0" applyFont="1" applyBorder="1" applyAlignment="1">
      <alignment horizontal="left" indent="1"/>
    </xf>
    <xf numFmtId="0" fontId="14" fillId="0" borderId="19" xfId="0" applyFont="1" applyBorder="1"/>
    <xf numFmtId="164" fontId="15" fillId="0" borderId="19" xfId="0" applyNumberFormat="1" applyFont="1" applyBorder="1"/>
    <xf numFmtId="10" fontId="15" fillId="0" borderId="19" xfId="1" applyNumberFormat="1" applyFont="1" applyBorder="1"/>
    <xf numFmtId="4" fontId="15" fillId="0" borderId="19" xfId="0" applyNumberFormat="1" applyFont="1" applyBorder="1"/>
    <xf numFmtId="0" fontId="14" fillId="0" borderId="18" xfId="0" applyFont="1" applyBorder="1"/>
    <xf numFmtId="164" fontId="15" fillId="0" borderId="18" xfId="0" applyNumberFormat="1" applyFont="1" applyBorder="1"/>
    <xf numFmtId="10" fontId="15" fillId="0" borderId="18" xfId="1" applyNumberFormat="1" applyFont="1" applyBorder="1"/>
    <xf numFmtId="4" fontId="15" fillId="0" borderId="18" xfId="0" applyNumberFormat="1" applyFont="1" applyBorder="1"/>
    <xf numFmtId="0" fontId="15" fillId="0" borderId="8" xfId="0" applyFont="1" applyBorder="1"/>
    <xf numFmtId="164" fontId="15" fillId="0" borderId="8" xfId="0" applyNumberFormat="1" applyFont="1" applyBorder="1"/>
    <xf numFmtId="10" fontId="15" fillId="0" borderId="8" xfId="1" applyNumberFormat="1" applyFont="1" applyBorder="1"/>
    <xf numFmtId="9" fontId="14" fillId="6" borderId="4" xfId="1" applyFont="1" applyFill="1" applyBorder="1" applyAlignment="1">
      <alignment horizontal="right"/>
    </xf>
    <xf numFmtId="3" fontId="14" fillId="6" borderId="4" xfId="0" applyNumberFormat="1" applyFont="1" applyFill="1" applyBorder="1" applyAlignment="1">
      <alignment horizontal="right"/>
    </xf>
    <xf numFmtId="164" fontId="15" fillId="0" borderId="13" xfId="0" applyNumberFormat="1" applyFont="1" applyBorder="1"/>
    <xf numFmtId="9" fontId="15" fillId="0" borderId="13" xfId="1" applyFont="1" applyBorder="1" applyAlignment="1">
      <alignment horizontal="right"/>
    </xf>
    <xf numFmtId="3" fontId="15" fillId="0" borderId="13" xfId="0" applyNumberFormat="1" applyFont="1" applyBorder="1" applyAlignment="1">
      <alignment horizontal="right"/>
    </xf>
    <xf numFmtId="3" fontId="15" fillId="0" borderId="13" xfId="0" quotePrefix="1" applyNumberFormat="1" applyFont="1" applyBorder="1" applyAlignment="1">
      <alignment horizontal="right"/>
    </xf>
    <xf numFmtId="9" fontId="14" fillId="9" borderId="9" xfId="1" applyFont="1" applyFill="1" applyBorder="1" applyAlignment="1">
      <alignment horizontal="right"/>
    </xf>
    <xf numFmtId="3" fontId="14" fillId="9" borderId="9" xfId="0" applyNumberFormat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0" fontId="14" fillId="2" borderId="4" xfId="0" applyFont="1" applyFill="1" applyBorder="1"/>
    <xf numFmtId="44" fontId="14" fillId="2" borderId="4" xfId="0" applyNumberFormat="1" applyFont="1" applyFill="1" applyBorder="1"/>
    <xf numFmtId="3" fontId="14" fillId="2" borderId="4" xfId="0" applyNumberFormat="1" applyFont="1" applyFill="1" applyBorder="1" applyAlignment="1">
      <alignment horizontal="right"/>
    </xf>
    <xf numFmtId="44" fontId="14" fillId="0" borderId="0" xfId="0" applyNumberFormat="1" applyFont="1"/>
    <xf numFmtId="0" fontId="15" fillId="0" borderId="4" xfId="0" applyFont="1" applyBorder="1" applyAlignment="1">
      <alignment horizontal="left" vertical="center"/>
    </xf>
    <xf numFmtId="44" fontId="15" fillId="0" borderId="4" xfId="2" applyFont="1" applyBorder="1" applyAlignment="1">
      <alignment horizontal="left" vertical="center"/>
    </xf>
    <xf numFmtId="3" fontId="15" fillId="0" borderId="4" xfId="2" applyNumberFormat="1" applyFont="1" applyBorder="1" applyAlignment="1">
      <alignment horizontal="right" vertical="center"/>
    </xf>
    <xf numFmtId="44" fontId="15" fillId="0" borderId="0" xfId="2" applyFont="1" applyFill="1" applyBorder="1" applyAlignment="1">
      <alignment horizontal="left" vertical="center"/>
    </xf>
    <xf numFmtId="44" fontId="16" fillId="0" borderId="0" xfId="2" applyFont="1" applyAlignment="1">
      <alignment horizontal="left" vertical="center"/>
    </xf>
    <xf numFmtId="44" fontId="16" fillId="0" borderId="0" xfId="2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Continuous" vertical="center" wrapText="1"/>
    </xf>
    <xf numFmtId="4" fontId="15" fillId="0" borderId="8" xfId="0" applyNumberFormat="1" applyFont="1" applyBorder="1"/>
    <xf numFmtId="164" fontId="14" fillId="6" borderId="4" xfId="2" applyNumberFormat="1" applyFont="1" applyFill="1" applyBorder="1" applyAlignment="1">
      <alignment horizontal="right"/>
    </xf>
    <xf numFmtId="168" fontId="14" fillId="0" borderId="4" xfId="0" applyNumberFormat="1" applyFont="1" applyBorder="1"/>
    <xf numFmtId="0" fontId="17" fillId="8" borderId="11" xfId="0" applyFont="1" applyFill="1" applyBorder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14" fillId="8" borderId="11" xfId="0" applyFont="1" applyFill="1" applyBorder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10" xfId="0" applyFont="1" applyFill="1" applyBorder="1" applyAlignment="1">
      <alignment horizontal="left" vertical="center"/>
    </xf>
    <xf numFmtId="0" fontId="14" fillId="8" borderId="1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5" borderId="14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67" fontId="24" fillId="0" borderId="0" xfId="0" applyNumberFormat="1" applyFont="1" applyAlignment="1">
      <alignment horizontal="lef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20040" y="191135"/>
          <a:ext cx="2193826" cy="38632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45533" y="186267"/>
          <a:ext cx="2411807" cy="380164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1769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45533" y="186267"/>
          <a:ext cx="2457103" cy="383339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187DBBA-64A3-4EC9-AA01-239E9F116056}"/>
            </a:ext>
          </a:extLst>
        </xdr:cNvPr>
        <xdr:cNvGrpSpPr/>
      </xdr:nvGrpSpPr>
      <xdr:grpSpPr>
        <a:xfrm>
          <a:off x="245533" y="177800"/>
          <a:ext cx="2455198" cy="366406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26006D5E-5314-156A-1001-724DA283A9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80B834D6-A63C-F378-C649-E4DAC79E4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9B82FB5-47D9-4FF2-A7E7-2ABEBFF7AB4C}"/>
            </a:ext>
          </a:extLst>
        </xdr:cNvPr>
        <xdr:cNvGrpSpPr/>
      </xdr:nvGrpSpPr>
      <xdr:grpSpPr>
        <a:xfrm>
          <a:off x="245533" y="186267"/>
          <a:ext cx="2455198" cy="3833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4343A913-34D5-9371-B0FD-F56EAD6ED5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BB813B14-3EFA-4467-F8E9-BA7F2C4239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45533" y="186267"/>
          <a:ext cx="2658398" cy="3833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363931</xdr:colOff>
      <xdr:row>3</xdr:row>
      <xdr:rowOff>10806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A7DE37B-25F1-4040-8054-699F0B3305AF}"/>
            </a:ext>
          </a:extLst>
        </xdr:cNvPr>
        <xdr:cNvGrpSpPr/>
      </xdr:nvGrpSpPr>
      <xdr:grpSpPr>
        <a:xfrm>
          <a:off x="245533" y="186267"/>
          <a:ext cx="2429798" cy="383339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F505E5F8-8927-9801-6E78-DC2A760579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174A5D60-EAAE-D52B-F51E-A86E5EC9D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A1:K20"/>
  <sheetViews>
    <sheetView showGridLines="0" zoomScaleNormal="100" workbookViewId="0">
      <selection activeCell="E19" sqref="E19"/>
    </sheetView>
  </sheetViews>
  <sheetFormatPr defaultColWidth="0" defaultRowHeight="14.4" zeroHeight="1" x14ac:dyDescent="0.3"/>
  <cols>
    <col min="1" max="1" width="3.5546875" customWidth="1"/>
    <col min="2" max="2" width="19.33203125" bestFit="1" customWidth="1"/>
    <col min="3" max="10" width="8.6640625" customWidth="1"/>
    <col min="11" max="11" width="3.5546875" customWidth="1"/>
    <col min="12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pans="2:2" x14ac:dyDescent="0.3"/>
    <row r="18" spans="2:2" x14ac:dyDescent="0.3">
      <c r="B18" s="156">
        <f ca="1">TODAY()</f>
        <v>46014</v>
      </c>
    </row>
    <row r="19" spans="2:2" x14ac:dyDescent="0.3"/>
    <row r="20" spans="2:2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90" zoomScaleNormal="90" workbookViewId="0">
      <selection activeCell="C3" sqref="C3"/>
    </sheetView>
  </sheetViews>
  <sheetFormatPr defaultColWidth="0" defaultRowHeight="0" customHeight="1" zeroHeight="1" x14ac:dyDescent="0.3"/>
  <cols>
    <col min="1" max="1" width="3.5546875" customWidth="1"/>
    <col min="2" max="2" width="31.6640625" bestFit="1" customWidth="1"/>
    <col min="3" max="3" width="163.109375" customWidth="1"/>
    <col min="4" max="4" width="3.5546875" customWidth="1"/>
    <col min="5" max="16384" width="8.88671875" hidden="1"/>
  </cols>
  <sheetData>
    <row r="1" spans="1:4" ht="14.4" x14ac:dyDescent="0.3">
      <c r="A1" s="10"/>
      <c r="B1" s="10"/>
      <c r="C1" s="10"/>
      <c r="D1" s="10"/>
    </row>
    <row r="2" spans="1:4" ht="14.4" x14ac:dyDescent="0.3">
      <c r="A2" s="10"/>
      <c r="B2" s="10"/>
      <c r="C2" s="10"/>
      <c r="D2" s="10"/>
    </row>
    <row r="3" spans="1:4" ht="14.4" x14ac:dyDescent="0.3">
      <c r="A3" s="10"/>
      <c r="B3" s="10"/>
      <c r="C3" s="10"/>
      <c r="D3" s="10"/>
    </row>
    <row r="4" spans="1:4" ht="13.2" customHeight="1" x14ac:dyDescent="0.3">
      <c r="A4" s="10"/>
      <c r="B4" s="10"/>
      <c r="C4" s="10"/>
      <c r="D4" s="10"/>
    </row>
    <row r="5" spans="1:4" ht="3" customHeight="1" x14ac:dyDescent="0.3">
      <c r="A5" s="2"/>
      <c r="B5" s="2"/>
      <c r="C5" s="2"/>
      <c r="D5" s="2"/>
    </row>
    <row r="6" spans="1:4" ht="14.4" x14ac:dyDescent="0.3"/>
    <row r="7" spans="1:4" s="30" customFormat="1" ht="14.4" x14ac:dyDescent="0.3">
      <c r="B7" s="34" t="s">
        <v>86</v>
      </c>
    </row>
    <row r="8" spans="1:4" s="30" customFormat="1" ht="4.95" customHeight="1" x14ac:dyDescent="0.25"/>
    <row r="9" spans="1:4" s="30" customFormat="1" ht="13.8" x14ac:dyDescent="0.25">
      <c r="B9" s="42" t="s">
        <v>37</v>
      </c>
      <c r="C9" s="41" t="s">
        <v>38</v>
      </c>
    </row>
    <row r="10" spans="1:4" s="30" customFormat="1" ht="13.8" x14ac:dyDescent="0.25">
      <c r="B10" s="43" t="s">
        <v>39</v>
      </c>
      <c r="C10" s="44" t="s">
        <v>40</v>
      </c>
    </row>
    <row r="11" spans="1:4" s="30" customFormat="1" ht="26.4" x14ac:dyDescent="0.25">
      <c r="B11" s="45" t="s">
        <v>41</v>
      </c>
      <c r="C11" s="46" t="s">
        <v>42</v>
      </c>
    </row>
    <row r="12" spans="1:4" s="30" customFormat="1" ht="26.4" x14ac:dyDescent="0.25">
      <c r="B12" s="47"/>
      <c r="C12" s="46" t="s">
        <v>43</v>
      </c>
    </row>
    <row r="13" spans="1:4" s="30" customFormat="1" ht="26.4" x14ac:dyDescent="0.25">
      <c r="B13" s="47"/>
      <c r="C13" s="46" t="s">
        <v>87</v>
      </c>
    </row>
    <row r="14" spans="1:4" s="30" customFormat="1" ht="13.8" x14ac:dyDescent="0.25">
      <c r="B14" s="47"/>
      <c r="C14" s="48" t="s">
        <v>84</v>
      </c>
    </row>
    <row r="15" spans="1:4" s="30" customFormat="1" ht="26.4" x14ac:dyDescent="0.25">
      <c r="B15" s="138" t="s">
        <v>44</v>
      </c>
      <c r="C15" s="49" t="s">
        <v>88</v>
      </c>
    </row>
    <row r="16" spans="1:4" s="30" customFormat="1" ht="13.8" x14ac:dyDescent="0.25">
      <c r="B16" s="139"/>
      <c r="C16" s="49" t="s">
        <v>45</v>
      </c>
    </row>
    <row r="17" spans="2:3" s="30" customFormat="1" ht="13.8" x14ac:dyDescent="0.25">
      <c r="B17" s="139"/>
      <c r="C17" s="49" t="s">
        <v>89</v>
      </c>
    </row>
    <row r="18" spans="2:3" s="30" customFormat="1" ht="13.8" x14ac:dyDescent="0.25">
      <c r="B18" s="139"/>
      <c r="C18" s="49" t="s">
        <v>90</v>
      </c>
    </row>
    <row r="19" spans="2:3" s="30" customFormat="1" ht="13.8" x14ac:dyDescent="0.25">
      <c r="B19" s="140"/>
      <c r="C19" s="49" t="s">
        <v>46</v>
      </c>
    </row>
    <row r="20" spans="2:3" s="30" customFormat="1" ht="13.8" x14ac:dyDescent="0.25">
      <c r="B20" s="50" t="s">
        <v>47</v>
      </c>
      <c r="C20" s="44" t="s">
        <v>91</v>
      </c>
    </row>
    <row r="21" spans="2:3" s="30" customFormat="1" ht="39.6" x14ac:dyDescent="0.25">
      <c r="B21" s="133" t="s">
        <v>48</v>
      </c>
      <c r="C21" s="46" t="s">
        <v>49</v>
      </c>
    </row>
    <row r="22" spans="2:3" s="30" customFormat="1" ht="13.8" x14ac:dyDescent="0.25">
      <c r="B22" s="134"/>
      <c r="C22" s="46" t="s">
        <v>50</v>
      </c>
    </row>
    <row r="23" spans="2:3" s="30" customFormat="1" ht="13.8" x14ac:dyDescent="0.25">
      <c r="B23" s="135" t="s">
        <v>51</v>
      </c>
      <c r="C23" s="46" t="s">
        <v>92</v>
      </c>
    </row>
    <row r="24" spans="2:3" s="30" customFormat="1" ht="26.4" x14ac:dyDescent="0.25">
      <c r="B24" s="136"/>
      <c r="C24" s="48" t="s">
        <v>93</v>
      </c>
    </row>
    <row r="25" spans="2:3" s="30" customFormat="1" ht="13.8" x14ac:dyDescent="0.25">
      <c r="B25" s="136"/>
      <c r="C25" s="46" t="s">
        <v>94</v>
      </c>
    </row>
    <row r="26" spans="2:3" s="30" customFormat="1" ht="26.4" x14ac:dyDescent="0.25">
      <c r="B26" s="137"/>
      <c r="C26" s="48" t="s">
        <v>95</v>
      </c>
    </row>
    <row r="27" spans="2:3" ht="14.4" x14ac:dyDescent="0.3"/>
  </sheetData>
  <mergeCells count="3">
    <mergeCell ref="B21:B22"/>
    <mergeCell ref="B23:B26"/>
    <mergeCell ref="B15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1"/>
  <sheetViews>
    <sheetView showGridLines="0" tabSelected="1" zoomScale="90" zoomScaleNormal="90" workbookViewId="0">
      <selection activeCell="B21" sqref="A21:XFD21"/>
    </sheetView>
  </sheetViews>
  <sheetFormatPr defaultColWidth="0" defaultRowHeight="0" customHeight="1" zeroHeight="1" outlineLevelRow="1" x14ac:dyDescent="0.3"/>
  <cols>
    <col min="1" max="1" width="3.5546875" style="3" customWidth="1"/>
    <col min="2" max="2" width="35.77734375" bestFit="1" customWidth="1"/>
    <col min="3" max="8" width="20.5546875" customWidth="1"/>
    <col min="9" max="9" width="3.5546875" customWidth="1"/>
    <col min="10" max="16384" width="9.109375" hidden="1"/>
  </cols>
  <sheetData>
    <row r="1" spans="1:9" ht="14.4" x14ac:dyDescent="0.3">
      <c r="A1" s="10"/>
      <c r="B1" s="10"/>
      <c r="C1" s="10"/>
      <c r="D1" s="10"/>
      <c r="E1" s="10"/>
      <c r="F1" s="10"/>
      <c r="G1" s="10"/>
      <c r="H1" s="10"/>
      <c r="I1" s="10"/>
    </row>
    <row r="2" spans="1:9" ht="14.4" x14ac:dyDescent="0.3">
      <c r="A2" s="10"/>
      <c r="B2" s="10"/>
      <c r="C2" s="10"/>
      <c r="D2" s="10"/>
      <c r="E2" s="10"/>
      <c r="F2" s="10"/>
      <c r="G2" s="10"/>
      <c r="H2" s="10"/>
      <c r="I2" s="10"/>
    </row>
    <row r="3" spans="1:9" ht="14.4" x14ac:dyDescent="0.3">
      <c r="A3" s="10"/>
      <c r="B3" s="10"/>
      <c r="C3" s="10"/>
      <c r="D3" s="10"/>
      <c r="E3" s="10"/>
      <c r="F3" s="10"/>
      <c r="G3" s="10"/>
      <c r="H3" s="10"/>
      <c r="I3" s="10"/>
    </row>
    <row r="4" spans="1:9" ht="14.4" x14ac:dyDescent="0.3">
      <c r="A4" s="10"/>
      <c r="B4" s="10"/>
      <c r="C4" s="10"/>
      <c r="D4" s="10"/>
      <c r="E4" s="10"/>
      <c r="F4" s="10"/>
      <c r="G4" s="10"/>
      <c r="H4" s="10"/>
      <c r="I4" s="10"/>
    </row>
    <row r="5" spans="1:9" ht="3" customHeight="1" x14ac:dyDescent="0.3">
      <c r="A5" s="1"/>
      <c r="B5" s="2"/>
      <c r="C5" s="2"/>
      <c r="D5" s="2"/>
      <c r="E5" s="2"/>
      <c r="F5" s="2"/>
      <c r="G5" s="2"/>
      <c r="H5" s="2"/>
      <c r="I5" s="2"/>
    </row>
    <row r="6" spans="1:9" ht="14.4" x14ac:dyDescent="0.3"/>
    <row r="7" spans="1:9" s="30" customFormat="1" ht="14.4" x14ac:dyDescent="0.3">
      <c r="A7" s="33"/>
      <c r="B7" s="34" t="s">
        <v>85</v>
      </c>
      <c r="G7" s="35"/>
    </row>
    <row r="8" spans="1:9" s="30" customFormat="1" ht="4.95" customHeight="1" x14ac:dyDescent="0.3">
      <c r="A8" s="33"/>
      <c r="C8" s="36" t="s">
        <v>0</v>
      </c>
      <c r="D8" s="35"/>
      <c r="E8" s="36"/>
      <c r="G8" s="35"/>
    </row>
    <row r="9" spans="1:9" s="53" customFormat="1" ht="15" customHeight="1" x14ac:dyDescent="0.25">
      <c r="A9" s="51"/>
      <c r="B9" s="143" t="s">
        <v>1</v>
      </c>
      <c r="C9" s="145" t="s">
        <v>2</v>
      </c>
      <c r="D9" s="145" t="s">
        <v>3</v>
      </c>
      <c r="E9" s="148" t="s">
        <v>4</v>
      </c>
      <c r="F9" s="147"/>
      <c r="G9" s="52"/>
    </row>
    <row r="10" spans="1:9" s="53" customFormat="1" ht="15" customHeight="1" x14ac:dyDescent="0.25">
      <c r="A10" s="54" t="s">
        <v>5</v>
      </c>
      <c r="B10" s="144"/>
      <c r="C10" s="146"/>
      <c r="D10" s="146"/>
      <c r="E10" s="149"/>
      <c r="F10" s="147"/>
      <c r="G10" s="52"/>
    </row>
    <row r="11" spans="1:9" s="53" customFormat="1" ht="13.2" x14ac:dyDescent="0.25">
      <c r="A11" s="54" t="s">
        <v>6</v>
      </c>
      <c r="B11" s="74" t="s">
        <v>98</v>
      </c>
      <c r="C11" s="55">
        <v>2386067144.2560592</v>
      </c>
      <c r="D11" s="56">
        <f>+C11/$C$21</f>
        <v>8.9804434907450742E-2</v>
      </c>
      <c r="E11" s="57">
        <v>834675.4584715165</v>
      </c>
      <c r="F11" s="58"/>
      <c r="G11" s="58"/>
    </row>
    <row r="12" spans="1:9" s="53" customFormat="1" ht="13.2" x14ac:dyDescent="0.25">
      <c r="A12" s="54" t="s">
        <v>8</v>
      </c>
      <c r="B12" s="75" t="s">
        <v>9</v>
      </c>
      <c r="C12" s="59">
        <v>2244357118.37606</v>
      </c>
      <c r="D12" s="60">
        <f>+C12/$C$11</f>
        <v>0.9406093721121237</v>
      </c>
      <c r="E12" s="61">
        <v>819201.46493320109</v>
      </c>
      <c r="F12" s="62"/>
      <c r="G12" s="62"/>
    </row>
    <row r="13" spans="1:9" s="53" customFormat="1" ht="13.2" x14ac:dyDescent="0.25">
      <c r="A13" s="54" t="s">
        <v>10</v>
      </c>
      <c r="B13" s="75" t="s">
        <v>11</v>
      </c>
      <c r="C13" s="59">
        <v>140539843.14999899</v>
      </c>
      <c r="D13" s="60">
        <f>+C13/$C$11</f>
        <v>5.8900204668723713E-2</v>
      </c>
      <c r="E13" s="61">
        <v>15354.94273911832</v>
      </c>
      <c r="F13" s="62"/>
      <c r="G13" s="62"/>
    </row>
    <row r="14" spans="1:9" s="53" customFormat="1" ht="13.2" x14ac:dyDescent="0.25">
      <c r="A14" s="54" t="s">
        <v>12</v>
      </c>
      <c r="B14" s="75" t="s">
        <v>99</v>
      </c>
      <c r="C14" s="59">
        <v>814512.41999999899</v>
      </c>
      <c r="D14" s="60">
        <f>+C14/$C$11</f>
        <v>3.4136190256035402E-4</v>
      </c>
      <c r="E14" s="61">
        <v>84.114311943350003</v>
      </c>
      <c r="F14" s="62"/>
      <c r="G14" s="62"/>
    </row>
    <row r="15" spans="1:9" s="53" customFormat="1" ht="13.2" x14ac:dyDescent="0.25">
      <c r="A15" s="54" t="s">
        <v>13</v>
      </c>
      <c r="B15" s="75" t="s">
        <v>14</v>
      </c>
      <c r="C15" s="59">
        <v>355670.30999999901</v>
      </c>
      <c r="D15" s="60">
        <f>+C15/$C$11</f>
        <v>1.4906131659211619E-4</v>
      </c>
      <c r="E15" s="61">
        <v>34.936487253698999</v>
      </c>
      <c r="F15" s="62"/>
      <c r="G15" s="62"/>
    </row>
    <row r="16" spans="1:9" s="53" customFormat="1" ht="13.2" x14ac:dyDescent="0.25">
      <c r="A16" s="54" t="s">
        <v>15</v>
      </c>
      <c r="B16" s="77" t="s">
        <v>16</v>
      </c>
      <c r="C16" s="55">
        <v>23307117552.8997</v>
      </c>
      <c r="D16" s="56">
        <f>+C16/$C$21</f>
        <v>0.87721023534410059</v>
      </c>
      <c r="E16" s="57">
        <v>422389.15387719905</v>
      </c>
      <c r="F16" s="58"/>
      <c r="G16" s="58"/>
    </row>
    <row r="17" spans="1:8" s="53" customFormat="1" ht="13.2" x14ac:dyDescent="0.25">
      <c r="A17" s="54" t="s">
        <v>17</v>
      </c>
      <c r="B17" s="75" t="s">
        <v>18</v>
      </c>
      <c r="C17" s="59">
        <v>23307117552.8997</v>
      </c>
      <c r="D17" s="60">
        <f>+C17/C16</f>
        <v>1</v>
      </c>
      <c r="E17" s="61">
        <v>422389.15387719905</v>
      </c>
      <c r="F17" s="63"/>
      <c r="G17" s="63"/>
    </row>
    <row r="18" spans="1:8" s="53" customFormat="1" ht="13.2" outlineLevel="1" x14ac:dyDescent="0.25">
      <c r="A18" s="54" t="s">
        <v>19</v>
      </c>
      <c r="B18" s="74" t="s">
        <v>20</v>
      </c>
      <c r="C18" s="55">
        <v>876406734.65999794</v>
      </c>
      <c r="D18" s="56">
        <f>+C18/$C$21</f>
        <v>3.2985329748448623E-2</v>
      </c>
      <c r="E18" s="57">
        <v>12148.850648519639</v>
      </c>
      <c r="F18" s="58"/>
      <c r="G18" s="58"/>
    </row>
    <row r="19" spans="1:8" s="53" customFormat="1" ht="13.2" outlineLevel="1" x14ac:dyDescent="0.25">
      <c r="A19" s="54" t="s">
        <v>8</v>
      </c>
      <c r="B19" s="75" t="s">
        <v>9</v>
      </c>
      <c r="C19" s="59">
        <v>758133074.00999892</v>
      </c>
      <c r="D19" s="60">
        <f>+C19/$C$18</f>
        <v>0.86504706550904897</v>
      </c>
      <c r="E19" s="61">
        <v>11442.487747327625</v>
      </c>
      <c r="F19" s="62"/>
      <c r="G19" s="62"/>
    </row>
    <row r="20" spans="1:8" s="53" customFormat="1" ht="13.2" outlineLevel="1" x14ac:dyDescent="0.25">
      <c r="A20" s="54" t="s">
        <v>10</v>
      </c>
      <c r="B20" s="75" t="s">
        <v>11</v>
      </c>
      <c r="C20" s="59">
        <v>118273660.64999899</v>
      </c>
      <c r="D20" s="60">
        <f>+C20/$C$18</f>
        <v>0.13495293449095103</v>
      </c>
      <c r="E20" s="61">
        <v>706.36290119201499</v>
      </c>
      <c r="F20" s="62"/>
      <c r="G20" s="62"/>
    </row>
    <row r="21" spans="1:8" s="53" customFormat="1" ht="13.2" x14ac:dyDescent="0.25">
      <c r="A21" s="51"/>
      <c r="B21" s="64" t="s">
        <v>21</v>
      </c>
      <c r="C21" s="65">
        <f>+C18+C16+C11</f>
        <v>26569591431.815758</v>
      </c>
      <c r="D21" s="66">
        <f>+D11+D16+D18</f>
        <v>0.99999999999999989</v>
      </c>
      <c r="E21" s="67">
        <f>+E18+E16+E11</f>
        <v>1269213.4629972351</v>
      </c>
      <c r="F21" s="58"/>
      <c r="G21" s="58"/>
    </row>
    <row r="22" spans="1:8" s="30" customFormat="1" ht="4.95" customHeight="1" x14ac:dyDescent="0.25">
      <c r="A22" s="33"/>
      <c r="B22" s="38"/>
      <c r="C22" s="39"/>
      <c r="D22" s="39"/>
      <c r="E22" s="39"/>
      <c r="F22" s="40"/>
      <c r="G22" s="40"/>
    </row>
    <row r="23" spans="1:8" s="30" customFormat="1" ht="14.4" customHeight="1" x14ac:dyDescent="0.25">
      <c r="A23" s="33"/>
      <c r="B23" s="39"/>
      <c r="C23" s="39"/>
      <c r="D23" s="39"/>
      <c r="E23" s="39"/>
      <c r="F23" s="40"/>
      <c r="G23" s="40"/>
    </row>
    <row r="24" spans="1:8" s="30" customFormat="1" ht="14.4" customHeight="1" x14ac:dyDescent="0.25">
      <c r="A24" s="33"/>
      <c r="B24" s="97" t="s">
        <v>100</v>
      </c>
      <c r="C24" s="39"/>
      <c r="D24" s="39"/>
      <c r="E24" s="39"/>
      <c r="F24" s="40"/>
      <c r="G24" s="40"/>
    </row>
    <row r="25" spans="1:8" s="30" customFormat="1" ht="4.95" customHeight="1" x14ac:dyDescent="0.25">
      <c r="A25" s="33"/>
      <c r="B25" s="39"/>
      <c r="C25" s="39"/>
      <c r="D25" s="39"/>
      <c r="E25" s="39"/>
      <c r="F25" s="40"/>
      <c r="G25" s="40"/>
    </row>
    <row r="26" spans="1:8" s="53" customFormat="1" ht="15" customHeight="1" x14ac:dyDescent="0.25">
      <c r="A26" s="51"/>
      <c r="B26" s="143" t="s">
        <v>1</v>
      </c>
      <c r="C26" s="145" t="s">
        <v>2</v>
      </c>
      <c r="D26" s="141" t="s">
        <v>96</v>
      </c>
      <c r="E26" s="141" t="s">
        <v>4</v>
      </c>
      <c r="F26" s="141" t="s">
        <v>114</v>
      </c>
      <c r="G26" s="141" t="s">
        <v>115</v>
      </c>
      <c r="H26" s="141" t="s">
        <v>97</v>
      </c>
    </row>
    <row r="27" spans="1:8" s="53" customFormat="1" ht="15" customHeight="1" x14ac:dyDescent="0.25">
      <c r="A27" s="51"/>
      <c r="B27" s="144"/>
      <c r="C27" s="146"/>
      <c r="D27" s="142"/>
      <c r="E27" s="142"/>
      <c r="F27" s="142"/>
      <c r="G27" s="142"/>
      <c r="H27" s="142"/>
    </row>
    <row r="28" spans="1:8" s="53" customFormat="1" ht="14.4" customHeight="1" x14ac:dyDescent="0.25">
      <c r="A28" s="51"/>
      <c r="B28" s="76" t="s">
        <v>98</v>
      </c>
      <c r="C28" s="68">
        <f>+C11</f>
        <v>2386067144.2560592</v>
      </c>
      <c r="D28" s="69" t="s">
        <v>79</v>
      </c>
      <c r="E28" s="70">
        <f>+E11</f>
        <v>834675.4584715165</v>
      </c>
      <c r="F28" s="132">
        <f>+('3. Área'!E13+'3. Área'!E14)*1000/'3. Área'!G12</f>
        <v>48.628503831680334</v>
      </c>
      <c r="G28" s="70">
        <f>+E28/(C28/1000000000)</f>
        <v>349812.22572919511</v>
      </c>
      <c r="H28" s="71">
        <f>+(('3. Área'!E13*3)+('3. Área'!E14*4)+('3. Área'!E15*5))/SUM('3. Área'!E13:E15)</f>
        <v>4.0368088848942421</v>
      </c>
    </row>
    <row r="29" spans="1:8" s="53" customFormat="1" ht="14.4" customHeight="1" x14ac:dyDescent="0.25">
      <c r="A29" s="51"/>
      <c r="B29" s="78" t="s">
        <v>16</v>
      </c>
      <c r="C29" s="68">
        <f>+C16</f>
        <v>23307117552.8997</v>
      </c>
      <c r="D29" s="69" t="s">
        <v>79</v>
      </c>
      <c r="E29" s="70">
        <f>+E16</f>
        <v>422389.15387719905</v>
      </c>
      <c r="F29" s="132">
        <f>+('3. Área'!E18+'3. Área'!E19)*1000/'3. Área'!G17</f>
        <v>13.700149909982919</v>
      </c>
      <c r="G29" s="70">
        <f>+E29/(C29/1000000000)</f>
        <v>18122.753829104382</v>
      </c>
      <c r="H29" s="71">
        <f>+(('3. Área'!E18*3)+('3. Área'!E19*4)+('3. Área'!E20*5))/SUM('3. Área'!E18:E20)</f>
        <v>3.835139578172023</v>
      </c>
    </row>
    <row r="30" spans="1:8" s="53" customFormat="1" ht="14.4" customHeight="1" x14ac:dyDescent="0.25">
      <c r="A30" s="51"/>
      <c r="B30" s="64" t="s">
        <v>21</v>
      </c>
      <c r="C30" s="65">
        <f>SUM(C28:C29)</f>
        <v>25693184697.155758</v>
      </c>
      <c r="D30" s="65"/>
      <c r="E30" s="72">
        <f>SUM(E28:E29)</f>
        <v>1257064.6123487155</v>
      </c>
      <c r="F30" s="72"/>
      <c r="G30" s="73"/>
      <c r="H30" s="65"/>
    </row>
    <row r="31" spans="1:8" ht="14.4" customHeight="1" x14ac:dyDescent="0.3">
      <c r="B31" s="4"/>
      <c r="C31" s="4"/>
      <c r="D31" s="4"/>
      <c r="E31" s="4"/>
      <c r="F31" s="4"/>
      <c r="G31" s="4"/>
    </row>
  </sheetData>
  <mergeCells count="12">
    <mergeCell ref="F9:F10"/>
    <mergeCell ref="B9:B10"/>
    <mergeCell ref="C9:C10"/>
    <mergeCell ref="D9:D10"/>
    <mergeCell ref="E9:E10"/>
    <mergeCell ref="G26:G27"/>
    <mergeCell ref="H26:H27"/>
    <mergeCell ref="B26:B27"/>
    <mergeCell ref="C26:C27"/>
    <mergeCell ref="D26:D27"/>
    <mergeCell ref="E26:E27"/>
    <mergeCell ref="F26:F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/>
  </sheetViews>
  <sheetFormatPr defaultRowHeight="14.4" zeroHeight="1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AC1606"/>
  <sheetViews>
    <sheetView showGridLines="0" topLeftCell="A4" zoomScale="90" zoomScaleNormal="90" workbookViewId="0"/>
  </sheetViews>
  <sheetFormatPr defaultColWidth="0" defaultRowHeight="0" customHeight="1" zeroHeight="1" x14ac:dyDescent="0.25"/>
  <cols>
    <col min="1" max="1" width="3.5546875" style="33" customWidth="1"/>
    <col min="2" max="5" width="25.5546875" style="30" customWidth="1"/>
    <col min="6" max="6" width="3.21875" style="30" customWidth="1"/>
    <col min="7" max="7" width="15.77734375" style="30" hidden="1" customWidth="1"/>
    <col min="8" max="8" width="13.44140625" style="30" hidden="1" customWidth="1"/>
    <col min="9" max="9" width="18" style="30" hidden="1" customWidth="1"/>
    <col min="10" max="10" width="23.21875" style="30" hidden="1" customWidth="1"/>
    <col min="11" max="12" width="15.77734375" style="30" hidden="1" customWidth="1"/>
    <col min="13" max="13" width="3.21875" style="30" hidden="1" customWidth="1"/>
    <col min="14" max="16384" width="0" style="30" hidden="1"/>
  </cols>
  <sheetData>
    <row r="1" spans="1:27" ht="13.8" x14ac:dyDescent="0.25">
      <c r="A1" s="79"/>
      <c r="B1" s="29"/>
      <c r="C1" s="29"/>
      <c r="D1" s="29"/>
      <c r="E1" s="29"/>
      <c r="F1" s="29"/>
    </row>
    <row r="2" spans="1:27" ht="13.8" x14ac:dyDescent="0.25">
      <c r="A2" s="79"/>
      <c r="B2" s="29"/>
      <c r="C2" s="29"/>
      <c r="D2" s="29"/>
      <c r="E2" s="29"/>
      <c r="F2" s="29"/>
    </row>
    <row r="3" spans="1:27" ht="13.8" x14ac:dyDescent="0.25">
      <c r="A3" s="79"/>
      <c r="B3" s="29"/>
      <c r="C3" s="29"/>
      <c r="D3" s="29"/>
      <c r="E3" s="29"/>
      <c r="F3" s="29"/>
    </row>
    <row r="4" spans="1:27" ht="13.8" x14ac:dyDescent="0.25">
      <c r="A4" s="79"/>
      <c r="B4" s="29"/>
      <c r="C4" s="29"/>
      <c r="D4" s="29"/>
      <c r="E4" s="29"/>
      <c r="F4" s="29"/>
    </row>
    <row r="5" spans="1:27" ht="3" customHeight="1" x14ac:dyDescent="0.25">
      <c r="A5" s="31"/>
      <c r="B5" s="32"/>
      <c r="C5" s="32"/>
      <c r="D5" s="32"/>
      <c r="E5" s="32"/>
      <c r="F5" s="32"/>
    </row>
    <row r="6" spans="1:27" ht="13.8" x14ac:dyDescent="0.25"/>
    <row r="7" spans="1:27" ht="13.8" x14ac:dyDescent="0.25">
      <c r="B7" s="80"/>
      <c r="G7" s="37"/>
      <c r="H7" s="37"/>
      <c r="I7" s="37"/>
      <c r="J7" s="37"/>
      <c r="K7" s="37"/>
    </row>
    <row r="8" spans="1:27" ht="13.8" x14ac:dyDescent="0.25">
      <c r="B8" s="81" t="s">
        <v>104</v>
      </c>
      <c r="C8" s="53"/>
      <c r="D8" s="53"/>
      <c r="E8" s="53"/>
      <c r="F8" s="53"/>
      <c r="G8" s="37"/>
      <c r="H8" s="37"/>
      <c r="I8" s="37"/>
      <c r="J8" s="37"/>
      <c r="K8" s="37"/>
    </row>
    <row r="9" spans="1:27" ht="4.95" customHeight="1" x14ac:dyDescent="0.25">
      <c r="B9" s="53"/>
      <c r="C9" s="53"/>
      <c r="D9" s="53"/>
      <c r="E9" s="53"/>
      <c r="F9" s="53"/>
      <c r="G9" s="37"/>
      <c r="H9" s="37"/>
      <c r="I9" s="37"/>
      <c r="J9" s="37"/>
      <c r="K9" s="37"/>
    </row>
    <row r="10" spans="1:27" ht="15" customHeight="1" x14ac:dyDescent="0.25">
      <c r="B10" s="150" t="s">
        <v>24</v>
      </c>
      <c r="C10" s="145" t="s">
        <v>2</v>
      </c>
      <c r="D10" s="145" t="s">
        <v>3</v>
      </c>
      <c r="E10" s="141" t="s">
        <v>4</v>
      </c>
      <c r="F10" s="53"/>
      <c r="H10" s="37"/>
      <c r="I10" s="37"/>
      <c r="J10" s="37"/>
      <c r="K10" s="37"/>
    </row>
    <row r="11" spans="1:27" ht="15" customHeight="1" x14ac:dyDescent="0.25">
      <c r="B11" s="150"/>
      <c r="C11" s="146"/>
      <c r="D11" s="146"/>
      <c r="E11" s="142"/>
      <c r="F11" s="53"/>
      <c r="H11" s="37"/>
      <c r="I11" s="37"/>
      <c r="J11" s="37"/>
      <c r="K11" s="37"/>
    </row>
    <row r="12" spans="1:27" ht="13.8" x14ac:dyDescent="0.25">
      <c r="B12" s="82" t="s">
        <v>25</v>
      </c>
      <c r="C12" s="83">
        <v>11339142.855346801</v>
      </c>
      <c r="D12" s="84">
        <f t="shared" ref="D12:D20" si="0">C12/$C$21</f>
        <v>3.8271558103672533E-2</v>
      </c>
      <c r="E12" s="85">
        <v>98.453366540549993</v>
      </c>
      <c r="F12" s="53"/>
      <c r="H12" s="37"/>
      <c r="I12" s="37"/>
      <c r="J12" s="37"/>
      <c r="K12" s="37"/>
    </row>
    <row r="13" spans="1:27" s="33" customFormat="1" ht="13.8" x14ac:dyDescent="0.25">
      <c r="B13" s="86" t="s">
        <v>26</v>
      </c>
      <c r="C13" s="87">
        <v>1786795.07</v>
      </c>
      <c r="D13" s="88">
        <f t="shared" si="0"/>
        <v>6.0307407899544592E-3</v>
      </c>
      <c r="E13" s="89">
        <v>6.9953706710999999</v>
      </c>
      <c r="F13" s="53"/>
      <c r="G13" s="30"/>
      <c r="H13" s="37"/>
      <c r="I13" s="37"/>
      <c r="J13" s="37"/>
      <c r="K13" s="3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s="33" customFormat="1" ht="13.8" x14ac:dyDescent="0.25">
      <c r="B14" s="86" t="s">
        <v>27</v>
      </c>
      <c r="C14" s="87">
        <v>37128347.428131998</v>
      </c>
      <c r="D14" s="88">
        <f t="shared" si="0"/>
        <v>0.12531456072264424</v>
      </c>
      <c r="E14" s="89">
        <v>270.01945538989901</v>
      </c>
      <c r="F14" s="53"/>
      <c r="G14" s="30"/>
      <c r="H14" s="37"/>
      <c r="I14" s="37"/>
      <c r="J14" s="37"/>
      <c r="K14" s="37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s="33" customFormat="1" ht="13.8" x14ac:dyDescent="0.25">
      <c r="B15" s="86" t="s">
        <v>28</v>
      </c>
      <c r="C15" s="87">
        <v>55144200.679906301</v>
      </c>
      <c r="D15" s="88">
        <f t="shared" si="0"/>
        <v>0.18612116518193961</v>
      </c>
      <c r="E15" s="89">
        <v>749.21836744655002</v>
      </c>
      <c r="F15" s="53"/>
      <c r="G15" s="30"/>
      <c r="H15" s="37"/>
      <c r="I15" s="37"/>
      <c r="J15" s="37"/>
      <c r="K15" s="37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s="33" customFormat="1" ht="13.8" x14ac:dyDescent="0.25">
      <c r="B16" s="86" t="s">
        <v>29</v>
      </c>
      <c r="C16" s="87">
        <v>93233211.795725897</v>
      </c>
      <c r="D16" s="88">
        <f t="shared" si="0"/>
        <v>0.3146781311384228</v>
      </c>
      <c r="E16" s="89">
        <v>1776.68881580519</v>
      </c>
      <c r="F16" s="53"/>
      <c r="G16" s="30"/>
      <c r="H16" s="37"/>
      <c r="I16" s="37"/>
      <c r="J16" s="37"/>
      <c r="K16" s="37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2:27" s="33" customFormat="1" ht="13.8" x14ac:dyDescent="0.25">
      <c r="B17" s="86" t="s">
        <v>30</v>
      </c>
      <c r="C17" s="87">
        <v>65502919.713451803</v>
      </c>
      <c r="D17" s="88">
        <f t="shared" si="0"/>
        <v>0.22108362419929098</v>
      </c>
      <c r="E17" s="89">
        <v>540.90802885419896</v>
      </c>
      <c r="F17" s="53"/>
      <c r="G17" s="30"/>
      <c r="H17" s="37"/>
      <c r="I17" s="37"/>
      <c r="J17" s="37"/>
      <c r="K17" s="37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2:27" s="33" customFormat="1" ht="13.8" x14ac:dyDescent="0.25">
      <c r="B18" s="86" t="s">
        <v>31</v>
      </c>
      <c r="C18" s="87">
        <v>18208719.8855564</v>
      </c>
      <c r="D18" s="88">
        <f t="shared" si="0"/>
        <v>6.1457562532159817E-2</v>
      </c>
      <c r="E18" s="89">
        <v>224.43223953825</v>
      </c>
      <c r="F18" s="53"/>
      <c r="G18" s="30"/>
      <c r="H18" s="37"/>
      <c r="I18" s="37"/>
      <c r="J18" s="37"/>
      <c r="K18" s="37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2:27" s="33" customFormat="1" ht="13.8" x14ac:dyDescent="0.25">
      <c r="B19" s="86" t="s">
        <v>32</v>
      </c>
      <c r="C19" s="87">
        <v>13269354.8199999</v>
      </c>
      <c r="D19" s="88">
        <f t="shared" si="0"/>
        <v>4.4786355588809751E-2</v>
      </c>
      <c r="E19" s="89">
        <v>4620.1745721899297</v>
      </c>
      <c r="F19" s="53"/>
      <c r="G19" s="30"/>
      <c r="H19" s="37"/>
      <c r="I19" s="37"/>
      <c r="J19" s="37"/>
      <c r="K19" s="37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2:27" s="33" customFormat="1" ht="13.8" x14ac:dyDescent="0.25">
      <c r="B20" s="86" t="s">
        <v>33</v>
      </c>
      <c r="C20" s="87">
        <v>668499.77</v>
      </c>
      <c r="D20" s="88">
        <f t="shared" si="0"/>
        <v>2.2563017431059817E-3</v>
      </c>
      <c r="E20" s="89">
        <v>1.9982254181500001</v>
      </c>
      <c r="F20" s="53"/>
      <c r="G20" s="30"/>
      <c r="H20" s="37"/>
      <c r="I20" s="37"/>
      <c r="J20" s="37"/>
      <c r="K20" s="37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2:27" s="33" customFormat="1" ht="13.8" x14ac:dyDescent="0.25">
      <c r="B21" s="90" t="s">
        <v>21</v>
      </c>
      <c r="C21" s="91">
        <f>+SUM(C12:C20)</f>
        <v>296281192.01811904</v>
      </c>
      <c r="D21" s="92">
        <f>SUM(D12:D20)</f>
        <v>1</v>
      </c>
      <c r="E21" s="93">
        <f>+SUM(E12:E20)</f>
        <v>8288.8884418538182</v>
      </c>
      <c r="F21" s="53"/>
      <c r="G21" s="30"/>
      <c r="H21" s="37"/>
      <c r="I21" s="37"/>
      <c r="J21" s="37"/>
      <c r="K21" s="37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2:27" s="33" customFormat="1" ht="4.95" customHeight="1" x14ac:dyDescent="0.25">
      <c r="B22" s="53"/>
      <c r="C22" s="94"/>
      <c r="D22" s="94"/>
      <c r="E22" s="95"/>
      <c r="F22" s="53"/>
      <c r="G22" s="30"/>
      <c r="H22" s="37"/>
      <c r="I22" s="37"/>
      <c r="J22" s="37"/>
      <c r="K22" s="37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s="33" customFormat="1" ht="13.8" x14ac:dyDescent="0.25">
      <c r="B23" s="53"/>
      <c r="C23" s="94"/>
      <c r="D23" s="94"/>
      <c r="E23" s="95"/>
      <c r="F23" s="53"/>
      <c r="G23" s="30"/>
      <c r="H23" s="37"/>
      <c r="I23" s="37"/>
      <c r="J23" s="37"/>
      <c r="K23" s="3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s="33" customFormat="1" ht="13.8" x14ac:dyDescent="0.25">
      <c r="B24" s="81" t="s">
        <v>105</v>
      </c>
      <c r="C24" s="94"/>
      <c r="D24" s="94"/>
      <c r="E24" s="95"/>
      <c r="F24" s="53"/>
      <c r="G24" s="30"/>
      <c r="H24" s="37"/>
      <c r="I24" s="37"/>
      <c r="J24" s="37"/>
      <c r="K24" s="37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s="33" customFormat="1" ht="13.8" x14ac:dyDescent="0.25">
      <c r="B25" s="96" t="s">
        <v>34</v>
      </c>
      <c r="C25" s="94"/>
      <c r="D25" s="94"/>
      <c r="E25" s="95"/>
      <c r="F25" s="53"/>
      <c r="G25" s="30"/>
      <c r="H25" s="37"/>
      <c r="I25" s="37"/>
      <c r="J25" s="37"/>
      <c r="K25" s="3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s="33" customFormat="1" ht="4.95" customHeight="1" x14ac:dyDescent="0.25">
      <c r="B26" s="53"/>
      <c r="C26" s="94"/>
      <c r="D26" s="94"/>
      <c r="E26" s="95"/>
      <c r="F26" s="53"/>
      <c r="G26" s="30"/>
      <c r="H26" s="37"/>
      <c r="I26" s="37"/>
      <c r="J26" s="37"/>
      <c r="K26" s="37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s="33" customFormat="1" ht="15" customHeight="1" x14ac:dyDescent="0.25">
      <c r="B27" s="150" t="s">
        <v>24</v>
      </c>
      <c r="C27" s="145" t="s">
        <v>2</v>
      </c>
      <c r="D27" s="145" t="s">
        <v>3</v>
      </c>
      <c r="E27" s="141" t="s">
        <v>4</v>
      </c>
      <c r="F27" s="53"/>
      <c r="G27" s="30"/>
      <c r="H27" s="37"/>
      <c r="I27" s="37"/>
      <c r="J27" s="37"/>
      <c r="K27" s="37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s="33" customFormat="1" ht="15" customHeight="1" x14ac:dyDescent="0.25">
      <c r="B28" s="150"/>
      <c r="C28" s="146"/>
      <c r="D28" s="146"/>
      <c r="E28" s="142"/>
      <c r="F28" s="53"/>
      <c r="G28" s="30"/>
      <c r="H28" s="37"/>
      <c r="I28" s="37"/>
      <c r="J28" s="37"/>
      <c r="K28" s="3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s="33" customFormat="1" ht="13.8" x14ac:dyDescent="0.25">
      <c r="B29" s="86" t="s">
        <v>25</v>
      </c>
      <c r="C29" s="87">
        <v>118247997.97386099</v>
      </c>
      <c r="D29" s="84">
        <f t="shared" ref="D29:D38" si="1">C29/$C$40</f>
        <v>5.658378450062309E-2</v>
      </c>
      <c r="E29" s="89">
        <v>200938.45962015699</v>
      </c>
      <c r="F29" s="53"/>
      <c r="G29" s="30"/>
      <c r="H29" s="37"/>
      <c r="I29" s="37"/>
      <c r="J29" s="37"/>
      <c r="K29" s="37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s="33" customFormat="1" ht="13.8" x14ac:dyDescent="0.25">
      <c r="B30" s="86" t="s">
        <v>26</v>
      </c>
      <c r="C30" s="87">
        <v>7792022.4534692504</v>
      </c>
      <c r="D30" s="88">
        <f t="shared" si="1"/>
        <v>3.728622275944012E-3</v>
      </c>
      <c r="E30" s="89">
        <v>9027.0737609504395</v>
      </c>
      <c r="F30" s="53"/>
      <c r="G30" s="30"/>
      <c r="H30" s="37"/>
      <c r="I30" s="37"/>
      <c r="J30" s="37"/>
      <c r="K30" s="37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s="33" customFormat="1" ht="13.8" x14ac:dyDescent="0.25">
      <c r="B31" s="86" t="s">
        <v>27</v>
      </c>
      <c r="C31" s="87">
        <v>98538605.594622806</v>
      </c>
      <c r="D31" s="88">
        <f t="shared" si="1"/>
        <v>4.7152487310529761E-2</v>
      </c>
      <c r="E31" s="89">
        <v>15226.141492791099</v>
      </c>
      <c r="F31" s="53"/>
      <c r="G31" s="30"/>
      <c r="H31" s="37"/>
      <c r="I31" s="37"/>
      <c r="J31" s="37"/>
      <c r="K31" s="37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s="33" customFormat="1" ht="13.8" x14ac:dyDescent="0.25">
      <c r="B32" s="86" t="s">
        <v>28</v>
      </c>
      <c r="C32" s="87">
        <v>184152982.278633</v>
      </c>
      <c r="D32" s="88">
        <f t="shared" si="1"/>
        <v>8.8120499652811157E-2</v>
      </c>
      <c r="E32" s="89">
        <v>11922.752905023999</v>
      </c>
      <c r="F32" s="53"/>
      <c r="G32" s="30"/>
      <c r="H32" s="37"/>
      <c r="I32" s="37"/>
      <c r="J32" s="37"/>
      <c r="K32" s="37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9" s="33" customFormat="1" ht="13.8" x14ac:dyDescent="0.25">
      <c r="B33" s="86" t="s">
        <v>29</v>
      </c>
      <c r="C33" s="87">
        <v>985602316.16979802</v>
      </c>
      <c r="D33" s="88">
        <f t="shared" si="1"/>
        <v>0.4716283574948536</v>
      </c>
      <c r="E33" s="89">
        <v>99167.333191554295</v>
      </c>
      <c r="F33" s="53"/>
      <c r="G33" s="30"/>
      <c r="H33" s="37"/>
      <c r="I33" s="37"/>
      <c r="J33" s="37"/>
      <c r="K33" s="37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9" s="33" customFormat="1" ht="13.8" x14ac:dyDescent="0.25">
      <c r="B34" s="86" t="s">
        <v>30</v>
      </c>
      <c r="C34" s="87">
        <v>360816702.98650801</v>
      </c>
      <c r="D34" s="88">
        <f t="shared" si="1"/>
        <v>0.17265725353360306</v>
      </c>
      <c r="E34" s="89">
        <v>127123.55158711399</v>
      </c>
      <c r="F34" s="53"/>
      <c r="G34" s="30"/>
      <c r="H34" s="37"/>
      <c r="I34" s="37"/>
      <c r="J34" s="37"/>
      <c r="K34" s="37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9" s="33" customFormat="1" ht="13.8" x14ac:dyDescent="0.25">
      <c r="B35" s="86" t="s">
        <v>31</v>
      </c>
      <c r="C35" s="87">
        <v>148334764.212378</v>
      </c>
      <c r="D35" s="88">
        <f t="shared" si="1"/>
        <v>7.0980840910298576E-2</v>
      </c>
      <c r="E35" s="89">
        <v>72637.539087754601</v>
      </c>
      <c r="F35" s="53"/>
      <c r="G35" s="30"/>
      <c r="H35" s="37"/>
      <c r="I35" s="37"/>
      <c r="J35" s="37"/>
      <c r="K35" s="37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9" s="33" customFormat="1" ht="13.8" x14ac:dyDescent="0.25">
      <c r="B36" s="86" t="s">
        <v>32</v>
      </c>
      <c r="C36" s="87">
        <v>92735492.154708907</v>
      </c>
      <c r="D36" s="88">
        <f t="shared" si="1"/>
        <v>4.4375593613020035E-2</v>
      </c>
      <c r="E36" s="89">
        <v>288507.345715084</v>
      </c>
      <c r="F36" s="53"/>
      <c r="G36" s="30"/>
      <c r="H36" s="37"/>
      <c r="I36" s="37"/>
      <c r="J36" s="37"/>
      <c r="K36" s="37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9" s="33" customFormat="1" ht="13.8" x14ac:dyDescent="0.25">
      <c r="B37" s="86" t="s">
        <v>33</v>
      </c>
      <c r="C37" s="87">
        <v>11321516.81446</v>
      </c>
      <c r="D37" s="88">
        <f t="shared" si="1"/>
        <v>5.417548530430044E-3</v>
      </c>
      <c r="E37" s="89">
        <v>699.99275531610999</v>
      </c>
      <c r="F37" s="53"/>
      <c r="G37" s="30"/>
      <c r="H37" s="37"/>
      <c r="I37" s="37"/>
      <c r="J37" s="37"/>
      <c r="K37" s="37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9" s="33" customFormat="1" ht="13.8" x14ac:dyDescent="0.25">
      <c r="B38" s="86" t="s">
        <v>35</v>
      </c>
      <c r="C38" s="87">
        <v>13011753.532801699</v>
      </c>
      <c r="D38" s="88">
        <f t="shared" si="1"/>
        <v>6.2263570672716449E-3</v>
      </c>
      <c r="E38" s="89">
        <v>1136.3799139161499</v>
      </c>
      <c r="F38" s="53"/>
      <c r="G38" s="30"/>
      <c r="H38" s="37"/>
      <c r="I38" s="37"/>
      <c r="J38" s="37"/>
      <c r="K38" s="37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9" s="33" customFormat="1" ht="13.8" x14ac:dyDescent="0.25">
      <c r="B39" s="86" t="s">
        <v>103</v>
      </c>
      <c r="C39" s="87">
        <v>69231798.066699132</v>
      </c>
      <c r="D39" s="88">
        <v>0.23363871063291206</v>
      </c>
      <c r="E39" s="89">
        <v>0</v>
      </c>
      <c r="F39" s="53"/>
      <c r="G39" s="30"/>
      <c r="H39" s="37"/>
      <c r="I39" s="37"/>
      <c r="J39" s="37"/>
      <c r="K39" s="3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9" s="33" customFormat="1" ht="13.8" x14ac:dyDescent="0.25">
      <c r="B40" s="90" t="s">
        <v>21</v>
      </c>
      <c r="C40" s="91">
        <f>+SUM(C29:C39)</f>
        <v>2089785952.2379396</v>
      </c>
      <c r="D40" s="92">
        <f>SUM(D29:D38)</f>
        <v>0.96687134488938486</v>
      </c>
      <c r="E40" s="93">
        <f>+SUM(E29:E38)</f>
        <v>826386.57002966164</v>
      </c>
      <c r="F40" s="53"/>
      <c r="G40" s="30"/>
      <c r="H40" s="37"/>
      <c r="I40" s="37"/>
      <c r="J40" s="37"/>
      <c r="K40" s="37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9" s="33" customFormat="1" ht="4.95" customHeight="1" x14ac:dyDescent="0.25">
      <c r="B41" s="53"/>
      <c r="C41" s="94"/>
      <c r="D41" s="94"/>
      <c r="E41" s="95"/>
      <c r="F41" s="53"/>
      <c r="G41" s="30"/>
      <c r="H41" s="37"/>
      <c r="I41" s="37"/>
      <c r="J41" s="37"/>
      <c r="K41" s="37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2:29" s="33" customFormat="1" ht="13.8" x14ac:dyDescent="0.25">
      <c r="B42" s="53"/>
      <c r="C42" s="53"/>
      <c r="D42" s="53"/>
      <c r="E42" s="53"/>
      <c r="F42" s="53"/>
      <c r="G42" s="30"/>
      <c r="H42" s="37"/>
      <c r="I42" s="37"/>
      <c r="J42" s="37"/>
      <c r="K42" s="3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spans="2:29" s="33" customFormat="1" ht="13.8" x14ac:dyDescent="0.25">
      <c r="B43" s="97" t="s">
        <v>100</v>
      </c>
      <c r="C43" s="95"/>
      <c r="D43" s="53"/>
      <c r="E43" s="53"/>
      <c r="F43" s="53"/>
      <c r="G43" s="30"/>
      <c r="H43" s="37"/>
      <c r="I43" s="37"/>
      <c r="J43" s="37"/>
      <c r="K43" s="37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spans="2:29" s="33" customFormat="1" ht="4.95" customHeight="1" x14ac:dyDescent="0.25">
      <c r="B44" s="53"/>
      <c r="C44" s="53"/>
      <c r="D44" s="53"/>
      <c r="E44" s="53"/>
      <c r="F44" s="53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spans="2:29" s="33" customFormat="1" ht="15" customHeight="1" x14ac:dyDescent="0.25">
      <c r="B45" s="51"/>
      <c r="C45" s="145" t="s">
        <v>2</v>
      </c>
      <c r="D45" s="145" t="s">
        <v>3</v>
      </c>
      <c r="E45" s="141" t="s">
        <v>4</v>
      </c>
      <c r="F45" s="53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spans="2:29" s="33" customFormat="1" ht="15" customHeight="1" x14ac:dyDescent="0.25">
      <c r="B46" s="51"/>
      <c r="C46" s="146"/>
      <c r="D46" s="146"/>
      <c r="E46" s="142"/>
      <c r="F46" s="53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2:29" s="33" customFormat="1" ht="13.8" x14ac:dyDescent="0.25">
      <c r="B47" s="98" t="s">
        <v>101</v>
      </c>
      <c r="C47" s="99">
        <f>C21</f>
        <v>296281192.01811904</v>
      </c>
      <c r="D47" s="100">
        <f>C47/$C$49</f>
        <v>0.12417135566840691</v>
      </c>
      <c r="E47" s="101">
        <f>E21</f>
        <v>8288.8884418538182</v>
      </c>
      <c r="F47" s="53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2:29" s="33" customFormat="1" ht="13.8" x14ac:dyDescent="0.25">
      <c r="B48" s="102" t="s">
        <v>102</v>
      </c>
      <c r="C48" s="103">
        <f>C40</f>
        <v>2089785952.2379396</v>
      </c>
      <c r="D48" s="104">
        <f>C48/$C$49</f>
        <v>0.87582864433159302</v>
      </c>
      <c r="E48" s="105">
        <f>E40</f>
        <v>826386.57002966164</v>
      </c>
      <c r="F48" s="53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spans="2:29" s="33" customFormat="1" ht="13.8" x14ac:dyDescent="0.25">
      <c r="B49" s="90" t="s">
        <v>21</v>
      </c>
      <c r="C49" s="91">
        <f>SUM(C47:C48)</f>
        <v>2386067144.2560587</v>
      </c>
      <c r="D49" s="92">
        <f>SUM(D47:D48)</f>
        <v>0.99999999999999989</v>
      </c>
      <c r="E49" s="91">
        <f>SUM(E47:E48)</f>
        <v>834675.45847151545</v>
      </c>
      <c r="F49" s="53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spans="2:29" s="33" customFormat="1" ht="13.8" x14ac:dyDescent="0.25">
      <c r="B50" s="53"/>
      <c r="C50" s="53"/>
      <c r="D50" s="53"/>
      <c r="E50" s="53"/>
      <c r="F50" s="53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2:29" s="33" customFormat="1" ht="13.8" hidden="1" x14ac:dyDescent="0.25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spans="2:29" s="33" customFormat="1" ht="13.8" hidden="1" x14ac:dyDescent="0.25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2:29" s="33" customFormat="1" ht="13.8" hidden="1" x14ac:dyDescent="0.25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spans="2:29" s="33" customFormat="1" ht="13.8" hidden="1" x14ac:dyDescent="0.25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2:29" s="33" customFormat="1" ht="13.8" hidden="1" x14ac:dyDescent="0.2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2:29" s="33" customFormat="1" ht="13.8" hidden="1" x14ac:dyDescent="0.25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2:29" s="33" customFormat="1" ht="13.8" hidden="1" x14ac:dyDescent="0.25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2:29" s="33" customFormat="1" ht="13.8" hidden="1" x14ac:dyDescent="0.25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spans="2:29" s="33" customFormat="1" ht="13.8" hidden="1" x14ac:dyDescent="0.25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spans="2:29" s="33" customFormat="1" ht="13.8" hidden="1" x14ac:dyDescent="0.25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spans="2:29" s="33" customFormat="1" ht="13.8" hidden="1" x14ac:dyDescent="0.25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2:29" s="33" customFormat="1" ht="13.8" hidden="1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2:29" s="33" customFormat="1" ht="13.8" hidden="1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2:29" s="33" customFormat="1" ht="13.8" hidden="1" x14ac:dyDescent="0.25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2:29" s="33" customFormat="1" ht="13.8" hidden="1" x14ac:dyDescent="0.25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2:29" s="33" customFormat="1" ht="13.8" hidden="1" x14ac:dyDescent="0.25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2:29" s="33" customFormat="1" ht="13.8" hidden="1" x14ac:dyDescent="0.25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2:29" s="33" customFormat="1" ht="13.8" hidden="1" x14ac:dyDescent="0.25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2:29" s="33" customFormat="1" ht="13.8" hidden="1" x14ac:dyDescent="0.25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2:29" s="33" customFormat="1" ht="13.8" hidden="1" x14ac:dyDescent="0.25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2:29" s="33" customFormat="1" ht="13.8" hidden="1" x14ac:dyDescent="0.25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spans="2:29" s="33" customFormat="1" ht="13.8" hidden="1" x14ac:dyDescent="0.25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spans="2:29" s="33" customFormat="1" ht="13.8" hidden="1" x14ac:dyDescent="0.25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spans="2:29" s="33" customFormat="1" ht="13.8" hidden="1" x14ac:dyDescent="0.25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2:29" s="33" customFormat="1" ht="13.8" hidden="1" x14ac:dyDescent="0.25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spans="2:29" s="33" customFormat="1" ht="13.8" hidden="1" x14ac:dyDescent="0.25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spans="2:29" s="33" customFormat="1" ht="13.8" hidden="1" x14ac:dyDescent="0.25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spans="2:29" s="33" customFormat="1" ht="13.8" hidden="1" x14ac:dyDescent="0.25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spans="2:29" s="33" customFormat="1" ht="13.8" hidden="1" x14ac:dyDescent="0.25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spans="2:29" s="33" customFormat="1" ht="13.8" hidden="1" x14ac:dyDescent="0.25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spans="2:29" s="33" customFormat="1" ht="13.8" hidden="1" x14ac:dyDescent="0.25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spans="2:29" s="33" customFormat="1" ht="13.8" hidden="1" x14ac:dyDescent="0.25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2:29" s="33" customFormat="1" ht="13.8" hidden="1" x14ac:dyDescent="0.25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2:29" s="33" customFormat="1" ht="13.8" hidden="1" x14ac:dyDescent="0.25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2:29" s="33" customFormat="1" ht="13.8" hidden="1" x14ac:dyDescent="0.25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spans="2:29" s="33" customFormat="1" ht="13.8" hidden="1" x14ac:dyDescent="0.25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2:29" s="33" customFormat="1" ht="13.8" hidden="1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2:29" s="33" customFormat="1" ht="13.8" hidden="1" x14ac:dyDescent="0.25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spans="2:29" s="33" customFormat="1" ht="13.8" hidden="1" x14ac:dyDescent="0.25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spans="2:29" s="33" customFormat="1" ht="13.8" hidden="1" x14ac:dyDescent="0.25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spans="2:29" s="33" customFormat="1" ht="13.8" hidden="1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2:29" s="33" customFormat="1" ht="13.8" hidden="1" x14ac:dyDescent="0.25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2:29" s="33" customFormat="1" ht="13.8" hidden="1" x14ac:dyDescent="0.25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2:29" s="33" customFormat="1" ht="13.8" hidden="1" x14ac:dyDescent="0.25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2:29" s="33" customFormat="1" ht="13.8" hidden="1" x14ac:dyDescent="0.25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2:29" s="33" customFormat="1" ht="13.8" hidden="1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2:29" s="33" customFormat="1" ht="13.8" hidden="1" x14ac:dyDescent="0.25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2:29" s="33" customFormat="1" ht="13.8" hidden="1" x14ac:dyDescent="0.25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2:29" s="33" customFormat="1" ht="13.8" hidden="1" x14ac:dyDescent="0.25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2:29" s="33" customFormat="1" ht="13.8" hidden="1" x14ac:dyDescent="0.25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2:29" s="33" customFormat="1" ht="13.8" hidden="1" x14ac:dyDescent="0.25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2:29" s="33" customFormat="1" ht="13.8" hidden="1" x14ac:dyDescent="0.25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2:29" s="33" customFormat="1" ht="13.8" hidden="1" x14ac:dyDescent="0.25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2:29" s="33" customFormat="1" ht="13.8" hidden="1" x14ac:dyDescent="0.25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2:29" s="33" customFormat="1" ht="13.8" hidden="1" x14ac:dyDescent="0.25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2:29" s="33" customFormat="1" ht="13.8" hidden="1" x14ac:dyDescent="0.25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2:29" s="33" customFormat="1" ht="13.8" hidden="1" x14ac:dyDescent="0.25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2:29" s="33" customFormat="1" ht="13.8" hidden="1" x14ac:dyDescent="0.25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2:29" s="33" customFormat="1" ht="13.8" hidden="1" x14ac:dyDescent="0.25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2:29" s="33" customFormat="1" ht="13.8" hidden="1" x14ac:dyDescent="0.2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2:29" s="33" customFormat="1" ht="13.8" hidden="1" x14ac:dyDescent="0.25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2:29" s="33" customFormat="1" ht="13.8" hidden="1" x14ac:dyDescent="0.25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2:29" s="33" customFormat="1" ht="13.8" hidden="1" x14ac:dyDescent="0.25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2:29" s="33" customFormat="1" ht="13.8" hidden="1" x14ac:dyDescent="0.25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spans="2:29" s="33" customFormat="1" ht="13.8" hidden="1" x14ac:dyDescent="0.25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spans="2:29" s="33" customFormat="1" ht="13.8" hidden="1" x14ac:dyDescent="0.25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spans="2:29" s="33" customFormat="1" ht="13.8" hidden="1" x14ac:dyDescent="0.25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spans="2:29" s="33" customFormat="1" ht="13.8" hidden="1" x14ac:dyDescent="0.25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2:29" s="33" customFormat="1" ht="13.8" hidden="1" x14ac:dyDescent="0.25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spans="2:29" s="33" customFormat="1" ht="13.8" hidden="1" x14ac:dyDescent="0.25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spans="2:29" s="33" customFormat="1" ht="13.8" hidden="1" x14ac:dyDescent="0.25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spans="2:29" s="33" customFormat="1" ht="13.8" hidden="1" x14ac:dyDescent="0.25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spans="2:29" s="33" customFormat="1" ht="13.8" hidden="1" x14ac:dyDescent="0.25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spans="2:29" s="33" customFormat="1" ht="13.8" hidden="1" x14ac:dyDescent="0.25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spans="2:29" s="33" customFormat="1" ht="13.8" hidden="1" x14ac:dyDescent="0.25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spans="2:29" s="33" customFormat="1" ht="13.8" hidden="1" x14ac:dyDescent="0.25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spans="2:29" s="33" customFormat="1" ht="13.8" hidden="1" x14ac:dyDescent="0.25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2:29" s="33" customFormat="1" ht="13.8" hidden="1" x14ac:dyDescent="0.25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spans="2:29" s="33" customFormat="1" ht="13.8" hidden="1" x14ac:dyDescent="0.25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spans="2:29" s="33" customFormat="1" ht="13.8" hidden="1" x14ac:dyDescent="0.25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spans="2:29" s="33" customFormat="1" ht="13.8" hidden="1" x14ac:dyDescent="0.25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spans="2:29" s="33" customFormat="1" ht="13.8" hidden="1" x14ac:dyDescent="0.25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spans="2:29" s="33" customFormat="1" ht="13.8" hidden="1" x14ac:dyDescent="0.25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spans="2:29" s="33" customFormat="1" ht="13.8" hidden="1" x14ac:dyDescent="0.25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spans="2:29" s="33" customFormat="1" ht="13.8" hidden="1" x14ac:dyDescent="0.25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spans="2:29" s="33" customFormat="1" ht="13.8" hidden="1" x14ac:dyDescent="0.25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2:29" s="33" customFormat="1" ht="13.8" hidden="1" x14ac:dyDescent="0.25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spans="2:29" s="33" customFormat="1" ht="13.8" hidden="1" x14ac:dyDescent="0.25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spans="2:29" s="33" customFormat="1" ht="13.8" hidden="1" x14ac:dyDescent="0.25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spans="2:29" s="33" customFormat="1" ht="13.8" hidden="1" x14ac:dyDescent="0.25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spans="2:29" s="33" customFormat="1" ht="13.8" hidden="1" x14ac:dyDescent="0.25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spans="2:29" s="33" customFormat="1" ht="13.8" hidden="1" x14ac:dyDescent="0.25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spans="2:29" s="33" customFormat="1" ht="13.8" hidden="1" x14ac:dyDescent="0.25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spans="2:29" s="33" customFormat="1" ht="13.8" hidden="1" x14ac:dyDescent="0.25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spans="2:29" s="33" customFormat="1" ht="13.8" hidden="1" x14ac:dyDescent="0.25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spans="2:29" s="33" customFormat="1" ht="13.8" hidden="1" x14ac:dyDescent="0.25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spans="2:29" s="33" customFormat="1" ht="13.8" hidden="1" x14ac:dyDescent="0.25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spans="2:29" s="33" customFormat="1" ht="13.8" hidden="1" x14ac:dyDescent="0.25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spans="2:29" s="33" customFormat="1" ht="13.8" hidden="1" x14ac:dyDescent="0.25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spans="2:29" s="33" customFormat="1" ht="13.8" hidden="1" x14ac:dyDescent="0.25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spans="2:29" s="33" customFormat="1" ht="13.8" hidden="1" x14ac:dyDescent="0.25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spans="2:29" s="33" customFormat="1" ht="13.8" hidden="1" x14ac:dyDescent="0.25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spans="2:29" s="33" customFormat="1" ht="13.8" hidden="1" x14ac:dyDescent="0.25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spans="2:29" s="33" customFormat="1" ht="13.8" hidden="1" x14ac:dyDescent="0.25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spans="2:29" s="33" customFormat="1" ht="13.8" hidden="1" x14ac:dyDescent="0.25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spans="2:29" s="33" customFormat="1" ht="13.8" hidden="1" x14ac:dyDescent="0.25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spans="2:29" s="33" customFormat="1" ht="13.8" hidden="1" x14ac:dyDescent="0.25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spans="2:29" s="33" customFormat="1" ht="13.8" hidden="1" x14ac:dyDescent="0.25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spans="2:29" s="33" customFormat="1" ht="13.8" hidden="1" x14ac:dyDescent="0.25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spans="2:29" s="33" customFormat="1" ht="13.8" hidden="1" x14ac:dyDescent="0.25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spans="2:29" s="33" customFormat="1" ht="13.8" hidden="1" x14ac:dyDescent="0.25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spans="2:29" s="33" customFormat="1" ht="13.8" hidden="1" x14ac:dyDescent="0.25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spans="2:29" s="33" customFormat="1" ht="13.8" hidden="1" x14ac:dyDescent="0.25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spans="2:29" s="33" customFormat="1" ht="13.8" hidden="1" x14ac:dyDescent="0.25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spans="2:29" s="33" customFormat="1" ht="13.8" hidden="1" x14ac:dyDescent="0.25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spans="2:29" s="33" customFormat="1" ht="13.8" hidden="1" x14ac:dyDescent="0.25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spans="2:29" s="33" customFormat="1" ht="13.8" hidden="1" x14ac:dyDescent="0.25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spans="2:29" s="33" customFormat="1" ht="13.8" hidden="1" x14ac:dyDescent="0.25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spans="2:29" s="33" customFormat="1" ht="13.8" hidden="1" x14ac:dyDescent="0.25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spans="2:29" s="33" customFormat="1" ht="13.8" hidden="1" x14ac:dyDescent="0.25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spans="2:29" s="33" customFormat="1" ht="13.8" hidden="1" x14ac:dyDescent="0.25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spans="2:29" s="33" customFormat="1" ht="13.8" hidden="1" x14ac:dyDescent="0.25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spans="2:29" s="33" customFormat="1" ht="13.8" hidden="1" x14ac:dyDescent="0.25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spans="2:29" s="33" customFormat="1" ht="13.8" hidden="1" x14ac:dyDescent="0.25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spans="2:29" s="33" customFormat="1" ht="13.8" hidden="1" x14ac:dyDescent="0.25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spans="2:29" s="33" customFormat="1" ht="13.8" hidden="1" x14ac:dyDescent="0.25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spans="2:29" s="33" customFormat="1" ht="13.8" hidden="1" x14ac:dyDescent="0.2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spans="2:29" s="33" customFormat="1" ht="13.8" hidden="1" x14ac:dyDescent="0.25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2:29" s="33" customFormat="1" ht="13.8" hidden="1" x14ac:dyDescent="0.25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spans="2:29" s="33" customFormat="1" ht="13.8" hidden="1" x14ac:dyDescent="0.25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spans="2:29" s="33" customFormat="1" ht="13.8" hidden="1" x14ac:dyDescent="0.25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spans="2:29" s="33" customFormat="1" ht="13.8" hidden="1" x14ac:dyDescent="0.25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spans="2:29" s="33" customFormat="1" ht="13.8" hidden="1" x14ac:dyDescent="0.25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spans="2:29" s="33" customFormat="1" ht="13.8" hidden="1" x14ac:dyDescent="0.25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spans="2:29" s="33" customFormat="1" ht="13.8" hidden="1" x14ac:dyDescent="0.25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spans="2:29" s="33" customFormat="1" ht="13.8" hidden="1" x14ac:dyDescent="0.25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spans="2:29" s="33" customFormat="1" ht="13.8" hidden="1" x14ac:dyDescent="0.25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spans="2:29" s="33" customFormat="1" ht="13.8" hidden="1" x14ac:dyDescent="0.25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spans="2:29" s="33" customFormat="1" ht="13.8" hidden="1" x14ac:dyDescent="0.25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spans="2:29" s="33" customFormat="1" ht="13.8" hidden="1" x14ac:dyDescent="0.25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spans="2:29" s="33" customFormat="1" ht="13.8" hidden="1" x14ac:dyDescent="0.25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spans="2:29" s="33" customFormat="1" ht="13.8" hidden="1" x14ac:dyDescent="0.25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spans="2:29" s="33" customFormat="1" ht="13.8" hidden="1" x14ac:dyDescent="0.25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spans="2:29" s="33" customFormat="1" ht="13.8" hidden="1" x14ac:dyDescent="0.25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spans="2:29" s="33" customFormat="1" ht="13.8" hidden="1" x14ac:dyDescent="0.25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spans="2:29" s="33" customFormat="1" ht="13.8" hidden="1" x14ac:dyDescent="0.25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spans="2:29" s="33" customFormat="1" ht="13.8" hidden="1" x14ac:dyDescent="0.25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spans="2:29" s="33" customFormat="1" ht="13.8" hidden="1" x14ac:dyDescent="0.25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spans="2:29" s="33" customFormat="1" ht="13.8" hidden="1" x14ac:dyDescent="0.25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spans="2:29" s="33" customFormat="1" ht="13.8" hidden="1" x14ac:dyDescent="0.25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spans="2:29" s="33" customFormat="1" ht="13.8" hidden="1" x14ac:dyDescent="0.25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spans="2:29" s="33" customFormat="1" ht="13.8" hidden="1" x14ac:dyDescent="0.25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spans="2:29" s="33" customFormat="1" ht="13.8" hidden="1" x14ac:dyDescent="0.25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spans="2:29" s="33" customFormat="1" ht="13.8" hidden="1" x14ac:dyDescent="0.25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spans="2:29" s="33" customFormat="1" ht="13.8" hidden="1" x14ac:dyDescent="0.25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spans="2:29" s="33" customFormat="1" ht="13.8" hidden="1" x14ac:dyDescent="0.25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spans="2:29" s="33" customFormat="1" ht="13.8" hidden="1" x14ac:dyDescent="0.25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spans="2:29" s="33" customFormat="1" ht="13.8" hidden="1" x14ac:dyDescent="0.25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spans="2:29" s="33" customFormat="1" ht="13.8" hidden="1" x14ac:dyDescent="0.25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spans="2:29" s="33" customFormat="1" ht="13.8" hidden="1" x14ac:dyDescent="0.25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spans="2:29" s="33" customFormat="1" ht="13.8" hidden="1" x14ac:dyDescent="0.25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spans="2:29" s="33" customFormat="1" ht="13.8" hidden="1" x14ac:dyDescent="0.25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spans="2:29" s="33" customFormat="1" ht="13.8" hidden="1" x14ac:dyDescent="0.25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spans="2:29" s="33" customFormat="1" ht="13.8" hidden="1" x14ac:dyDescent="0.25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spans="2:29" s="33" customFormat="1" ht="13.8" hidden="1" x14ac:dyDescent="0.25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spans="2:29" s="33" customFormat="1" ht="13.8" hidden="1" x14ac:dyDescent="0.25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spans="2:29" s="33" customFormat="1" ht="13.8" hidden="1" x14ac:dyDescent="0.25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spans="2:29" s="33" customFormat="1" ht="13.8" hidden="1" x14ac:dyDescent="0.25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spans="2:29" s="33" customFormat="1" ht="13.8" hidden="1" x14ac:dyDescent="0.25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spans="2:29" s="33" customFormat="1" ht="13.8" hidden="1" x14ac:dyDescent="0.25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spans="2:29" s="33" customFormat="1" ht="13.8" hidden="1" x14ac:dyDescent="0.25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spans="2:29" s="33" customFormat="1" ht="13.8" hidden="1" x14ac:dyDescent="0.25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spans="2:29" s="33" customFormat="1" ht="13.8" hidden="1" x14ac:dyDescent="0.25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spans="2:29" s="33" customFormat="1" ht="13.8" hidden="1" x14ac:dyDescent="0.25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spans="2:29" s="33" customFormat="1" ht="13.8" hidden="1" x14ac:dyDescent="0.25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spans="2:29" s="33" customFormat="1" ht="13.8" hidden="1" x14ac:dyDescent="0.25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spans="2:29" s="33" customFormat="1" ht="13.8" hidden="1" x14ac:dyDescent="0.25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spans="2:29" s="33" customFormat="1" ht="13.8" hidden="1" x14ac:dyDescent="0.25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spans="2:29" s="33" customFormat="1" ht="13.8" hidden="1" x14ac:dyDescent="0.25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spans="2:29" s="33" customFormat="1" ht="13.8" hidden="1" x14ac:dyDescent="0.25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spans="2:29" s="33" customFormat="1" ht="13.8" hidden="1" x14ac:dyDescent="0.25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spans="2:29" s="33" customFormat="1" ht="13.8" hidden="1" x14ac:dyDescent="0.25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spans="2:29" s="33" customFormat="1" ht="13.8" hidden="1" x14ac:dyDescent="0.25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spans="2:29" s="33" customFormat="1" ht="13.8" hidden="1" x14ac:dyDescent="0.25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spans="2:29" s="33" customFormat="1" ht="13.8" hidden="1" x14ac:dyDescent="0.25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spans="2:29" s="33" customFormat="1" ht="13.8" hidden="1" x14ac:dyDescent="0.25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spans="2:29" s="33" customFormat="1" ht="13.8" hidden="1" x14ac:dyDescent="0.25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spans="2:29" s="33" customFormat="1" ht="13.8" hidden="1" x14ac:dyDescent="0.25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spans="2:29" s="33" customFormat="1" ht="13.8" hidden="1" x14ac:dyDescent="0.25"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spans="2:29" s="33" customFormat="1" ht="13.8" hidden="1" x14ac:dyDescent="0.25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spans="2:29" s="33" customFormat="1" ht="13.8" hidden="1" x14ac:dyDescent="0.25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spans="2:29" s="33" customFormat="1" ht="13.8" hidden="1" x14ac:dyDescent="0.25"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spans="2:29" s="33" customFormat="1" ht="13.8" hidden="1" x14ac:dyDescent="0.25"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spans="2:29" s="33" customFormat="1" ht="13.8" hidden="1" x14ac:dyDescent="0.25"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spans="2:29" s="33" customFormat="1" ht="13.8" hidden="1" x14ac:dyDescent="0.25"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spans="2:29" s="33" customFormat="1" ht="13.8" hidden="1" x14ac:dyDescent="0.25"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spans="2:29" s="33" customFormat="1" ht="13.8" hidden="1" x14ac:dyDescent="0.25"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spans="2:29" s="33" customFormat="1" ht="13.8" hidden="1" x14ac:dyDescent="0.25"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spans="2:29" s="33" customFormat="1" ht="13.8" hidden="1" x14ac:dyDescent="0.25"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spans="2:29" s="33" customFormat="1" ht="13.8" hidden="1" x14ac:dyDescent="0.25"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spans="2:29" s="33" customFormat="1" ht="13.8" hidden="1" x14ac:dyDescent="0.25"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spans="2:29" s="33" customFormat="1" ht="13.8" hidden="1" x14ac:dyDescent="0.25"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spans="2:29" s="33" customFormat="1" ht="13.8" hidden="1" x14ac:dyDescent="0.25"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spans="2:29" s="33" customFormat="1" ht="13.8" hidden="1" x14ac:dyDescent="0.25"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spans="2:29" s="33" customFormat="1" ht="13.8" hidden="1" x14ac:dyDescent="0.25"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spans="2:29" s="33" customFormat="1" ht="13.8" hidden="1" x14ac:dyDescent="0.25"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spans="2:29" s="33" customFormat="1" ht="13.8" hidden="1" x14ac:dyDescent="0.25"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spans="2:29" s="33" customFormat="1" ht="13.8" hidden="1" x14ac:dyDescent="0.25"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spans="2:29" s="33" customFormat="1" ht="13.8" hidden="1" x14ac:dyDescent="0.25"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spans="2:29" s="33" customFormat="1" ht="13.8" hidden="1" x14ac:dyDescent="0.25"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spans="2:29" s="33" customFormat="1" ht="13.8" hidden="1" x14ac:dyDescent="0.25"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spans="2:29" s="33" customFormat="1" ht="13.8" hidden="1" x14ac:dyDescent="0.25"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spans="2:29" s="33" customFormat="1" ht="13.8" hidden="1" x14ac:dyDescent="0.25"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spans="2:29" s="33" customFormat="1" ht="13.8" hidden="1" x14ac:dyDescent="0.25"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spans="2:29" s="33" customFormat="1" ht="13.8" hidden="1" x14ac:dyDescent="0.25"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spans="2:29" s="33" customFormat="1" ht="13.8" hidden="1" x14ac:dyDescent="0.25"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spans="2:29" s="33" customFormat="1" ht="13.8" hidden="1" x14ac:dyDescent="0.25"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spans="2:29" s="33" customFormat="1" ht="13.8" hidden="1" x14ac:dyDescent="0.25"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spans="2:29" s="33" customFormat="1" ht="13.8" hidden="1" x14ac:dyDescent="0.25"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spans="2:29" s="33" customFormat="1" ht="13.8" hidden="1" x14ac:dyDescent="0.25"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spans="2:29" s="33" customFormat="1" ht="13.8" hidden="1" x14ac:dyDescent="0.25"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spans="2:29" s="33" customFormat="1" ht="13.8" hidden="1" x14ac:dyDescent="0.25"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spans="2:29" s="33" customFormat="1" ht="13.8" hidden="1" x14ac:dyDescent="0.25"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spans="2:29" s="33" customFormat="1" ht="13.8" hidden="1" x14ac:dyDescent="0.25"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spans="2:29" s="33" customFormat="1" ht="13.8" hidden="1" x14ac:dyDescent="0.25"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spans="2:29" s="33" customFormat="1" ht="13.8" hidden="1" x14ac:dyDescent="0.25"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spans="2:29" s="33" customFormat="1" ht="13.8" hidden="1" x14ac:dyDescent="0.25"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spans="2:29" s="33" customFormat="1" ht="13.8" hidden="1" x14ac:dyDescent="0.25"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spans="2:29" s="33" customFormat="1" ht="13.8" hidden="1" x14ac:dyDescent="0.25"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spans="2:29" s="33" customFormat="1" ht="13.8" hidden="1" x14ac:dyDescent="0.25"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spans="2:29" s="33" customFormat="1" ht="13.8" hidden="1" x14ac:dyDescent="0.25"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spans="2:29" s="33" customFormat="1" ht="13.8" hidden="1" x14ac:dyDescent="0.25"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spans="2:29" s="33" customFormat="1" ht="13.8" hidden="1" x14ac:dyDescent="0.25"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spans="2:29" s="33" customFormat="1" ht="13.8" hidden="1" x14ac:dyDescent="0.25"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spans="2:29" s="33" customFormat="1" ht="13.8" hidden="1" x14ac:dyDescent="0.25"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spans="2:29" s="33" customFormat="1" ht="13.8" hidden="1" x14ac:dyDescent="0.25"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spans="2:29" s="33" customFormat="1" ht="13.8" hidden="1" x14ac:dyDescent="0.25"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spans="2:29" s="33" customFormat="1" ht="13.8" hidden="1" x14ac:dyDescent="0.25"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spans="2:29" s="33" customFormat="1" ht="13.8" hidden="1" x14ac:dyDescent="0.25"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spans="2:29" s="33" customFormat="1" ht="13.8" hidden="1" x14ac:dyDescent="0.25"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spans="2:29" s="33" customFormat="1" ht="13.8" hidden="1" x14ac:dyDescent="0.25"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spans="2:29" s="33" customFormat="1" ht="13.8" hidden="1" x14ac:dyDescent="0.25"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spans="2:29" s="33" customFormat="1" ht="13.8" hidden="1" x14ac:dyDescent="0.25"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spans="2:29" s="33" customFormat="1" ht="13.8" hidden="1" x14ac:dyDescent="0.25"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spans="2:29" s="33" customFormat="1" ht="13.8" hidden="1" x14ac:dyDescent="0.25"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spans="2:29" s="33" customFormat="1" ht="13.8" hidden="1" x14ac:dyDescent="0.25"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spans="2:29" s="33" customFormat="1" ht="13.8" hidden="1" x14ac:dyDescent="0.25"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spans="2:29" s="33" customFormat="1" ht="13.8" hidden="1" x14ac:dyDescent="0.25"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spans="2:29" s="33" customFormat="1" ht="13.8" hidden="1" x14ac:dyDescent="0.25"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spans="2:29" s="33" customFormat="1" ht="13.8" hidden="1" x14ac:dyDescent="0.25"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spans="2:29" s="33" customFormat="1" ht="13.8" hidden="1" x14ac:dyDescent="0.25"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spans="2:29" s="33" customFormat="1" ht="13.8" hidden="1" x14ac:dyDescent="0.25"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spans="2:29" s="33" customFormat="1" ht="13.8" hidden="1" x14ac:dyDescent="0.25"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spans="2:29" s="33" customFormat="1" ht="13.8" hidden="1" x14ac:dyDescent="0.25"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spans="2:29" s="33" customFormat="1" ht="13.8" hidden="1" x14ac:dyDescent="0.25"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spans="2:29" s="33" customFormat="1" ht="13.8" hidden="1" x14ac:dyDescent="0.25"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spans="2:29" s="33" customFormat="1" ht="13.8" hidden="1" x14ac:dyDescent="0.25"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spans="2:29" s="33" customFormat="1" ht="13.8" hidden="1" x14ac:dyDescent="0.25"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spans="2:29" s="33" customFormat="1" ht="13.8" hidden="1" x14ac:dyDescent="0.25"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spans="2:29" s="33" customFormat="1" ht="13.8" hidden="1" x14ac:dyDescent="0.25"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spans="2:29" s="33" customFormat="1" ht="13.8" hidden="1" x14ac:dyDescent="0.25"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spans="2:29" s="33" customFormat="1" ht="13.8" hidden="1" x14ac:dyDescent="0.25"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spans="2:29" s="33" customFormat="1" ht="13.8" hidden="1" x14ac:dyDescent="0.25"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spans="2:29" s="33" customFormat="1" ht="13.8" hidden="1" x14ac:dyDescent="0.25"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spans="2:29" s="33" customFormat="1" ht="13.8" hidden="1" x14ac:dyDescent="0.25"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spans="2:29" s="33" customFormat="1" ht="13.8" hidden="1" x14ac:dyDescent="0.25"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spans="2:29" s="33" customFormat="1" ht="13.8" hidden="1" x14ac:dyDescent="0.25"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spans="2:29" s="33" customFormat="1" ht="13.8" hidden="1" x14ac:dyDescent="0.25"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spans="2:29" s="33" customFormat="1" ht="13.8" hidden="1" x14ac:dyDescent="0.25"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spans="2:29" s="33" customFormat="1" ht="13.8" hidden="1" x14ac:dyDescent="0.25"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spans="2:29" s="33" customFormat="1" ht="13.8" hidden="1" x14ac:dyDescent="0.25"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spans="2:29" s="33" customFormat="1" ht="13.8" hidden="1" x14ac:dyDescent="0.25"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spans="2:29" s="33" customFormat="1" ht="13.8" hidden="1" x14ac:dyDescent="0.25"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spans="2:29" s="33" customFormat="1" ht="13.8" hidden="1" x14ac:dyDescent="0.25"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spans="2:29" s="33" customFormat="1" ht="13.8" hidden="1" x14ac:dyDescent="0.25"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spans="2:29" s="33" customFormat="1" ht="13.8" hidden="1" x14ac:dyDescent="0.25"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spans="2:29" s="33" customFormat="1" ht="13.8" hidden="1" x14ac:dyDescent="0.25"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spans="2:29" s="33" customFormat="1" ht="13.8" hidden="1" x14ac:dyDescent="0.25"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spans="2:29" s="33" customFormat="1" ht="13.8" hidden="1" x14ac:dyDescent="0.25"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spans="2:29" s="33" customFormat="1" ht="13.8" hidden="1" x14ac:dyDescent="0.25"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spans="2:29" s="33" customFormat="1" ht="13.8" hidden="1" x14ac:dyDescent="0.25"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spans="2:29" s="33" customFormat="1" ht="13.8" hidden="1" x14ac:dyDescent="0.25"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spans="2:29" s="33" customFormat="1" ht="13.8" hidden="1" x14ac:dyDescent="0.25"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spans="2:29" s="33" customFormat="1" ht="13.8" hidden="1" x14ac:dyDescent="0.25"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spans="2:29" s="33" customFormat="1" ht="13.8" hidden="1" x14ac:dyDescent="0.25"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spans="2:29" s="33" customFormat="1" ht="13.8" hidden="1" x14ac:dyDescent="0.25"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spans="2:29" s="33" customFormat="1" ht="13.8" hidden="1" x14ac:dyDescent="0.25"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spans="2:29" s="33" customFormat="1" ht="13.8" hidden="1" x14ac:dyDescent="0.25"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spans="2:29" s="33" customFormat="1" ht="13.8" hidden="1" x14ac:dyDescent="0.25"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spans="2:29" s="33" customFormat="1" ht="13.8" hidden="1" x14ac:dyDescent="0.25"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spans="2:29" s="33" customFormat="1" ht="13.8" hidden="1" x14ac:dyDescent="0.25"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spans="2:29" s="33" customFormat="1" ht="13.8" hidden="1" x14ac:dyDescent="0.25"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spans="2:29" s="33" customFormat="1" ht="13.8" hidden="1" x14ac:dyDescent="0.25"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spans="2:29" s="33" customFormat="1" ht="13.8" hidden="1" x14ac:dyDescent="0.25"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spans="2:29" s="33" customFormat="1" ht="13.8" hidden="1" x14ac:dyDescent="0.25"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spans="2:29" s="33" customFormat="1" ht="13.8" hidden="1" x14ac:dyDescent="0.25"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spans="2:29" s="33" customFormat="1" ht="13.8" hidden="1" x14ac:dyDescent="0.25"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spans="2:29" s="33" customFormat="1" ht="13.8" hidden="1" x14ac:dyDescent="0.25"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spans="2:29" s="33" customFormat="1" ht="13.8" hidden="1" x14ac:dyDescent="0.25"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spans="2:29" s="33" customFormat="1" ht="13.8" hidden="1" x14ac:dyDescent="0.25"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spans="2:29" s="33" customFormat="1" ht="13.8" hidden="1" x14ac:dyDescent="0.25"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spans="2:29" s="33" customFormat="1" ht="13.8" hidden="1" x14ac:dyDescent="0.25"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spans="2:29" s="33" customFormat="1" ht="13.8" hidden="1" x14ac:dyDescent="0.25"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spans="2:29" s="33" customFormat="1" ht="13.8" hidden="1" x14ac:dyDescent="0.25"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spans="2:29" s="33" customFormat="1" ht="13.8" hidden="1" x14ac:dyDescent="0.25"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spans="2:29" s="33" customFormat="1" ht="13.8" hidden="1" x14ac:dyDescent="0.25"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spans="2:29" s="33" customFormat="1" ht="13.8" hidden="1" x14ac:dyDescent="0.25"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spans="2:29" s="33" customFormat="1" ht="13.8" hidden="1" x14ac:dyDescent="0.25"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spans="2:29" s="33" customFormat="1" ht="13.8" hidden="1" x14ac:dyDescent="0.25"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spans="2:29" s="33" customFormat="1" ht="13.8" hidden="1" x14ac:dyDescent="0.25"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spans="2:29" s="33" customFormat="1" ht="13.8" hidden="1" x14ac:dyDescent="0.25"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spans="2:29" s="33" customFormat="1" ht="13.8" hidden="1" x14ac:dyDescent="0.25"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spans="2:29" s="33" customFormat="1" ht="13.8" hidden="1" x14ac:dyDescent="0.25"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spans="2:29" s="33" customFormat="1" ht="13.8" hidden="1" x14ac:dyDescent="0.25"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spans="2:29" s="33" customFormat="1" ht="13.8" hidden="1" x14ac:dyDescent="0.25"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spans="2:29" s="33" customFormat="1" ht="13.8" hidden="1" x14ac:dyDescent="0.25"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spans="2:29" s="33" customFormat="1" ht="13.8" hidden="1" x14ac:dyDescent="0.25"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spans="2:29" s="33" customFormat="1" ht="13.8" hidden="1" x14ac:dyDescent="0.25"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spans="2:29" s="33" customFormat="1" ht="13.8" hidden="1" x14ac:dyDescent="0.25"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spans="2:29" s="33" customFormat="1" ht="13.8" hidden="1" x14ac:dyDescent="0.25"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spans="2:29" s="33" customFormat="1" ht="13.8" hidden="1" x14ac:dyDescent="0.25"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spans="2:29" s="33" customFormat="1" ht="13.8" hidden="1" x14ac:dyDescent="0.25"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spans="2:29" s="33" customFormat="1" ht="13.8" hidden="1" x14ac:dyDescent="0.25"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spans="2:29" s="33" customFormat="1" ht="13.8" hidden="1" x14ac:dyDescent="0.25"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spans="2:29" s="33" customFormat="1" ht="13.8" hidden="1" x14ac:dyDescent="0.25"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spans="2:29" s="33" customFormat="1" ht="13.8" hidden="1" x14ac:dyDescent="0.25"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spans="2:29" s="33" customFormat="1" ht="13.8" hidden="1" x14ac:dyDescent="0.25"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spans="2:29" s="33" customFormat="1" ht="13.8" hidden="1" x14ac:dyDescent="0.25"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spans="2:29" s="33" customFormat="1" ht="13.8" hidden="1" x14ac:dyDescent="0.25"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spans="2:29" s="33" customFormat="1" ht="13.8" hidden="1" x14ac:dyDescent="0.25"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spans="2:29" s="33" customFormat="1" ht="13.8" hidden="1" x14ac:dyDescent="0.25"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spans="2:29" s="33" customFormat="1" ht="13.8" hidden="1" x14ac:dyDescent="0.25"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spans="2:29" s="33" customFormat="1" ht="13.8" hidden="1" x14ac:dyDescent="0.25"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spans="2:29" s="33" customFormat="1" ht="13.8" hidden="1" x14ac:dyDescent="0.25"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spans="2:29" s="33" customFormat="1" ht="13.8" hidden="1" x14ac:dyDescent="0.25"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spans="2:29" s="33" customFormat="1" ht="13.8" hidden="1" x14ac:dyDescent="0.25"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spans="2:29" s="33" customFormat="1" ht="13.8" hidden="1" x14ac:dyDescent="0.25"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spans="2:29" s="33" customFormat="1" ht="13.8" hidden="1" x14ac:dyDescent="0.25"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spans="2:29" s="33" customFormat="1" ht="13.8" hidden="1" x14ac:dyDescent="0.25"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spans="2:29" s="33" customFormat="1" ht="13.8" hidden="1" x14ac:dyDescent="0.25"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spans="2:29" s="33" customFormat="1" ht="13.8" hidden="1" x14ac:dyDescent="0.25"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spans="2:29" s="33" customFormat="1" ht="13.8" hidden="1" x14ac:dyDescent="0.25"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spans="2:29" s="33" customFormat="1" ht="13.8" hidden="1" x14ac:dyDescent="0.25"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spans="2:29" s="33" customFormat="1" ht="13.8" hidden="1" x14ac:dyDescent="0.25"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spans="2:29" s="33" customFormat="1" ht="13.8" hidden="1" x14ac:dyDescent="0.25"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spans="2:29" s="33" customFormat="1" ht="13.8" hidden="1" x14ac:dyDescent="0.25"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spans="2:29" s="33" customFormat="1" ht="13.8" hidden="1" x14ac:dyDescent="0.25"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spans="2:29" s="33" customFormat="1" ht="13.8" hidden="1" x14ac:dyDescent="0.25"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spans="2:29" s="33" customFormat="1" ht="13.8" hidden="1" x14ac:dyDescent="0.25"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spans="2:29" s="33" customFormat="1" ht="13.8" hidden="1" x14ac:dyDescent="0.25"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spans="2:29" s="33" customFormat="1" ht="13.8" hidden="1" x14ac:dyDescent="0.25"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spans="2:29" s="33" customFormat="1" ht="13.8" hidden="1" x14ac:dyDescent="0.25"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spans="2:29" s="33" customFormat="1" ht="13.8" hidden="1" x14ac:dyDescent="0.25"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spans="2:29" s="33" customFormat="1" ht="13.8" hidden="1" x14ac:dyDescent="0.25"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spans="2:29" s="33" customFormat="1" ht="13.8" hidden="1" x14ac:dyDescent="0.25"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spans="2:29" s="33" customFormat="1" ht="13.8" hidden="1" x14ac:dyDescent="0.25"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spans="2:29" s="33" customFormat="1" ht="13.8" hidden="1" x14ac:dyDescent="0.25"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spans="2:29" s="33" customFormat="1" ht="13.8" hidden="1" x14ac:dyDescent="0.25"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spans="2:29" s="33" customFormat="1" ht="13.8" hidden="1" x14ac:dyDescent="0.25"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spans="2:29" s="33" customFormat="1" ht="13.8" hidden="1" x14ac:dyDescent="0.25"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spans="2:29" s="33" customFormat="1" ht="13.8" hidden="1" x14ac:dyDescent="0.25"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spans="2:29" s="33" customFormat="1" ht="13.8" hidden="1" x14ac:dyDescent="0.25"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spans="2:29" s="33" customFormat="1" ht="13.8" hidden="1" x14ac:dyDescent="0.25"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spans="2:29" s="33" customFormat="1" ht="13.8" hidden="1" x14ac:dyDescent="0.25"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spans="2:29" s="33" customFormat="1" ht="13.8" hidden="1" x14ac:dyDescent="0.25"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spans="2:29" s="33" customFormat="1" ht="13.8" hidden="1" x14ac:dyDescent="0.25"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spans="2:29" s="33" customFormat="1" ht="13.8" hidden="1" x14ac:dyDescent="0.25"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spans="2:29" s="33" customFormat="1" ht="13.8" hidden="1" x14ac:dyDescent="0.25"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 spans="2:29" s="33" customFormat="1" ht="13.8" hidden="1" x14ac:dyDescent="0.25"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spans="2:29" s="33" customFormat="1" ht="13.8" hidden="1" x14ac:dyDescent="0.25"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spans="2:29" s="33" customFormat="1" ht="13.8" hidden="1" x14ac:dyDescent="0.25"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spans="2:29" s="33" customFormat="1" ht="13.8" hidden="1" x14ac:dyDescent="0.25"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spans="2:29" s="33" customFormat="1" ht="13.8" hidden="1" x14ac:dyDescent="0.25"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spans="2:29" s="33" customFormat="1" ht="13.8" hidden="1" x14ac:dyDescent="0.25"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spans="2:29" s="33" customFormat="1" ht="13.8" hidden="1" x14ac:dyDescent="0.25"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spans="2:29" s="33" customFormat="1" ht="13.8" hidden="1" x14ac:dyDescent="0.25"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spans="2:29" s="33" customFormat="1" ht="13.8" hidden="1" x14ac:dyDescent="0.25"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spans="2:29" s="33" customFormat="1" ht="13.8" hidden="1" x14ac:dyDescent="0.25"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spans="2:29" s="33" customFormat="1" ht="13.8" hidden="1" x14ac:dyDescent="0.25"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spans="2:29" s="33" customFormat="1" ht="13.8" hidden="1" x14ac:dyDescent="0.25"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spans="2:29" s="33" customFormat="1" ht="13.8" hidden="1" x14ac:dyDescent="0.25"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spans="2:29" s="33" customFormat="1" ht="13.8" hidden="1" x14ac:dyDescent="0.25"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spans="2:29" s="33" customFormat="1" ht="13.8" hidden="1" x14ac:dyDescent="0.25"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spans="2:29" s="33" customFormat="1" ht="13.8" hidden="1" x14ac:dyDescent="0.25"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spans="2:29" s="33" customFormat="1" ht="13.8" hidden="1" x14ac:dyDescent="0.25"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spans="2:29" s="33" customFormat="1" ht="13.8" hidden="1" x14ac:dyDescent="0.25"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spans="2:29" s="33" customFormat="1" ht="13.8" hidden="1" x14ac:dyDescent="0.25"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spans="2:29" s="33" customFormat="1" ht="13.8" hidden="1" x14ac:dyDescent="0.25"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spans="2:29" s="33" customFormat="1" ht="13.8" hidden="1" x14ac:dyDescent="0.25"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spans="2:29" s="33" customFormat="1" ht="13.8" hidden="1" x14ac:dyDescent="0.25"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spans="2:29" s="33" customFormat="1" ht="13.8" hidden="1" x14ac:dyDescent="0.25"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spans="2:29" s="33" customFormat="1" ht="13.8" hidden="1" x14ac:dyDescent="0.25"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spans="2:29" s="33" customFormat="1" ht="13.8" hidden="1" x14ac:dyDescent="0.25"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spans="2:29" s="33" customFormat="1" ht="13.8" hidden="1" x14ac:dyDescent="0.25"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spans="2:29" s="33" customFormat="1" ht="13.8" hidden="1" x14ac:dyDescent="0.25"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spans="2:29" s="33" customFormat="1" ht="13.8" hidden="1" x14ac:dyDescent="0.25"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spans="2:29" s="33" customFormat="1" ht="13.8" hidden="1" x14ac:dyDescent="0.25"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spans="2:29" s="33" customFormat="1" ht="13.8" hidden="1" x14ac:dyDescent="0.25"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spans="2:29" s="33" customFormat="1" ht="13.8" hidden="1" x14ac:dyDescent="0.25"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spans="2:29" s="33" customFormat="1" ht="13.8" hidden="1" x14ac:dyDescent="0.25"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spans="2:29" s="33" customFormat="1" ht="13.8" hidden="1" x14ac:dyDescent="0.25"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spans="2:29" s="33" customFormat="1" ht="13.8" hidden="1" x14ac:dyDescent="0.25"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spans="2:29" s="33" customFormat="1" ht="13.8" hidden="1" x14ac:dyDescent="0.25"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spans="2:29" s="33" customFormat="1" ht="13.8" hidden="1" x14ac:dyDescent="0.25"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spans="2:29" s="33" customFormat="1" ht="13.8" hidden="1" x14ac:dyDescent="0.25"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spans="2:29" s="33" customFormat="1" ht="13.8" hidden="1" x14ac:dyDescent="0.25"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spans="2:29" s="33" customFormat="1" ht="13.8" hidden="1" x14ac:dyDescent="0.25"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spans="2:29" s="33" customFormat="1" ht="13.8" hidden="1" x14ac:dyDescent="0.25"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spans="2:29" s="33" customFormat="1" ht="13.8" hidden="1" x14ac:dyDescent="0.25"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spans="2:29" s="33" customFormat="1" ht="13.8" hidden="1" x14ac:dyDescent="0.25"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spans="2:29" s="33" customFormat="1" ht="13.8" hidden="1" x14ac:dyDescent="0.25"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spans="2:29" s="33" customFormat="1" ht="13.8" hidden="1" x14ac:dyDescent="0.25"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spans="2:29" s="33" customFormat="1" ht="13.8" hidden="1" x14ac:dyDescent="0.25"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spans="2:29" s="33" customFormat="1" ht="13.8" hidden="1" x14ac:dyDescent="0.25"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spans="2:29" s="33" customFormat="1" ht="13.8" hidden="1" x14ac:dyDescent="0.25"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spans="2:29" s="33" customFormat="1" ht="13.8" hidden="1" x14ac:dyDescent="0.25"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spans="2:29" s="33" customFormat="1" ht="13.8" hidden="1" x14ac:dyDescent="0.25"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spans="2:29" s="33" customFormat="1" ht="13.8" hidden="1" x14ac:dyDescent="0.25"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spans="2:29" s="33" customFormat="1" ht="13.8" hidden="1" x14ac:dyDescent="0.25"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spans="2:29" s="33" customFormat="1" ht="13.8" hidden="1" x14ac:dyDescent="0.25"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spans="2:29" s="33" customFormat="1" ht="13.8" hidden="1" x14ac:dyDescent="0.25"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spans="2:29" s="33" customFormat="1" ht="13.8" hidden="1" x14ac:dyDescent="0.25"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spans="2:29" s="33" customFormat="1" ht="13.8" hidden="1" x14ac:dyDescent="0.25"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spans="2:29" s="33" customFormat="1" ht="13.8" hidden="1" x14ac:dyDescent="0.25"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spans="2:29" s="33" customFormat="1" ht="13.8" hidden="1" x14ac:dyDescent="0.25"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spans="2:29" s="33" customFormat="1" ht="13.8" hidden="1" x14ac:dyDescent="0.25"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spans="2:29" s="33" customFormat="1" ht="13.8" hidden="1" x14ac:dyDescent="0.25"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spans="2:29" s="33" customFormat="1" ht="13.8" hidden="1" x14ac:dyDescent="0.25"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spans="2:29" s="33" customFormat="1" ht="13.8" hidden="1" x14ac:dyDescent="0.25"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spans="2:29" s="33" customFormat="1" ht="13.8" hidden="1" x14ac:dyDescent="0.25"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spans="2:29" s="33" customFormat="1" ht="13.8" hidden="1" x14ac:dyDescent="0.25"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spans="2:29" s="33" customFormat="1" ht="13.8" hidden="1" x14ac:dyDescent="0.25"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spans="2:29" s="33" customFormat="1" ht="13.8" hidden="1" x14ac:dyDescent="0.25"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spans="2:29" s="33" customFormat="1" ht="13.8" hidden="1" x14ac:dyDescent="0.25"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spans="2:29" s="33" customFormat="1" ht="13.8" hidden="1" x14ac:dyDescent="0.25"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spans="2:29" s="33" customFormat="1" ht="13.8" hidden="1" x14ac:dyDescent="0.25"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spans="2:29" s="33" customFormat="1" ht="13.8" hidden="1" x14ac:dyDescent="0.25"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spans="2:29" s="33" customFormat="1" ht="13.8" hidden="1" x14ac:dyDescent="0.25"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spans="2:29" s="33" customFormat="1" ht="13.8" hidden="1" x14ac:dyDescent="0.25"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spans="2:29" s="33" customFormat="1" ht="13.8" hidden="1" x14ac:dyDescent="0.25"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spans="2:29" s="33" customFormat="1" ht="13.8" hidden="1" x14ac:dyDescent="0.25"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spans="2:29" s="33" customFormat="1" ht="13.8" hidden="1" x14ac:dyDescent="0.25"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spans="2:29" s="33" customFormat="1" ht="13.8" hidden="1" x14ac:dyDescent="0.25"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spans="2:29" s="33" customFormat="1" ht="13.8" hidden="1" x14ac:dyDescent="0.25"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spans="2:29" s="33" customFormat="1" ht="13.8" hidden="1" x14ac:dyDescent="0.25"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spans="2:29" s="33" customFormat="1" ht="13.8" hidden="1" x14ac:dyDescent="0.25"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spans="2:29" s="33" customFormat="1" ht="13.8" hidden="1" x14ac:dyDescent="0.25"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spans="2:29" s="33" customFormat="1" ht="13.8" hidden="1" x14ac:dyDescent="0.25"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spans="2:29" s="33" customFormat="1" ht="13.8" hidden="1" x14ac:dyDescent="0.25"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spans="2:29" s="33" customFormat="1" ht="13.8" hidden="1" x14ac:dyDescent="0.25"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spans="2:29" s="33" customFormat="1" ht="13.8" hidden="1" x14ac:dyDescent="0.25"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spans="2:29" s="33" customFormat="1" ht="13.8" hidden="1" x14ac:dyDescent="0.25"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spans="2:29" s="33" customFormat="1" ht="13.8" hidden="1" x14ac:dyDescent="0.25"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spans="2:29" s="33" customFormat="1" ht="13.8" hidden="1" x14ac:dyDescent="0.25"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spans="2:29" s="33" customFormat="1" ht="13.8" hidden="1" x14ac:dyDescent="0.25"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spans="2:29" s="33" customFormat="1" ht="13.8" hidden="1" x14ac:dyDescent="0.25"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spans="2:29" s="33" customFormat="1" ht="13.8" hidden="1" x14ac:dyDescent="0.25"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spans="2:29" s="33" customFormat="1" ht="13.8" hidden="1" x14ac:dyDescent="0.25"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spans="2:29" s="33" customFormat="1" ht="13.8" hidden="1" x14ac:dyDescent="0.25"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spans="2:29" s="33" customFormat="1" ht="13.8" hidden="1" x14ac:dyDescent="0.25"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spans="2:29" s="33" customFormat="1" ht="13.8" hidden="1" x14ac:dyDescent="0.25"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spans="2:29" s="33" customFormat="1" ht="13.8" hidden="1" x14ac:dyDescent="0.25"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spans="2:29" s="33" customFormat="1" ht="13.8" hidden="1" x14ac:dyDescent="0.25"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spans="2:29" s="33" customFormat="1" ht="13.8" hidden="1" x14ac:dyDescent="0.25"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spans="2:29" s="33" customFormat="1" ht="13.8" hidden="1" x14ac:dyDescent="0.25"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spans="2:29" s="33" customFormat="1" ht="13.8" hidden="1" x14ac:dyDescent="0.25"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spans="2:29" s="33" customFormat="1" ht="13.8" hidden="1" x14ac:dyDescent="0.25"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spans="2:29" s="33" customFormat="1" ht="13.8" hidden="1" x14ac:dyDescent="0.25"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spans="2:29" s="33" customFormat="1" ht="13.8" hidden="1" x14ac:dyDescent="0.25"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spans="2:29" s="33" customFormat="1" ht="13.8" hidden="1" x14ac:dyDescent="0.25"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spans="2:29" s="33" customFormat="1" ht="13.8" hidden="1" x14ac:dyDescent="0.25"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spans="2:29" s="33" customFormat="1" ht="13.8" hidden="1" x14ac:dyDescent="0.25"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spans="2:29" s="33" customFormat="1" ht="13.8" hidden="1" x14ac:dyDescent="0.25"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spans="2:29" s="33" customFormat="1" ht="13.8" hidden="1" x14ac:dyDescent="0.25"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spans="2:29" s="33" customFormat="1" ht="13.8" hidden="1" x14ac:dyDescent="0.25"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spans="2:29" s="33" customFormat="1" ht="13.8" hidden="1" x14ac:dyDescent="0.25"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spans="2:29" s="33" customFormat="1" ht="13.8" hidden="1" x14ac:dyDescent="0.25"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spans="2:29" s="33" customFormat="1" ht="13.8" hidden="1" x14ac:dyDescent="0.25"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spans="2:29" s="33" customFormat="1" ht="13.8" hidden="1" x14ac:dyDescent="0.25"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spans="2:29" s="33" customFormat="1" ht="13.8" hidden="1" x14ac:dyDescent="0.25"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spans="2:29" s="33" customFormat="1" ht="13.8" hidden="1" x14ac:dyDescent="0.25"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spans="2:29" s="33" customFormat="1" ht="13.8" hidden="1" x14ac:dyDescent="0.25"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spans="2:29" s="33" customFormat="1" ht="13.8" hidden="1" x14ac:dyDescent="0.25"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spans="2:29" s="33" customFormat="1" ht="13.8" hidden="1" x14ac:dyDescent="0.25"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spans="2:29" s="33" customFormat="1" ht="13.8" hidden="1" x14ac:dyDescent="0.25"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spans="2:29" s="33" customFormat="1" ht="13.8" hidden="1" x14ac:dyDescent="0.25"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spans="2:29" s="33" customFormat="1" ht="13.8" hidden="1" x14ac:dyDescent="0.25"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spans="2:29" s="33" customFormat="1" ht="13.8" hidden="1" x14ac:dyDescent="0.25"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spans="2:29" s="33" customFormat="1" ht="13.8" hidden="1" x14ac:dyDescent="0.25"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spans="2:29" s="33" customFormat="1" ht="13.8" hidden="1" x14ac:dyDescent="0.25"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spans="2:29" s="33" customFormat="1" ht="13.8" hidden="1" x14ac:dyDescent="0.25"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spans="2:29" s="33" customFormat="1" ht="13.8" hidden="1" x14ac:dyDescent="0.25"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spans="2:29" s="33" customFormat="1" ht="13.8" hidden="1" x14ac:dyDescent="0.25"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spans="2:29" s="33" customFormat="1" ht="13.8" hidden="1" x14ac:dyDescent="0.25"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spans="2:29" s="33" customFormat="1" ht="13.8" hidden="1" x14ac:dyDescent="0.25"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spans="2:29" s="33" customFormat="1" ht="13.8" hidden="1" x14ac:dyDescent="0.25"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spans="2:29" s="33" customFormat="1" ht="13.8" hidden="1" x14ac:dyDescent="0.25"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spans="2:29" s="33" customFormat="1" ht="13.8" hidden="1" x14ac:dyDescent="0.25"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spans="2:29" s="33" customFormat="1" ht="13.8" hidden="1" x14ac:dyDescent="0.25"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spans="2:29" s="33" customFormat="1" ht="13.8" hidden="1" x14ac:dyDescent="0.25"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spans="2:29" s="33" customFormat="1" ht="13.8" hidden="1" x14ac:dyDescent="0.25"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spans="2:29" s="33" customFormat="1" ht="13.8" hidden="1" x14ac:dyDescent="0.25"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spans="2:29" s="33" customFormat="1" ht="13.8" hidden="1" x14ac:dyDescent="0.25"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spans="2:29" s="33" customFormat="1" ht="13.8" hidden="1" x14ac:dyDescent="0.25"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spans="2:29" s="33" customFormat="1" ht="13.8" hidden="1" x14ac:dyDescent="0.25"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spans="2:29" s="33" customFormat="1" ht="13.8" hidden="1" x14ac:dyDescent="0.25"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spans="2:29" s="33" customFormat="1" ht="13.8" hidden="1" x14ac:dyDescent="0.25"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spans="2:29" s="33" customFormat="1" ht="13.8" hidden="1" x14ac:dyDescent="0.25"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spans="2:29" s="33" customFormat="1" ht="13.8" hidden="1" x14ac:dyDescent="0.25"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spans="2:29" s="33" customFormat="1" ht="13.8" hidden="1" x14ac:dyDescent="0.25"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spans="2:29" s="33" customFormat="1" ht="13.8" hidden="1" x14ac:dyDescent="0.25"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spans="2:29" s="33" customFormat="1" ht="13.8" hidden="1" x14ac:dyDescent="0.25"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spans="2:29" s="33" customFormat="1" ht="13.8" hidden="1" x14ac:dyDescent="0.25"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spans="2:29" s="33" customFormat="1" ht="13.8" hidden="1" x14ac:dyDescent="0.25"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spans="2:29" s="33" customFormat="1" ht="13.8" hidden="1" x14ac:dyDescent="0.25"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spans="2:29" s="33" customFormat="1" ht="13.8" hidden="1" x14ac:dyDescent="0.25"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spans="2:29" s="33" customFormat="1" ht="13.8" hidden="1" x14ac:dyDescent="0.25"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spans="2:29" s="33" customFormat="1" ht="13.8" hidden="1" x14ac:dyDescent="0.25"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spans="2:29" s="33" customFormat="1" ht="13.8" hidden="1" x14ac:dyDescent="0.25"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spans="2:29" s="33" customFormat="1" ht="13.8" hidden="1" x14ac:dyDescent="0.25"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spans="2:29" s="33" customFormat="1" ht="13.8" hidden="1" x14ac:dyDescent="0.25"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spans="2:29" s="33" customFormat="1" ht="13.8" hidden="1" x14ac:dyDescent="0.25"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spans="2:29" s="33" customFormat="1" ht="13.8" hidden="1" x14ac:dyDescent="0.25"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spans="2:29" s="33" customFormat="1" ht="13.8" hidden="1" x14ac:dyDescent="0.25"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spans="2:29" s="33" customFormat="1" ht="13.8" hidden="1" x14ac:dyDescent="0.25"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spans="2:29" s="33" customFormat="1" ht="13.8" hidden="1" x14ac:dyDescent="0.25"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spans="2:29" s="33" customFormat="1" ht="13.8" hidden="1" x14ac:dyDescent="0.25"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spans="2:29" s="33" customFormat="1" ht="13.8" hidden="1" x14ac:dyDescent="0.25"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spans="2:29" s="33" customFormat="1" ht="13.8" hidden="1" x14ac:dyDescent="0.25"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spans="2:29" s="33" customFormat="1" ht="13.8" hidden="1" x14ac:dyDescent="0.25"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spans="2:29" s="33" customFormat="1" ht="13.8" hidden="1" x14ac:dyDescent="0.25"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spans="2:29" s="33" customFormat="1" ht="13.8" hidden="1" x14ac:dyDescent="0.25"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spans="2:29" s="33" customFormat="1" ht="13.8" hidden="1" x14ac:dyDescent="0.25"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spans="2:29" s="33" customFormat="1" ht="13.8" hidden="1" x14ac:dyDescent="0.25"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spans="2:29" s="33" customFormat="1" ht="13.8" hidden="1" x14ac:dyDescent="0.25"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spans="2:29" s="33" customFormat="1" ht="13.8" hidden="1" x14ac:dyDescent="0.25"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spans="2:29" s="33" customFormat="1" ht="13.8" hidden="1" x14ac:dyDescent="0.25"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spans="2:29" s="33" customFormat="1" ht="13.8" hidden="1" x14ac:dyDescent="0.25"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spans="2:29" s="33" customFormat="1" ht="13.8" hidden="1" x14ac:dyDescent="0.25"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spans="2:29" s="33" customFormat="1" ht="13.8" hidden="1" x14ac:dyDescent="0.25"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spans="2:29" s="33" customFormat="1" ht="13.8" hidden="1" x14ac:dyDescent="0.25"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spans="2:29" s="33" customFormat="1" ht="13.8" hidden="1" x14ac:dyDescent="0.25"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spans="2:29" s="33" customFormat="1" ht="13.8" hidden="1" x14ac:dyDescent="0.25"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spans="2:29" s="33" customFormat="1" ht="13.8" hidden="1" x14ac:dyDescent="0.25"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spans="2:29" s="33" customFormat="1" ht="13.8" hidden="1" x14ac:dyDescent="0.25"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spans="2:29" s="33" customFormat="1" ht="13.8" hidden="1" x14ac:dyDescent="0.25"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spans="2:29" s="33" customFormat="1" ht="13.8" hidden="1" x14ac:dyDescent="0.25"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spans="2:29" s="33" customFormat="1" ht="13.8" hidden="1" x14ac:dyDescent="0.25"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spans="2:29" s="33" customFormat="1" ht="13.8" hidden="1" x14ac:dyDescent="0.25"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spans="2:29" s="33" customFormat="1" ht="13.8" hidden="1" x14ac:dyDescent="0.25"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spans="2:29" s="33" customFormat="1" ht="13.8" hidden="1" x14ac:dyDescent="0.25"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spans="2:29" s="33" customFormat="1" ht="13.8" hidden="1" x14ac:dyDescent="0.25"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spans="2:29" s="33" customFormat="1" ht="13.8" hidden="1" x14ac:dyDescent="0.25"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spans="2:29" s="33" customFormat="1" ht="13.8" hidden="1" x14ac:dyDescent="0.25"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spans="2:29" s="33" customFormat="1" ht="13.8" hidden="1" x14ac:dyDescent="0.25"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spans="2:29" s="33" customFormat="1" ht="13.8" hidden="1" x14ac:dyDescent="0.25"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spans="2:29" s="33" customFormat="1" ht="13.8" hidden="1" x14ac:dyDescent="0.25"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spans="2:29" s="33" customFormat="1" ht="13.8" hidden="1" x14ac:dyDescent="0.25"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spans="2:29" s="33" customFormat="1" ht="13.8" hidden="1" x14ac:dyDescent="0.25"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spans="2:29" s="33" customFormat="1" ht="13.8" hidden="1" x14ac:dyDescent="0.25"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spans="2:29" s="33" customFormat="1" ht="13.8" hidden="1" x14ac:dyDescent="0.25"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spans="2:29" s="33" customFormat="1" ht="13.8" hidden="1" x14ac:dyDescent="0.25"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spans="2:29" s="33" customFormat="1" ht="13.8" hidden="1" x14ac:dyDescent="0.25"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spans="2:29" s="33" customFormat="1" ht="13.8" hidden="1" x14ac:dyDescent="0.25"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spans="2:29" s="33" customFormat="1" ht="13.8" hidden="1" x14ac:dyDescent="0.25"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spans="2:29" s="33" customFormat="1" ht="13.8" hidden="1" x14ac:dyDescent="0.25"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spans="2:29" s="33" customFormat="1" ht="13.8" hidden="1" x14ac:dyDescent="0.25"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spans="2:29" s="33" customFormat="1" ht="13.8" hidden="1" x14ac:dyDescent="0.25"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spans="2:29" s="33" customFormat="1" ht="13.8" hidden="1" x14ac:dyDescent="0.25"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spans="2:29" s="33" customFormat="1" ht="13.8" hidden="1" x14ac:dyDescent="0.25"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spans="2:29" s="33" customFormat="1" ht="13.8" hidden="1" x14ac:dyDescent="0.25"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spans="2:29" s="33" customFormat="1" ht="13.8" hidden="1" x14ac:dyDescent="0.25"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spans="2:29" s="33" customFormat="1" ht="13.8" hidden="1" x14ac:dyDescent="0.25"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spans="2:29" s="33" customFormat="1" ht="13.8" hidden="1" x14ac:dyDescent="0.25"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spans="2:29" s="33" customFormat="1" ht="13.8" hidden="1" x14ac:dyDescent="0.25"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spans="2:29" s="33" customFormat="1" ht="13.8" hidden="1" x14ac:dyDescent="0.25"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spans="2:29" s="33" customFormat="1" ht="13.8" hidden="1" x14ac:dyDescent="0.25"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spans="2:29" s="33" customFormat="1" ht="13.8" hidden="1" x14ac:dyDescent="0.25"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spans="2:29" s="33" customFormat="1" ht="13.8" hidden="1" x14ac:dyDescent="0.25"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spans="2:29" s="33" customFormat="1" ht="13.8" hidden="1" x14ac:dyDescent="0.25"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spans="2:29" s="33" customFormat="1" ht="13.8" hidden="1" x14ac:dyDescent="0.25"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spans="2:29" s="33" customFormat="1" ht="13.8" hidden="1" x14ac:dyDescent="0.25"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spans="2:29" s="33" customFormat="1" ht="13.8" hidden="1" x14ac:dyDescent="0.25"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spans="2:29" s="33" customFormat="1" ht="13.8" hidden="1" x14ac:dyDescent="0.25"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spans="2:29" s="33" customFormat="1" ht="13.8" hidden="1" x14ac:dyDescent="0.25"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spans="2:29" s="33" customFormat="1" ht="13.8" hidden="1" x14ac:dyDescent="0.25"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spans="2:29" s="33" customFormat="1" ht="13.8" hidden="1" x14ac:dyDescent="0.25"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spans="2:29" s="33" customFormat="1" ht="13.8" hidden="1" x14ac:dyDescent="0.25"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spans="2:29" s="33" customFormat="1" ht="13.8" hidden="1" x14ac:dyDescent="0.25"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spans="2:29" s="33" customFormat="1" ht="13.8" hidden="1" x14ac:dyDescent="0.25"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spans="2:29" s="33" customFormat="1" ht="13.8" hidden="1" x14ac:dyDescent="0.25"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spans="2:29" s="33" customFormat="1" ht="13.8" hidden="1" x14ac:dyDescent="0.25"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spans="2:29" s="33" customFormat="1" ht="13.8" hidden="1" x14ac:dyDescent="0.25"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spans="2:29" s="33" customFormat="1" ht="13.8" hidden="1" x14ac:dyDescent="0.25"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spans="2:29" s="33" customFormat="1" ht="13.8" hidden="1" x14ac:dyDescent="0.25"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spans="2:29" s="33" customFormat="1" ht="13.8" hidden="1" x14ac:dyDescent="0.25"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spans="2:29" s="33" customFormat="1" ht="13.8" hidden="1" x14ac:dyDescent="0.25"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spans="2:29" s="33" customFormat="1" ht="13.8" hidden="1" x14ac:dyDescent="0.25"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spans="2:29" s="33" customFormat="1" ht="13.8" hidden="1" x14ac:dyDescent="0.25"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spans="2:29" s="33" customFormat="1" ht="13.8" hidden="1" x14ac:dyDescent="0.25"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spans="2:29" s="33" customFormat="1" ht="13.8" hidden="1" x14ac:dyDescent="0.25"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spans="2:29" s="33" customFormat="1" ht="13.8" hidden="1" x14ac:dyDescent="0.25"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spans="2:29" s="33" customFormat="1" ht="13.8" hidden="1" x14ac:dyDescent="0.25"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spans="2:29" s="33" customFormat="1" ht="13.8" hidden="1" x14ac:dyDescent="0.25"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spans="2:29" s="33" customFormat="1" ht="13.8" hidden="1" x14ac:dyDescent="0.25"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spans="2:29" s="33" customFormat="1" ht="13.8" hidden="1" x14ac:dyDescent="0.25"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spans="2:29" s="33" customFormat="1" ht="13.8" hidden="1" x14ac:dyDescent="0.25"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spans="2:29" s="33" customFormat="1" ht="13.8" hidden="1" x14ac:dyDescent="0.25"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spans="2:29" s="33" customFormat="1" ht="13.8" hidden="1" x14ac:dyDescent="0.25"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spans="2:29" s="33" customFormat="1" ht="13.8" hidden="1" x14ac:dyDescent="0.25"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spans="2:29" s="33" customFormat="1" ht="13.8" hidden="1" x14ac:dyDescent="0.25"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spans="2:29" s="33" customFormat="1" ht="13.8" hidden="1" x14ac:dyDescent="0.25"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spans="2:29" s="33" customFormat="1" ht="13.8" hidden="1" x14ac:dyDescent="0.25"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spans="2:29" s="33" customFormat="1" ht="13.8" hidden="1" x14ac:dyDescent="0.25"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spans="2:29" s="33" customFormat="1" ht="13.8" hidden="1" x14ac:dyDescent="0.25"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spans="2:29" s="33" customFormat="1" ht="13.8" hidden="1" x14ac:dyDescent="0.25"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spans="2:29" s="33" customFormat="1" ht="13.8" hidden="1" x14ac:dyDescent="0.25"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spans="2:29" s="33" customFormat="1" ht="13.8" hidden="1" x14ac:dyDescent="0.25"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spans="2:29" s="33" customFormat="1" ht="13.8" hidden="1" x14ac:dyDescent="0.25"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spans="2:29" s="33" customFormat="1" ht="13.8" hidden="1" x14ac:dyDescent="0.25"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spans="2:29" s="33" customFormat="1" ht="13.8" hidden="1" x14ac:dyDescent="0.25"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spans="2:29" s="33" customFormat="1" ht="13.8" hidden="1" x14ac:dyDescent="0.25"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spans="2:29" s="33" customFormat="1" ht="13.8" hidden="1" x14ac:dyDescent="0.25"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spans="2:29" s="33" customFormat="1" ht="13.8" hidden="1" x14ac:dyDescent="0.25"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spans="2:29" s="33" customFormat="1" ht="13.8" hidden="1" x14ac:dyDescent="0.25"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spans="2:29" s="33" customFormat="1" ht="13.8" hidden="1" x14ac:dyDescent="0.25"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spans="2:29" s="33" customFormat="1" ht="13.8" hidden="1" x14ac:dyDescent="0.25"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spans="2:29" s="33" customFormat="1" ht="13.8" hidden="1" x14ac:dyDescent="0.25"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spans="2:29" s="33" customFormat="1" ht="13.8" hidden="1" x14ac:dyDescent="0.25"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spans="2:29" s="33" customFormat="1" ht="13.8" hidden="1" x14ac:dyDescent="0.25"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spans="2:29" s="33" customFormat="1" ht="13.8" hidden="1" x14ac:dyDescent="0.25"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spans="2:29" s="33" customFormat="1" ht="13.8" hidden="1" x14ac:dyDescent="0.25"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spans="2:29" s="33" customFormat="1" ht="13.8" hidden="1" x14ac:dyDescent="0.25"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spans="2:29" s="33" customFormat="1" ht="13.8" hidden="1" x14ac:dyDescent="0.25"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spans="2:29" s="33" customFormat="1" ht="13.8" hidden="1" x14ac:dyDescent="0.25"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spans="2:29" s="33" customFormat="1" ht="13.8" hidden="1" x14ac:dyDescent="0.25"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spans="2:29" s="33" customFormat="1" ht="13.8" hidden="1" x14ac:dyDescent="0.25"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spans="2:29" s="33" customFormat="1" ht="13.8" hidden="1" x14ac:dyDescent="0.25"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spans="2:29" s="33" customFormat="1" ht="13.8" hidden="1" x14ac:dyDescent="0.25"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spans="2:29" s="33" customFormat="1" ht="13.8" hidden="1" x14ac:dyDescent="0.25"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spans="2:29" s="33" customFormat="1" ht="13.8" hidden="1" x14ac:dyDescent="0.25"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spans="2:29" s="33" customFormat="1" ht="13.8" hidden="1" x14ac:dyDescent="0.25"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spans="2:29" s="33" customFormat="1" ht="13.8" hidden="1" x14ac:dyDescent="0.25"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spans="2:29" s="33" customFormat="1" ht="13.8" hidden="1" x14ac:dyDescent="0.25"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spans="2:29" s="33" customFormat="1" ht="13.8" hidden="1" x14ac:dyDescent="0.25"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spans="2:29" s="33" customFormat="1" ht="13.8" hidden="1" x14ac:dyDescent="0.25"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spans="2:29" s="33" customFormat="1" ht="13.8" hidden="1" x14ac:dyDescent="0.25"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spans="2:29" s="33" customFormat="1" ht="13.8" hidden="1" x14ac:dyDescent="0.25"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spans="2:29" s="33" customFormat="1" ht="13.8" hidden="1" x14ac:dyDescent="0.25"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spans="2:29" s="33" customFormat="1" ht="13.8" hidden="1" x14ac:dyDescent="0.25"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spans="2:29" s="33" customFormat="1" ht="13.8" hidden="1" x14ac:dyDescent="0.25"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spans="2:29" s="33" customFormat="1" ht="13.8" hidden="1" x14ac:dyDescent="0.25"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spans="2:29" s="33" customFormat="1" ht="13.8" hidden="1" x14ac:dyDescent="0.25"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spans="2:29" s="33" customFormat="1" ht="13.8" hidden="1" x14ac:dyDescent="0.25"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spans="2:29" s="33" customFormat="1" ht="13.8" hidden="1" x14ac:dyDescent="0.25"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spans="2:29" s="33" customFormat="1" ht="13.8" hidden="1" x14ac:dyDescent="0.25"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spans="2:29" s="33" customFormat="1" ht="13.8" hidden="1" x14ac:dyDescent="0.25"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spans="2:29" s="33" customFormat="1" ht="13.8" hidden="1" x14ac:dyDescent="0.25"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spans="2:29" s="33" customFormat="1" ht="13.8" hidden="1" x14ac:dyDescent="0.25"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spans="2:29" s="33" customFormat="1" ht="13.8" hidden="1" x14ac:dyDescent="0.25"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spans="2:29" s="33" customFormat="1" ht="13.8" hidden="1" x14ac:dyDescent="0.25"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spans="2:29" s="33" customFormat="1" ht="13.8" hidden="1" x14ac:dyDescent="0.25"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spans="2:29" s="33" customFormat="1" ht="13.8" hidden="1" x14ac:dyDescent="0.25"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spans="2:29" s="33" customFormat="1" ht="13.8" hidden="1" x14ac:dyDescent="0.25"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spans="2:29" s="33" customFormat="1" ht="13.8" hidden="1" x14ac:dyDescent="0.25"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spans="2:29" s="33" customFormat="1" ht="13.8" hidden="1" x14ac:dyDescent="0.25"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spans="2:29" s="33" customFormat="1" ht="13.8" hidden="1" x14ac:dyDescent="0.25"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spans="2:29" s="33" customFormat="1" ht="13.8" hidden="1" x14ac:dyDescent="0.25"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spans="2:29" s="33" customFormat="1" ht="13.8" hidden="1" x14ac:dyDescent="0.25"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spans="2:29" s="33" customFormat="1" ht="13.8" hidden="1" x14ac:dyDescent="0.25"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spans="2:29" s="33" customFormat="1" ht="13.8" hidden="1" x14ac:dyDescent="0.25"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spans="2:29" s="33" customFormat="1" ht="13.8" hidden="1" x14ac:dyDescent="0.25"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spans="2:29" s="33" customFormat="1" ht="13.8" hidden="1" x14ac:dyDescent="0.25"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spans="2:29" s="33" customFormat="1" ht="13.8" hidden="1" x14ac:dyDescent="0.25"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spans="2:29" s="33" customFormat="1" ht="13.8" hidden="1" x14ac:dyDescent="0.25"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spans="2:29" s="33" customFormat="1" ht="13.8" hidden="1" x14ac:dyDescent="0.25"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spans="2:29" s="33" customFormat="1" ht="13.8" hidden="1" x14ac:dyDescent="0.25"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spans="2:29" s="33" customFormat="1" ht="13.8" hidden="1" x14ac:dyDescent="0.25"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spans="2:29" s="33" customFormat="1" ht="13.8" hidden="1" x14ac:dyDescent="0.25"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spans="2:29" s="33" customFormat="1" ht="13.8" hidden="1" x14ac:dyDescent="0.25"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spans="2:29" s="33" customFormat="1" ht="13.8" hidden="1" x14ac:dyDescent="0.25"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spans="2:29" s="33" customFormat="1" ht="13.8" hidden="1" x14ac:dyDescent="0.25"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spans="2:29" s="33" customFormat="1" ht="13.8" hidden="1" x14ac:dyDescent="0.25"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spans="2:29" s="33" customFormat="1" ht="13.8" hidden="1" x14ac:dyDescent="0.25"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spans="2:29" s="33" customFormat="1" ht="13.8" hidden="1" x14ac:dyDescent="0.25"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spans="2:29" s="33" customFormat="1" ht="13.8" hidden="1" x14ac:dyDescent="0.25"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spans="2:29" s="33" customFormat="1" ht="13.8" hidden="1" x14ac:dyDescent="0.25"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spans="2:29" s="33" customFormat="1" ht="13.8" hidden="1" x14ac:dyDescent="0.25"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spans="2:29" s="33" customFormat="1" ht="13.8" hidden="1" x14ac:dyDescent="0.25"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spans="2:29" s="33" customFormat="1" ht="13.8" hidden="1" x14ac:dyDescent="0.25"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spans="2:29" s="33" customFormat="1" ht="13.8" hidden="1" x14ac:dyDescent="0.25"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spans="2:29" s="33" customFormat="1" ht="13.8" hidden="1" x14ac:dyDescent="0.25"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spans="2:29" s="33" customFormat="1" ht="13.8" hidden="1" x14ac:dyDescent="0.25"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spans="2:29" s="33" customFormat="1" ht="13.8" hidden="1" x14ac:dyDescent="0.25"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spans="2:29" s="33" customFormat="1" ht="13.8" hidden="1" x14ac:dyDescent="0.25"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spans="2:29" s="33" customFormat="1" ht="13.8" hidden="1" x14ac:dyDescent="0.25"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spans="2:29" s="33" customFormat="1" ht="13.8" hidden="1" x14ac:dyDescent="0.25"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spans="2:29" s="33" customFormat="1" ht="13.8" hidden="1" x14ac:dyDescent="0.25"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spans="2:29" s="33" customFormat="1" ht="13.8" hidden="1" x14ac:dyDescent="0.25"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spans="2:29" s="33" customFormat="1" ht="13.8" hidden="1" x14ac:dyDescent="0.25"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spans="2:29" s="33" customFormat="1" ht="13.8" hidden="1" x14ac:dyDescent="0.25"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spans="2:29" s="33" customFormat="1" ht="13.8" hidden="1" x14ac:dyDescent="0.25"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spans="2:29" s="33" customFormat="1" ht="13.8" hidden="1" x14ac:dyDescent="0.25"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spans="2:29" s="33" customFormat="1" ht="13.8" hidden="1" x14ac:dyDescent="0.25"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spans="2:29" s="33" customFormat="1" ht="13.8" hidden="1" x14ac:dyDescent="0.25"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spans="2:29" s="33" customFormat="1" ht="13.8" hidden="1" x14ac:dyDescent="0.25"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spans="2:29" s="33" customFormat="1" ht="13.8" hidden="1" x14ac:dyDescent="0.25"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spans="2:29" s="33" customFormat="1" ht="13.8" hidden="1" x14ac:dyDescent="0.25"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spans="2:29" s="33" customFormat="1" ht="13.8" hidden="1" x14ac:dyDescent="0.25"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spans="2:29" s="33" customFormat="1" ht="13.8" hidden="1" x14ac:dyDescent="0.25"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spans="2:29" s="33" customFormat="1" ht="13.8" hidden="1" x14ac:dyDescent="0.25"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spans="2:29" s="33" customFormat="1" ht="13.8" hidden="1" x14ac:dyDescent="0.25"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spans="2:29" s="33" customFormat="1" ht="13.8" hidden="1" x14ac:dyDescent="0.25"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spans="2:29" s="33" customFormat="1" ht="13.8" hidden="1" x14ac:dyDescent="0.25"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spans="2:29" s="33" customFormat="1" ht="13.8" hidden="1" x14ac:dyDescent="0.25"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spans="2:29" s="33" customFormat="1" ht="13.8" hidden="1" x14ac:dyDescent="0.25"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spans="2:29" s="33" customFormat="1" ht="13.8" hidden="1" x14ac:dyDescent="0.25"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spans="2:29" s="33" customFormat="1" ht="13.8" hidden="1" x14ac:dyDescent="0.25"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spans="2:29" s="33" customFormat="1" ht="13.8" hidden="1" x14ac:dyDescent="0.25"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spans="2:29" s="33" customFormat="1" ht="13.8" hidden="1" x14ac:dyDescent="0.25"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spans="2:29" s="33" customFormat="1" ht="13.8" hidden="1" x14ac:dyDescent="0.25"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spans="2:29" s="33" customFormat="1" ht="13.8" hidden="1" x14ac:dyDescent="0.25"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spans="2:29" s="33" customFormat="1" ht="13.8" hidden="1" x14ac:dyDescent="0.25"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spans="2:29" s="33" customFormat="1" ht="13.8" hidden="1" x14ac:dyDescent="0.25"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spans="2:29" s="33" customFormat="1" ht="13.8" hidden="1" x14ac:dyDescent="0.25"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spans="2:29" s="33" customFormat="1" ht="13.8" hidden="1" x14ac:dyDescent="0.25"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spans="2:29" s="33" customFormat="1" ht="13.8" hidden="1" x14ac:dyDescent="0.25"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spans="2:29" s="33" customFormat="1" ht="13.8" hidden="1" x14ac:dyDescent="0.25"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spans="2:29" s="33" customFormat="1" ht="13.8" hidden="1" x14ac:dyDescent="0.25"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spans="2:29" s="33" customFormat="1" ht="13.8" hidden="1" x14ac:dyDescent="0.25"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spans="2:29" s="33" customFormat="1" ht="13.8" hidden="1" x14ac:dyDescent="0.25"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spans="2:29" s="33" customFormat="1" ht="13.8" hidden="1" x14ac:dyDescent="0.25"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spans="2:29" s="33" customFormat="1" ht="13.8" hidden="1" x14ac:dyDescent="0.25"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spans="2:29" s="33" customFormat="1" ht="13.8" hidden="1" x14ac:dyDescent="0.25"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spans="2:29" s="33" customFormat="1" ht="13.8" hidden="1" x14ac:dyDescent="0.25"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spans="2:29" s="33" customFormat="1" ht="13.8" hidden="1" x14ac:dyDescent="0.25"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spans="2:29" s="33" customFormat="1" ht="13.8" hidden="1" x14ac:dyDescent="0.25"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spans="2:29" s="33" customFormat="1" ht="13.8" hidden="1" x14ac:dyDescent="0.25"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spans="2:29" s="33" customFormat="1" ht="13.8" hidden="1" x14ac:dyDescent="0.25"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spans="2:29" s="33" customFormat="1" ht="13.8" hidden="1" x14ac:dyDescent="0.25"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spans="2:29" s="33" customFormat="1" ht="13.8" hidden="1" x14ac:dyDescent="0.25"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spans="2:29" s="33" customFormat="1" ht="13.8" hidden="1" x14ac:dyDescent="0.25"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spans="2:29" s="33" customFormat="1" ht="13.8" hidden="1" x14ac:dyDescent="0.25"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spans="2:29" s="33" customFormat="1" ht="13.8" hidden="1" x14ac:dyDescent="0.25"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spans="2:29" s="33" customFormat="1" ht="13.8" hidden="1" x14ac:dyDescent="0.25"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spans="2:29" s="33" customFormat="1" ht="13.8" hidden="1" x14ac:dyDescent="0.25"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spans="2:29" s="33" customFormat="1" ht="13.8" hidden="1" x14ac:dyDescent="0.25"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spans="2:29" s="33" customFormat="1" ht="13.8" hidden="1" x14ac:dyDescent="0.25"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spans="2:29" s="33" customFormat="1" ht="13.8" hidden="1" x14ac:dyDescent="0.25"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spans="2:29" s="33" customFormat="1" ht="13.8" hidden="1" x14ac:dyDescent="0.25"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spans="2:29" s="33" customFormat="1" ht="13.8" hidden="1" x14ac:dyDescent="0.25"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spans="2:29" s="33" customFormat="1" ht="13.8" hidden="1" x14ac:dyDescent="0.25"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spans="2:29" s="33" customFormat="1" ht="13.8" hidden="1" x14ac:dyDescent="0.25"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spans="2:29" s="33" customFormat="1" ht="13.8" hidden="1" x14ac:dyDescent="0.25"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spans="2:29" s="33" customFormat="1" ht="13.8" hidden="1" x14ac:dyDescent="0.25"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spans="2:29" s="33" customFormat="1" ht="13.8" hidden="1" x14ac:dyDescent="0.25"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spans="2:29" s="33" customFormat="1" ht="13.8" hidden="1" x14ac:dyDescent="0.25"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spans="2:29" s="33" customFormat="1" ht="13.8" hidden="1" x14ac:dyDescent="0.25"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spans="2:29" s="33" customFormat="1" ht="13.8" hidden="1" x14ac:dyDescent="0.25"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spans="2:29" s="33" customFormat="1" ht="13.8" hidden="1" x14ac:dyDescent="0.25"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spans="2:29" s="33" customFormat="1" ht="13.8" hidden="1" x14ac:dyDescent="0.25"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spans="2:29" s="33" customFormat="1" ht="13.8" hidden="1" x14ac:dyDescent="0.25"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spans="2:29" s="33" customFormat="1" ht="13.8" hidden="1" x14ac:dyDescent="0.25"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spans="2:29" s="33" customFormat="1" ht="13.8" hidden="1" x14ac:dyDescent="0.25"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spans="2:29" s="33" customFormat="1" ht="13.8" hidden="1" x14ac:dyDescent="0.25"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spans="2:29" s="33" customFormat="1" ht="13.8" hidden="1" x14ac:dyDescent="0.25"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spans="2:29" s="33" customFormat="1" ht="13.8" hidden="1" x14ac:dyDescent="0.25"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spans="2:29" s="33" customFormat="1" ht="13.8" hidden="1" x14ac:dyDescent="0.25"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spans="2:29" s="33" customFormat="1" ht="13.8" hidden="1" x14ac:dyDescent="0.25"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spans="2:29" s="33" customFormat="1" ht="13.8" hidden="1" x14ac:dyDescent="0.25"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spans="2:29" s="33" customFormat="1" ht="13.8" hidden="1" x14ac:dyDescent="0.25"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spans="2:29" s="33" customFormat="1" ht="13.8" hidden="1" x14ac:dyDescent="0.25"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spans="2:29" s="33" customFormat="1" ht="13.8" hidden="1" x14ac:dyDescent="0.25"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spans="2:29" s="33" customFormat="1" ht="13.8" hidden="1" x14ac:dyDescent="0.25"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spans="2:29" s="33" customFormat="1" ht="13.8" hidden="1" x14ac:dyDescent="0.25"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spans="2:29" s="33" customFormat="1" ht="13.8" hidden="1" x14ac:dyDescent="0.25"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spans="2:29" s="33" customFormat="1" ht="13.8" hidden="1" x14ac:dyDescent="0.25"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spans="2:29" s="33" customFormat="1" ht="13.8" hidden="1" x14ac:dyDescent="0.25"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spans="2:29" s="33" customFormat="1" ht="13.8" hidden="1" x14ac:dyDescent="0.25"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spans="2:29" s="33" customFormat="1" ht="13.8" hidden="1" x14ac:dyDescent="0.25"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spans="2:29" s="33" customFormat="1" ht="13.8" hidden="1" x14ac:dyDescent="0.25"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spans="2:29" s="33" customFormat="1" ht="13.8" hidden="1" x14ac:dyDescent="0.25"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spans="2:29" s="33" customFormat="1" ht="13.8" hidden="1" x14ac:dyDescent="0.25"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spans="2:29" s="33" customFormat="1" ht="13.8" hidden="1" x14ac:dyDescent="0.25"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spans="2:29" s="33" customFormat="1" ht="13.8" hidden="1" x14ac:dyDescent="0.25"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spans="2:29" s="33" customFormat="1" ht="13.8" hidden="1" x14ac:dyDescent="0.25"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spans="2:29" s="33" customFormat="1" ht="13.8" hidden="1" x14ac:dyDescent="0.25"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spans="2:29" s="33" customFormat="1" ht="13.8" hidden="1" x14ac:dyDescent="0.25"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spans="2:29" s="33" customFormat="1" ht="13.8" hidden="1" x14ac:dyDescent="0.25"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spans="2:29" s="33" customFormat="1" ht="13.8" hidden="1" x14ac:dyDescent="0.25"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spans="2:29" s="33" customFormat="1" ht="13.8" hidden="1" x14ac:dyDescent="0.25"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spans="2:29" s="33" customFormat="1" ht="13.8" hidden="1" x14ac:dyDescent="0.25"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spans="2:29" s="33" customFormat="1" ht="13.8" hidden="1" x14ac:dyDescent="0.25"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spans="2:29" s="33" customFormat="1" ht="13.8" hidden="1" x14ac:dyDescent="0.25"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spans="2:29" s="33" customFormat="1" ht="13.8" hidden="1" x14ac:dyDescent="0.25"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spans="2:29" s="33" customFormat="1" ht="13.8" hidden="1" x14ac:dyDescent="0.25"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spans="2:29" s="33" customFormat="1" ht="13.8" hidden="1" x14ac:dyDescent="0.25"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spans="2:29" s="33" customFormat="1" ht="13.8" hidden="1" x14ac:dyDescent="0.25"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spans="2:29" s="33" customFormat="1" ht="13.8" hidden="1" x14ac:dyDescent="0.25"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spans="2:29" s="33" customFormat="1" ht="13.8" hidden="1" x14ac:dyDescent="0.25"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spans="2:29" s="33" customFormat="1" ht="13.8" hidden="1" x14ac:dyDescent="0.25"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spans="2:29" s="33" customFormat="1" ht="13.8" hidden="1" x14ac:dyDescent="0.25"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spans="2:29" s="33" customFormat="1" ht="13.8" hidden="1" x14ac:dyDescent="0.25"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spans="2:29" s="33" customFormat="1" ht="13.8" hidden="1" x14ac:dyDescent="0.25"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spans="2:29" s="33" customFormat="1" ht="13.8" hidden="1" x14ac:dyDescent="0.25"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spans="2:29" s="33" customFormat="1" ht="13.8" hidden="1" x14ac:dyDescent="0.25"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spans="2:29" s="33" customFormat="1" ht="13.8" hidden="1" x14ac:dyDescent="0.25"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spans="2:29" s="33" customFormat="1" ht="13.8" hidden="1" x14ac:dyDescent="0.25"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spans="2:29" s="33" customFormat="1" ht="13.8" hidden="1" x14ac:dyDescent="0.25"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spans="2:29" s="33" customFormat="1" ht="13.8" hidden="1" x14ac:dyDescent="0.25"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spans="2:29" s="33" customFormat="1" ht="13.8" hidden="1" x14ac:dyDescent="0.25"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spans="2:29" s="33" customFormat="1" ht="13.8" hidden="1" x14ac:dyDescent="0.25"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spans="2:29" s="33" customFormat="1" ht="13.8" hidden="1" x14ac:dyDescent="0.25"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spans="2:29" s="33" customFormat="1" ht="13.8" hidden="1" x14ac:dyDescent="0.25"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spans="2:29" s="33" customFormat="1" ht="13.8" hidden="1" x14ac:dyDescent="0.25"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spans="2:29" s="33" customFormat="1" ht="13.8" hidden="1" x14ac:dyDescent="0.25"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spans="2:29" s="33" customFormat="1" ht="13.8" hidden="1" x14ac:dyDescent="0.25"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spans="2:29" s="33" customFormat="1" ht="13.8" hidden="1" x14ac:dyDescent="0.25"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spans="2:29" s="33" customFormat="1" ht="13.8" hidden="1" x14ac:dyDescent="0.25"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spans="2:29" s="33" customFormat="1" ht="13.8" hidden="1" x14ac:dyDescent="0.25"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spans="2:29" s="33" customFormat="1" ht="13.8" hidden="1" x14ac:dyDescent="0.25"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spans="2:29" s="33" customFormat="1" ht="13.8" hidden="1" x14ac:dyDescent="0.25"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spans="2:29" s="33" customFormat="1" ht="13.8" hidden="1" x14ac:dyDescent="0.25"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spans="2:29" s="33" customFormat="1" ht="13.8" hidden="1" x14ac:dyDescent="0.25"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spans="2:29" s="33" customFormat="1" ht="13.8" hidden="1" x14ac:dyDescent="0.25"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spans="2:29" s="33" customFormat="1" ht="13.8" hidden="1" x14ac:dyDescent="0.25"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spans="2:29" s="33" customFormat="1" ht="13.8" hidden="1" x14ac:dyDescent="0.25"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spans="2:29" s="33" customFormat="1" ht="13.8" hidden="1" x14ac:dyDescent="0.25"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spans="2:29" s="33" customFormat="1" ht="13.8" hidden="1" x14ac:dyDescent="0.25"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spans="2:29" s="33" customFormat="1" ht="13.8" hidden="1" x14ac:dyDescent="0.25"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spans="2:29" s="33" customFormat="1" ht="13.8" hidden="1" x14ac:dyDescent="0.25"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spans="2:29" s="33" customFormat="1" ht="13.8" hidden="1" x14ac:dyDescent="0.25"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spans="2:29" s="33" customFormat="1" ht="13.8" hidden="1" x14ac:dyDescent="0.25"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spans="2:29" s="33" customFormat="1" ht="13.8" hidden="1" x14ac:dyDescent="0.25"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spans="2:29" s="33" customFormat="1" ht="13.8" hidden="1" x14ac:dyDescent="0.25"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spans="2:29" s="33" customFormat="1" ht="13.8" hidden="1" x14ac:dyDescent="0.25"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spans="2:29" s="33" customFormat="1" ht="13.8" hidden="1" x14ac:dyDescent="0.25"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spans="2:29" s="33" customFormat="1" ht="13.8" hidden="1" x14ac:dyDescent="0.25"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spans="2:29" s="33" customFormat="1" ht="13.8" hidden="1" x14ac:dyDescent="0.25"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spans="2:29" s="33" customFormat="1" ht="13.8" hidden="1" x14ac:dyDescent="0.25"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spans="2:29" s="33" customFormat="1" ht="13.8" hidden="1" x14ac:dyDescent="0.25"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spans="2:29" s="33" customFormat="1" ht="13.8" hidden="1" x14ac:dyDescent="0.25"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spans="2:29" s="33" customFormat="1" ht="13.8" hidden="1" x14ac:dyDescent="0.25"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spans="2:29" s="33" customFormat="1" ht="13.8" hidden="1" x14ac:dyDescent="0.25"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spans="2:29" s="33" customFormat="1" ht="13.8" hidden="1" x14ac:dyDescent="0.25"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spans="2:29" s="33" customFormat="1" ht="13.8" hidden="1" x14ac:dyDescent="0.25"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spans="2:29" s="33" customFormat="1" ht="13.8" hidden="1" x14ac:dyDescent="0.25"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spans="2:29" s="33" customFormat="1" ht="13.8" hidden="1" x14ac:dyDescent="0.25"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spans="2:29" s="33" customFormat="1" ht="13.8" hidden="1" x14ac:dyDescent="0.25"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spans="2:29" s="33" customFormat="1" ht="13.8" hidden="1" x14ac:dyDescent="0.25"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spans="2:29" s="33" customFormat="1" ht="13.8" hidden="1" x14ac:dyDescent="0.25"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spans="2:29" s="33" customFormat="1" ht="13.8" hidden="1" x14ac:dyDescent="0.25"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spans="2:29" s="33" customFormat="1" ht="13.8" hidden="1" x14ac:dyDescent="0.25"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spans="2:29" s="33" customFormat="1" ht="13.8" hidden="1" x14ac:dyDescent="0.25"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spans="2:29" s="33" customFormat="1" ht="13.8" hidden="1" x14ac:dyDescent="0.25"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spans="2:29" s="33" customFormat="1" ht="13.8" hidden="1" x14ac:dyDescent="0.25"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spans="2:29" s="33" customFormat="1" ht="13.8" hidden="1" x14ac:dyDescent="0.25"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spans="2:29" s="33" customFormat="1" ht="13.8" hidden="1" x14ac:dyDescent="0.25"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spans="2:29" s="33" customFormat="1" ht="13.8" hidden="1" x14ac:dyDescent="0.25"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spans="2:29" s="33" customFormat="1" ht="13.8" hidden="1" x14ac:dyDescent="0.25"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spans="2:29" s="33" customFormat="1" ht="13.8" hidden="1" x14ac:dyDescent="0.25"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spans="2:29" s="33" customFormat="1" ht="13.8" hidden="1" x14ac:dyDescent="0.25"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spans="2:29" s="33" customFormat="1" ht="13.8" hidden="1" x14ac:dyDescent="0.25"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spans="2:29" s="33" customFormat="1" ht="13.8" hidden="1" x14ac:dyDescent="0.25"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spans="2:29" s="33" customFormat="1" ht="13.8" hidden="1" x14ac:dyDescent="0.25"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spans="2:29" s="33" customFormat="1" ht="13.8" hidden="1" x14ac:dyDescent="0.25"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spans="2:29" s="33" customFormat="1" ht="13.8" hidden="1" x14ac:dyDescent="0.25"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spans="2:29" s="33" customFormat="1" ht="13.8" hidden="1" x14ac:dyDescent="0.25"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spans="2:29" s="33" customFormat="1" ht="13.8" hidden="1" x14ac:dyDescent="0.25"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spans="2:29" s="33" customFormat="1" ht="13.8" hidden="1" x14ac:dyDescent="0.25"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spans="2:29" s="33" customFormat="1" ht="13.8" hidden="1" x14ac:dyDescent="0.25"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spans="2:29" s="33" customFormat="1" ht="13.8" hidden="1" x14ac:dyDescent="0.25"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spans="2:29" s="33" customFormat="1" ht="13.8" hidden="1" x14ac:dyDescent="0.25"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spans="2:29" s="33" customFormat="1" ht="13.8" hidden="1" x14ac:dyDescent="0.25"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spans="2:29" s="33" customFormat="1" ht="13.8" hidden="1" x14ac:dyDescent="0.25"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spans="2:29" s="33" customFormat="1" ht="13.8" hidden="1" x14ac:dyDescent="0.25"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spans="2:29" s="33" customFormat="1" ht="13.8" hidden="1" x14ac:dyDescent="0.25"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spans="2:29" s="33" customFormat="1" ht="13.8" hidden="1" x14ac:dyDescent="0.25"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spans="2:29" s="33" customFormat="1" ht="13.8" hidden="1" x14ac:dyDescent="0.25"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spans="2:29" s="33" customFormat="1" ht="13.8" hidden="1" x14ac:dyDescent="0.25"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spans="2:29" s="33" customFormat="1" ht="13.8" hidden="1" x14ac:dyDescent="0.25"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spans="2:29" s="33" customFormat="1" ht="13.8" hidden="1" x14ac:dyDescent="0.25"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spans="2:29" s="33" customFormat="1" ht="13.8" hidden="1" x14ac:dyDescent="0.25"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spans="2:29" s="33" customFormat="1" ht="13.8" hidden="1" x14ac:dyDescent="0.25"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spans="2:29" s="33" customFormat="1" ht="13.8" hidden="1" x14ac:dyDescent="0.25"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spans="2:29" s="33" customFormat="1" ht="13.8" hidden="1" x14ac:dyDescent="0.25"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spans="2:29" s="33" customFormat="1" ht="13.8" hidden="1" x14ac:dyDescent="0.25"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spans="2:29" s="33" customFormat="1" ht="13.8" hidden="1" x14ac:dyDescent="0.25"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spans="2:29" s="33" customFormat="1" ht="13.8" hidden="1" x14ac:dyDescent="0.25"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spans="2:29" s="33" customFormat="1" ht="13.8" hidden="1" x14ac:dyDescent="0.25"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spans="2:29" s="33" customFormat="1" ht="13.8" hidden="1" x14ac:dyDescent="0.25"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spans="2:29" s="33" customFormat="1" ht="13.8" hidden="1" x14ac:dyDescent="0.25"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spans="2:29" s="33" customFormat="1" ht="13.8" hidden="1" x14ac:dyDescent="0.25"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spans="2:29" s="33" customFormat="1" ht="13.8" hidden="1" x14ac:dyDescent="0.25"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spans="2:29" s="33" customFormat="1" ht="13.8" hidden="1" x14ac:dyDescent="0.25"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spans="2:29" s="33" customFormat="1" ht="13.8" hidden="1" x14ac:dyDescent="0.25"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spans="2:29" s="33" customFormat="1" ht="13.8" hidden="1" x14ac:dyDescent="0.25"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spans="2:29" s="33" customFormat="1" ht="13.8" hidden="1" x14ac:dyDescent="0.25"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spans="2:29" s="33" customFormat="1" ht="13.8" hidden="1" x14ac:dyDescent="0.25"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spans="2:29" s="33" customFormat="1" ht="13.8" hidden="1" x14ac:dyDescent="0.25"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spans="2:29" s="33" customFormat="1" ht="13.8" hidden="1" x14ac:dyDescent="0.25"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spans="2:29" s="33" customFormat="1" ht="13.8" hidden="1" x14ac:dyDescent="0.25"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spans="2:29" s="33" customFormat="1" ht="13.8" hidden="1" x14ac:dyDescent="0.25"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spans="2:29" s="33" customFormat="1" ht="13.8" hidden="1" x14ac:dyDescent="0.25"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spans="2:29" s="33" customFormat="1" ht="13.8" hidden="1" x14ac:dyDescent="0.25"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spans="2:29" s="33" customFormat="1" ht="13.8" hidden="1" x14ac:dyDescent="0.25"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spans="2:29" s="33" customFormat="1" ht="13.8" hidden="1" x14ac:dyDescent="0.25"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spans="2:29" s="33" customFormat="1" ht="13.8" hidden="1" x14ac:dyDescent="0.25"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spans="2:29" s="33" customFormat="1" ht="13.8" hidden="1" x14ac:dyDescent="0.25"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spans="2:29" s="33" customFormat="1" ht="13.8" hidden="1" x14ac:dyDescent="0.25"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spans="2:29" s="33" customFormat="1" ht="13.8" hidden="1" x14ac:dyDescent="0.25"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spans="2:29" s="33" customFormat="1" ht="13.8" hidden="1" x14ac:dyDescent="0.25"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spans="2:29" s="33" customFormat="1" ht="13.8" hidden="1" x14ac:dyDescent="0.25"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spans="2:29" s="33" customFormat="1" ht="13.8" hidden="1" x14ac:dyDescent="0.25"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spans="2:29" s="33" customFormat="1" ht="13.8" hidden="1" x14ac:dyDescent="0.25"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spans="2:29" s="33" customFormat="1" ht="13.8" hidden="1" x14ac:dyDescent="0.25"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spans="2:29" s="33" customFormat="1" ht="13.8" hidden="1" x14ac:dyDescent="0.25"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spans="2:29" s="33" customFormat="1" ht="13.8" hidden="1" x14ac:dyDescent="0.25"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spans="2:29" s="33" customFormat="1" ht="13.8" hidden="1" x14ac:dyDescent="0.25"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spans="2:29" s="33" customFormat="1" ht="13.8" hidden="1" x14ac:dyDescent="0.25"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spans="2:29" s="33" customFormat="1" ht="13.8" hidden="1" x14ac:dyDescent="0.25"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spans="2:29" s="33" customFormat="1" ht="13.8" hidden="1" x14ac:dyDescent="0.25"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spans="2:29" s="33" customFormat="1" ht="13.8" hidden="1" x14ac:dyDescent="0.25"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spans="2:29" s="33" customFormat="1" ht="13.8" hidden="1" x14ac:dyDescent="0.25"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spans="2:29" s="33" customFormat="1" ht="13.8" hidden="1" x14ac:dyDescent="0.25"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spans="2:29" s="33" customFormat="1" ht="13.8" hidden="1" x14ac:dyDescent="0.25"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spans="2:29" s="33" customFormat="1" ht="13.8" hidden="1" x14ac:dyDescent="0.25"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spans="2:29" s="33" customFormat="1" ht="13.8" hidden="1" x14ac:dyDescent="0.25"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spans="2:29" s="33" customFormat="1" ht="13.8" hidden="1" x14ac:dyDescent="0.25"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spans="2:29" s="33" customFormat="1" ht="13.8" hidden="1" x14ac:dyDescent="0.25"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spans="2:29" s="33" customFormat="1" ht="13.8" hidden="1" x14ac:dyDescent="0.25"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spans="2:29" s="33" customFormat="1" ht="13.8" hidden="1" x14ac:dyDescent="0.25"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spans="2:29" s="33" customFormat="1" ht="13.8" hidden="1" x14ac:dyDescent="0.25"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spans="2:29" s="33" customFormat="1" ht="13.8" hidden="1" x14ac:dyDescent="0.25"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spans="2:29" s="33" customFormat="1" ht="13.8" hidden="1" x14ac:dyDescent="0.25"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spans="2:29" s="33" customFormat="1" ht="13.8" hidden="1" x14ac:dyDescent="0.25"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spans="2:29" s="33" customFormat="1" ht="13.8" hidden="1" x14ac:dyDescent="0.25"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spans="2:29" s="33" customFormat="1" ht="13.8" hidden="1" x14ac:dyDescent="0.25"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spans="2:29" s="33" customFormat="1" ht="13.8" hidden="1" x14ac:dyDescent="0.25"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spans="2:29" s="33" customFormat="1" ht="13.8" hidden="1" x14ac:dyDescent="0.25"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spans="2:29" s="33" customFormat="1" ht="13.8" hidden="1" x14ac:dyDescent="0.25"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spans="2:29" s="33" customFormat="1" ht="13.8" hidden="1" x14ac:dyDescent="0.25"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spans="2:29" s="33" customFormat="1" ht="13.8" hidden="1" x14ac:dyDescent="0.25"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spans="2:29" s="33" customFormat="1" ht="13.8" hidden="1" x14ac:dyDescent="0.25"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spans="2:29" s="33" customFormat="1" ht="13.8" hidden="1" x14ac:dyDescent="0.25"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spans="2:29" s="33" customFormat="1" ht="13.8" hidden="1" x14ac:dyDescent="0.25"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spans="2:29" s="33" customFormat="1" ht="13.8" hidden="1" x14ac:dyDescent="0.25"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spans="2:29" s="33" customFormat="1" ht="13.8" hidden="1" x14ac:dyDescent="0.25"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spans="2:29" s="33" customFormat="1" ht="13.8" hidden="1" x14ac:dyDescent="0.25"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 spans="2:29" s="33" customFormat="1" ht="13.8" hidden="1" x14ac:dyDescent="0.25"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 spans="2:29" s="33" customFormat="1" ht="13.8" hidden="1" x14ac:dyDescent="0.25"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  <row r="1002" spans="2:29" s="33" customFormat="1" ht="13.8" hidden="1" x14ac:dyDescent="0.25"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</row>
    <row r="1003" spans="2:29" s="33" customFormat="1" ht="13.8" hidden="1" x14ac:dyDescent="0.25"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</row>
    <row r="1004" spans="2:29" s="33" customFormat="1" ht="13.8" hidden="1" x14ac:dyDescent="0.25"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</row>
    <row r="1005" spans="2:29" s="33" customFormat="1" ht="13.8" hidden="1" x14ac:dyDescent="0.25"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</row>
    <row r="1006" spans="2:29" s="33" customFormat="1" ht="13.8" hidden="1" x14ac:dyDescent="0.25"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</row>
    <row r="1007" spans="2:29" s="33" customFormat="1" ht="13.8" hidden="1" x14ac:dyDescent="0.25"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</row>
    <row r="1008" spans="2:29" s="33" customFormat="1" ht="13.8" hidden="1" x14ac:dyDescent="0.25"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</row>
    <row r="1009" spans="2:29" s="33" customFormat="1" ht="13.8" hidden="1" x14ac:dyDescent="0.25"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</row>
    <row r="1010" spans="2:29" s="33" customFormat="1" ht="13.8" hidden="1" x14ac:dyDescent="0.25"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</row>
    <row r="1011" spans="2:29" s="33" customFormat="1" ht="13.8" hidden="1" x14ac:dyDescent="0.25"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</row>
    <row r="1012" spans="2:29" s="33" customFormat="1" ht="13.8" hidden="1" x14ac:dyDescent="0.25"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</row>
    <row r="1013" spans="2:29" s="33" customFormat="1" ht="13.8" hidden="1" x14ac:dyDescent="0.25"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</row>
    <row r="1014" spans="2:29" s="33" customFormat="1" ht="13.8" hidden="1" x14ac:dyDescent="0.25"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</row>
    <row r="1015" spans="2:29" s="33" customFormat="1" ht="13.8" hidden="1" x14ac:dyDescent="0.25"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</row>
    <row r="1016" spans="2:29" s="33" customFormat="1" ht="13.8" hidden="1" x14ac:dyDescent="0.25"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</row>
    <row r="1017" spans="2:29" s="33" customFormat="1" ht="13.8" hidden="1" x14ac:dyDescent="0.25"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</row>
    <row r="1018" spans="2:29" s="33" customFormat="1" ht="13.8" hidden="1" x14ac:dyDescent="0.25"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</row>
    <row r="1019" spans="2:29" s="33" customFormat="1" ht="13.8" hidden="1" x14ac:dyDescent="0.25"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</row>
    <row r="1020" spans="2:29" s="33" customFormat="1" ht="13.8" hidden="1" x14ac:dyDescent="0.25"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</row>
    <row r="1021" spans="2:29" s="33" customFormat="1" ht="13.8" hidden="1" x14ac:dyDescent="0.25"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</row>
    <row r="1022" spans="2:29" s="33" customFormat="1" ht="13.8" hidden="1" x14ac:dyDescent="0.25"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</row>
    <row r="1023" spans="2:29" s="33" customFormat="1" ht="13.8" hidden="1" x14ac:dyDescent="0.25"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</row>
    <row r="1024" spans="2:29" s="33" customFormat="1" ht="13.8" hidden="1" x14ac:dyDescent="0.25"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</row>
    <row r="1025" spans="2:29" s="33" customFormat="1" ht="13.8" hidden="1" x14ac:dyDescent="0.25"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</row>
    <row r="1026" spans="2:29" s="33" customFormat="1" ht="13.8" hidden="1" x14ac:dyDescent="0.25"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</row>
    <row r="1027" spans="2:29" s="33" customFormat="1" ht="13.8" hidden="1" x14ac:dyDescent="0.25"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</row>
    <row r="1028" spans="2:29" s="33" customFormat="1" ht="13.8" hidden="1" x14ac:dyDescent="0.25"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</row>
    <row r="1029" spans="2:29" s="33" customFormat="1" ht="13.8" hidden="1" x14ac:dyDescent="0.25"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</row>
    <row r="1030" spans="2:29" s="33" customFormat="1" ht="13.8" hidden="1" x14ac:dyDescent="0.25"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</row>
    <row r="1031" spans="2:29" s="33" customFormat="1" ht="13.8" hidden="1" x14ac:dyDescent="0.25"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</row>
    <row r="1032" spans="2:29" s="33" customFormat="1" ht="13.8" hidden="1" x14ac:dyDescent="0.25"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</row>
    <row r="1033" spans="2:29" s="33" customFormat="1" ht="13.8" hidden="1" x14ac:dyDescent="0.25"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</row>
    <row r="1034" spans="2:29" s="33" customFormat="1" ht="13.8" hidden="1" x14ac:dyDescent="0.25"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</row>
    <row r="1035" spans="2:29" s="33" customFormat="1" ht="13.8" hidden="1" x14ac:dyDescent="0.25"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</row>
    <row r="1036" spans="2:29" s="33" customFormat="1" ht="13.8" hidden="1" x14ac:dyDescent="0.25"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</row>
    <row r="1037" spans="2:29" s="33" customFormat="1" ht="13.8" hidden="1" x14ac:dyDescent="0.25"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</row>
    <row r="1038" spans="2:29" s="33" customFormat="1" ht="13.8" hidden="1" x14ac:dyDescent="0.25"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</row>
    <row r="1039" spans="2:29" s="33" customFormat="1" ht="13.8" hidden="1" x14ac:dyDescent="0.25"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</row>
    <row r="1040" spans="2:29" s="33" customFormat="1" ht="13.8" hidden="1" x14ac:dyDescent="0.25"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</row>
    <row r="1041" spans="2:29" s="33" customFormat="1" ht="13.8" hidden="1" x14ac:dyDescent="0.25"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</row>
    <row r="1042" spans="2:29" s="33" customFormat="1" ht="13.8" hidden="1" x14ac:dyDescent="0.25"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</row>
    <row r="1043" spans="2:29" s="33" customFormat="1" ht="13.8" hidden="1" x14ac:dyDescent="0.25"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</row>
    <row r="1044" spans="2:29" s="33" customFormat="1" ht="13.8" hidden="1" x14ac:dyDescent="0.25"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</row>
    <row r="1045" spans="2:29" s="33" customFormat="1" ht="13.8" hidden="1" x14ac:dyDescent="0.25"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</row>
    <row r="1046" spans="2:29" s="33" customFormat="1" ht="13.8" hidden="1" x14ac:dyDescent="0.25"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</row>
    <row r="1047" spans="2:29" s="33" customFormat="1" ht="13.8" hidden="1" x14ac:dyDescent="0.25"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</row>
    <row r="1048" spans="2:29" s="33" customFormat="1" ht="13.8" hidden="1" x14ac:dyDescent="0.25"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</row>
    <row r="1049" spans="2:29" s="33" customFormat="1" ht="13.8" hidden="1" x14ac:dyDescent="0.25"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</row>
    <row r="1050" spans="2:29" s="33" customFormat="1" ht="13.8" hidden="1" x14ac:dyDescent="0.25"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</row>
    <row r="1051" spans="2:29" s="33" customFormat="1" ht="13.8" hidden="1" x14ac:dyDescent="0.25"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</row>
    <row r="1052" spans="2:29" s="33" customFormat="1" ht="13.8" hidden="1" x14ac:dyDescent="0.25"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</row>
    <row r="1053" spans="2:29" s="33" customFormat="1" ht="13.8" hidden="1" x14ac:dyDescent="0.25"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</row>
    <row r="1054" spans="2:29" s="33" customFormat="1" ht="13.8" hidden="1" x14ac:dyDescent="0.25"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</row>
    <row r="1055" spans="2:29" s="33" customFormat="1" ht="13.8" hidden="1" x14ac:dyDescent="0.25"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</row>
    <row r="1056" spans="2:29" s="33" customFormat="1" ht="13.8" hidden="1" x14ac:dyDescent="0.25"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</row>
    <row r="1057" spans="2:29" s="33" customFormat="1" ht="13.8" hidden="1" x14ac:dyDescent="0.25"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</row>
    <row r="1058" spans="2:29" s="33" customFormat="1" ht="13.8" hidden="1" x14ac:dyDescent="0.25"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</row>
    <row r="1059" spans="2:29" s="33" customFormat="1" ht="13.8" hidden="1" x14ac:dyDescent="0.25"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</row>
    <row r="1060" spans="2:29" s="33" customFormat="1" ht="13.8" hidden="1" x14ac:dyDescent="0.25"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</row>
    <row r="1061" spans="2:29" s="33" customFormat="1" ht="13.8" hidden="1" x14ac:dyDescent="0.25"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</row>
    <row r="1062" spans="2:29" s="33" customFormat="1" ht="13.8" hidden="1" x14ac:dyDescent="0.25"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</row>
    <row r="1063" spans="2:29" s="33" customFormat="1" ht="13.8" hidden="1" x14ac:dyDescent="0.25"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</row>
    <row r="1064" spans="2:29" s="33" customFormat="1" ht="13.8" hidden="1" x14ac:dyDescent="0.25"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</row>
    <row r="1065" spans="2:29" s="33" customFormat="1" ht="13.8" hidden="1" x14ac:dyDescent="0.25"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</row>
    <row r="1066" spans="2:29" s="33" customFormat="1" ht="13.8" hidden="1" x14ac:dyDescent="0.25"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</row>
    <row r="1067" spans="2:29" s="33" customFormat="1" ht="13.8" hidden="1" x14ac:dyDescent="0.25"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</row>
    <row r="1068" spans="2:29" s="33" customFormat="1" ht="13.8" hidden="1" x14ac:dyDescent="0.25"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</row>
    <row r="1069" spans="2:29" s="33" customFormat="1" ht="13.8" hidden="1" x14ac:dyDescent="0.25"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</row>
    <row r="1070" spans="2:29" s="33" customFormat="1" ht="13.8" hidden="1" x14ac:dyDescent="0.25"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</row>
    <row r="1071" spans="2:29" s="33" customFormat="1" ht="13.8" hidden="1" x14ac:dyDescent="0.25"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</row>
    <row r="1072" spans="2:29" s="33" customFormat="1" ht="13.8" hidden="1" x14ac:dyDescent="0.25"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</row>
    <row r="1073" spans="2:29" s="33" customFormat="1" ht="13.8" hidden="1" x14ac:dyDescent="0.25"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</row>
    <row r="1074" spans="2:29" s="33" customFormat="1" ht="13.8" hidden="1" x14ac:dyDescent="0.25"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</row>
    <row r="1075" spans="2:29" s="33" customFormat="1" ht="13.8" hidden="1" x14ac:dyDescent="0.25"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</row>
    <row r="1076" spans="2:29" s="33" customFormat="1" ht="13.8" hidden="1" x14ac:dyDescent="0.25"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</row>
    <row r="1077" spans="2:29" s="33" customFormat="1" ht="13.8" hidden="1" x14ac:dyDescent="0.25"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</row>
    <row r="1078" spans="2:29" s="33" customFormat="1" ht="13.8" hidden="1" x14ac:dyDescent="0.25"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</row>
    <row r="1079" spans="2:29" s="33" customFormat="1" ht="13.8" hidden="1" x14ac:dyDescent="0.25"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</row>
    <row r="1080" spans="2:29" s="33" customFormat="1" ht="13.8" hidden="1" x14ac:dyDescent="0.25"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</row>
    <row r="1081" spans="2:29" s="33" customFormat="1" ht="13.8" hidden="1" x14ac:dyDescent="0.25"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</row>
    <row r="1082" spans="2:29" s="33" customFormat="1" ht="13.8" hidden="1" x14ac:dyDescent="0.25"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</row>
    <row r="1083" spans="2:29" s="33" customFormat="1" ht="13.8" hidden="1" x14ac:dyDescent="0.25"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</row>
    <row r="1084" spans="2:29" s="33" customFormat="1" ht="13.8" hidden="1" x14ac:dyDescent="0.25"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</row>
    <row r="1085" spans="2:29" s="33" customFormat="1" ht="13.8" hidden="1" x14ac:dyDescent="0.25"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</row>
    <row r="1086" spans="2:29" s="33" customFormat="1" ht="13.8" hidden="1" x14ac:dyDescent="0.25"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</row>
    <row r="1087" spans="2:29" s="33" customFormat="1" ht="13.8" hidden="1" x14ac:dyDescent="0.25"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</row>
    <row r="1088" spans="2:29" s="33" customFormat="1" ht="13.8" hidden="1" x14ac:dyDescent="0.25"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</row>
    <row r="1089" spans="2:29" s="33" customFormat="1" ht="13.8" hidden="1" x14ac:dyDescent="0.25"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</row>
    <row r="1090" spans="2:29" s="33" customFormat="1" ht="13.8" hidden="1" x14ac:dyDescent="0.25"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</row>
    <row r="1091" spans="2:29" s="33" customFormat="1" ht="13.8" hidden="1" x14ac:dyDescent="0.25"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</row>
    <row r="1092" spans="2:29" s="33" customFormat="1" ht="13.8" hidden="1" x14ac:dyDescent="0.25"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</row>
    <row r="1093" spans="2:29" s="33" customFormat="1" ht="13.8" hidden="1" x14ac:dyDescent="0.25"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</row>
    <row r="1094" spans="2:29" s="33" customFormat="1" ht="13.8" hidden="1" x14ac:dyDescent="0.25"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</row>
    <row r="1095" spans="2:29" s="33" customFormat="1" ht="13.8" hidden="1" x14ac:dyDescent="0.25"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</row>
    <row r="1096" spans="2:29" s="33" customFormat="1" ht="13.8" hidden="1" x14ac:dyDescent="0.25"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</row>
    <row r="1097" spans="2:29" s="33" customFormat="1" ht="13.8" hidden="1" x14ac:dyDescent="0.25"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</row>
    <row r="1098" spans="2:29" s="33" customFormat="1" ht="13.8" hidden="1" x14ac:dyDescent="0.25"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</row>
    <row r="1099" spans="2:29" s="33" customFormat="1" ht="13.8" hidden="1" x14ac:dyDescent="0.25"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</row>
    <row r="1100" spans="2:29" s="33" customFormat="1" ht="13.8" hidden="1" x14ac:dyDescent="0.25"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</row>
    <row r="1101" spans="2:29" s="33" customFormat="1" ht="13.8" hidden="1" x14ac:dyDescent="0.25"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</row>
    <row r="1102" spans="2:29" s="33" customFormat="1" ht="13.8" hidden="1" x14ac:dyDescent="0.25"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</row>
    <row r="1103" spans="2:29" s="33" customFormat="1" ht="13.8" hidden="1" x14ac:dyDescent="0.25"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</row>
    <row r="1104" spans="2:29" s="33" customFormat="1" ht="13.8" hidden="1" x14ac:dyDescent="0.25"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</row>
    <row r="1105" spans="2:29" s="33" customFormat="1" ht="13.8" hidden="1" x14ac:dyDescent="0.25"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</row>
    <row r="1106" spans="2:29" s="33" customFormat="1" ht="13.8" hidden="1" x14ac:dyDescent="0.25"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</row>
    <row r="1107" spans="2:29" s="33" customFormat="1" ht="13.8" hidden="1" x14ac:dyDescent="0.25"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</row>
    <row r="1108" spans="2:29" s="33" customFormat="1" ht="13.8" hidden="1" x14ac:dyDescent="0.25"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</row>
    <row r="1109" spans="2:29" s="33" customFormat="1" ht="13.8" hidden="1" x14ac:dyDescent="0.25"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</row>
    <row r="1110" spans="2:29" s="33" customFormat="1" ht="13.8" hidden="1" x14ac:dyDescent="0.25"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</row>
    <row r="1111" spans="2:29" s="33" customFormat="1" ht="13.8" hidden="1" x14ac:dyDescent="0.25"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</row>
    <row r="1112" spans="2:29" s="33" customFormat="1" ht="13.8" hidden="1" x14ac:dyDescent="0.25"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</row>
    <row r="1113" spans="2:29" s="33" customFormat="1" ht="13.8" hidden="1" x14ac:dyDescent="0.25"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</row>
    <row r="1114" spans="2:29" s="33" customFormat="1" ht="13.8" hidden="1" x14ac:dyDescent="0.25"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</row>
    <row r="1115" spans="2:29" s="33" customFormat="1" ht="13.8" hidden="1" x14ac:dyDescent="0.25"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</row>
    <row r="1116" spans="2:29" s="33" customFormat="1" ht="13.8" hidden="1" x14ac:dyDescent="0.25"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</row>
    <row r="1117" spans="2:29" s="33" customFormat="1" ht="13.8" hidden="1" x14ac:dyDescent="0.25"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</row>
    <row r="1118" spans="2:29" s="33" customFormat="1" ht="13.8" hidden="1" x14ac:dyDescent="0.25"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</row>
    <row r="1119" spans="2:29" s="33" customFormat="1" ht="13.8" hidden="1" x14ac:dyDescent="0.25"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</row>
    <row r="1120" spans="2:29" s="33" customFormat="1" ht="13.8" hidden="1" x14ac:dyDescent="0.25"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</row>
    <row r="1121" spans="2:29" s="33" customFormat="1" ht="13.8" hidden="1" x14ac:dyDescent="0.25"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</row>
    <row r="1122" spans="2:29" s="33" customFormat="1" ht="13.8" hidden="1" x14ac:dyDescent="0.25"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</row>
    <row r="1123" spans="2:29" s="33" customFormat="1" ht="13.8" hidden="1" x14ac:dyDescent="0.25"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</row>
    <row r="1124" spans="2:29" s="33" customFormat="1" ht="13.8" hidden="1" x14ac:dyDescent="0.25"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</row>
    <row r="1125" spans="2:29" s="33" customFormat="1" ht="13.8" hidden="1" x14ac:dyDescent="0.25"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</row>
    <row r="1126" spans="2:29" s="33" customFormat="1" ht="13.8" hidden="1" x14ac:dyDescent="0.25"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</row>
    <row r="1127" spans="2:29" s="33" customFormat="1" ht="13.8" hidden="1" x14ac:dyDescent="0.25"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</row>
    <row r="1128" spans="2:29" s="33" customFormat="1" ht="13.8" hidden="1" x14ac:dyDescent="0.25"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</row>
    <row r="1129" spans="2:29" s="33" customFormat="1" ht="13.8" hidden="1" x14ac:dyDescent="0.25"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</row>
    <row r="1130" spans="2:29" s="33" customFormat="1" ht="13.8" hidden="1" x14ac:dyDescent="0.25"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</row>
    <row r="1131" spans="2:29" s="33" customFormat="1" ht="13.8" hidden="1" x14ac:dyDescent="0.25"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</row>
    <row r="1132" spans="2:29" s="33" customFormat="1" ht="13.8" hidden="1" x14ac:dyDescent="0.25"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</row>
    <row r="1133" spans="2:29" s="33" customFormat="1" ht="13.8" hidden="1" x14ac:dyDescent="0.25"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</row>
    <row r="1134" spans="2:29" s="33" customFormat="1" ht="13.8" hidden="1" x14ac:dyDescent="0.25"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</row>
    <row r="1135" spans="2:29" s="33" customFormat="1" ht="13.8" hidden="1" x14ac:dyDescent="0.25"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</row>
    <row r="1136" spans="2:29" s="33" customFormat="1" ht="13.8" hidden="1" x14ac:dyDescent="0.25"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</row>
    <row r="1137" spans="2:29" s="33" customFormat="1" ht="13.8" hidden="1" x14ac:dyDescent="0.25"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</row>
    <row r="1138" spans="2:29" s="33" customFormat="1" ht="13.8" hidden="1" x14ac:dyDescent="0.25"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</row>
    <row r="1139" spans="2:29" s="33" customFormat="1" ht="13.8" hidden="1" x14ac:dyDescent="0.25"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</row>
    <row r="1140" spans="2:29" s="33" customFormat="1" ht="13.8" hidden="1" x14ac:dyDescent="0.25"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</row>
    <row r="1141" spans="2:29" s="33" customFormat="1" ht="13.8" hidden="1" x14ac:dyDescent="0.25"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</row>
    <row r="1142" spans="2:29" s="33" customFormat="1" ht="13.8" hidden="1" x14ac:dyDescent="0.25"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</row>
    <row r="1143" spans="2:29" s="33" customFormat="1" ht="13.8" hidden="1" x14ac:dyDescent="0.25"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</row>
    <row r="1144" spans="2:29" s="33" customFormat="1" ht="13.8" hidden="1" x14ac:dyDescent="0.25"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</row>
    <row r="1145" spans="2:29" s="33" customFormat="1" ht="13.8" hidden="1" x14ac:dyDescent="0.25"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</row>
    <row r="1146" spans="2:29" s="33" customFormat="1" ht="13.8" hidden="1" x14ac:dyDescent="0.25"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</row>
    <row r="1147" spans="2:29" s="33" customFormat="1" ht="13.8" hidden="1" x14ac:dyDescent="0.25"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</row>
    <row r="1148" spans="2:29" s="33" customFormat="1" ht="13.8" hidden="1" x14ac:dyDescent="0.25"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</row>
    <row r="1149" spans="2:29" s="33" customFormat="1" ht="13.8" hidden="1" x14ac:dyDescent="0.25"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</row>
    <row r="1150" spans="2:29" s="33" customFormat="1" ht="13.8" hidden="1" x14ac:dyDescent="0.25"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</row>
    <row r="1151" spans="2:29" s="33" customFormat="1" ht="13.8" hidden="1" x14ac:dyDescent="0.25"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</row>
    <row r="1152" spans="2:29" s="33" customFormat="1" ht="13.8" hidden="1" x14ac:dyDescent="0.25"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</row>
    <row r="1153" spans="2:29" s="33" customFormat="1" ht="13.8" hidden="1" x14ac:dyDescent="0.25"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</row>
    <row r="1154" spans="2:29" s="33" customFormat="1" ht="13.8" hidden="1" x14ac:dyDescent="0.25"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</row>
    <row r="1155" spans="2:29" s="33" customFormat="1" ht="13.8" hidden="1" x14ac:dyDescent="0.25"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</row>
    <row r="1156" spans="2:29" s="33" customFormat="1" ht="13.8" hidden="1" x14ac:dyDescent="0.25"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</row>
    <row r="1157" spans="2:29" s="33" customFormat="1" ht="13.8" hidden="1" x14ac:dyDescent="0.25"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</row>
    <row r="1158" spans="2:29" s="33" customFormat="1" ht="13.8" hidden="1" x14ac:dyDescent="0.25"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</row>
    <row r="1159" spans="2:29" s="33" customFormat="1" ht="13.8" hidden="1" x14ac:dyDescent="0.25"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</row>
    <row r="1160" spans="2:29" s="33" customFormat="1" ht="13.8" hidden="1" x14ac:dyDescent="0.25"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</row>
    <row r="1161" spans="2:29" s="33" customFormat="1" ht="13.8" hidden="1" x14ac:dyDescent="0.25"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</row>
    <row r="1162" spans="2:29" s="33" customFormat="1" ht="13.8" hidden="1" x14ac:dyDescent="0.25"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</row>
    <row r="1163" spans="2:29" s="33" customFormat="1" ht="13.8" hidden="1" x14ac:dyDescent="0.25"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</row>
    <row r="1164" spans="2:29" s="33" customFormat="1" ht="13.8" hidden="1" x14ac:dyDescent="0.25"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</row>
    <row r="1165" spans="2:29" s="33" customFormat="1" ht="13.8" hidden="1" x14ac:dyDescent="0.25"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</row>
    <row r="1166" spans="2:29" s="33" customFormat="1" ht="13.8" hidden="1" x14ac:dyDescent="0.25"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</row>
    <row r="1167" spans="2:29" s="33" customFormat="1" ht="13.8" hidden="1" x14ac:dyDescent="0.25"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</row>
    <row r="1168" spans="2:29" s="33" customFormat="1" ht="13.8" hidden="1" x14ac:dyDescent="0.25"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</row>
    <row r="1169" spans="2:29" s="33" customFormat="1" ht="13.8" hidden="1" x14ac:dyDescent="0.25"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</row>
    <row r="1170" spans="2:29" s="33" customFormat="1" ht="13.8" hidden="1" x14ac:dyDescent="0.25"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</row>
    <row r="1171" spans="2:29" s="33" customFormat="1" ht="13.8" hidden="1" x14ac:dyDescent="0.25"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</row>
    <row r="1172" spans="2:29" s="33" customFormat="1" ht="13.8" hidden="1" x14ac:dyDescent="0.25"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</row>
    <row r="1173" spans="2:29" s="33" customFormat="1" ht="13.8" hidden="1" x14ac:dyDescent="0.25"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</row>
    <row r="1174" spans="2:29" s="33" customFormat="1" ht="13.8" hidden="1" x14ac:dyDescent="0.25"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</row>
    <row r="1175" spans="2:29" s="33" customFormat="1" ht="13.8" hidden="1" x14ac:dyDescent="0.25"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</row>
    <row r="1176" spans="2:29" s="33" customFormat="1" ht="13.8" hidden="1" x14ac:dyDescent="0.25"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</row>
    <row r="1177" spans="2:29" s="33" customFormat="1" ht="13.8" hidden="1" x14ac:dyDescent="0.25"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</row>
    <row r="1178" spans="2:29" s="33" customFormat="1" ht="13.8" hidden="1" x14ac:dyDescent="0.25"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</row>
    <row r="1179" spans="2:29" s="33" customFormat="1" ht="13.8" hidden="1" x14ac:dyDescent="0.25"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</row>
    <row r="1180" spans="2:29" s="33" customFormat="1" ht="13.8" hidden="1" x14ac:dyDescent="0.25"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</row>
    <row r="1181" spans="2:29" s="33" customFormat="1" ht="13.8" hidden="1" x14ac:dyDescent="0.25"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</row>
    <row r="1182" spans="2:29" s="33" customFormat="1" ht="13.8" hidden="1" x14ac:dyDescent="0.25"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</row>
    <row r="1183" spans="2:29" s="33" customFormat="1" ht="13.8" hidden="1" x14ac:dyDescent="0.25"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</row>
    <row r="1184" spans="2:29" s="33" customFormat="1" ht="13.8" hidden="1" x14ac:dyDescent="0.25"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</row>
    <row r="1185" spans="2:29" s="33" customFormat="1" ht="13.8" hidden="1" x14ac:dyDescent="0.25"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</row>
    <row r="1186" spans="2:29" s="33" customFormat="1" ht="13.8" hidden="1" x14ac:dyDescent="0.25"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</row>
    <row r="1187" spans="2:29" s="33" customFormat="1" ht="13.8" hidden="1" x14ac:dyDescent="0.25"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</row>
    <row r="1188" spans="2:29" s="33" customFormat="1" ht="13.8" hidden="1" x14ac:dyDescent="0.25"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</row>
    <row r="1189" spans="2:29" s="33" customFormat="1" ht="13.8" hidden="1" x14ac:dyDescent="0.25"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</row>
    <row r="1190" spans="2:29" s="33" customFormat="1" ht="13.8" hidden="1" x14ac:dyDescent="0.25"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</row>
    <row r="1191" spans="2:29" s="33" customFormat="1" ht="13.8" hidden="1" x14ac:dyDescent="0.25"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</row>
    <row r="1192" spans="2:29" s="33" customFormat="1" ht="13.8" hidden="1" x14ac:dyDescent="0.25"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</row>
    <row r="1193" spans="2:29" s="33" customFormat="1" ht="13.8" hidden="1" x14ac:dyDescent="0.25"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</row>
    <row r="1194" spans="2:29" s="33" customFormat="1" ht="13.8" hidden="1" x14ac:dyDescent="0.25"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</row>
    <row r="1195" spans="2:29" s="33" customFormat="1" ht="13.8" hidden="1" x14ac:dyDescent="0.25"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</row>
    <row r="1196" spans="2:29" s="33" customFormat="1" ht="13.8" hidden="1" x14ac:dyDescent="0.25"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</row>
    <row r="1197" spans="2:29" s="33" customFormat="1" ht="13.8" hidden="1" x14ac:dyDescent="0.25"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</row>
    <row r="1198" spans="2:29" s="33" customFormat="1" ht="13.8" hidden="1" x14ac:dyDescent="0.25"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</row>
    <row r="1199" spans="2:29" s="33" customFormat="1" ht="13.8" hidden="1" x14ac:dyDescent="0.25"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</row>
    <row r="1200" spans="2:29" s="33" customFormat="1" ht="13.8" hidden="1" x14ac:dyDescent="0.25"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</row>
    <row r="1201" spans="2:29" s="33" customFormat="1" ht="13.8" hidden="1" x14ac:dyDescent="0.25"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</row>
    <row r="1202" spans="2:29" s="33" customFormat="1" ht="13.8" hidden="1" x14ac:dyDescent="0.25"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</row>
    <row r="1203" spans="2:29" s="33" customFormat="1" ht="13.8" hidden="1" x14ac:dyDescent="0.25"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</row>
    <row r="1204" spans="2:29" s="33" customFormat="1" ht="13.8" hidden="1" x14ac:dyDescent="0.25"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</row>
    <row r="1205" spans="2:29" s="33" customFormat="1" ht="13.8" hidden="1" x14ac:dyDescent="0.25"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</row>
    <row r="1206" spans="2:29" s="33" customFormat="1" ht="13.8" hidden="1" x14ac:dyDescent="0.25"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</row>
    <row r="1207" spans="2:29" s="33" customFormat="1" ht="13.8" hidden="1" x14ac:dyDescent="0.25"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</row>
    <row r="1208" spans="2:29" s="33" customFormat="1" ht="13.8" hidden="1" x14ac:dyDescent="0.25"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</row>
    <row r="1209" spans="2:29" s="33" customFormat="1" ht="13.8" hidden="1" x14ac:dyDescent="0.25"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</row>
    <row r="1210" spans="2:29" s="33" customFormat="1" ht="13.8" hidden="1" x14ac:dyDescent="0.25"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</row>
    <row r="1211" spans="2:29" s="33" customFormat="1" ht="13.8" hidden="1" x14ac:dyDescent="0.25"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</row>
    <row r="1212" spans="2:29" s="33" customFormat="1" ht="13.8" hidden="1" x14ac:dyDescent="0.25"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</row>
    <row r="1213" spans="2:29" s="33" customFormat="1" ht="13.8" hidden="1" x14ac:dyDescent="0.25"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</row>
    <row r="1214" spans="2:29" s="33" customFormat="1" ht="13.8" hidden="1" x14ac:dyDescent="0.25"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</row>
    <row r="1215" spans="2:29" s="33" customFormat="1" ht="13.8" hidden="1" x14ac:dyDescent="0.25"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</row>
    <row r="1216" spans="2:29" s="33" customFormat="1" ht="13.8" hidden="1" x14ac:dyDescent="0.25"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</row>
    <row r="1217" spans="2:29" s="33" customFormat="1" ht="13.8" hidden="1" x14ac:dyDescent="0.25"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</row>
    <row r="1218" spans="2:29" s="33" customFormat="1" ht="13.8" hidden="1" x14ac:dyDescent="0.25"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</row>
    <row r="1219" spans="2:29" s="33" customFormat="1" ht="13.8" hidden="1" x14ac:dyDescent="0.25"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</row>
    <row r="1220" spans="2:29" s="33" customFormat="1" ht="13.8" hidden="1" x14ac:dyDescent="0.25"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</row>
    <row r="1221" spans="2:29" s="33" customFormat="1" ht="13.8" hidden="1" x14ac:dyDescent="0.25"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</row>
    <row r="1222" spans="2:29" s="33" customFormat="1" ht="13.8" hidden="1" x14ac:dyDescent="0.25"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</row>
    <row r="1223" spans="2:29" s="33" customFormat="1" ht="13.8" hidden="1" x14ac:dyDescent="0.25"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0"/>
    </row>
    <row r="1224" spans="2:29" s="33" customFormat="1" ht="13.8" hidden="1" x14ac:dyDescent="0.25"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</row>
    <row r="1225" spans="2:29" s="33" customFormat="1" ht="13.8" hidden="1" x14ac:dyDescent="0.25"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0"/>
    </row>
    <row r="1226" spans="2:29" s="33" customFormat="1" ht="13.8" hidden="1" x14ac:dyDescent="0.25"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0"/>
    </row>
    <row r="1227" spans="2:29" s="33" customFormat="1" ht="13.8" hidden="1" x14ac:dyDescent="0.25"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</row>
    <row r="1228" spans="2:29" s="33" customFormat="1" ht="13.8" hidden="1" x14ac:dyDescent="0.25"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</row>
    <row r="1229" spans="2:29" s="33" customFormat="1" ht="13.8" hidden="1" x14ac:dyDescent="0.25"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</row>
    <row r="1230" spans="2:29" s="33" customFormat="1" ht="13.8" hidden="1" x14ac:dyDescent="0.25"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0"/>
    </row>
    <row r="1231" spans="2:29" s="33" customFormat="1" ht="13.8" hidden="1" x14ac:dyDescent="0.25"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</row>
    <row r="1232" spans="2:29" s="33" customFormat="1" ht="13.8" hidden="1" x14ac:dyDescent="0.25"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</row>
    <row r="1233" spans="2:29" s="33" customFormat="1" ht="13.8" hidden="1" x14ac:dyDescent="0.25"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</row>
    <row r="1234" spans="2:29" s="33" customFormat="1" ht="13.8" hidden="1" x14ac:dyDescent="0.25"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</row>
    <row r="1235" spans="2:29" s="33" customFormat="1" ht="13.8" hidden="1" x14ac:dyDescent="0.25"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</row>
    <row r="1236" spans="2:29" s="33" customFormat="1" ht="13.8" hidden="1" x14ac:dyDescent="0.25"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</row>
    <row r="1237" spans="2:29" s="33" customFormat="1" ht="13.8" hidden="1" x14ac:dyDescent="0.25"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</row>
    <row r="1238" spans="2:29" s="33" customFormat="1" ht="13.8" hidden="1" x14ac:dyDescent="0.25"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</row>
    <row r="1239" spans="2:29" s="33" customFormat="1" ht="13.8" hidden="1" x14ac:dyDescent="0.25"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</row>
    <row r="1240" spans="2:29" s="33" customFormat="1" ht="13.8" hidden="1" x14ac:dyDescent="0.25"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</row>
    <row r="1241" spans="2:29" s="33" customFormat="1" ht="13.8" hidden="1" x14ac:dyDescent="0.25"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</row>
    <row r="1242" spans="2:29" s="33" customFormat="1" ht="13.8" hidden="1" x14ac:dyDescent="0.25"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</row>
    <row r="1243" spans="2:29" s="33" customFormat="1" ht="13.8" hidden="1" x14ac:dyDescent="0.25"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</row>
    <row r="1244" spans="2:29" s="33" customFormat="1" ht="13.8" hidden="1" x14ac:dyDescent="0.25"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0"/>
    </row>
    <row r="1245" spans="2:29" s="33" customFormat="1" ht="13.8" hidden="1" x14ac:dyDescent="0.25"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</row>
    <row r="1246" spans="2:29" s="33" customFormat="1" ht="13.8" hidden="1" x14ac:dyDescent="0.25"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</row>
    <row r="1247" spans="2:29" s="33" customFormat="1" ht="13.8" hidden="1" x14ac:dyDescent="0.25"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0"/>
    </row>
    <row r="1248" spans="2:29" s="33" customFormat="1" ht="13.8" hidden="1" x14ac:dyDescent="0.25"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</row>
    <row r="1249" spans="2:29" s="33" customFormat="1" ht="13.8" hidden="1" x14ac:dyDescent="0.25"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0"/>
    </row>
    <row r="1250" spans="2:29" s="33" customFormat="1" ht="13.8" hidden="1" x14ac:dyDescent="0.25"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</row>
    <row r="1251" spans="2:29" s="33" customFormat="1" ht="13.8" hidden="1" x14ac:dyDescent="0.25"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</row>
    <row r="1252" spans="2:29" s="33" customFormat="1" ht="13.8" hidden="1" x14ac:dyDescent="0.25"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</row>
    <row r="1253" spans="2:29" s="33" customFormat="1" ht="13.8" hidden="1" x14ac:dyDescent="0.25"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</row>
    <row r="1254" spans="2:29" s="33" customFormat="1" ht="13.8" hidden="1" x14ac:dyDescent="0.25"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</row>
    <row r="1255" spans="2:29" s="33" customFormat="1" ht="13.8" hidden="1" x14ac:dyDescent="0.25"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0"/>
    </row>
    <row r="1256" spans="2:29" s="33" customFormat="1" ht="13.8" hidden="1" x14ac:dyDescent="0.25"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0"/>
    </row>
    <row r="1257" spans="2:29" s="33" customFormat="1" ht="13.8" hidden="1" x14ac:dyDescent="0.25"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0"/>
    </row>
    <row r="1258" spans="2:29" s="33" customFormat="1" ht="13.8" hidden="1" x14ac:dyDescent="0.25"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</row>
    <row r="1259" spans="2:29" s="33" customFormat="1" ht="13.8" hidden="1" x14ac:dyDescent="0.25"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</row>
    <row r="1260" spans="2:29" s="33" customFormat="1" ht="13.8" hidden="1" x14ac:dyDescent="0.25"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</row>
    <row r="1261" spans="2:29" s="33" customFormat="1" ht="13.8" hidden="1" x14ac:dyDescent="0.25"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</row>
    <row r="1262" spans="2:29" s="33" customFormat="1" ht="13.8" hidden="1" x14ac:dyDescent="0.25"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</row>
    <row r="1263" spans="2:29" s="33" customFormat="1" ht="13.8" hidden="1" x14ac:dyDescent="0.25"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</row>
    <row r="1264" spans="2:29" s="33" customFormat="1" ht="13.8" hidden="1" x14ac:dyDescent="0.25"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</row>
    <row r="1265" spans="2:29" s="33" customFormat="1" ht="13.8" hidden="1" x14ac:dyDescent="0.25"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</row>
    <row r="1266" spans="2:29" s="33" customFormat="1" ht="13.8" hidden="1" x14ac:dyDescent="0.25"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</row>
    <row r="1267" spans="2:29" s="33" customFormat="1" ht="13.8" hidden="1" x14ac:dyDescent="0.25"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</row>
    <row r="1268" spans="2:29" s="33" customFormat="1" ht="13.8" hidden="1" x14ac:dyDescent="0.25"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</row>
    <row r="1269" spans="2:29" s="33" customFormat="1" ht="13.8" hidden="1" x14ac:dyDescent="0.25"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</row>
    <row r="1270" spans="2:29" s="33" customFormat="1" ht="13.8" hidden="1" x14ac:dyDescent="0.25"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</row>
    <row r="1271" spans="2:29" s="33" customFormat="1" ht="13.8" hidden="1" x14ac:dyDescent="0.25"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</row>
    <row r="1272" spans="2:29" s="33" customFormat="1" ht="13.8" hidden="1" x14ac:dyDescent="0.25"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</row>
    <row r="1273" spans="2:29" s="33" customFormat="1" ht="13.8" hidden="1" x14ac:dyDescent="0.25"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</row>
    <row r="1274" spans="2:29" s="33" customFormat="1" ht="13.8" hidden="1" x14ac:dyDescent="0.25"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</row>
    <row r="1275" spans="2:29" s="33" customFormat="1" ht="13.8" hidden="1" x14ac:dyDescent="0.25"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</row>
    <row r="1276" spans="2:29" s="33" customFormat="1" ht="13.8" hidden="1" x14ac:dyDescent="0.25"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</row>
    <row r="1277" spans="2:29" s="33" customFormat="1" ht="13.8" hidden="1" x14ac:dyDescent="0.25"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</row>
    <row r="1278" spans="2:29" s="33" customFormat="1" ht="13.8" hidden="1" x14ac:dyDescent="0.25"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</row>
    <row r="1279" spans="2:29" s="33" customFormat="1" ht="13.8" hidden="1" x14ac:dyDescent="0.25"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</row>
    <row r="1280" spans="2:29" s="33" customFormat="1" ht="13.8" hidden="1" x14ac:dyDescent="0.25"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</row>
    <row r="1281" spans="2:29" s="33" customFormat="1" ht="13.8" hidden="1" x14ac:dyDescent="0.25"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</row>
    <row r="1282" spans="2:29" s="33" customFormat="1" ht="13.8" hidden="1" x14ac:dyDescent="0.25"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</row>
    <row r="1283" spans="2:29" s="33" customFormat="1" ht="13.8" hidden="1" x14ac:dyDescent="0.25"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</row>
    <row r="1284" spans="2:29" s="33" customFormat="1" ht="13.8" hidden="1" x14ac:dyDescent="0.25"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</row>
    <row r="1285" spans="2:29" s="33" customFormat="1" ht="13.8" hidden="1" x14ac:dyDescent="0.25"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</row>
    <row r="1286" spans="2:29" s="33" customFormat="1" ht="13.8" hidden="1" x14ac:dyDescent="0.25"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</row>
    <row r="1287" spans="2:29" s="33" customFormat="1" ht="13.8" hidden="1" x14ac:dyDescent="0.25"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</row>
    <row r="1288" spans="2:29" s="33" customFormat="1" ht="13.8" hidden="1" x14ac:dyDescent="0.25"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</row>
    <row r="1289" spans="2:29" s="33" customFormat="1" ht="13.8" hidden="1" x14ac:dyDescent="0.25"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</row>
    <row r="1290" spans="2:29" s="33" customFormat="1" ht="13.8" hidden="1" x14ac:dyDescent="0.25"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</row>
    <row r="1291" spans="2:29" s="33" customFormat="1" ht="13.8" hidden="1" x14ac:dyDescent="0.25"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</row>
    <row r="1292" spans="2:29" s="33" customFormat="1" ht="13.8" hidden="1" x14ac:dyDescent="0.25"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</row>
    <row r="1293" spans="2:29" s="33" customFormat="1" ht="13.8" hidden="1" x14ac:dyDescent="0.25"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</row>
    <row r="1294" spans="2:29" s="33" customFormat="1" ht="13.8" hidden="1" x14ac:dyDescent="0.25"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</row>
    <row r="1295" spans="2:29" s="33" customFormat="1" ht="13.8" hidden="1" x14ac:dyDescent="0.25"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</row>
    <row r="1296" spans="2:29" s="33" customFormat="1" ht="13.8" hidden="1" x14ac:dyDescent="0.25"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</row>
    <row r="1297" spans="2:29" s="33" customFormat="1" ht="13.8" hidden="1" x14ac:dyDescent="0.25"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</row>
    <row r="1298" spans="2:29" s="33" customFormat="1" ht="13.8" hidden="1" x14ac:dyDescent="0.25"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</row>
    <row r="1299" spans="2:29" s="33" customFormat="1" ht="13.8" hidden="1" x14ac:dyDescent="0.25"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</row>
    <row r="1300" spans="2:29" s="33" customFormat="1" ht="13.8" hidden="1" x14ac:dyDescent="0.25"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</row>
    <row r="1301" spans="2:29" s="33" customFormat="1" ht="13.8" hidden="1" x14ac:dyDescent="0.25"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</row>
    <row r="1302" spans="2:29" s="33" customFormat="1" ht="13.8" hidden="1" x14ac:dyDescent="0.25"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</row>
    <row r="1303" spans="2:29" s="33" customFormat="1" ht="13.8" hidden="1" x14ac:dyDescent="0.25"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</row>
    <row r="1304" spans="2:29" s="33" customFormat="1" ht="13.8" hidden="1" x14ac:dyDescent="0.25"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</row>
    <row r="1305" spans="2:29" s="33" customFormat="1" ht="13.8" hidden="1" x14ac:dyDescent="0.25"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</row>
    <row r="1306" spans="2:29" s="33" customFormat="1" ht="13.8" hidden="1" x14ac:dyDescent="0.25"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</row>
    <row r="1307" spans="2:29" s="33" customFormat="1" ht="13.8" hidden="1" x14ac:dyDescent="0.25"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</row>
    <row r="1308" spans="2:29" s="33" customFormat="1" ht="13.8" hidden="1" x14ac:dyDescent="0.25"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</row>
    <row r="1309" spans="2:29" s="33" customFormat="1" ht="13.8" hidden="1" x14ac:dyDescent="0.25"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</row>
    <row r="1310" spans="2:29" s="33" customFormat="1" ht="13.8" hidden="1" x14ac:dyDescent="0.25"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</row>
    <row r="1311" spans="2:29" s="33" customFormat="1" ht="13.8" hidden="1" x14ac:dyDescent="0.25"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</row>
    <row r="1312" spans="2:29" s="33" customFormat="1" ht="13.8" hidden="1" x14ac:dyDescent="0.25"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</row>
    <row r="1313" spans="2:29" s="33" customFormat="1" ht="13.8" hidden="1" x14ac:dyDescent="0.25"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</row>
    <row r="1314" spans="2:29" s="33" customFormat="1" ht="13.8" hidden="1" x14ac:dyDescent="0.25"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0"/>
    </row>
    <row r="1315" spans="2:29" s="33" customFormat="1" ht="13.8" hidden="1" x14ac:dyDescent="0.25"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</row>
    <row r="1316" spans="2:29" s="33" customFormat="1" ht="13.8" hidden="1" x14ac:dyDescent="0.25"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</row>
    <row r="1317" spans="2:29" s="33" customFormat="1" ht="13.8" hidden="1" x14ac:dyDescent="0.25"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</row>
    <row r="1318" spans="2:29" s="33" customFormat="1" ht="13.8" hidden="1" x14ac:dyDescent="0.25"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</row>
    <row r="1319" spans="2:29" s="33" customFormat="1" ht="13.8" hidden="1" x14ac:dyDescent="0.25"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0"/>
    </row>
    <row r="1320" spans="2:29" s="33" customFormat="1" ht="13.8" hidden="1" x14ac:dyDescent="0.25"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0"/>
    </row>
    <row r="1321" spans="2:29" s="33" customFormat="1" ht="13.8" hidden="1" x14ac:dyDescent="0.25"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</row>
    <row r="1322" spans="2:29" s="33" customFormat="1" ht="13.8" hidden="1" x14ac:dyDescent="0.25"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</row>
    <row r="1323" spans="2:29" s="33" customFormat="1" ht="13.8" hidden="1" x14ac:dyDescent="0.25"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</row>
    <row r="1324" spans="2:29" s="33" customFormat="1" ht="13.8" hidden="1" x14ac:dyDescent="0.25"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</row>
    <row r="1325" spans="2:29" s="33" customFormat="1" ht="13.8" hidden="1" x14ac:dyDescent="0.25"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</row>
    <row r="1326" spans="2:29" s="33" customFormat="1" ht="13.8" hidden="1" x14ac:dyDescent="0.25"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</row>
    <row r="1327" spans="2:29" s="33" customFormat="1" ht="13.8" hidden="1" x14ac:dyDescent="0.25"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</row>
    <row r="1328" spans="2:29" s="33" customFormat="1" ht="13.8" hidden="1" x14ac:dyDescent="0.25"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</row>
    <row r="1329" spans="2:29" s="33" customFormat="1" ht="13.8" hidden="1" x14ac:dyDescent="0.25"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</row>
    <row r="1330" spans="2:29" s="33" customFormat="1" ht="13.8" hidden="1" x14ac:dyDescent="0.25"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</row>
    <row r="1331" spans="2:29" s="33" customFormat="1" ht="13.8" hidden="1" x14ac:dyDescent="0.25"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</row>
    <row r="1332" spans="2:29" s="33" customFormat="1" ht="13.8" hidden="1" x14ac:dyDescent="0.25"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</row>
    <row r="1333" spans="2:29" s="33" customFormat="1" ht="13.8" hidden="1" x14ac:dyDescent="0.25"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</row>
    <row r="1334" spans="2:29" s="33" customFormat="1" ht="13.8" hidden="1" x14ac:dyDescent="0.25"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0"/>
    </row>
    <row r="1335" spans="2:29" s="33" customFormat="1" ht="13.8" hidden="1" x14ac:dyDescent="0.25"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</row>
    <row r="1336" spans="2:29" s="33" customFormat="1" ht="13.8" hidden="1" x14ac:dyDescent="0.25"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</row>
    <row r="1337" spans="2:29" s="33" customFormat="1" ht="13.8" hidden="1" x14ac:dyDescent="0.25"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</row>
    <row r="1338" spans="2:29" s="33" customFormat="1" ht="13.8" hidden="1" x14ac:dyDescent="0.25"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</row>
    <row r="1339" spans="2:29" s="33" customFormat="1" ht="13.8" hidden="1" x14ac:dyDescent="0.25"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</row>
    <row r="1340" spans="2:29" s="33" customFormat="1" ht="13.8" hidden="1" x14ac:dyDescent="0.25"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0"/>
    </row>
    <row r="1341" spans="2:29" s="33" customFormat="1" ht="13.8" hidden="1" x14ac:dyDescent="0.25"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</row>
    <row r="1342" spans="2:29" s="33" customFormat="1" ht="13.8" hidden="1" x14ac:dyDescent="0.25"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0"/>
    </row>
    <row r="1343" spans="2:29" s="33" customFormat="1" ht="13.8" hidden="1" x14ac:dyDescent="0.25"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0"/>
    </row>
    <row r="1344" spans="2:29" s="33" customFormat="1" ht="13.8" hidden="1" x14ac:dyDescent="0.25"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</row>
    <row r="1345" spans="2:29" s="33" customFormat="1" ht="13.8" hidden="1" x14ac:dyDescent="0.25"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</row>
    <row r="1346" spans="2:29" s="33" customFormat="1" ht="13.8" hidden="1" x14ac:dyDescent="0.25"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</row>
    <row r="1347" spans="2:29" s="33" customFormat="1" ht="13.8" hidden="1" x14ac:dyDescent="0.25"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0"/>
    </row>
    <row r="1348" spans="2:29" s="33" customFormat="1" ht="13.8" hidden="1" x14ac:dyDescent="0.25"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  <c r="AC1348" s="30"/>
    </row>
    <row r="1349" spans="2:29" s="33" customFormat="1" ht="13.8" hidden="1" x14ac:dyDescent="0.25"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</row>
    <row r="1350" spans="2:29" s="33" customFormat="1" ht="13.8" hidden="1" x14ac:dyDescent="0.25"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0"/>
    </row>
    <row r="1351" spans="2:29" s="33" customFormat="1" ht="13.8" hidden="1" x14ac:dyDescent="0.25"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</row>
    <row r="1352" spans="2:29" s="33" customFormat="1" ht="13.8" hidden="1" x14ac:dyDescent="0.25"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</row>
    <row r="1353" spans="2:29" s="33" customFormat="1" ht="13.8" hidden="1" x14ac:dyDescent="0.25"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</row>
    <row r="1354" spans="2:29" s="33" customFormat="1" ht="13.8" hidden="1" x14ac:dyDescent="0.25"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</row>
    <row r="1355" spans="2:29" s="33" customFormat="1" ht="13.8" hidden="1" x14ac:dyDescent="0.25"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  <c r="AB1355" s="30"/>
      <c r="AC1355" s="30"/>
    </row>
    <row r="1356" spans="2:29" s="33" customFormat="1" ht="13.8" hidden="1" x14ac:dyDescent="0.25"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0"/>
    </row>
    <row r="1357" spans="2:29" s="33" customFormat="1" ht="13.8" hidden="1" x14ac:dyDescent="0.25"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</row>
    <row r="1358" spans="2:29" s="33" customFormat="1" ht="13.8" hidden="1" x14ac:dyDescent="0.25"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0"/>
    </row>
    <row r="1359" spans="2:29" s="33" customFormat="1" ht="13.8" hidden="1" x14ac:dyDescent="0.25"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0"/>
    </row>
    <row r="1360" spans="2:29" s="33" customFormat="1" ht="13.8" hidden="1" x14ac:dyDescent="0.25"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0"/>
    </row>
    <row r="1361" spans="2:29" s="33" customFormat="1" ht="13.8" hidden="1" x14ac:dyDescent="0.25"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  <c r="AC1361" s="30"/>
    </row>
    <row r="1362" spans="2:29" s="33" customFormat="1" ht="13.8" hidden="1" x14ac:dyDescent="0.25"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  <c r="AC1362" s="30"/>
    </row>
    <row r="1363" spans="2:29" s="33" customFormat="1" ht="13.8" hidden="1" x14ac:dyDescent="0.25"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0"/>
    </row>
    <row r="1364" spans="2:29" s="33" customFormat="1" ht="13.8" hidden="1" x14ac:dyDescent="0.25"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  <c r="AC1364" s="30"/>
    </row>
    <row r="1365" spans="2:29" s="33" customFormat="1" ht="13.8" hidden="1" x14ac:dyDescent="0.25"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0"/>
    </row>
    <row r="1366" spans="2:29" s="33" customFormat="1" ht="13.8" hidden="1" x14ac:dyDescent="0.25"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</row>
    <row r="1367" spans="2:29" s="33" customFormat="1" ht="13.8" hidden="1" x14ac:dyDescent="0.25"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  <c r="AB1367" s="30"/>
      <c r="AC1367" s="30"/>
    </row>
    <row r="1368" spans="2:29" s="33" customFormat="1" ht="13.8" hidden="1" x14ac:dyDescent="0.25"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  <c r="AC1368" s="30"/>
    </row>
    <row r="1369" spans="2:29" s="33" customFormat="1" ht="13.8" hidden="1" x14ac:dyDescent="0.25"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</row>
    <row r="1370" spans="2:29" s="33" customFormat="1" ht="13.8" hidden="1" x14ac:dyDescent="0.25"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  <c r="AC1370" s="30"/>
    </row>
    <row r="1371" spans="2:29" s="33" customFormat="1" ht="13.8" hidden="1" x14ac:dyDescent="0.25"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  <c r="AC1371" s="30"/>
    </row>
    <row r="1372" spans="2:29" s="33" customFormat="1" ht="13.8" hidden="1" x14ac:dyDescent="0.25"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  <c r="AB1372" s="30"/>
      <c r="AC1372" s="30"/>
    </row>
    <row r="1373" spans="2:29" s="33" customFormat="1" ht="13.8" hidden="1" x14ac:dyDescent="0.25"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  <c r="AB1373" s="30"/>
      <c r="AC1373" s="30"/>
    </row>
    <row r="1374" spans="2:29" s="33" customFormat="1" ht="13.8" hidden="1" x14ac:dyDescent="0.25"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  <c r="AC1374" s="30"/>
    </row>
    <row r="1375" spans="2:29" s="33" customFormat="1" ht="13.8" hidden="1" x14ac:dyDescent="0.25"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</row>
    <row r="1376" spans="2:29" s="33" customFormat="1" ht="13.8" hidden="1" x14ac:dyDescent="0.25"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0"/>
    </row>
    <row r="1377" spans="2:29" s="33" customFormat="1" ht="13.8" hidden="1" x14ac:dyDescent="0.25"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0"/>
    </row>
    <row r="1378" spans="2:29" s="33" customFormat="1" ht="13.8" hidden="1" x14ac:dyDescent="0.25"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</row>
    <row r="1379" spans="2:29" s="33" customFormat="1" ht="13.8" hidden="1" x14ac:dyDescent="0.25"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/>
    </row>
    <row r="1380" spans="2:29" s="33" customFormat="1" ht="13.8" hidden="1" x14ac:dyDescent="0.25"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0"/>
    </row>
    <row r="1381" spans="2:29" s="33" customFormat="1" ht="13.8" hidden="1" x14ac:dyDescent="0.25"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0"/>
    </row>
    <row r="1382" spans="2:29" s="33" customFormat="1" ht="13.8" hidden="1" x14ac:dyDescent="0.25"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/>
    </row>
    <row r="1383" spans="2:29" s="33" customFormat="1" ht="13.8" hidden="1" x14ac:dyDescent="0.25"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0"/>
    </row>
    <row r="1384" spans="2:29" s="33" customFormat="1" ht="13.8" hidden="1" x14ac:dyDescent="0.25"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</row>
    <row r="1385" spans="2:29" s="33" customFormat="1" ht="13.8" hidden="1" x14ac:dyDescent="0.25"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0"/>
    </row>
    <row r="1386" spans="2:29" s="33" customFormat="1" ht="13.8" hidden="1" x14ac:dyDescent="0.25"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0"/>
    </row>
    <row r="1387" spans="2:29" s="33" customFormat="1" ht="13.8" hidden="1" x14ac:dyDescent="0.25"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/>
    </row>
    <row r="1388" spans="2:29" s="33" customFormat="1" ht="13.8" hidden="1" x14ac:dyDescent="0.25"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  <c r="AC1388" s="30"/>
    </row>
    <row r="1389" spans="2:29" s="33" customFormat="1" ht="13.8" hidden="1" x14ac:dyDescent="0.25"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/>
    </row>
    <row r="1390" spans="2:29" s="33" customFormat="1" ht="13.8" hidden="1" x14ac:dyDescent="0.25"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</row>
    <row r="1391" spans="2:29" s="33" customFormat="1" ht="13.8" hidden="1" x14ac:dyDescent="0.25"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  <c r="AC1391" s="30"/>
    </row>
    <row r="1392" spans="2:29" s="33" customFormat="1" ht="13.8" hidden="1" x14ac:dyDescent="0.25"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  <c r="AB1392" s="30"/>
      <c r="AC1392" s="30"/>
    </row>
    <row r="1393" spans="2:29" s="33" customFormat="1" ht="13.8" hidden="1" x14ac:dyDescent="0.25"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</row>
    <row r="1394" spans="2:29" s="33" customFormat="1" ht="13.8" hidden="1" x14ac:dyDescent="0.25"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0"/>
    </row>
    <row r="1395" spans="2:29" s="33" customFormat="1" ht="13.8" hidden="1" x14ac:dyDescent="0.25"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  <c r="AC1395" s="30"/>
    </row>
    <row r="1396" spans="2:29" s="33" customFormat="1" ht="13.8" hidden="1" x14ac:dyDescent="0.25"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</row>
    <row r="1397" spans="2:29" s="33" customFormat="1" ht="13.8" hidden="1" x14ac:dyDescent="0.25"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  <c r="AC1397" s="30"/>
    </row>
    <row r="1398" spans="2:29" s="33" customFormat="1" ht="13.8" hidden="1" x14ac:dyDescent="0.25"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0"/>
    </row>
    <row r="1399" spans="2:29" s="33" customFormat="1" ht="13.8" hidden="1" x14ac:dyDescent="0.25"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</row>
    <row r="1400" spans="2:29" s="33" customFormat="1" ht="13.8" hidden="1" x14ac:dyDescent="0.25"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  <c r="AB1400" s="30"/>
      <c r="AC1400" s="30"/>
    </row>
    <row r="1401" spans="2:29" s="33" customFormat="1" ht="13.8" hidden="1" x14ac:dyDescent="0.25"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0"/>
    </row>
    <row r="1402" spans="2:29" s="33" customFormat="1" ht="13.8" hidden="1" x14ac:dyDescent="0.25"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</row>
    <row r="1403" spans="2:29" s="33" customFormat="1" ht="13.8" hidden="1" x14ac:dyDescent="0.25"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  <c r="AC1403" s="30"/>
    </row>
    <row r="1404" spans="2:29" s="33" customFormat="1" ht="13.8" hidden="1" x14ac:dyDescent="0.25"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/>
    </row>
    <row r="1405" spans="2:29" s="33" customFormat="1" ht="13.8" hidden="1" x14ac:dyDescent="0.25"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0"/>
    </row>
    <row r="1406" spans="2:29" s="33" customFormat="1" ht="13.8" hidden="1" x14ac:dyDescent="0.25"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  <c r="AC1406" s="30"/>
    </row>
    <row r="1407" spans="2:29" s="33" customFormat="1" ht="13.8" hidden="1" x14ac:dyDescent="0.25"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  <c r="AC1407" s="30"/>
    </row>
    <row r="1408" spans="2:29" s="33" customFormat="1" ht="13.8" hidden="1" x14ac:dyDescent="0.25"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0"/>
    </row>
    <row r="1409" spans="2:29" s="33" customFormat="1" ht="13.8" hidden="1" x14ac:dyDescent="0.25"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  <c r="AC1409" s="30"/>
    </row>
    <row r="1410" spans="2:29" s="33" customFormat="1" ht="13.8" hidden="1" x14ac:dyDescent="0.25"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0"/>
    </row>
    <row r="1411" spans="2:29" s="33" customFormat="1" ht="13.8" hidden="1" x14ac:dyDescent="0.25"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  <c r="AB1411" s="30"/>
      <c r="AC1411" s="30"/>
    </row>
    <row r="1412" spans="2:29" s="33" customFormat="1" ht="13.8" hidden="1" x14ac:dyDescent="0.25"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  <c r="AB1412" s="30"/>
      <c r="AC1412" s="30"/>
    </row>
    <row r="1413" spans="2:29" s="33" customFormat="1" ht="13.8" hidden="1" x14ac:dyDescent="0.25"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0"/>
    </row>
    <row r="1414" spans="2:29" s="33" customFormat="1" ht="13.8" hidden="1" x14ac:dyDescent="0.25"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30"/>
    </row>
    <row r="1415" spans="2:29" s="33" customFormat="1" ht="13.8" hidden="1" x14ac:dyDescent="0.25"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0"/>
    </row>
    <row r="1416" spans="2:29" s="33" customFormat="1" ht="13.8" hidden="1" x14ac:dyDescent="0.25"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  <c r="AC1416" s="30"/>
    </row>
    <row r="1417" spans="2:29" s="33" customFormat="1" ht="13.8" hidden="1" x14ac:dyDescent="0.25"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  <c r="AC1417" s="30"/>
    </row>
    <row r="1418" spans="2:29" s="33" customFormat="1" ht="13.8" hidden="1" x14ac:dyDescent="0.25"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0"/>
    </row>
    <row r="1419" spans="2:29" s="33" customFormat="1" ht="13.8" hidden="1" x14ac:dyDescent="0.25"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0"/>
    </row>
    <row r="1420" spans="2:29" s="33" customFormat="1" ht="13.8" hidden="1" x14ac:dyDescent="0.25"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  <c r="AC1420" s="30"/>
    </row>
    <row r="1421" spans="2:29" s="33" customFormat="1" ht="13.8" hidden="1" x14ac:dyDescent="0.25"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0"/>
    </row>
    <row r="1422" spans="2:29" s="33" customFormat="1" ht="13.8" hidden="1" x14ac:dyDescent="0.25"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0"/>
    </row>
    <row r="1423" spans="2:29" s="33" customFormat="1" ht="13.8" hidden="1" x14ac:dyDescent="0.25"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  <c r="AC1423" s="30"/>
    </row>
    <row r="1424" spans="2:29" s="33" customFormat="1" ht="13.8" hidden="1" x14ac:dyDescent="0.25"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  <c r="AC1424" s="30"/>
    </row>
    <row r="1425" spans="2:29" s="33" customFormat="1" ht="13.8" hidden="1" x14ac:dyDescent="0.25"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0"/>
    </row>
    <row r="1426" spans="2:29" s="33" customFormat="1" ht="13.8" hidden="1" x14ac:dyDescent="0.25"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0"/>
    </row>
    <row r="1427" spans="2:29" s="33" customFormat="1" ht="13.8" hidden="1" x14ac:dyDescent="0.25"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0"/>
    </row>
    <row r="1428" spans="2:29" s="33" customFormat="1" ht="13.8" hidden="1" x14ac:dyDescent="0.25"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/>
    </row>
    <row r="1429" spans="2:29" s="33" customFormat="1" ht="13.8" hidden="1" x14ac:dyDescent="0.25"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  <c r="AC1429" s="30"/>
    </row>
    <row r="1430" spans="2:29" s="33" customFormat="1" ht="13.8" hidden="1" x14ac:dyDescent="0.25"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  <c r="AC1430" s="30"/>
    </row>
    <row r="1431" spans="2:29" s="33" customFormat="1" ht="13.8" hidden="1" x14ac:dyDescent="0.25"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</row>
    <row r="1432" spans="2:29" s="33" customFormat="1" ht="13.8" hidden="1" x14ac:dyDescent="0.25"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0"/>
    </row>
    <row r="1433" spans="2:29" s="33" customFormat="1" ht="13.8" hidden="1" x14ac:dyDescent="0.25"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0"/>
    </row>
    <row r="1434" spans="2:29" s="33" customFormat="1" ht="13.8" hidden="1" x14ac:dyDescent="0.25"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0"/>
    </row>
    <row r="1435" spans="2:29" s="33" customFormat="1" ht="13.8" hidden="1" x14ac:dyDescent="0.25"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0"/>
    </row>
    <row r="1436" spans="2:29" s="33" customFormat="1" ht="13.8" hidden="1" x14ac:dyDescent="0.25"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  <c r="AC1436" s="30"/>
    </row>
    <row r="1437" spans="2:29" s="33" customFormat="1" ht="13.8" hidden="1" x14ac:dyDescent="0.25"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0"/>
    </row>
    <row r="1438" spans="2:29" s="33" customFormat="1" ht="13.8" hidden="1" x14ac:dyDescent="0.25"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</row>
    <row r="1439" spans="2:29" s="33" customFormat="1" ht="13.8" hidden="1" x14ac:dyDescent="0.25"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0"/>
    </row>
    <row r="1440" spans="2:29" s="33" customFormat="1" ht="13.8" hidden="1" x14ac:dyDescent="0.25"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  <c r="AB1440" s="30"/>
      <c r="AC1440" s="30"/>
    </row>
    <row r="1441" spans="2:29" s="33" customFormat="1" ht="13.8" hidden="1" x14ac:dyDescent="0.25"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  <c r="AC1441" s="30"/>
    </row>
    <row r="1442" spans="2:29" s="33" customFormat="1" ht="13.8" hidden="1" x14ac:dyDescent="0.25"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0"/>
    </row>
    <row r="1443" spans="2:29" s="33" customFormat="1" ht="13.8" hidden="1" x14ac:dyDescent="0.25"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/>
    </row>
    <row r="1444" spans="2:29" s="33" customFormat="1" ht="13.8" hidden="1" x14ac:dyDescent="0.25"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0"/>
    </row>
    <row r="1445" spans="2:29" s="33" customFormat="1" ht="13.8" hidden="1" x14ac:dyDescent="0.25"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0"/>
    </row>
    <row r="1446" spans="2:29" s="33" customFormat="1" ht="13.8" hidden="1" x14ac:dyDescent="0.25"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0"/>
    </row>
    <row r="1447" spans="2:29" s="33" customFormat="1" ht="13.8" hidden="1" x14ac:dyDescent="0.25"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30"/>
    </row>
    <row r="1448" spans="2:29" s="33" customFormat="1" ht="13.8" hidden="1" x14ac:dyDescent="0.25"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  <c r="AC1448" s="30"/>
    </row>
    <row r="1449" spans="2:29" s="33" customFormat="1" ht="13.8" hidden="1" x14ac:dyDescent="0.25"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  <c r="AB1449" s="30"/>
      <c r="AC1449" s="30"/>
    </row>
    <row r="1450" spans="2:29" s="33" customFormat="1" ht="13.8" hidden="1" x14ac:dyDescent="0.25"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  <c r="AC1450" s="30"/>
    </row>
    <row r="1451" spans="2:29" s="33" customFormat="1" ht="13.8" hidden="1" x14ac:dyDescent="0.25"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  <c r="AC1451" s="30"/>
    </row>
    <row r="1452" spans="2:29" s="33" customFormat="1" ht="13.8" hidden="1" x14ac:dyDescent="0.25"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0"/>
    </row>
    <row r="1453" spans="2:29" s="33" customFormat="1" ht="13.8" hidden="1" x14ac:dyDescent="0.25"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  <c r="AB1453" s="30"/>
      <c r="AC1453" s="30"/>
    </row>
    <row r="1454" spans="2:29" s="33" customFormat="1" ht="13.8" hidden="1" x14ac:dyDescent="0.25"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  <c r="AB1454" s="30"/>
      <c r="AC1454" s="30"/>
    </row>
    <row r="1455" spans="2:29" s="33" customFormat="1" ht="13.8" hidden="1" x14ac:dyDescent="0.25"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  <c r="AC1455" s="30"/>
    </row>
    <row r="1456" spans="2:29" s="33" customFormat="1" ht="13.8" hidden="1" x14ac:dyDescent="0.25"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0"/>
    </row>
    <row r="1457" spans="2:29" s="33" customFormat="1" ht="13.8" hidden="1" x14ac:dyDescent="0.25"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  <c r="AC1457" s="30"/>
    </row>
    <row r="1458" spans="2:29" s="33" customFormat="1" ht="13.8" hidden="1" x14ac:dyDescent="0.25"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  <c r="AC1458" s="30"/>
    </row>
    <row r="1459" spans="2:29" s="33" customFormat="1" ht="13.8" hidden="1" x14ac:dyDescent="0.25"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  <c r="AB1459" s="30"/>
      <c r="AC1459" s="30"/>
    </row>
    <row r="1460" spans="2:29" s="33" customFormat="1" ht="13.8" hidden="1" x14ac:dyDescent="0.25"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0"/>
    </row>
    <row r="1461" spans="2:29" s="33" customFormat="1" ht="13.8" hidden="1" x14ac:dyDescent="0.25"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  <c r="AC1461" s="30"/>
    </row>
    <row r="1462" spans="2:29" s="33" customFormat="1" ht="13.8" hidden="1" x14ac:dyDescent="0.25"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  <c r="AC1462" s="30"/>
    </row>
    <row r="1463" spans="2:29" s="33" customFormat="1" ht="13.8" hidden="1" x14ac:dyDescent="0.25"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  <c r="AC1463" s="30"/>
    </row>
    <row r="1464" spans="2:29" s="33" customFormat="1" ht="13.8" hidden="1" x14ac:dyDescent="0.25"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  <c r="AC1464" s="30"/>
    </row>
    <row r="1465" spans="2:29" s="33" customFormat="1" ht="13.8" hidden="1" x14ac:dyDescent="0.25"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  <c r="AB1465" s="30"/>
      <c r="AC1465" s="30"/>
    </row>
    <row r="1466" spans="2:29" s="33" customFormat="1" ht="13.8" hidden="1" x14ac:dyDescent="0.25"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  <c r="AB1466" s="30"/>
      <c r="AC1466" s="30"/>
    </row>
    <row r="1467" spans="2:29" s="33" customFormat="1" ht="13.8" hidden="1" x14ac:dyDescent="0.25"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  <c r="AC1467" s="30"/>
    </row>
    <row r="1468" spans="2:29" s="33" customFormat="1" ht="13.8" hidden="1" x14ac:dyDescent="0.25"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0"/>
    </row>
    <row r="1469" spans="2:29" s="33" customFormat="1" ht="13.8" hidden="1" x14ac:dyDescent="0.25"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0"/>
    </row>
    <row r="1470" spans="2:29" s="33" customFormat="1" ht="13.8" hidden="1" x14ac:dyDescent="0.25"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0"/>
    </row>
    <row r="1471" spans="2:29" s="33" customFormat="1" ht="13.8" hidden="1" x14ac:dyDescent="0.25"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  <c r="AC1471" s="30"/>
    </row>
    <row r="1472" spans="2:29" s="33" customFormat="1" ht="13.8" hidden="1" x14ac:dyDescent="0.25"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0"/>
    </row>
    <row r="1473" spans="2:29" s="33" customFormat="1" ht="13.8" hidden="1" x14ac:dyDescent="0.25"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/>
    </row>
    <row r="1474" spans="2:29" s="33" customFormat="1" ht="13.8" hidden="1" x14ac:dyDescent="0.25"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/>
    </row>
    <row r="1475" spans="2:29" s="33" customFormat="1" ht="13.8" hidden="1" x14ac:dyDescent="0.25"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0"/>
    </row>
    <row r="1476" spans="2:29" s="33" customFormat="1" ht="13.8" hidden="1" x14ac:dyDescent="0.25"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0"/>
    </row>
    <row r="1477" spans="2:29" s="33" customFormat="1" ht="13.8" hidden="1" x14ac:dyDescent="0.25"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/>
    </row>
    <row r="1478" spans="2:29" s="33" customFormat="1" ht="13.8" hidden="1" x14ac:dyDescent="0.25"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/>
    </row>
    <row r="1479" spans="2:29" s="33" customFormat="1" ht="13.8" hidden="1" x14ac:dyDescent="0.25"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/>
    </row>
    <row r="1480" spans="2:29" s="33" customFormat="1" ht="13.8" hidden="1" x14ac:dyDescent="0.25"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/>
    </row>
    <row r="1481" spans="2:29" s="33" customFormat="1" ht="13.8" hidden="1" x14ac:dyDescent="0.25"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0"/>
    </row>
    <row r="1482" spans="2:29" s="33" customFormat="1" ht="13.8" hidden="1" x14ac:dyDescent="0.25"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  <c r="AC1482" s="30"/>
    </row>
    <row r="1483" spans="2:29" s="33" customFormat="1" ht="13.8" hidden="1" x14ac:dyDescent="0.25"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0"/>
    </row>
    <row r="1484" spans="2:29" s="33" customFormat="1" ht="13.8" hidden="1" x14ac:dyDescent="0.25"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0"/>
    </row>
    <row r="1485" spans="2:29" s="33" customFormat="1" ht="13.8" hidden="1" x14ac:dyDescent="0.25"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/>
    </row>
    <row r="1486" spans="2:29" s="33" customFormat="1" ht="13.8" hidden="1" x14ac:dyDescent="0.25"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0"/>
    </row>
    <row r="1487" spans="2:29" s="33" customFormat="1" ht="13.8" hidden="1" x14ac:dyDescent="0.25"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  <c r="AC1487" s="30"/>
    </row>
    <row r="1488" spans="2:29" s="33" customFormat="1" ht="13.8" hidden="1" x14ac:dyDescent="0.25"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  <c r="AC1488" s="30"/>
    </row>
    <row r="1489" spans="2:29" s="33" customFormat="1" ht="15" hidden="1" customHeight="1" x14ac:dyDescent="0.25"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0"/>
    </row>
    <row r="1490" spans="2:29" s="33" customFormat="1" ht="15" hidden="1" customHeight="1" x14ac:dyDescent="0.25"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0"/>
    </row>
    <row r="1491" spans="2:29" s="33" customFormat="1" ht="15" hidden="1" customHeight="1" x14ac:dyDescent="0.25"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  <c r="AC1491" s="30"/>
    </row>
    <row r="1492" spans="2:29" s="33" customFormat="1" ht="15" hidden="1" customHeight="1" x14ac:dyDescent="0.25"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0"/>
    </row>
    <row r="1493" spans="2:29" s="33" customFormat="1" ht="15" hidden="1" customHeight="1" x14ac:dyDescent="0.25"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0"/>
    </row>
    <row r="1494" spans="2:29" s="33" customFormat="1" ht="15" hidden="1" customHeight="1" x14ac:dyDescent="0.25"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  <c r="AB1494" s="30"/>
      <c r="AC1494" s="30"/>
    </row>
    <row r="1495" spans="2:29" s="33" customFormat="1" ht="15" hidden="1" customHeight="1" x14ac:dyDescent="0.25"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  <c r="AC1495" s="30"/>
    </row>
    <row r="1496" spans="2:29" s="33" customFormat="1" ht="15" hidden="1" customHeight="1" x14ac:dyDescent="0.25"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/>
    </row>
    <row r="1497" spans="2:29" s="33" customFormat="1" ht="15" hidden="1" customHeight="1" x14ac:dyDescent="0.25"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0"/>
    </row>
    <row r="1498" spans="2:29" s="33" customFormat="1" ht="15" hidden="1" customHeight="1" x14ac:dyDescent="0.25"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  <c r="AC1498" s="30"/>
    </row>
    <row r="1499" spans="2:29" s="33" customFormat="1" ht="15" hidden="1" customHeight="1" x14ac:dyDescent="0.25"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  <c r="AC1499" s="30"/>
    </row>
    <row r="1500" spans="2:29" s="33" customFormat="1" ht="15" hidden="1" customHeight="1" x14ac:dyDescent="0.25"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0"/>
    </row>
    <row r="1501" spans="2:29" s="33" customFormat="1" ht="15" hidden="1" customHeight="1" x14ac:dyDescent="0.25"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0"/>
    </row>
    <row r="1502" spans="2:29" s="33" customFormat="1" ht="15" hidden="1" customHeight="1" x14ac:dyDescent="0.25"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0"/>
    </row>
    <row r="1503" spans="2:29" s="33" customFormat="1" ht="15" hidden="1" customHeight="1" x14ac:dyDescent="0.25"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  <c r="AC1503" s="30"/>
    </row>
    <row r="1504" spans="2:29" s="33" customFormat="1" ht="15" hidden="1" customHeight="1" x14ac:dyDescent="0.25"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  <c r="AC1504" s="30"/>
    </row>
    <row r="1505" spans="2:29" s="33" customFormat="1" ht="15" hidden="1" customHeight="1" x14ac:dyDescent="0.25"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0"/>
    </row>
    <row r="1506" spans="2:29" s="33" customFormat="1" ht="15" hidden="1" customHeight="1" x14ac:dyDescent="0.25"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0"/>
    </row>
    <row r="1507" spans="2:29" s="33" customFormat="1" ht="15" hidden="1" customHeight="1" x14ac:dyDescent="0.25"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0"/>
    </row>
    <row r="1508" spans="2:29" s="33" customFormat="1" ht="15" hidden="1" customHeight="1" x14ac:dyDescent="0.25"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0"/>
    </row>
    <row r="1509" spans="2:29" s="33" customFormat="1" ht="15" hidden="1" customHeight="1" x14ac:dyDescent="0.25"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0"/>
    </row>
    <row r="1510" spans="2:29" s="33" customFormat="1" ht="15" hidden="1" customHeight="1" x14ac:dyDescent="0.25"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30"/>
    </row>
    <row r="1511" spans="2:29" s="33" customFormat="1" ht="15" hidden="1" customHeight="1" x14ac:dyDescent="0.25"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0"/>
    </row>
    <row r="1512" spans="2:29" s="33" customFormat="1" ht="15" hidden="1" customHeight="1" x14ac:dyDescent="0.25"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0"/>
    </row>
    <row r="1513" spans="2:29" s="33" customFormat="1" ht="15" hidden="1" customHeight="1" x14ac:dyDescent="0.25"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0"/>
    </row>
    <row r="1514" spans="2:29" s="33" customFormat="1" ht="15" hidden="1" customHeight="1" x14ac:dyDescent="0.25"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0"/>
    </row>
    <row r="1515" spans="2:29" s="33" customFormat="1" ht="15" hidden="1" customHeight="1" x14ac:dyDescent="0.25"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0"/>
    </row>
    <row r="1516" spans="2:29" s="33" customFormat="1" ht="15" hidden="1" customHeight="1" x14ac:dyDescent="0.25"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0"/>
    </row>
    <row r="1517" spans="2:29" s="33" customFormat="1" ht="15" hidden="1" customHeight="1" x14ac:dyDescent="0.25"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0"/>
    </row>
    <row r="1518" spans="2:29" s="33" customFormat="1" ht="15" hidden="1" customHeight="1" x14ac:dyDescent="0.25"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0"/>
    </row>
    <row r="1519" spans="2:29" s="33" customFormat="1" ht="15" hidden="1" customHeight="1" x14ac:dyDescent="0.25">
      <c r="B1519" s="30"/>
      <c r="C1519" s="30"/>
      <c r="D1519" s="30"/>
      <c r="E1519" s="30"/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0"/>
    </row>
    <row r="1520" spans="2:29" s="33" customFormat="1" ht="15" hidden="1" customHeight="1" x14ac:dyDescent="0.25">
      <c r="B1520" s="30"/>
      <c r="C1520" s="30"/>
      <c r="D1520" s="30"/>
      <c r="E1520" s="30"/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0"/>
    </row>
    <row r="1521" spans="2:29" s="33" customFormat="1" ht="15" hidden="1" customHeight="1" x14ac:dyDescent="0.25">
      <c r="B1521" s="30"/>
      <c r="C1521" s="30"/>
      <c r="D1521" s="30"/>
      <c r="E1521" s="30"/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0"/>
    </row>
    <row r="1522" spans="2:29" s="33" customFormat="1" ht="15" hidden="1" customHeight="1" x14ac:dyDescent="0.25">
      <c r="B1522" s="30"/>
      <c r="C1522" s="30"/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0"/>
    </row>
    <row r="1523" spans="2:29" s="33" customFormat="1" ht="15" hidden="1" customHeight="1" x14ac:dyDescent="0.25">
      <c r="B1523" s="30"/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  <c r="AC1523" s="30"/>
    </row>
    <row r="1524" spans="2:29" s="33" customFormat="1" ht="15" hidden="1" customHeight="1" x14ac:dyDescent="0.25">
      <c r="B1524" s="30"/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  <c r="AC1524" s="30"/>
    </row>
    <row r="1525" spans="2:29" s="33" customFormat="1" ht="15" hidden="1" customHeight="1" x14ac:dyDescent="0.25">
      <c r="B1525" s="30"/>
      <c r="C1525" s="30"/>
      <c r="D1525" s="30"/>
      <c r="E1525" s="30"/>
      <c r="F1525" s="30"/>
      <c r="G1525" s="30"/>
      <c r="H1525" s="30"/>
      <c r="I1525" s="30"/>
      <c r="J1525" s="30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  <c r="AC1525" s="30"/>
    </row>
    <row r="1526" spans="2:29" s="33" customFormat="1" ht="15" hidden="1" customHeight="1" x14ac:dyDescent="0.25">
      <c r="B1526" s="30"/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  <c r="AC1526" s="30"/>
    </row>
    <row r="1527" spans="2:29" s="33" customFormat="1" ht="15" hidden="1" customHeight="1" x14ac:dyDescent="0.25">
      <c r="B1527" s="30"/>
      <c r="C1527" s="30"/>
      <c r="D1527" s="30"/>
      <c r="E1527" s="30"/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0"/>
    </row>
    <row r="1528" spans="2:29" s="33" customFormat="1" ht="15" hidden="1" customHeight="1" x14ac:dyDescent="0.25">
      <c r="B1528" s="30"/>
      <c r="C1528" s="30"/>
      <c r="D1528" s="30"/>
      <c r="E1528" s="30"/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0"/>
    </row>
    <row r="1529" spans="2:29" s="33" customFormat="1" ht="15" hidden="1" customHeight="1" x14ac:dyDescent="0.25">
      <c r="B1529" s="30"/>
      <c r="C1529" s="30"/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</row>
    <row r="1530" spans="2:29" s="33" customFormat="1" ht="15" hidden="1" customHeight="1" x14ac:dyDescent="0.25">
      <c r="B1530" s="30"/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  <c r="AC1530" s="30"/>
    </row>
    <row r="1531" spans="2:29" s="33" customFormat="1" ht="15" hidden="1" customHeight="1" x14ac:dyDescent="0.25">
      <c r="B1531" s="30"/>
      <c r="C1531" s="30"/>
      <c r="D1531" s="30"/>
      <c r="E1531" s="30"/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  <c r="AC1531" s="30"/>
    </row>
    <row r="1532" spans="2:29" s="33" customFormat="1" ht="15" hidden="1" customHeight="1" x14ac:dyDescent="0.25"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</row>
    <row r="1533" spans="2:29" s="33" customFormat="1" ht="15" hidden="1" customHeight="1" x14ac:dyDescent="0.25">
      <c r="B1533" s="30"/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  <c r="AC1533" s="30"/>
    </row>
    <row r="1534" spans="2:29" s="33" customFormat="1" ht="15" hidden="1" customHeight="1" x14ac:dyDescent="0.25">
      <c r="B1534" s="30"/>
      <c r="C1534" s="30"/>
      <c r="D1534" s="30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  <c r="AC1534" s="30"/>
    </row>
    <row r="1535" spans="2:29" s="33" customFormat="1" ht="15" hidden="1" customHeight="1" x14ac:dyDescent="0.25">
      <c r="B1535" s="30"/>
      <c r="C1535" s="30"/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0"/>
    </row>
    <row r="1536" spans="2:29" s="33" customFormat="1" ht="15" hidden="1" customHeight="1" x14ac:dyDescent="0.25">
      <c r="B1536" s="30"/>
      <c r="C1536" s="30"/>
      <c r="D1536" s="30"/>
      <c r="E1536" s="30"/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0"/>
    </row>
    <row r="1537" spans="2:29" s="33" customFormat="1" ht="15" hidden="1" customHeight="1" x14ac:dyDescent="0.25">
      <c r="B1537" s="30"/>
      <c r="C1537" s="30"/>
      <c r="D1537" s="30"/>
      <c r="E1537" s="30"/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0"/>
    </row>
    <row r="1538" spans="2:29" s="33" customFormat="1" ht="15" hidden="1" customHeight="1" x14ac:dyDescent="0.25">
      <c r="B1538" s="30"/>
      <c r="C1538" s="30"/>
      <c r="D1538" s="30"/>
      <c r="E1538" s="30"/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  <c r="AC1538" s="30"/>
    </row>
    <row r="1539" spans="2:29" s="33" customFormat="1" ht="15" hidden="1" customHeight="1" x14ac:dyDescent="0.25">
      <c r="B1539" s="30"/>
      <c r="C1539" s="30"/>
      <c r="D1539" s="30"/>
      <c r="E1539" s="30"/>
      <c r="F1539" s="30"/>
      <c r="G1539" s="30"/>
      <c r="H1539" s="30"/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  <c r="AC1539" s="30"/>
    </row>
    <row r="1540" spans="2:29" s="33" customFormat="1" ht="15" hidden="1" customHeight="1" x14ac:dyDescent="0.25">
      <c r="B1540" s="30"/>
      <c r="C1540" s="30"/>
      <c r="D1540" s="30"/>
      <c r="E1540" s="30"/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0"/>
    </row>
    <row r="1541" spans="2:29" s="33" customFormat="1" ht="15" hidden="1" customHeight="1" x14ac:dyDescent="0.25">
      <c r="B1541" s="30"/>
      <c r="C1541" s="30"/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0"/>
    </row>
    <row r="1542" spans="2:29" s="33" customFormat="1" ht="15" hidden="1" customHeight="1" x14ac:dyDescent="0.25">
      <c r="B1542" s="30"/>
      <c r="C1542" s="30"/>
      <c r="D1542" s="30"/>
      <c r="E1542" s="30"/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0"/>
    </row>
    <row r="1543" spans="2:29" s="33" customFormat="1" ht="15" hidden="1" customHeight="1" x14ac:dyDescent="0.25">
      <c r="B1543" s="30"/>
      <c r="C1543" s="30"/>
      <c r="D1543" s="30"/>
      <c r="E1543" s="30"/>
      <c r="F1543" s="30"/>
      <c r="G1543" s="30"/>
      <c r="H1543" s="30"/>
      <c r="I1543" s="30"/>
      <c r="J1543" s="30"/>
      <c r="K1543" s="30"/>
      <c r="L1543" s="30"/>
      <c r="M1543" s="30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30"/>
    </row>
    <row r="1544" spans="2:29" s="33" customFormat="1" ht="15" hidden="1" customHeight="1" x14ac:dyDescent="0.25">
      <c r="B1544" s="30"/>
      <c r="C1544" s="30"/>
      <c r="D1544" s="30"/>
      <c r="E1544" s="30"/>
      <c r="F1544" s="30"/>
      <c r="G1544" s="30"/>
      <c r="H1544" s="30"/>
      <c r="I1544" s="30"/>
      <c r="J1544" s="30"/>
      <c r="K1544" s="30"/>
      <c r="L1544" s="30"/>
      <c r="M1544" s="30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30"/>
    </row>
    <row r="1545" spans="2:29" s="33" customFormat="1" ht="15" hidden="1" customHeight="1" x14ac:dyDescent="0.25">
      <c r="B1545" s="30"/>
      <c r="C1545" s="30"/>
      <c r="D1545" s="30"/>
      <c r="E1545" s="30"/>
      <c r="F1545" s="30"/>
      <c r="G1545" s="30"/>
      <c r="H1545" s="30"/>
      <c r="I1545" s="30"/>
      <c r="J1545" s="30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  <c r="AC1545" s="30"/>
    </row>
    <row r="1546" spans="2:29" s="33" customFormat="1" ht="15" hidden="1" customHeight="1" x14ac:dyDescent="0.25">
      <c r="B1546" s="30"/>
      <c r="C1546" s="30"/>
      <c r="D1546" s="30"/>
      <c r="E1546" s="30"/>
      <c r="F1546" s="30"/>
      <c r="G1546" s="30"/>
      <c r="H1546" s="30"/>
      <c r="I1546" s="30"/>
      <c r="J1546" s="30"/>
      <c r="K1546" s="30"/>
      <c r="L1546" s="30"/>
      <c r="M1546" s="30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  <c r="AB1546" s="30"/>
      <c r="AC1546" s="30"/>
    </row>
    <row r="1547" spans="2:29" s="33" customFormat="1" ht="15" hidden="1" customHeight="1" x14ac:dyDescent="0.25">
      <c r="B1547" s="30"/>
      <c r="C1547" s="30"/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0"/>
    </row>
    <row r="1548" spans="2:29" s="33" customFormat="1" ht="15" hidden="1" customHeight="1" x14ac:dyDescent="0.25">
      <c r="B1548" s="30"/>
      <c r="C1548" s="30"/>
      <c r="D1548" s="30"/>
      <c r="E1548" s="30"/>
      <c r="F1548" s="30"/>
      <c r="G1548" s="30"/>
      <c r="H1548" s="30"/>
      <c r="I1548" s="30"/>
      <c r="J1548" s="30"/>
      <c r="K1548" s="30"/>
      <c r="L1548" s="30"/>
      <c r="M1548" s="30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0"/>
    </row>
    <row r="1549" spans="2:29" s="33" customFormat="1" ht="15" hidden="1" customHeight="1" x14ac:dyDescent="0.25">
      <c r="B1549" s="30"/>
      <c r="C1549" s="30"/>
      <c r="D1549" s="30"/>
      <c r="E1549" s="30"/>
      <c r="F1549" s="30"/>
      <c r="G1549" s="30"/>
      <c r="H1549" s="30"/>
      <c r="I1549" s="30"/>
      <c r="J1549" s="30"/>
      <c r="K1549" s="30"/>
      <c r="L1549" s="30"/>
      <c r="M1549" s="30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0"/>
    </row>
    <row r="1550" spans="2:29" s="33" customFormat="1" ht="15" hidden="1" customHeight="1" x14ac:dyDescent="0.25">
      <c r="B1550" s="30"/>
      <c r="C1550" s="30"/>
      <c r="D1550" s="30"/>
      <c r="E1550" s="30"/>
      <c r="F1550" s="30"/>
      <c r="G1550" s="30"/>
      <c r="H1550" s="30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</row>
    <row r="1551" spans="2:29" s="33" customFormat="1" ht="15" hidden="1" customHeight="1" x14ac:dyDescent="0.25">
      <c r="B1551" s="30"/>
      <c r="C1551" s="30"/>
      <c r="D1551" s="30"/>
      <c r="E1551" s="30"/>
      <c r="F1551" s="30"/>
      <c r="G1551" s="30"/>
      <c r="H1551" s="30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</row>
    <row r="1552" spans="2:29" s="33" customFormat="1" ht="15" hidden="1" customHeight="1" x14ac:dyDescent="0.25">
      <c r="B1552" s="30"/>
      <c r="C1552" s="30"/>
      <c r="D1552" s="30"/>
      <c r="E1552" s="30"/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</row>
    <row r="1553" spans="2:29" s="33" customFormat="1" ht="15" hidden="1" customHeight="1" x14ac:dyDescent="0.25">
      <c r="B1553" s="30"/>
      <c r="C1553" s="30"/>
      <c r="D1553" s="30"/>
      <c r="E1553" s="30"/>
      <c r="F1553" s="30"/>
      <c r="G1553" s="30"/>
      <c r="H1553" s="30"/>
      <c r="I1553" s="30"/>
      <c r="J1553" s="30"/>
      <c r="K1553" s="30"/>
      <c r="L1553" s="30"/>
      <c r="M1553" s="30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0"/>
    </row>
    <row r="1554" spans="2:29" ht="15" hidden="1" customHeight="1" x14ac:dyDescent="0.25"/>
    <row r="1555" spans="2:29" ht="15" hidden="1" customHeight="1" x14ac:dyDescent="0.25"/>
    <row r="1556" spans="2:29" ht="15" hidden="1" customHeight="1" x14ac:dyDescent="0.25"/>
    <row r="1557" spans="2:29" ht="15" hidden="1" customHeight="1" x14ac:dyDescent="0.25"/>
    <row r="1558" spans="2:29" ht="15" hidden="1" customHeight="1" x14ac:dyDescent="0.25"/>
    <row r="1559" spans="2:29" ht="15" hidden="1" customHeight="1" x14ac:dyDescent="0.25"/>
    <row r="1560" spans="2:29" ht="15" hidden="1" customHeight="1" x14ac:dyDescent="0.25"/>
    <row r="1561" spans="2:29" ht="15" hidden="1" customHeight="1" x14ac:dyDescent="0.25"/>
    <row r="1562" spans="2:29" ht="15" hidden="1" customHeight="1" x14ac:dyDescent="0.25"/>
    <row r="1563" spans="2:29" ht="15" hidden="1" customHeight="1" x14ac:dyDescent="0.25"/>
    <row r="1564" spans="2:29" ht="15" hidden="1" customHeight="1" x14ac:dyDescent="0.25"/>
    <row r="1565" spans="2:29" ht="15" hidden="1" customHeight="1" x14ac:dyDescent="0.25"/>
    <row r="1566" spans="2:29" ht="15" hidden="1" customHeight="1" x14ac:dyDescent="0.25"/>
    <row r="1567" spans="2:29" ht="15" hidden="1" customHeight="1" x14ac:dyDescent="0.25"/>
    <row r="1568" spans="2:29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</sheetData>
  <mergeCells count="11">
    <mergeCell ref="C45:C46"/>
    <mergeCell ref="D45:D46"/>
    <mergeCell ref="E45:E46"/>
    <mergeCell ref="B10:B11"/>
    <mergeCell ref="C10:C11"/>
    <mergeCell ref="B27:B28"/>
    <mergeCell ref="C27:C28"/>
    <mergeCell ref="E27:E28"/>
    <mergeCell ref="E10:E11"/>
    <mergeCell ref="D10:D11"/>
    <mergeCell ref="D27:D2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6"/>
  <sheetViews>
    <sheetView showGridLines="0" topLeftCell="A17" zoomScale="90" zoomScaleNormal="90" workbookViewId="0"/>
  </sheetViews>
  <sheetFormatPr defaultColWidth="0" defaultRowHeight="0" customHeight="1" zeroHeight="1" x14ac:dyDescent="0.3"/>
  <cols>
    <col min="1" max="1" width="3.5546875" style="3" customWidth="1"/>
    <col min="2" max="5" width="25.5546875" customWidth="1"/>
    <col min="6" max="6" width="3.21875" customWidth="1"/>
    <col min="7" max="7" width="15.77734375" hidden="1" customWidth="1"/>
    <col min="8" max="8" width="13.44140625" hidden="1" customWidth="1"/>
    <col min="9" max="9" width="18" hidden="1" customWidth="1"/>
    <col min="10" max="10" width="23.21875" hidden="1" customWidth="1"/>
    <col min="11" max="12" width="15.77734375" hidden="1" customWidth="1"/>
    <col min="13" max="13" width="3.21875" hidden="1" customWidth="1"/>
    <col min="14" max="29" width="0" hidden="1" customWidth="1"/>
    <col min="30" max="16384" width="9" hidden="1"/>
  </cols>
  <sheetData>
    <row r="1" spans="1:27" ht="14.4" x14ac:dyDescent="0.3">
      <c r="A1" s="9"/>
      <c r="B1" s="10"/>
      <c r="C1" s="10"/>
      <c r="D1" s="10"/>
      <c r="E1" s="10"/>
      <c r="F1" s="10"/>
    </row>
    <row r="2" spans="1:27" ht="14.4" x14ac:dyDescent="0.3">
      <c r="A2" s="9"/>
      <c r="B2" s="10"/>
      <c r="C2" s="10"/>
      <c r="D2" s="10"/>
      <c r="E2" s="10"/>
      <c r="F2" s="10"/>
    </row>
    <row r="3" spans="1:27" ht="14.4" x14ac:dyDescent="0.3">
      <c r="A3" s="9"/>
      <c r="B3" s="10"/>
      <c r="C3" s="10"/>
      <c r="D3" s="10"/>
      <c r="E3" s="10"/>
      <c r="F3" s="10"/>
    </row>
    <row r="4" spans="1:27" ht="14.4" x14ac:dyDescent="0.3">
      <c r="A4" s="9"/>
      <c r="B4" s="10"/>
      <c r="C4" s="10"/>
      <c r="D4" s="10"/>
      <c r="E4" s="10"/>
      <c r="F4" s="10"/>
    </row>
    <row r="5" spans="1:27" ht="3" customHeight="1" x14ac:dyDescent="0.3">
      <c r="A5" s="1"/>
      <c r="B5" s="2"/>
      <c r="C5" s="2"/>
      <c r="D5" s="2"/>
      <c r="E5" s="2"/>
      <c r="F5" s="2"/>
    </row>
    <row r="6" spans="1:27" ht="14.4" x14ac:dyDescent="0.3"/>
    <row r="7" spans="1:27" ht="14.4" x14ac:dyDescent="0.3">
      <c r="B7" s="11"/>
      <c r="G7" s="7"/>
      <c r="H7" s="7"/>
      <c r="I7" s="7"/>
      <c r="J7" s="7"/>
      <c r="K7" s="7"/>
    </row>
    <row r="8" spans="1:27" ht="14.4" x14ac:dyDescent="0.3">
      <c r="B8" s="81" t="s">
        <v>106</v>
      </c>
      <c r="C8" s="53"/>
      <c r="D8" s="53"/>
      <c r="E8" s="53"/>
      <c r="F8" s="53"/>
      <c r="G8" s="63"/>
      <c r="K8" s="7"/>
    </row>
    <row r="9" spans="1:27" ht="4.95" customHeight="1" x14ac:dyDescent="0.3">
      <c r="B9" s="53"/>
      <c r="C9" s="53"/>
      <c r="D9" s="53"/>
      <c r="E9" s="53"/>
      <c r="F9" s="53"/>
      <c r="G9" s="63"/>
      <c r="K9" s="7"/>
    </row>
    <row r="10" spans="1:27" ht="15" customHeight="1" x14ac:dyDescent="0.3">
      <c r="B10" s="150" t="s">
        <v>24</v>
      </c>
      <c r="C10" s="145" t="s">
        <v>2</v>
      </c>
      <c r="D10" s="145" t="s">
        <v>3</v>
      </c>
      <c r="E10" s="141" t="s">
        <v>4</v>
      </c>
      <c r="F10" s="53"/>
      <c r="G10" s="53"/>
    </row>
    <row r="11" spans="1:27" ht="15" customHeight="1" x14ac:dyDescent="0.3">
      <c r="B11" s="150"/>
      <c r="C11" s="146"/>
      <c r="D11" s="146"/>
      <c r="E11" s="142"/>
      <c r="F11" s="53"/>
      <c r="G11" s="53"/>
    </row>
    <row r="12" spans="1:27" ht="14.4" x14ac:dyDescent="0.3">
      <c r="B12" s="82" t="s">
        <v>25</v>
      </c>
      <c r="C12" s="83">
        <v>1167430129.0543399</v>
      </c>
      <c r="D12" s="84">
        <f>C12/$C$21</f>
        <v>9.4636144690887672E-2</v>
      </c>
      <c r="E12" s="85">
        <v>1845.9660128569001</v>
      </c>
      <c r="F12" s="53"/>
      <c r="G12" s="53"/>
    </row>
    <row r="13" spans="1:27" s="3" customFormat="1" ht="14.4" x14ac:dyDescent="0.3">
      <c r="B13" s="86" t="s">
        <v>26</v>
      </c>
      <c r="C13" s="87">
        <v>499039026.67188698</v>
      </c>
      <c r="D13" s="88">
        <f t="shared" ref="D13:D20" si="0">C13/$C$21</f>
        <v>4.0453923844484048E-2</v>
      </c>
      <c r="E13" s="89">
        <v>302.36619585239998</v>
      </c>
      <c r="F13" s="53"/>
      <c r="G13" s="5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3" customFormat="1" ht="14.4" x14ac:dyDescent="0.3">
      <c r="B14" s="86" t="s">
        <v>27</v>
      </c>
      <c r="C14" s="87">
        <v>790066918.75412703</v>
      </c>
      <c r="D14" s="88">
        <f t="shared" si="0"/>
        <v>6.40457063578313E-2</v>
      </c>
      <c r="E14" s="89">
        <v>2313.3510086731499</v>
      </c>
      <c r="F14" s="53"/>
      <c r="G14" s="53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3" customFormat="1" ht="14.4" x14ac:dyDescent="0.3">
      <c r="B15" s="86" t="s">
        <v>28</v>
      </c>
      <c r="C15" s="87">
        <v>862835003.22305501</v>
      </c>
      <c r="D15" s="88">
        <f t="shared" si="0"/>
        <v>6.9944552720704004E-2</v>
      </c>
      <c r="E15" s="89">
        <v>3515.5613449252401</v>
      </c>
      <c r="F15" s="53"/>
      <c r="G15" s="53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3" customFormat="1" ht="14.4" x14ac:dyDescent="0.3">
      <c r="B16" s="86" t="s">
        <v>29</v>
      </c>
      <c r="C16" s="87">
        <v>3210616442.7512999</v>
      </c>
      <c r="D16" s="88">
        <f t="shared" si="0"/>
        <v>0.26026428020088588</v>
      </c>
      <c r="E16" s="89">
        <v>17605.226406739399</v>
      </c>
      <c r="F16" s="53"/>
      <c r="G16" s="53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3" customFormat="1" ht="14.4" x14ac:dyDescent="0.3">
      <c r="B17" s="86" t="s">
        <v>30</v>
      </c>
      <c r="C17" s="87">
        <v>3215966375.55234</v>
      </c>
      <c r="D17" s="88">
        <f t="shared" si="0"/>
        <v>0.26069796526866451</v>
      </c>
      <c r="E17" s="89">
        <v>26845.312980732</v>
      </c>
      <c r="F17" s="53"/>
      <c r="G17" s="53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3" customFormat="1" ht="14.4" x14ac:dyDescent="0.3">
      <c r="B18" s="86" t="s">
        <v>31</v>
      </c>
      <c r="C18" s="87">
        <v>1798652199.90046</v>
      </c>
      <c r="D18" s="88">
        <f t="shared" si="0"/>
        <v>0.14580530825964344</v>
      </c>
      <c r="E18" s="89">
        <v>21641.393918226298</v>
      </c>
      <c r="F18" s="53"/>
      <c r="G18" s="53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3" customFormat="1" ht="14.4" x14ac:dyDescent="0.3">
      <c r="B19" s="86" t="s">
        <v>32</v>
      </c>
      <c r="C19" s="87">
        <v>789068945.70535898</v>
      </c>
      <c r="D19" s="88">
        <f t="shared" si="0"/>
        <v>6.3964807022196271E-2</v>
      </c>
      <c r="E19" s="89">
        <v>13809.533351230901</v>
      </c>
      <c r="F19" s="53"/>
      <c r="G19" s="53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3" customFormat="1" ht="14.4" x14ac:dyDescent="0.3">
      <c r="B20" s="106" t="s">
        <v>33</v>
      </c>
      <c r="C20" s="107">
        <v>2310673.65</v>
      </c>
      <c r="D20" s="108">
        <f t="shared" si="0"/>
        <v>1.873116347031018E-4</v>
      </c>
      <c r="E20" s="130">
        <v>36.781589250000003</v>
      </c>
      <c r="F20" s="53"/>
      <c r="G20" s="53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3" customFormat="1" ht="14.4" x14ac:dyDescent="0.3">
      <c r="B21" s="90" t="s">
        <v>21</v>
      </c>
      <c r="C21" s="91">
        <f>+SUM(C12:C20)</f>
        <v>12335985715.262865</v>
      </c>
      <c r="D21" s="92">
        <f>SUM(D12:D20)</f>
        <v>1.0000000000000004</v>
      </c>
      <c r="E21" s="93">
        <f>+SUM(E12:E20)</f>
        <v>87915.492808486277</v>
      </c>
      <c r="F21" s="53"/>
      <c r="G21" s="53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3" customFormat="1" ht="4.95" customHeight="1" x14ac:dyDescent="0.3">
      <c r="B22" s="53"/>
      <c r="C22" s="94"/>
      <c r="D22" s="94"/>
      <c r="E22" s="95"/>
      <c r="F22" s="53"/>
      <c r="G22" s="53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3" customFormat="1" ht="14.4" x14ac:dyDescent="0.3">
      <c r="B23" s="53"/>
      <c r="C23" s="94"/>
      <c r="D23" s="94"/>
      <c r="E23" s="95"/>
      <c r="F23" s="53"/>
      <c r="G23" s="5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3" customFormat="1" ht="14.4" x14ac:dyDescent="0.3">
      <c r="B24" s="81" t="s">
        <v>107</v>
      </c>
      <c r="C24" s="94"/>
      <c r="D24" s="94"/>
      <c r="E24" s="95"/>
      <c r="F24" s="53"/>
      <c r="G24" s="53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3" customFormat="1" ht="14.4" x14ac:dyDescent="0.3">
      <c r="B25" s="96" t="s">
        <v>34</v>
      </c>
      <c r="C25" s="94"/>
      <c r="D25" s="94"/>
      <c r="E25" s="95"/>
      <c r="F25" s="53"/>
      <c r="G25" s="5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3" customFormat="1" ht="4.95" customHeight="1" x14ac:dyDescent="0.3">
      <c r="B26" s="53"/>
      <c r="C26" s="94"/>
      <c r="D26" s="94"/>
      <c r="E26" s="95"/>
      <c r="F26" s="53"/>
      <c r="G26" s="5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3" customFormat="1" ht="15" customHeight="1" x14ac:dyDescent="0.3">
      <c r="B27" s="150" t="s">
        <v>24</v>
      </c>
      <c r="C27" s="145" t="s">
        <v>2</v>
      </c>
      <c r="D27" s="145" t="s">
        <v>3</v>
      </c>
      <c r="E27" s="141" t="s">
        <v>4</v>
      </c>
      <c r="F27" s="53"/>
      <c r="G27" s="53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3" customFormat="1" ht="15" customHeight="1" x14ac:dyDescent="0.3">
      <c r="B28" s="150"/>
      <c r="C28" s="146"/>
      <c r="D28" s="146"/>
      <c r="E28" s="142"/>
      <c r="F28" s="53"/>
      <c r="G28" s="53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3" customFormat="1" ht="14.4" x14ac:dyDescent="0.3">
      <c r="B29" s="86" t="s">
        <v>25</v>
      </c>
      <c r="C29" s="87">
        <v>507983691.03065503</v>
      </c>
      <c r="D29" s="88">
        <f>C29/$C$40</f>
        <v>4.6301849120799023E-2</v>
      </c>
      <c r="E29" s="89">
        <v>9032.0622654625604</v>
      </c>
      <c r="F29" s="53"/>
      <c r="G29" s="53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3" customFormat="1" ht="14.4" x14ac:dyDescent="0.3">
      <c r="B30" s="86" t="s">
        <v>26</v>
      </c>
      <c r="C30" s="87">
        <v>186948690.72251201</v>
      </c>
      <c r="D30" s="88">
        <f t="shared" ref="D30:D39" si="1">C30/$C$40</f>
        <v>1.7040055072638755E-2</v>
      </c>
      <c r="E30" s="89">
        <v>4152.0524416903399</v>
      </c>
      <c r="F30" s="53"/>
      <c r="G30" s="53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3" customFormat="1" ht="14.4" x14ac:dyDescent="0.3">
      <c r="B31" s="86" t="s">
        <v>27</v>
      </c>
      <c r="C31" s="87">
        <v>574733107.43702304</v>
      </c>
      <c r="D31" s="88">
        <f t="shared" si="1"/>
        <v>5.2385944854420781E-2</v>
      </c>
      <c r="E31" s="89">
        <v>32974.470361174099</v>
      </c>
      <c r="F31" s="53"/>
      <c r="G31" s="53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3" customFormat="1" ht="14.4" x14ac:dyDescent="0.3">
      <c r="B32" s="86" t="s">
        <v>28</v>
      </c>
      <c r="C32" s="87">
        <v>600855811.032745</v>
      </c>
      <c r="D32" s="88">
        <f t="shared" si="1"/>
        <v>5.4766984840295997E-2</v>
      </c>
      <c r="E32" s="89">
        <v>11618.4055120147</v>
      </c>
      <c r="F32" s="53"/>
      <c r="G32" s="53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3" customFormat="1" ht="14.4" x14ac:dyDescent="0.3">
      <c r="B33" s="86" t="s">
        <v>29</v>
      </c>
      <c r="C33" s="87">
        <v>3432446983.9467802</v>
      </c>
      <c r="D33" s="88">
        <f t="shared" si="1"/>
        <v>0.3128617023971636</v>
      </c>
      <c r="E33" s="89">
        <v>71345.767272631696</v>
      </c>
      <c r="F33" s="53"/>
      <c r="G33" s="5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3" customFormat="1" ht="14.4" x14ac:dyDescent="0.3">
      <c r="B34" s="86" t="s">
        <v>30</v>
      </c>
      <c r="C34" s="87">
        <v>3244184519.01864</v>
      </c>
      <c r="D34" s="88">
        <f t="shared" si="1"/>
        <v>0.29570189904102312</v>
      </c>
      <c r="E34" s="89">
        <v>130722.06146285099</v>
      </c>
      <c r="F34" s="53"/>
      <c r="G34" s="53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3" customFormat="1" ht="14.4" x14ac:dyDescent="0.3">
      <c r="B35" s="86" t="s">
        <v>31</v>
      </c>
      <c r="C35" s="87">
        <v>1429510835.1790299</v>
      </c>
      <c r="D35" s="88">
        <f t="shared" si="1"/>
        <v>0.13029748036342484</v>
      </c>
      <c r="E35" s="89">
        <v>29489.656494614701</v>
      </c>
      <c r="F35" s="53"/>
      <c r="G35" s="53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3" customFormat="1" ht="14.4" x14ac:dyDescent="0.3">
      <c r="B36" s="86" t="s">
        <v>32</v>
      </c>
      <c r="C36" s="87">
        <v>906530140.02200699</v>
      </c>
      <c r="D36" s="88">
        <f t="shared" si="1"/>
        <v>8.2628679833390159E-2</v>
      </c>
      <c r="E36" s="89">
        <v>43870.412001985103</v>
      </c>
      <c r="F36" s="53"/>
      <c r="G36" s="53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9" s="3" customFormat="1" ht="14.4" x14ac:dyDescent="0.3">
      <c r="B37" s="86" t="s">
        <v>33</v>
      </c>
      <c r="C37" s="87">
        <v>47548621.642100401</v>
      </c>
      <c r="D37" s="88">
        <f t="shared" si="1"/>
        <v>4.3339759603456124E-3</v>
      </c>
      <c r="E37" s="89">
        <v>1029.24155064405</v>
      </c>
      <c r="F37" s="53"/>
      <c r="G37" s="53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9" s="33" customFormat="1" ht="13.8" x14ac:dyDescent="0.25">
      <c r="B38" s="86" t="s">
        <v>35</v>
      </c>
      <c r="C38" s="87">
        <v>819783.32476034563</v>
      </c>
      <c r="D38" s="88">
        <f>C38/$C$40</f>
        <v>7.4721855218989517E-5</v>
      </c>
      <c r="E38" s="89">
        <v>239.53170564430002</v>
      </c>
      <c r="F38" s="53"/>
      <c r="G38" s="30"/>
      <c r="H38" s="37"/>
      <c r="I38" s="37"/>
      <c r="J38" s="37"/>
      <c r="K38" s="37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9" s="3" customFormat="1" ht="14.4" x14ac:dyDescent="0.3">
      <c r="B39" s="86" t="s">
        <v>103</v>
      </c>
      <c r="C39" s="87">
        <v>39569654.280574761</v>
      </c>
      <c r="D39" s="88">
        <f t="shared" si="1"/>
        <v>3.6067066612789902E-3</v>
      </c>
      <c r="E39" s="89">
        <v>0</v>
      </c>
      <c r="F39" s="53"/>
      <c r="G39" s="53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3" customFormat="1" ht="14.4" x14ac:dyDescent="0.3">
      <c r="B40" s="90" t="s">
        <v>21</v>
      </c>
      <c r="C40" s="91">
        <f>+SUM(C29:C39)</f>
        <v>10971131837.636829</v>
      </c>
      <c r="D40" s="92">
        <f>SUM(D29:D39)</f>
        <v>0.99999999999999967</v>
      </c>
      <c r="E40" s="93">
        <f>+SUM(E29:E39)</f>
        <v>334473.66106871254</v>
      </c>
      <c r="F40" s="53"/>
      <c r="G40" s="53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9" s="3" customFormat="1" ht="4.95" customHeight="1" x14ac:dyDescent="0.3">
      <c r="B41" s="53"/>
      <c r="C41" s="94"/>
      <c r="D41" s="94"/>
      <c r="E41" s="95"/>
      <c r="F41" s="53"/>
      <c r="G41" s="53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2:29" s="3" customFormat="1" ht="14.4" x14ac:dyDescent="0.3">
      <c r="B42" s="53"/>
      <c r="C42" s="53"/>
      <c r="D42" s="53"/>
      <c r="E42" s="53"/>
      <c r="F42" s="53"/>
      <c r="G42" s="53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3" customFormat="1" ht="14.4" x14ac:dyDescent="0.3">
      <c r="B43" s="97" t="s">
        <v>100</v>
      </c>
      <c r="C43" s="95"/>
      <c r="D43" s="53"/>
      <c r="E43" s="53"/>
      <c r="F43" s="53"/>
      <c r="G43" s="5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3" customFormat="1" ht="4.95" customHeight="1" x14ac:dyDescent="0.3">
      <c r="B44" s="53"/>
      <c r="C44" s="53"/>
      <c r="D44" s="53"/>
      <c r="E44" s="53"/>
      <c r="F44" s="53"/>
      <c r="G44" s="53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3" customFormat="1" ht="13.95" customHeight="1" x14ac:dyDescent="0.3">
      <c r="B45" s="51"/>
      <c r="C45" s="145" t="s">
        <v>2</v>
      </c>
      <c r="D45" s="145" t="s">
        <v>3</v>
      </c>
      <c r="E45" s="141" t="s">
        <v>4</v>
      </c>
      <c r="F45" s="53"/>
      <c r="G45" s="53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3" customFormat="1" ht="14.4" x14ac:dyDescent="0.3">
      <c r="B46" s="51"/>
      <c r="C46" s="146"/>
      <c r="D46" s="146"/>
      <c r="E46" s="142"/>
      <c r="F46" s="53"/>
      <c r="G46" s="53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3" customFormat="1" ht="14.4" x14ac:dyDescent="0.3">
      <c r="B47" s="98" t="s">
        <v>101</v>
      </c>
      <c r="C47" s="99">
        <f>C21</f>
        <v>12335985715.262865</v>
      </c>
      <c r="D47" s="100">
        <f>C47/$C$49</f>
        <v>0.52927976560225121</v>
      </c>
      <c r="E47" s="101">
        <f>E21</f>
        <v>87915.492808486277</v>
      </c>
      <c r="F47" s="53"/>
      <c r="G47" s="53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3" customFormat="1" ht="14.4" x14ac:dyDescent="0.3">
      <c r="B48" s="102" t="s">
        <v>102</v>
      </c>
      <c r="C48" s="103">
        <f>C40</f>
        <v>10971131837.636829</v>
      </c>
      <c r="D48" s="104">
        <f>C48/$C$49</f>
        <v>0.47072023439774874</v>
      </c>
      <c r="E48" s="105">
        <f>E40</f>
        <v>334473.66106871254</v>
      </c>
      <c r="F48" s="53"/>
      <c r="G48" s="53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3" customFormat="1" ht="14.4" x14ac:dyDescent="0.3">
      <c r="B49" s="90" t="s">
        <v>21</v>
      </c>
      <c r="C49" s="91">
        <f>SUM(C47:C48)</f>
        <v>23307117552.899696</v>
      </c>
      <c r="D49" s="92">
        <f>SUM(D47:D48)</f>
        <v>1</v>
      </c>
      <c r="E49" s="91">
        <f>SUM(E47:E48)</f>
        <v>422389.15387719881</v>
      </c>
      <c r="F49" s="53"/>
      <c r="G49" s="53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3" customFormat="1" ht="14.4" x14ac:dyDescent="0.3">
      <c r="B50" s="53"/>
      <c r="C50" s="53"/>
      <c r="D50" s="53"/>
      <c r="E50" s="53"/>
      <c r="F50" s="53"/>
      <c r="G50" s="53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3" customFormat="1" ht="14.4" hidden="1" x14ac:dyDescent="0.3">
      <c r="B51" s="53"/>
      <c r="C51" s="53"/>
      <c r="D51" s="53"/>
      <c r="E51" s="53"/>
      <c r="F51" s="53"/>
      <c r="G51" s="53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3" customFormat="1" ht="14.4" hidden="1" x14ac:dyDescent="0.3">
      <c r="B52" s="53"/>
      <c r="C52" s="53"/>
      <c r="D52" s="53"/>
      <c r="E52" s="53"/>
      <c r="F52" s="53"/>
      <c r="G52" s="53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3" customFormat="1" ht="14.4" hidden="1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3" customFormat="1" ht="14.4" hidden="1" x14ac:dyDescent="0.3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3" customFormat="1" ht="14.4" hidden="1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3" customFormat="1" ht="14.4" hidden="1" x14ac:dyDescent="0.3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3" customFormat="1" ht="14.4" hidden="1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3" customFormat="1" ht="14.4" hidden="1" x14ac:dyDescent="0.3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3" customFormat="1" ht="14.4" hidden="1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3" customFormat="1" ht="14.4" hidden="1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3" customFormat="1" ht="14.4" hidden="1" x14ac:dyDescent="0.3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3" customFormat="1" ht="14.4" hidden="1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3" customFormat="1" ht="14.4" hidden="1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3" customFormat="1" ht="14.4" hidden="1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3" customFormat="1" ht="14.4" hidden="1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3" customFormat="1" ht="14.4" hidden="1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3" customFormat="1" ht="14.4" hidden="1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3" customFormat="1" ht="14.4" hidden="1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3" customFormat="1" ht="14.4" hidden="1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3" customFormat="1" ht="14.4" hidden="1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3" customFormat="1" ht="14.4" hidden="1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3" customFormat="1" ht="14.4" hidden="1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3" customFormat="1" ht="14.4" hidden="1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3" customFormat="1" ht="14.4" hidden="1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3" customFormat="1" ht="14.4" hidden="1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3" customFormat="1" ht="14.4" hidden="1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3" customFormat="1" ht="14.4" hidden="1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3" customFormat="1" ht="14.4" hidden="1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3" customFormat="1" ht="14.4" hidden="1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3" customFormat="1" ht="14.4" hidden="1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3" customFormat="1" ht="14.4" hidden="1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3" customFormat="1" ht="14.4" hidden="1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3" customFormat="1" ht="14.4" hidden="1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3" customFormat="1" ht="14.4" hidden="1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3" customFormat="1" ht="14.4" hidden="1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3" customFormat="1" ht="14.4" hidden="1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3" customFormat="1" ht="14.4" hidden="1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3" customFormat="1" ht="14.4" hidden="1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3" customFormat="1" ht="14.4" hidden="1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3" customFormat="1" ht="14.4" hidden="1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3" customFormat="1" ht="14.4" hidden="1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3" customFormat="1" ht="14.4" hidden="1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3" customFormat="1" ht="14.4" hidden="1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3" customFormat="1" ht="14.4" hidden="1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3" customFormat="1" ht="14.4" hidden="1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3" customFormat="1" ht="14.4" hidden="1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3" customFormat="1" ht="14.4" hidden="1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3" customFormat="1" ht="14.4" hidden="1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3" customFormat="1" ht="14.4" hidden="1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3" customFormat="1" ht="14.4" hidden="1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3" customFormat="1" ht="14.4" hidden="1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3" customFormat="1" ht="14.4" hidden="1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3" customFormat="1" ht="14.4" hidden="1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3" customFormat="1" ht="14.4" hidden="1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3" customFormat="1" ht="14.4" hidden="1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3" customFormat="1" ht="14.4" hidden="1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3" customFormat="1" ht="14.4" hidden="1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3" customFormat="1" ht="14.4" hidden="1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3" customFormat="1" ht="14.4" hidden="1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3" customFormat="1" ht="14.4" hidden="1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3" customFormat="1" ht="14.4" hidden="1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3" customFormat="1" ht="14.4" hidden="1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3" customFormat="1" ht="14.4" hidden="1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3" customFormat="1" ht="14.4" hidden="1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3" customFormat="1" ht="14.4" hidden="1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3" customFormat="1" ht="14.4" hidden="1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3" customFormat="1" ht="14.4" hidden="1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3" customFormat="1" ht="14.4" hidden="1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3" customFormat="1" ht="14.4" hidden="1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3" customFormat="1" ht="14.4" hidden="1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3" customFormat="1" ht="14.4" hidden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3" customFormat="1" ht="14.4" hidden="1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3" customFormat="1" ht="14.4" hidden="1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3" customFormat="1" ht="14.4" hidden="1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3" customFormat="1" ht="14.4" hidden="1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3" customFormat="1" ht="14.4" hidden="1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3" customFormat="1" ht="14.4" hidden="1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3" customFormat="1" ht="14.4" hidden="1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3" customFormat="1" ht="14.4" hidden="1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3" customFormat="1" ht="14.4" hidden="1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3" customFormat="1" ht="14.4" hidden="1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3" customFormat="1" ht="14.4" hidden="1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3" customFormat="1" ht="14.4" hidden="1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3" customFormat="1" ht="14.4" hidden="1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3" customFormat="1" ht="14.4" hidden="1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3" customFormat="1" ht="14.4" hidden="1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3" customFormat="1" ht="14.4" hidden="1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3" customFormat="1" ht="14.4" hidden="1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3" customFormat="1" ht="14.4" hidden="1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3" customFormat="1" ht="14.4" hidden="1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3" customFormat="1" ht="14.4" hidden="1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3" customFormat="1" ht="14.4" hidden="1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3" customFormat="1" ht="14.4" hidden="1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3" customFormat="1" ht="14.4" hidden="1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3" customFormat="1" ht="14.4" hidden="1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3" customFormat="1" ht="14.4" hidden="1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3" customFormat="1" ht="14.4" hidden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3" customFormat="1" ht="14.4" hidden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3" customFormat="1" ht="14.4" hidden="1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3" customFormat="1" ht="14.4" hidden="1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3" customFormat="1" ht="14.4" hidden="1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3" customFormat="1" ht="14.4" hidden="1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3" customFormat="1" ht="14.4" hidden="1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3" customFormat="1" ht="14.4" hidden="1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3" customFormat="1" ht="14.4" hidden="1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3" customFormat="1" ht="14.4" hidden="1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3" customFormat="1" ht="14.4" hidden="1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3" customFormat="1" ht="14.4" hidden="1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3" customFormat="1" ht="14.4" hidden="1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3" customFormat="1" ht="14.4" hidden="1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3" customFormat="1" ht="14.4" hidden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3" customFormat="1" ht="14.4" hidden="1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3" customFormat="1" ht="14.4" hidden="1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3" customFormat="1" ht="14.4" hidden="1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3" customFormat="1" ht="14.4" hidden="1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3" customFormat="1" ht="14.4" hidden="1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3" customFormat="1" ht="14.4" hidden="1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3" customFormat="1" ht="14.4" hidden="1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3" customFormat="1" ht="14.4" hidden="1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3" customFormat="1" ht="14.4" hidden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3" customFormat="1" ht="14.4" hidden="1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3" customFormat="1" ht="14.4" hidden="1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3" customFormat="1" ht="14.4" hidden="1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3" customFormat="1" ht="14.4" hidden="1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3" customFormat="1" ht="14.4" hidden="1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3" customFormat="1" ht="14.4" hidden="1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3" customFormat="1" ht="14.4" hidden="1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3" customFormat="1" ht="14.4" hidden="1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3" customFormat="1" ht="14.4" hidden="1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3" customFormat="1" ht="14.4" hidden="1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3" customFormat="1" ht="14.4" hidden="1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3" customFormat="1" ht="14.4" hidden="1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3" customFormat="1" ht="14.4" hidden="1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3" customFormat="1" ht="14.4" hidden="1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3" customFormat="1" ht="14.4" hidden="1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3" customFormat="1" ht="14.4" hidden="1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3" customFormat="1" ht="14.4" hidden="1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3" customFormat="1" ht="14.4" hidden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3" customFormat="1" ht="14.4" hidden="1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3" customFormat="1" ht="14.4" hidden="1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3" customFormat="1" ht="14.4" hidden="1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3" customFormat="1" ht="14.4" hidden="1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3" customFormat="1" ht="14.4" hidden="1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3" customFormat="1" ht="14.4" hidden="1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3" customFormat="1" ht="14.4" hidden="1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3" customFormat="1" ht="14.4" hidden="1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3" customFormat="1" ht="14.4" hidden="1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3" customFormat="1" ht="14.4" hidden="1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3" customFormat="1" ht="14.4" hidden="1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3" customFormat="1" ht="14.4" hidden="1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3" customFormat="1" ht="14.4" hidden="1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3" customFormat="1" ht="14.4" hidden="1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3" customFormat="1" ht="14.4" hidden="1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3" customFormat="1" ht="14.4" hidden="1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3" customFormat="1" ht="14.4" hidden="1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3" customFormat="1" ht="14.4" hidden="1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3" customFormat="1" ht="14.4" hidden="1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3" customFormat="1" ht="14.4" hidden="1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3" customFormat="1" ht="14.4" hidden="1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3" customFormat="1" ht="14.4" hidden="1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3" customFormat="1" ht="14.4" hidden="1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3" customFormat="1" ht="14.4" hidden="1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3" customFormat="1" ht="14.4" hidden="1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3" customFormat="1" ht="14.4" hidden="1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3" customFormat="1" ht="14.4" hidden="1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3" customFormat="1" ht="14.4" hidden="1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3" customFormat="1" ht="14.4" hidden="1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3" customFormat="1" ht="14.4" hidden="1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3" customFormat="1" ht="14.4" hidden="1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3" customFormat="1" ht="14.4" hidden="1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3" customFormat="1" ht="14.4" hidden="1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3" customFormat="1" ht="14.4" hidden="1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3" customFormat="1" ht="14.4" hidden="1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3" customFormat="1" ht="14.4" hidden="1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3" customFormat="1" ht="14.4" hidden="1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3" customFormat="1" ht="14.4" hidden="1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3" customFormat="1" ht="14.4" hidden="1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3" customFormat="1" ht="14.4" hidden="1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3" customFormat="1" ht="14.4" hidden="1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3" customFormat="1" ht="14.4" hidden="1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3" customFormat="1" ht="14.4" hidden="1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3" customFormat="1" ht="14.4" hidden="1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3" customFormat="1" ht="14.4" hidden="1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3" customFormat="1" ht="14.4" hidden="1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3" customFormat="1" ht="14.4" hidden="1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3" customFormat="1" ht="14.4" hidden="1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3" customFormat="1" ht="14.4" hidden="1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3" customFormat="1" ht="14.4" hidden="1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3" customFormat="1" ht="14.4" hidden="1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3" customFormat="1" ht="14.4" hidden="1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3" customFormat="1" ht="14.4" hidden="1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3" customFormat="1" ht="14.4" hidden="1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3" customFormat="1" ht="14.4" hidden="1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3" customFormat="1" ht="14.4" hidden="1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3" customFormat="1" ht="14.4" hidden="1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3" customFormat="1" ht="14.4" hidden="1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3" customFormat="1" ht="14.4" hidden="1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3" customFormat="1" ht="14.4" hidden="1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3" customFormat="1" ht="14.4" hidden="1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3" customFormat="1" ht="14.4" hidden="1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3" customFormat="1" ht="14.4" hidden="1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3" customFormat="1" ht="14.4" hidden="1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3" customFormat="1" ht="14.4" hidden="1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3" customFormat="1" ht="14.4" hidden="1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3" customFormat="1" ht="14.4" hidden="1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3" customFormat="1" ht="14.4" hidden="1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3" customFormat="1" ht="14.4" hidden="1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3" customFormat="1" ht="14.4" hidden="1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3" customFormat="1" ht="14.4" hidden="1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3" customFormat="1" ht="14.4" hidden="1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3" customFormat="1" ht="14.4" hidden="1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3" customFormat="1" ht="14.4" hidden="1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3" customFormat="1" ht="14.4" hidden="1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3" customFormat="1" ht="14.4" hidden="1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3" customFormat="1" ht="14.4" hidden="1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3" customFormat="1" ht="14.4" hidden="1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3" customFormat="1" ht="14.4" hidden="1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3" customFormat="1" ht="14.4" hidden="1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3" customFormat="1" ht="14.4" hidden="1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3" customFormat="1" ht="14.4" hidden="1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3" customFormat="1" ht="14.4" hidden="1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3" customFormat="1" ht="14.4" hidden="1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3" customFormat="1" ht="14.4" hidden="1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3" customFormat="1" ht="14.4" hidden="1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3" customFormat="1" ht="14.4" hidden="1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3" customFormat="1" ht="14.4" hidden="1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3" customFormat="1" ht="14.4" hidden="1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3" customFormat="1" ht="14.4" hidden="1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3" customFormat="1" ht="14.4" hidden="1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3" customFormat="1" ht="14.4" hidden="1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3" customFormat="1" ht="14.4" hidden="1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3" customFormat="1" ht="14.4" hidden="1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3" customFormat="1" ht="14.4" hidden="1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3" customFormat="1" ht="14.4" hidden="1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3" customFormat="1" ht="14.4" hidden="1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3" customFormat="1" ht="14.4" hidden="1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3" customFormat="1" ht="14.4" hidden="1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3" customFormat="1" ht="14.4" hidden="1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3" customFormat="1" ht="14.4" hidden="1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3" customFormat="1" ht="14.4" hidden="1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3" customFormat="1" ht="14.4" hidden="1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3" customFormat="1" ht="14.4" hidden="1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3" customFormat="1" ht="14.4" hidden="1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3" customFormat="1" ht="14.4" hidden="1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3" customFormat="1" ht="14.4" hidden="1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3" customFormat="1" ht="14.4" hidden="1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3" customFormat="1" ht="14.4" hidden="1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3" customFormat="1" ht="14.4" hidden="1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3" customFormat="1" ht="14.4" hidden="1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3" customFormat="1" ht="14.4" hidden="1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3" customFormat="1" ht="14.4" hidden="1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3" customFormat="1" ht="14.4" hidden="1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3" customFormat="1" ht="14.4" hidden="1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3" customFormat="1" ht="14.4" hidden="1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3" customFormat="1" ht="14.4" hidden="1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3" customFormat="1" ht="14.4" hidden="1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3" customFormat="1" ht="14.4" hidden="1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3" customFormat="1" ht="14.4" hidden="1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3" customFormat="1" ht="14.4" hidden="1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3" customFormat="1" ht="14.4" hidden="1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3" customFormat="1" ht="14.4" hidden="1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3" customFormat="1" ht="14.4" hidden="1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3" customFormat="1" ht="14.4" hidden="1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3" customFormat="1" ht="14.4" hidden="1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3" customFormat="1" ht="14.4" hidden="1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3" customFormat="1" ht="14.4" hidden="1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3" customFormat="1" ht="14.4" hidden="1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3" customFormat="1" ht="14.4" hidden="1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3" customFormat="1" ht="14.4" hidden="1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3" customFormat="1" ht="14.4" hidden="1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3" customFormat="1" ht="14.4" hidden="1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3" customFormat="1" ht="14.4" hidden="1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3" customFormat="1" ht="14.4" hidden="1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3" customFormat="1" ht="14.4" hidden="1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3" customFormat="1" ht="14.4" hidden="1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3" customFormat="1" ht="14.4" hidden="1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3" customFormat="1" ht="14.4" hidden="1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3" customFormat="1" ht="14.4" hidden="1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3" customFormat="1" ht="14.4" hidden="1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3" customFormat="1" ht="14.4" hidden="1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3" customFormat="1" ht="14.4" hidden="1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3" customFormat="1" ht="14.4" hidden="1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3" customFormat="1" ht="14.4" hidden="1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3" customFormat="1" ht="14.4" hidden="1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3" customFormat="1" ht="14.4" hidden="1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3" customFormat="1" ht="14.4" hidden="1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3" customFormat="1" ht="14.4" hidden="1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3" customFormat="1" ht="14.4" hidden="1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3" customFormat="1" ht="14.4" hidden="1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3" customFormat="1" ht="14.4" hidden="1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3" customFormat="1" ht="14.4" hidden="1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3" customFormat="1" ht="14.4" hidden="1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3" customFormat="1" ht="14.4" hidden="1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3" customFormat="1" ht="14.4" hidden="1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3" customFormat="1" ht="14.4" hidden="1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3" customFormat="1" ht="14.4" hidden="1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3" customFormat="1" ht="14.4" hidden="1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3" customFormat="1" ht="14.4" hidden="1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3" customFormat="1" ht="14.4" hidden="1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3" customFormat="1" ht="14.4" hidden="1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3" customFormat="1" ht="14.4" hidden="1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3" customFormat="1" ht="14.4" hidden="1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3" customFormat="1" ht="14.4" hidden="1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3" customFormat="1" ht="14.4" hidden="1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3" customFormat="1" ht="14.4" hidden="1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3" customFormat="1" ht="14.4" hidden="1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3" customFormat="1" ht="14.4" hidden="1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3" customFormat="1" ht="14.4" hidden="1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3" customFormat="1" ht="14.4" hidden="1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3" customFormat="1" ht="14.4" hidden="1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3" customFormat="1" ht="14.4" hidden="1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3" customFormat="1" ht="14.4" hidden="1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3" customFormat="1" ht="14.4" hidden="1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3" customFormat="1" ht="14.4" hidden="1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3" customFormat="1" ht="14.4" hidden="1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3" customFormat="1" ht="14.4" hidden="1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3" customFormat="1" ht="14.4" hidden="1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3" customFormat="1" ht="14.4" hidden="1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3" customFormat="1" ht="14.4" hidden="1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3" customFormat="1" ht="14.4" hidden="1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3" customFormat="1" ht="14.4" hidden="1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3" customFormat="1" ht="14.4" hidden="1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3" customFormat="1" ht="14.4" hidden="1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3" customFormat="1" ht="14.4" hidden="1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3" customFormat="1" ht="14.4" hidden="1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3" customFormat="1" ht="14.4" hidden="1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3" customFormat="1" ht="14.4" hidden="1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3" customFormat="1" ht="14.4" hidden="1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3" customFormat="1" ht="14.4" hidden="1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3" customFormat="1" ht="14.4" hidden="1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3" customFormat="1" ht="14.4" hidden="1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3" customFormat="1" ht="14.4" hidden="1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3" customFormat="1" ht="14.4" hidden="1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3" customFormat="1" ht="14.4" hidden="1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3" customFormat="1" ht="14.4" hidden="1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3" customFormat="1" ht="14.4" hidden="1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3" customFormat="1" ht="14.4" hidden="1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3" customFormat="1" ht="14.4" hidden="1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3" customFormat="1" ht="14.4" hidden="1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3" customFormat="1" ht="14.4" hidden="1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3" customFormat="1" ht="14.4" hidden="1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3" customFormat="1" ht="14.4" hidden="1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3" customFormat="1" ht="14.4" hidden="1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3" customFormat="1" ht="14.4" hidden="1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3" customFormat="1" ht="14.4" hidden="1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3" customFormat="1" ht="14.4" hidden="1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3" customFormat="1" ht="14.4" hidden="1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3" customFormat="1" ht="14.4" hidden="1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3" customFormat="1" ht="14.4" hidden="1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3" customFormat="1" ht="14.4" hidden="1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3" customFormat="1" ht="14.4" hidden="1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3" customFormat="1" ht="14.4" hidden="1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3" customFormat="1" ht="14.4" hidden="1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3" customFormat="1" ht="14.4" hidden="1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3" customFormat="1" ht="14.4" hidden="1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3" customFormat="1" ht="14.4" hidden="1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3" customFormat="1" ht="14.4" hidden="1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3" customFormat="1" ht="14.4" hidden="1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3" customFormat="1" ht="14.4" hidden="1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3" customFormat="1" ht="14.4" hidden="1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3" customFormat="1" ht="14.4" hidden="1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3" customFormat="1" ht="14.4" hidden="1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3" customFormat="1" ht="14.4" hidden="1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3" customFormat="1" ht="14.4" hidden="1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3" customFormat="1" ht="14.4" hidden="1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3" customFormat="1" ht="14.4" hidden="1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3" customFormat="1" ht="14.4" hidden="1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3" customFormat="1" ht="14.4" hidden="1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3" customFormat="1" ht="14.4" hidden="1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3" customFormat="1" ht="14.4" hidden="1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3" customFormat="1" ht="14.4" hidden="1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3" customFormat="1" ht="14.4" hidden="1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3" customFormat="1" ht="14.4" hidden="1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3" customFormat="1" ht="14.4" hidden="1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3" customFormat="1" ht="14.4" hidden="1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3" customFormat="1" ht="14.4" hidden="1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3" customFormat="1" ht="14.4" hidden="1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3" customFormat="1" ht="14.4" hidden="1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3" customFormat="1" ht="14.4" hidden="1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3" customFormat="1" ht="14.4" hidden="1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3" customFormat="1" ht="14.4" hidden="1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3" customFormat="1" ht="14.4" hidden="1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3" customFormat="1" ht="14.4" hidden="1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3" customFormat="1" ht="14.4" hidden="1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3" customFormat="1" ht="14.4" hidden="1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3" customFormat="1" ht="14.4" hidden="1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3" customFormat="1" ht="14.4" hidden="1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3" customFormat="1" ht="14.4" hidden="1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3" customFormat="1" ht="14.4" hidden="1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3" customFormat="1" ht="14.4" hidden="1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3" customFormat="1" ht="14.4" hidden="1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3" customFormat="1" ht="14.4" hidden="1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3" customFormat="1" ht="14.4" hidden="1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3" customFormat="1" ht="14.4" hidden="1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3" customFormat="1" ht="14.4" hidden="1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3" customFormat="1" ht="14.4" hidden="1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3" customFormat="1" ht="14.4" hidden="1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3" customFormat="1" ht="14.4" hidden="1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3" customFormat="1" ht="14.4" hidden="1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3" customFormat="1" ht="14.4" hidden="1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3" customFormat="1" ht="14.4" hidden="1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3" customFormat="1" ht="14.4" hidden="1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3" customFormat="1" ht="14.4" hidden="1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3" customFormat="1" ht="14.4" hidden="1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3" customFormat="1" ht="14.4" hidden="1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3" customFormat="1" ht="14.4" hidden="1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3" customFormat="1" ht="14.4" hidden="1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3" customFormat="1" ht="14.4" hidden="1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3" customFormat="1" ht="14.4" hidden="1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3" customFormat="1" ht="14.4" hidden="1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3" customFormat="1" ht="14.4" hidden="1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3" customFormat="1" ht="14.4" hidden="1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3" customFormat="1" ht="14.4" hidden="1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3" customFormat="1" ht="14.4" hidden="1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3" customFormat="1" ht="14.4" hidden="1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3" customFormat="1" ht="14.4" hidden="1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3" customFormat="1" ht="14.4" hidden="1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3" customFormat="1" ht="14.4" hidden="1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3" customFormat="1" ht="14.4" hidden="1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3" customFormat="1" ht="14.4" hidden="1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3" customFormat="1" ht="14.4" hidden="1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3" customFormat="1" ht="14.4" hidden="1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3" customFormat="1" ht="14.4" hidden="1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3" customFormat="1" ht="14.4" hidden="1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3" customFormat="1" ht="14.4" hidden="1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3" customFormat="1" ht="14.4" hidden="1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3" customFormat="1" ht="14.4" hidden="1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3" customFormat="1" ht="14.4" hidden="1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3" customFormat="1" ht="14.4" hidden="1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3" customFormat="1" ht="14.4" hidden="1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3" customFormat="1" ht="14.4" hidden="1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3" customFormat="1" ht="14.4" hidden="1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3" customFormat="1" ht="14.4" hidden="1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3" customFormat="1" ht="14.4" hidden="1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3" customFormat="1" ht="14.4" hidden="1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3" customFormat="1" ht="14.4" hidden="1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3" customFormat="1" ht="14.4" hidden="1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3" customFormat="1" ht="14.4" hidden="1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3" customFormat="1" ht="14.4" hidden="1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3" customFormat="1" ht="14.4" hidden="1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3" customFormat="1" ht="14.4" hidden="1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3" customFormat="1" ht="14.4" hidden="1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3" customFormat="1" ht="14.4" hidden="1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3" customFormat="1" ht="14.4" hidden="1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3" customFormat="1" ht="14.4" hidden="1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3" customFormat="1" ht="14.4" hidden="1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3" customFormat="1" ht="14.4" hidden="1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3" customFormat="1" ht="14.4" hidden="1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3" customFormat="1" ht="14.4" hidden="1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3" customFormat="1" ht="14.4" hidden="1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3" customFormat="1" ht="14.4" hidden="1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3" customFormat="1" ht="14.4" hidden="1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3" customFormat="1" ht="14.4" hidden="1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3" customFormat="1" ht="14.4" hidden="1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3" customFormat="1" ht="14.4" hidden="1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3" customFormat="1" ht="14.4" hidden="1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3" customFormat="1" ht="14.4" hidden="1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3" customFormat="1" ht="14.4" hidden="1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3" customFormat="1" ht="14.4" hidden="1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3" customFormat="1" ht="14.4" hidden="1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3" customFormat="1" ht="14.4" hidden="1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3" customFormat="1" ht="14.4" hidden="1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3" customFormat="1" ht="14.4" hidden="1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3" customFormat="1" ht="14.4" hidden="1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3" customFormat="1" ht="14.4" hidden="1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3" customFormat="1" ht="14.4" hidden="1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3" customFormat="1" ht="14.4" hidden="1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3" customFormat="1" ht="14.4" hidden="1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3" customFormat="1" ht="14.4" hidden="1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3" customFormat="1" ht="14.4" hidden="1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3" customFormat="1" ht="14.4" hidden="1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3" customFormat="1" ht="14.4" hidden="1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3" customFormat="1" ht="14.4" hidden="1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3" customFormat="1" ht="14.4" hidden="1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3" customFormat="1" ht="14.4" hidden="1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3" customFormat="1" ht="14.4" hidden="1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3" customFormat="1" ht="14.4" hidden="1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3" customFormat="1" ht="14.4" hidden="1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3" customFormat="1" ht="14.4" hidden="1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3" customFormat="1" ht="14.4" hidden="1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3" customFormat="1" ht="14.4" hidden="1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3" customFormat="1" ht="14.4" hidden="1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3" customFormat="1" ht="14.4" hidden="1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3" customFormat="1" ht="14.4" hidden="1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3" customFormat="1" ht="14.4" hidden="1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3" customFormat="1" ht="14.4" hidden="1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3" customFormat="1" ht="14.4" hidden="1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3" customFormat="1" ht="14.4" hidden="1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3" customFormat="1" ht="14.4" hidden="1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3" customFormat="1" ht="14.4" hidden="1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3" customFormat="1" ht="14.4" hidden="1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3" customFormat="1" ht="14.4" hidden="1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3" customFormat="1" ht="14.4" hidden="1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3" customFormat="1" ht="14.4" hidden="1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3" customFormat="1" ht="14.4" hidden="1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3" customFormat="1" ht="14.4" hidden="1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3" customFormat="1" ht="14.4" hidden="1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3" customFormat="1" ht="14.4" hidden="1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3" customFormat="1" ht="14.4" hidden="1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3" customFormat="1" ht="14.4" hidden="1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3" customFormat="1" ht="14.4" hidden="1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3" customFormat="1" ht="14.4" hidden="1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3" customFormat="1" ht="14.4" hidden="1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3" customFormat="1" ht="14.4" hidden="1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3" customFormat="1" ht="14.4" hidden="1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3" customFormat="1" ht="14.4" hidden="1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3" customFormat="1" ht="14.4" hidden="1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3" customFormat="1" ht="14.4" hidden="1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3" customFormat="1" ht="14.4" hidden="1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3" customFormat="1" ht="14.4" hidden="1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3" customFormat="1" ht="14.4" hidden="1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3" customFormat="1" ht="14.4" hidden="1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3" customFormat="1" ht="14.4" hidden="1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3" customFormat="1" ht="14.4" hidden="1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3" customFormat="1" ht="14.4" hidden="1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3" customFormat="1" ht="14.4" hidden="1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3" customFormat="1" ht="14.4" hidden="1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3" customFormat="1" ht="14.4" hidden="1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3" customFormat="1" ht="14.4" hidden="1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3" customFormat="1" ht="14.4" hidden="1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3" customFormat="1" ht="14.4" hidden="1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3" customFormat="1" ht="14.4" hidden="1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3" customFormat="1" ht="14.4" hidden="1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3" customFormat="1" ht="14.4" hidden="1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3" customFormat="1" ht="14.4" hidden="1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3" customFormat="1" ht="14.4" hidden="1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3" customFormat="1" ht="14.4" hidden="1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3" customFormat="1" ht="14.4" hidden="1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3" customFormat="1" ht="14.4" hidden="1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3" customFormat="1" ht="14.4" hidden="1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3" customFormat="1" ht="14.4" hidden="1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3" customFormat="1" ht="14.4" hidden="1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3" customFormat="1" ht="14.4" hidden="1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3" customFormat="1" ht="14.4" hidden="1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3" customFormat="1" ht="14.4" hidden="1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3" customFormat="1" ht="14.4" hidden="1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3" customFormat="1" ht="14.4" hidden="1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3" customFormat="1" ht="14.4" hidden="1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3" customFormat="1" ht="14.4" hidden="1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3" customFormat="1" ht="14.4" hidden="1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3" customFormat="1" ht="14.4" hidden="1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3" customFormat="1" ht="14.4" hidden="1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3" customFormat="1" ht="14.4" hidden="1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3" customFormat="1" ht="14.4" hidden="1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3" customFormat="1" ht="14.4" hidden="1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3" customFormat="1" ht="14.4" hidden="1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3" customFormat="1" ht="14.4" hidden="1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3" customFormat="1" ht="14.4" hidden="1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3" customFormat="1" ht="14.4" hidden="1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3" customFormat="1" ht="14.4" hidden="1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3" customFormat="1" ht="14.4" hidden="1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3" customFormat="1" ht="14.4" hidden="1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3" customFormat="1" ht="14.4" hidden="1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3" customFormat="1" ht="14.4" hidden="1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3" customFormat="1" ht="14.4" hidden="1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3" customFormat="1" ht="14.4" hidden="1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3" customFormat="1" ht="14.4" hidden="1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3" customFormat="1" ht="14.4" hidden="1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3" customFormat="1" ht="14.4" hidden="1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3" customFormat="1" ht="14.4" hidden="1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3" customFormat="1" ht="14.4" hidden="1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3" customFormat="1" ht="14.4" hidden="1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3" customFormat="1" ht="14.4" hidden="1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3" customFormat="1" ht="14.4" hidden="1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3" customFormat="1" ht="14.4" hidden="1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3" customFormat="1" ht="14.4" hidden="1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3" customFormat="1" ht="14.4" hidden="1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3" customFormat="1" ht="14.4" hidden="1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3" customFormat="1" ht="14.4" hidden="1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3" customFormat="1" ht="14.4" hidden="1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3" customFormat="1" ht="14.4" hidden="1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3" customFormat="1" ht="14.4" hidden="1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3" customFormat="1" ht="14.4" hidden="1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3" customFormat="1" ht="14.4" hidden="1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3" customFormat="1" ht="14.4" hidden="1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3" customFormat="1" ht="14.4" hidden="1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3" customFormat="1" ht="14.4" hidden="1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3" customFormat="1" ht="14.4" hidden="1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3" customFormat="1" ht="14.4" hidden="1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3" customFormat="1" ht="14.4" hidden="1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3" customFormat="1" ht="14.4" hidden="1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3" customFormat="1" ht="14.4" hidden="1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3" customFormat="1" ht="14.4" hidden="1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3" customFormat="1" ht="14.4" hidden="1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3" customFormat="1" ht="14.4" hidden="1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3" customFormat="1" ht="14.4" hidden="1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3" customFormat="1" ht="14.4" hidden="1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3" customFormat="1" ht="14.4" hidden="1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3" customFormat="1" ht="14.4" hidden="1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3" customFormat="1" ht="14.4" hidden="1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3" customFormat="1" ht="14.4" hidden="1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3" customFormat="1" ht="14.4" hidden="1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3" customFormat="1" ht="14.4" hidden="1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3" customFormat="1" ht="14.4" hidden="1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3" customFormat="1" ht="14.4" hidden="1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3" customFormat="1" ht="14.4" hidden="1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3" customFormat="1" ht="14.4" hidden="1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3" customFormat="1" ht="14.4" hidden="1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3" customFormat="1" ht="14.4" hidden="1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3" customFormat="1" ht="14.4" hidden="1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3" customFormat="1" ht="14.4" hidden="1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3" customFormat="1" ht="14.4" hidden="1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3" customFormat="1" ht="14.4" hidden="1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3" customFormat="1" ht="14.4" hidden="1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3" customFormat="1" ht="14.4" hidden="1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3" customFormat="1" ht="14.4" hidden="1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3" customFormat="1" ht="14.4" hidden="1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3" customFormat="1" ht="14.4" hidden="1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3" customFormat="1" ht="14.4" hidden="1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3" customFormat="1" ht="14.4" hidden="1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3" customFormat="1" ht="14.4" hidden="1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3" customFormat="1" ht="14.4" hidden="1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3" customFormat="1" ht="14.4" hidden="1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3" customFormat="1" ht="14.4" hidden="1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3" customFormat="1" ht="14.4" hidden="1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3" customFormat="1" ht="14.4" hidden="1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3" customFormat="1" ht="14.4" hidden="1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3" customFormat="1" ht="14.4" hidden="1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3" customFormat="1" ht="14.4" hidden="1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3" customFormat="1" ht="14.4" hidden="1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3" customFormat="1" ht="14.4" hidden="1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3" customFormat="1" ht="14.4" hidden="1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3" customFormat="1" ht="14.4" hidden="1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3" customFormat="1" ht="14.4" hidden="1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3" customFormat="1" ht="14.4" hidden="1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3" customFormat="1" ht="14.4" hidden="1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3" customFormat="1" ht="14.4" hidden="1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3" customFormat="1" ht="14.4" hidden="1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3" customFormat="1" ht="14.4" hidden="1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3" customFormat="1" ht="14.4" hidden="1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3" customFormat="1" ht="14.4" hidden="1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3" customFormat="1" ht="14.4" hidden="1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3" customFormat="1" ht="14.4" hidden="1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3" customFormat="1" ht="14.4" hidden="1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3" customFormat="1" ht="14.4" hidden="1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3" customFormat="1" ht="14.4" hidden="1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3" customFormat="1" ht="14.4" hidden="1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3" customFormat="1" ht="14.4" hidden="1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3" customFormat="1" ht="14.4" hidden="1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3" customFormat="1" ht="14.4" hidden="1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3" customFormat="1" ht="14.4" hidden="1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3" customFormat="1" ht="14.4" hidden="1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3" customFormat="1" ht="14.4" hidden="1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3" customFormat="1" ht="14.4" hidden="1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3" customFormat="1" ht="14.4" hidden="1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3" customFormat="1" ht="14.4" hidden="1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3" customFormat="1" ht="14.4" hidden="1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3" customFormat="1" ht="14.4" hidden="1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3" customFormat="1" ht="14.4" hidden="1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3" customFormat="1" ht="14.4" hidden="1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3" customFormat="1" ht="14.4" hidden="1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3" customFormat="1" ht="14.4" hidden="1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3" customFormat="1" ht="14.4" hidden="1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3" customFormat="1" ht="14.4" hidden="1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3" customFormat="1" ht="14.4" hidden="1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3" customFormat="1" ht="14.4" hidden="1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3" customFormat="1" ht="14.4" hidden="1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3" customFormat="1" ht="14.4" hidden="1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3" customFormat="1" ht="14.4" hidden="1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3" customFormat="1" ht="14.4" hidden="1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3" customFormat="1" ht="14.4" hidden="1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3" customFormat="1" ht="14.4" hidden="1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3" customFormat="1" ht="14.4" hidden="1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3" customFormat="1" ht="14.4" hidden="1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3" customFormat="1" ht="14.4" hidden="1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3" customFormat="1" ht="14.4" hidden="1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3" customFormat="1" ht="14.4" hidden="1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3" customFormat="1" ht="14.4" hidden="1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3" customFormat="1" ht="14.4" hidden="1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3" customFormat="1" ht="14.4" hidden="1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3" customFormat="1" ht="14.4" hidden="1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3" customFormat="1" ht="14.4" hidden="1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3" customFormat="1" ht="14.4" hidden="1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3" customFormat="1" ht="14.4" hidden="1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3" customFormat="1" ht="14.4" hidden="1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3" customFormat="1" ht="14.4" hidden="1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3" customFormat="1" ht="14.4" hidden="1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3" customFormat="1" ht="14.4" hidden="1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3" customFormat="1" ht="14.4" hidden="1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3" customFormat="1" ht="14.4" hidden="1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3" customFormat="1" ht="14.4" hidden="1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3" customFormat="1" ht="14.4" hidden="1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3" customFormat="1" ht="14.4" hidden="1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3" customFormat="1" ht="14.4" hidden="1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3" customFormat="1" ht="14.4" hidden="1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3" customFormat="1" ht="14.4" hidden="1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3" customFormat="1" ht="14.4" hidden="1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3" customFormat="1" ht="14.4" hidden="1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3" customFormat="1" ht="14.4" hidden="1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3" customFormat="1" ht="14.4" hidden="1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3" customFormat="1" ht="14.4" hidden="1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3" customFormat="1" ht="14.4" hidden="1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3" customFormat="1" ht="14.4" hidden="1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3" customFormat="1" ht="14.4" hidden="1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3" customFormat="1" ht="14.4" hidden="1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3" customFormat="1" ht="14.4" hidden="1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3" customFormat="1" ht="14.4" hidden="1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3" customFormat="1" ht="14.4" hidden="1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3" customFormat="1" ht="14.4" hidden="1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3" customFormat="1" ht="14.4" hidden="1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3" customFormat="1" ht="14.4" hidden="1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3" customFormat="1" ht="14.4" hidden="1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3" customFormat="1" ht="14.4" hidden="1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3" customFormat="1" ht="14.4" hidden="1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3" customFormat="1" ht="14.4" hidden="1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3" customFormat="1" ht="14.4" hidden="1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3" customFormat="1" ht="14.4" hidden="1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3" customFormat="1" ht="14.4" hidden="1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3" customFormat="1" ht="14.4" hidden="1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3" customFormat="1" ht="14.4" hidden="1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3" customFormat="1" ht="14.4" hidden="1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3" customFormat="1" ht="14.4" hidden="1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3" customFormat="1" ht="14.4" hidden="1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3" customFormat="1" ht="14.4" hidden="1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3" customFormat="1" ht="14.4" hidden="1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3" customFormat="1" ht="14.4" hidden="1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3" customFormat="1" ht="14.4" hidden="1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3" customFormat="1" ht="14.4" hidden="1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3" customFormat="1" ht="14.4" hidden="1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3" customFormat="1" ht="14.4" hidden="1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3" customFormat="1" ht="14.4" hidden="1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3" customFormat="1" ht="14.4" hidden="1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3" customFormat="1" ht="14.4" hidden="1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3" customFormat="1" ht="14.4" hidden="1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3" customFormat="1" ht="14.4" hidden="1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3" customFormat="1" ht="14.4" hidden="1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3" customFormat="1" ht="14.4" hidden="1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3" customFormat="1" ht="14.4" hidden="1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3" customFormat="1" ht="14.4" hidden="1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3" customFormat="1" ht="14.4" hidden="1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3" customFormat="1" ht="14.4" hidden="1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3" customFormat="1" ht="14.4" hidden="1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3" customFormat="1" ht="14.4" hidden="1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3" customFormat="1" ht="14.4" hidden="1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3" customFormat="1" ht="14.4" hidden="1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3" customFormat="1" ht="14.4" hidden="1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3" customFormat="1" ht="14.4" hidden="1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3" customFormat="1" ht="14.4" hidden="1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3" customFormat="1" ht="14.4" hidden="1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3" customFormat="1" ht="14.4" hidden="1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3" customFormat="1" ht="14.4" hidden="1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3" customFormat="1" ht="14.4" hidden="1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3" customFormat="1" ht="14.4" hidden="1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3" customFormat="1" ht="14.4" hidden="1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3" customFormat="1" ht="14.4" hidden="1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3" customFormat="1" ht="14.4" hidden="1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3" customFormat="1" ht="14.4" hidden="1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3" customFormat="1" ht="14.4" hidden="1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3" customFormat="1" ht="14.4" hidden="1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3" customFormat="1" ht="14.4" hidden="1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3" customFormat="1" ht="14.4" hidden="1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3" customFormat="1" ht="14.4" hidden="1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3" customFormat="1" ht="14.4" hidden="1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3" customFormat="1" ht="14.4" hidden="1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3" customFormat="1" ht="14.4" hidden="1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3" customFormat="1" ht="14.4" hidden="1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3" customFormat="1" ht="14.4" hidden="1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3" customFormat="1" ht="14.4" hidden="1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3" customFormat="1" ht="14.4" hidden="1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3" customFormat="1" ht="14.4" hidden="1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3" customFormat="1" ht="14.4" hidden="1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3" customFormat="1" ht="14.4" hidden="1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3" customFormat="1" ht="14.4" hidden="1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3" customFormat="1" ht="14.4" hidden="1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3" customFormat="1" ht="14.4" hidden="1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3" customFormat="1" ht="14.4" hidden="1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3" customFormat="1" ht="14.4" hidden="1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3" customFormat="1" ht="14.4" hidden="1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3" customFormat="1" ht="14.4" hidden="1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3" customFormat="1" ht="14.4" hidden="1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3" customFormat="1" ht="14.4" hidden="1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3" customFormat="1" ht="14.4" hidden="1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3" customFormat="1" ht="14.4" hidden="1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3" customFormat="1" ht="14.4" hidden="1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3" customFormat="1" ht="14.4" hidden="1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3" customFormat="1" ht="14.4" hidden="1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3" customFormat="1" ht="14.4" hidden="1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3" customFormat="1" ht="14.4" hidden="1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3" customFormat="1" ht="14.4" hidden="1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3" customFormat="1" ht="14.4" hidden="1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3" customFormat="1" ht="14.4" hidden="1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3" customFormat="1" ht="14.4" hidden="1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3" customFormat="1" ht="14.4" hidden="1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3" customFormat="1" ht="14.4" hidden="1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3" customFormat="1" ht="14.4" hidden="1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3" customFormat="1" ht="14.4" hidden="1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3" customFormat="1" ht="14.4" hidden="1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3" customFormat="1" ht="14.4" hidden="1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3" customFormat="1" ht="14.4" hidden="1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3" customFormat="1" ht="14.4" hidden="1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3" customFormat="1" ht="14.4" hidden="1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3" customFormat="1" ht="14.4" hidden="1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3" customFormat="1" ht="14.4" hidden="1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3" customFormat="1" ht="14.4" hidden="1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3" customFormat="1" ht="14.4" hidden="1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3" customFormat="1" ht="14.4" hidden="1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3" customFormat="1" ht="14.4" hidden="1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3" customFormat="1" ht="14.4" hidden="1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3" customFormat="1" ht="14.4" hidden="1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3" customFormat="1" ht="14.4" hidden="1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3" customFormat="1" ht="14.4" hidden="1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3" customFormat="1" ht="14.4" hidden="1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3" customFormat="1" ht="14.4" hidden="1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3" customFormat="1" ht="14.4" hidden="1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3" customFormat="1" ht="14.4" hidden="1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3" customFormat="1" ht="14.4" hidden="1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3" customFormat="1" ht="14.4" hidden="1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3" customFormat="1" ht="14.4" hidden="1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3" customFormat="1" ht="14.4" hidden="1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3" customFormat="1" ht="14.4" hidden="1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3" customFormat="1" ht="14.4" hidden="1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3" customFormat="1" ht="14.4" hidden="1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3" customFormat="1" ht="14.4" hidden="1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3" customFormat="1" ht="14.4" hidden="1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3" customFormat="1" ht="14.4" hidden="1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3" customFormat="1" ht="14.4" hidden="1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3" customFormat="1" ht="14.4" hidden="1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3" customFormat="1" ht="14.4" hidden="1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3" customFormat="1" ht="14.4" hidden="1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3" customFormat="1" ht="14.4" hidden="1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3" customFormat="1" ht="14.4" hidden="1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3" customFormat="1" ht="14.4" hidden="1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3" customFormat="1" ht="14.4" hidden="1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3" customFormat="1" ht="14.4" hidden="1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3" customFormat="1" ht="14.4" hidden="1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3" customFormat="1" ht="14.4" hidden="1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3" customFormat="1" ht="14.4" hidden="1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3" customFormat="1" ht="14.4" hidden="1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3" customFormat="1" ht="14.4" hidden="1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3" customFormat="1" ht="14.4" hidden="1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3" customFormat="1" ht="14.4" hidden="1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3" customFormat="1" ht="14.4" hidden="1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3" customFormat="1" ht="14.4" hidden="1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3" customFormat="1" ht="14.4" hidden="1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3" customFormat="1" ht="14.4" hidden="1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3" customFormat="1" ht="14.4" hidden="1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3" customFormat="1" ht="14.4" hidden="1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3" customFormat="1" ht="14.4" hidden="1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3" customFormat="1" ht="14.4" hidden="1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3" customFormat="1" ht="14.4" hidden="1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3" customFormat="1" ht="14.4" hidden="1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3" customFormat="1" ht="14.4" hidden="1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3" customFormat="1" ht="14.4" hidden="1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3" customFormat="1" ht="14.4" hidden="1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3" customFormat="1" ht="14.4" hidden="1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3" customFormat="1" ht="14.4" hidden="1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3" customFormat="1" ht="14.4" hidden="1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3" customFormat="1" ht="14.4" hidden="1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3" customFormat="1" ht="14.4" hidden="1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3" customFormat="1" ht="14.4" hidden="1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3" customFormat="1" ht="14.4" hidden="1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3" customFormat="1" ht="14.4" hidden="1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3" customFormat="1" ht="14.4" hidden="1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3" customFormat="1" ht="14.4" hidden="1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3" customFormat="1" ht="14.4" hidden="1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3" customFormat="1" ht="14.4" hidden="1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3" customFormat="1" ht="14.4" hidden="1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3" customFormat="1" ht="14.4" hidden="1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3" customFormat="1" ht="14.4" hidden="1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3" customFormat="1" ht="14.4" hidden="1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3" customFormat="1" ht="14.4" hidden="1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3" customFormat="1" ht="14.4" hidden="1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3" customFormat="1" ht="14.4" hidden="1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3" customFormat="1" ht="14.4" hidden="1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3" customFormat="1" ht="14.4" hidden="1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3" customFormat="1" ht="14.4" hidden="1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3" customFormat="1" ht="14.4" hidden="1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3" customFormat="1" ht="14.4" hidden="1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3" customFormat="1" ht="14.4" hidden="1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3" customFormat="1" ht="14.4" hidden="1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3" customFormat="1" ht="14.4" hidden="1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3" customFormat="1" ht="14.4" hidden="1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3" customFormat="1" ht="14.4" hidden="1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3" customFormat="1" ht="14.4" hidden="1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3" customFormat="1" ht="14.4" hidden="1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3" customFormat="1" ht="14.4" hidden="1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3" customFormat="1" ht="14.4" hidden="1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3" customFormat="1" ht="14.4" hidden="1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3" customFormat="1" ht="14.4" hidden="1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3" customFormat="1" ht="14.4" hidden="1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3" customFormat="1" ht="14.4" hidden="1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3" customFormat="1" ht="14.4" hidden="1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3" customFormat="1" ht="14.4" hidden="1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3" customFormat="1" ht="14.4" hidden="1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3" customFormat="1" ht="14.4" hidden="1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3" customFormat="1" ht="14.4" hidden="1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3" customFormat="1" ht="14.4" hidden="1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3" customFormat="1" ht="14.4" hidden="1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3" customFormat="1" ht="14.4" hidden="1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3" customFormat="1" ht="14.4" hidden="1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3" customFormat="1" ht="14.4" hidden="1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3" customFormat="1" ht="14.4" hidden="1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3" customFormat="1" ht="14.4" hidden="1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3" customFormat="1" ht="14.4" hidden="1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3" customFormat="1" ht="14.4" hidden="1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3" customFormat="1" ht="14.4" hidden="1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3" customFormat="1" ht="14.4" hidden="1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3" customFormat="1" ht="14.4" hidden="1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3" customFormat="1" ht="14.4" hidden="1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3" customFormat="1" ht="14.4" hidden="1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3" customFormat="1" ht="14.4" hidden="1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3" customFormat="1" ht="14.4" hidden="1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3" customFormat="1" ht="14.4" hidden="1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3" customFormat="1" ht="14.4" hidden="1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3" customFormat="1" ht="14.4" hidden="1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3" customFormat="1" ht="14.4" hidden="1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3" customFormat="1" ht="14.4" hidden="1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3" customFormat="1" ht="14.4" hidden="1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3" customFormat="1" ht="14.4" hidden="1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3" customFormat="1" ht="14.4" hidden="1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3" customFormat="1" ht="14.4" hidden="1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3" customFormat="1" ht="14.4" hidden="1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3" customFormat="1" ht="14.4" hidden="1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3" customFormat="1" ht="14.4" hidden="1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3" customFormat="1" ht="14.4" hidden="1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3" customFormat="1" ht="14.4" hidden="1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3" customFormat="1" ht="14.4" hidden="1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3" customFormat="1" ht="14.4" hidden="1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3" customFormat="1" ht="14.4" hidden="1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3" customFormat="1" ht="14.4" hidden="1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3" customFormat="1" ht="14.4" hidden="1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3" customFormat="1" ht="14.4" hidden="1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3" customFormat="1" ht="14.4" hidden="1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3" customFormat="1" ht="14.4" hidden="1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3" customFormat="1" ht="14.4" hidden="1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3" customFormat="1" ht="14.4" hidden="1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3" customFormat="1" ht="14.4" hidden="1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3" customFormat="1" ht="14.4" hidden="1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3" customFormat="1" ht="14.4" hidden="1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3" customFormat="1" ht="14.4" hidden="1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3" customFormat="1" ht="14.4" hidden="1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3" customFormat="1" ht="14.4" hidden="1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3" customFormat="1" ht="14.4" hidden="1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3" customFormat="1" ht="14.4" hidden="1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3" customFormat="1" ht="14.4" hidden="1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3" customFormat="1" ht="14.4" hidden="1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3" customFormat="1" ht="14.4" hidden="1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3" customFormat="1" ht="14.4" hidden="1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3" customFormat="1" ht="14.4" hidden="1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3" customFormat="1" ht="14.4" hidden="1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3" customFormat="1" ht="14.4" hidden="1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3" customFormat="1" ht="14.4" hidden="1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3" customFormat="1" ht="14.4" hidden="1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3" customFormat="1" ht="14.4" hidden="1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3" customFormat="1" ht="14.4" hidden="1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3" customFormat="1" ht="14.4" hidden="1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3" customFormat="1" ht="14.4" hidden="1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3" customFormat="1" ht="14.4" hidden="1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3" customFormat="1" ht="14.4" hidden="1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3" customFormat="1" ht="14.4" hidden="1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3" customFormat="1" ht="14.4" hidden="1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3" customFormat="1" ht="14.4" hidden="1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3" customFormat="1" ht="14.4" hidden="1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3" customFormat="1" ht="14.4" hidden="1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3" customFormat="1" ht="14.4" hidden="1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3" customFormat="1" ht="14.4" hidden="1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3" customFormat="1" ht="14.4" hidden="1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3" customFormat="1" ht="14.4" hidden="1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3" customFormat="1" ht="14.4" hidden="1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3" customFormat="1" ht="14.4" hidden="1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3" customFormat="1" ht="14.4" hidden="1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3" customFormat="1" ht="14.4" hidden="1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3" customFormat="1" ht="14.4" hidden="1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3" customFormat="1" ht="14.4" hidden="1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3" customFormat="1" ht="14.4" hidden="1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3" customFormat="1" ht="14.4" hidden="1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3" customFormat="1" ht="14.4" hidden="1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3" customFormat="1" ht="14.4" hidden="1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3" customFormat="1" ht="14.4" hidden="1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3" customFormat="1" ht="14.4" hidden="1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3" customFormat="1" ht="14.4" hidden="1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3" customFormat="1" ht="14.4" hidden="1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3" customFormat="1" ht="14.4" hidden="1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3" customFormat="1" ht="14.4" hidden="1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3" customFormat="1" ht="14.4" hidden="1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3" customFormat="1" ht="14.4" hidden="1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3" customFormat="1" ht="14.4" hidden="1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3" customFormat="1" ht="14.4" hidden="1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3" customFormat="1" ht="14.4" hidden="1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3" customFormat="1" ht="14.4" hidden="1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3" customFormat="1" ht="14.4" hidden="1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3" customFormat="1" ht="14.4" hidden="1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3" customFormat="1" ht="14.4" hidden="1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3" customFormat="1" ht="14.4" hidden="1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3" customFormat="1" ht="14.4" hidden="1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3" customFormat="1" ht="14.4" hidden="1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3" customFormat="1" ht="14.4" hidden="1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3" customFormat="1" ht="14.4" hidden="1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3" customFormat="1" ht="14.4" hidden="1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3" customFormat="1" ht="14.4" hidden="1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3" customFormat="1" ht="14.4" hidden="1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3" customFormat="1" ht="14.4" hidden="1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3" customFormat="1" ht="14.4" hidden="1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3" customFormat="1" ht="14.4" hidden="1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3" customFormat="1" ht="14.4" hidden="1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3" customFormat="1" ht="14.4" hidden="1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3" customFormat="1" ht="14.4" hidden="1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3" customFormat="1" ht="14.4" hidden="1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3" customFormat="1" ht="14.4" hidden="1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3" customFormat="1" ht="14.4" hidden="1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3" customFormat="1" ht="14.4" hidden="1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3" customFormat="1" ht="14.4" hidden="1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3" customFormat="1" ht="14.4" hidden="1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3" customFormat="1" ht="14.4" hidden="1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3" customFormat="1" ht="14.4" hidden="1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3" customFormat="1" ht="14.4" hidden="1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3" customFormat="1" ht="14.4" hidden="1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3" customFormat="1" ht="14.4" hidden="1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3" customFormat="1" ht="14.4" hidden="1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3" customFormat="1" ht="14.4" hidden="1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3" customFormat="1" ht="14.4" hidden="1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3" customFormat="1" ht="14.4" hidden="1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3" customFormat="1" ht="14.4" hidden="1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3" customFormat="1" ht="14.4" hidden="1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3" customFormat="1" ht="14.4" hidden="1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3" customFormat="1" ht="14.4" hidden="1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3" customFormat="1" ht="14.4" hidden="1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3" customFormat="1" ht="14.4" hidden="1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3" customFormat="1" ht="14.4" hidden="1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3" customFormat="1" ht="14.4" hidden="1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3" customFormat="1" ht="14.4" hidden="1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3" customFormat="1" ht="14.4" hidden="1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3" customFormat="1" ht="14.4" hidden="1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3" customFormat="1" ht="14.4" hidden="1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3" customFormat="1" ht="14.4" hidden="1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3" customFormat="1" ht="14.4" hidden="1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3" customFormat="1" ht="14.4" hidden="1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3" customFormat="1" ht="14.4" hidden="1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3" customFormat="1" ht="14.4" hidden="1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3" customFormat="1" ht="14.4" hidden="1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3" customFormat="1" ht="14.4" hidden="1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3" customFormat="1" ht="14.4" hidden="1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3" customFormat="1" ht="14.4" hidden="1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3" customFormat="1" ht="14.4" hidden="1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3" customFormat="1" ht="14.4" hidden="1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3" customFormat="1" ht="14.4" hidden="1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3" customFormat="1" ht="14.4" hidden="1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3" customFormat="1" ht="14.4" hidden="1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3" customFormat="1" ht="14.4" hidden="1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3" customFormat="1" ht="14.4" hidden="1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3" customFormat="1" ht="14.4" hidden="1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3" customFormat="1" ht="14.4" hidden="1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3" customFormat="1" ht="14.4" hidden="1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3" customFormat="1" ht="14.4" hidden="1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3" customFormat="1" ht="14.4" hidden="1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3" customFormat="1" ht="14.4" hidden="1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3" customFormat="1" ht="14.4" hidden="1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3" customFormat="1" ht="14.4" hidden="1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3" customFormat="1" ht="14.4" hidden="1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3" customFormat="1" ht="14.4" hidden="1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3" customFormat="1" ht="14.4" hidden="1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3" customFormat="1" ht="14.4" hidden="1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3" customFormat="1" ht="14.4" hidden="1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3" customFormat="1" ht="14.4" hidden="1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3" customFormat="1" ht="14.4" hidden="1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3" customFormat="1" ht="14.4" hidden="1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3" customFormat="1" ht="14.4" hidden="1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3" customFormat="1" ht="14.4" hidden="1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3" customFormat="1" ht="14.4" hidden="1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3" customFormat="1" ht="14.4" hidden="1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3" customFormat="1" ht="14.4" hidden="1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3" customFormat="1" ht="14.4" hidden="1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3" customFormat="1" ht="14.4" hidden="1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3" customFormat="1" ht="14.4" hidden="1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3" customFormat="1" ht="14.4" hidden="1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3" customFormat="1" ht="14.4" hidden="1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3" customFormat="1" ht="14.4" hidden="1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3" customFormat="1" ht="14.4" hidden="1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3" customFormat="1" ht="14.4" hidden="1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3" customFormat="1" ht="14.4" hidden="1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3" customFormat="1" ht="14.4" hidden="1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3" customFormat="1" ht="14.4" hidden="1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3" customFormat="1" ht="14.4" hidden="1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3" customFormat="1" ht="14.4" hidden="1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3" customFormat="1" ht="14.4" hidden="1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3" customFormat="1" ht="14.4" hidden="1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3" customFormat="1" ht="14.4" hidden="1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3" customFormat="1" ht="14.4" hidden="1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3" customFormat="1" ht="14.4" hidden="1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3" customFormat="1" ht="14.4" hidden="1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3" customFormat="1" ht="14.4" hidden="1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3" customFormat="1" ht="14.4" hidden="1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3" customFormat="1" ht="14.4" hidden="1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3" customFormat="1" ht="14.4" hidden="1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3" customFormat="1" ht="14.4" hidden="1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3" customFormat="1" ht="14.4" hidden="1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3" customFormat="1" ht="14.4" hidden="1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3" customFormat="1" ht="14.4" hidden="1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3" customFormat="1" ht="14.4" hidden="1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3" customFormat="1" ht="14.4" hidden="1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3" customFormat="1" ht="14.4" hidden="1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3" customFormat="1" ht="14.4" hidden="1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3" customFormat="1" ht="14.4" hidden="1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3" customFormat="1" ht="14.4" hidden="1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3" customFormat="1" ht="14.4" hidden="1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3" customFormat="1" ht="14.4" hidden="1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3" customFormat="1" ht="14.4" hidden="1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3" customFormat="1" ht="14.4" hidden="1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3" customFormat="1" ht="14.4" hidden="1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3" customFormat="1" ht="14.4" hidden="1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3" customFormat="1" ht="14.4" hidden="1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3" customFormat="1" ht="14.4" hidden="1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3" customFormat="1" ht="14.4" hidden="1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3" customFormat="1" ht="14.4" hidden="1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3" customFormat="1" ht="14.4" hidden="1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3" customFormat="1" ht="14.4" hidden="1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3" customFormat="1" ht="14.4" hidden="1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3" customFormat="1" ht="14.4" hidden="1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3" customFormat="1" ht="14.4" hidden="1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3" customFormat="1" ht="14.4" hidden="1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3" customFormat="1" ht="14.4" hidden="1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3" customFormat="1" ht="14.4" hidden="1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3" customFormat="1" ht="14.4" hidden="1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3" customFormat="1" ht="14.4" hidden="1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3" customFormat="1" ht="14.4" hidden="1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3" customFormat="1" ht="14.4" hidden="1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3" customFormat="1" ht="14.4" hidden="1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3" customFormat="1" ht="14.4" hidden="1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3" customFormat="1" ht="14.4" hidden="1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3" customFormat="1" ht="14.4" hidden="1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3" customFormat="1" ht="14.4" hidden="1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3" customFormat="1" ht="14.4" hidden="1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3" customFormat="1" ht="14.4" hidden="1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3" customFormat="1" ht="14.4" hidden="1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3" customFormat="1" ht="14.4" hidden="1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3" customFormat="1" ht="14.4" hidden="1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3" customFormat="1" ht="14.4" hidden="1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3" customFormat="1" ht="14.4" hidden="1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3" customFormat="1" ht="14.4" hidden="1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3" customFormat="1" ht="14.4" hidden="1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3" customFormat="1" ht="14.4" hidden="1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3" customFormat="1" ht="14.4" hidden="1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3" customFormat="1" ht="14.4" hidden="1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3" customFormat="1" ht="14.4" hidden="1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3" customFormat="1" ht="14.4" hidden="1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3" customFormat="1" ht="14.4" hidden="1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3" customFormat="1" ht="14.4" hidden="1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3" customFormat="1" ht="14.4" hidden="1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3" customFormat="1" ht="14.4" hidden="1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3" customFormat="1" ht="14.4" hidden="1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3" customFormat="1" ht="14.4" hidden="1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3" customFormat="1" ht="14.4" hidden="1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3" customFormat="1" ht="14.4" hidden="1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3" customFormat="1" ht="14.4" hidden="1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3" customFormat="1" ht="14.4" hidden="1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3" customFormat="1" ht="14.4" hidden="1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3" customFormat="1" ht="14.4" hidden="1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3" customFormat="1" ht="14.4" hidden="1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3" customFormat="1" ht="14.4" hidden="1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3" customFormat="1" ht="14.4" hidden="1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3" customFormat="1" ht="14.4" hidden="1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3" customFormat="1" ht="14.4" hidden="1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3" customFormat="1" ht="14.4" hidden="1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3" customFormat="1" ht="14.4" hidden="1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3" customFormat="1" ht="14.4" hidden="1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3" customFormat="1" ht="14.4" hidden="1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3" customFormat="1" ht="14.4" hidden="1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3" customFormat="1" ht="14.4" hidden="1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3" customFormat="1" ht="14.4" hidden="1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3" customFormat="1" ht="14.4" hidden="1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3" customFormat="1" ht="14.4" hidden="1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3" customFormat="1" ht="14.4" hidden="1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3" customFormat="1" ht="14.4" hidden="1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3" customFormat="1" ht="14.4" hidden="1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3" customFormat="1" ht="14.4" hidden="1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3" customFormat="1" ht="14.4" hidden="1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3" customFormat="1" ht="14.4" hidden="1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3" customFormat="1" ht="14.4" hidden="1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3" customFormat="1" ht="14.4" hidden="1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3" customFormat="1" ht="14.4" hidden="1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3" customFormat="1" ht="14.4" hidden="1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3" customFormat="1" ht="14.4" hidden="1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3" customFormat="1" ht="14.4" hidden="1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3" customFormat="1" ht="14.4" hidden="1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3" customFormat="1" ht="14.4" hidden="1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3" customFormat="1" ht="14.4" hidden="1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3" customFormat="1" ht="14.4" hidden="1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3" customFormat="1" ht="14.4" hidden="1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3" customFormat="1" ht="14.4" hidden="1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3" customFormat="1" ht="14.4" hidden="1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3" customFormat="1" ht="14.4" hidden="1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3" customFormat="1" ht="14.4" hidden="1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3" customFormat="1" ht="14.4" hidden="1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3" customFormat="1" ht="14.4" hidden="1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3" customFormat="1" ht="14.4" hidden="1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3" customFormat="1" ht="14.4" hidden="1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3" customFormat="1" ht="14.4" hidden="1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3" customFormat="1" ht="14.4" hidden="1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3" customFormat="1" ht="14.4" hidden="1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3" customFormat="1" ht="14.4" hidden="1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3" customFormat="1" ht="14.4" hidden="1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3" customFormat="1" ht="14.4" hidden="1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3" customFormat="1" ht="14.4" hidden="1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3" customFormat="1" ht="14.4" hidden="1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3" customFormat="1" ht="14.4" hidden="1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3" customFormat="1" ht="14.4" hidden="1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3" customFormat="1" ht="14.4" hidden="1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3" customFormat="1" ht="14.4" hidden="1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3" customFormat="1" ht="14.4" hidden="1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3" customFormat="1" ht="14.4" hidden="1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3" customFormat="1" ht="14.4" hidden="1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3" customFormat="1" ht="14.4" hidden="1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3" customFormat="1" ht="14.4" hidden="1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3" customFormat="1" ht="14.4" hidden="1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3" customFormat="1" ht="14.4" hidden="1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3" customFormat="1" ht="14.4" hidden="1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3" customFormat="1" ht="14.4" hidden="1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3" customFormat="1" ht="14.4" hidden="1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3" customFormat="1" ht="14.4" hidden="1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3" customFormat="1" ht="14.4" hidden="1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3" customFormat="1" ht="14.4" hidden="1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3" customFormat="1" ht="14.4" hidden="1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3" customFormat="1" ht="14.4" hidden="1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3" customFormat="1" ht="14.4" hidden="1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3" customFormat="1" ht="14.4" hidden="1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3" customFormat="1" ht="14.4" hidden="1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3" customFormat="1" ht="14.4" hidden="1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3" customFormat="1" ht="14.4" hidden="1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3" customFormat="1" ht="14.4" hidden="1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3" customFormat="1" ht="14.4" hidden="1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3" customFormat="1" ht="14.4" hidden="1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3" customFormat="1" ht="14.4" hidden="1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3" customFormat="1" ht="14.4" hidden="1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3" customFormat="1" ht="14.4" hidden="1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3" customFormat="1" ht="14.4" hidden="1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3" customFormat="1" ht="14.4" hidden="1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3" customFormat="1" ht="14.4" hidden="1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3" customFormat="1" ht="14.4" hidden="1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3" customFormat="1" ht="14.4" hidden="1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3" customFormat="1" ht="14.4" hidden="1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3" customFormat="1" ht="14.4" hidden="1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3" customFormat="1" ht="14.4" hidden="1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3" customFormat="1" ht="14.4" hidden="1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3" customFormat="1" ht="14.4" hidden="1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3" customFormat="1" ht="14.4" hidden="1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3" customFormat="1" ht="14.4" hidden="1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3" customFormat="1" ht="14.4" hidden="1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3" customFormat="1" ht="14.4" hidden="1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3" customFormat="1" ht="14.4" hidden="1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3" customFormat="1" ht="14.4" hidden="1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3" customFormat="1" ht="14.4" hidden="1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3" customFormat="1" ht="14.4" hidden="1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3" customFormat="1" ht="14.4" hidden="1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3" customFormat="1" ht="14.4" hidden="1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3" customFormat="1" ht="14.4" hidden="1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3" customFormat="1" ht="14.4" hidden="1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3" customFormat="1" ht="14.4" hidden="1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3" customFormat="1" ht="14.4" hidden="1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3" customFormat="1" ht="14.4" hidden="1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3" customFormat="1" ht="14.4" hidden="1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3" customFormat="1" ht="14.4" hidden="1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3" customFormat="1" ht="14.4" hidden="1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3" customFormat="1" ht="14.4" hidden="1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3" customFormat="1" ht="14.4" hidden="1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3" customFormat="1" ht="14.4" hidden="1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3" customFormat="1" ht="14.4" hidden="1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3" customFormat="1" ht="14.4" hidden="1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3" customFormat="1" ht="14.4" hidden="1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3" customFormat="1" ht="14.4" hidden="1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3" customFormat="1" ht="14.4" hidden="1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3" customFormat="1" ht="14.4" hidden="1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3" customFormat="1" ht="14.4" hidden="1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3" customFormat="1" ht="14.4" hidden="1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3" customFormat="1" ht="14.4" hidden="1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3" customFormat="1" ht="14.4" hidden="1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3" customFormat="1" ht="14.4" hidden="1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3" customFormat="1" ht="14.4" hidden="1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3" customFormat="1" ht="14.4" hidden="1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3" customFormat="1" ht="14.4" hidden="1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3" customFormat="1" ht="14.4" hidden="1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3" customFormat="1" ht="14.4" hidden="1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3" customFormat="1" ht="14.4" hidden="1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3" customFormat="1" ht="14.4" hidden="1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3" customFormat="1" ht="14.4" hidden="1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3" customFormat="1" ht="14.4" hidden="1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3" customFormat="1" ht="14.4" hidden="1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3" customFormat="1" ht="14.4" hidden="1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3" customFormat="1" ht="14.4" hidden="1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3" customFormat="1" ht="14.4" hidden="1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3" customFormat="1" ht="14.4" hidden="1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3" customFormat="1" ht="14.4" hidden="1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3" customFormat="1" ht="14.4" hidden="1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3" customFormat="1" ht="14.4" hidden="1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3" customFormat="1" ht="14.4" hidden="1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3" customFormat="1" ht="14.4" hidden="1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3" customFormat="1" ht="14.4" hidden="1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3" customFormat="1" ht="14.4" hidden="1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3" customFormat="1" ht="14.4" hidden="1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3" customFormat="1" ht="14.4" hidden="1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3" customFormat="1" ht="14.4" hidden="1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3" customFormat="1" ht="14.4" hidden="1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3" customFormat="1" ht="14.4" hidden="1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3" customFormat="1" ht="14.4" hidden="1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3" customFormat="1" ht="14.4" hidden="1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3" customFormat="1" ht="14.4" hidden="1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3" customFormat="1" ht="14.4" hidden="1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3" customFormat="1" ht="14.4" hidden="1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3" customFormat="1" ht="14.4" hidden="1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3" customFormat="1" ht="14.4" hidden="1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3" customFormat="1" ht="14.4" hidden="1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3" customFormat="1" ht="14.4" hidden="1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3" customFormat="1" ht="14.4" hidden="1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3" customFormat="1" ht="14.4" hidden="1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3" customFormat="1" ht="14.4" hidden="1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3" customFormat="1" ht="14.4" hidden="1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3" customFormat="1" ht="14.4" hidden="1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3" customFormat="1" ht="14.4" hidden="1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3" customFormat="1" ht="14.4" hidden="1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3" customFormat="1" ht="14.4" hidden="1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3" customFormat="1" ht="14.4" hidden="1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3" customFormat="1" ht="14.4" hidden="1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3" customFormat="1" ht="14.4" hidden="1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3" customFormat="1" ht="14.4" hidden="1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3" customFormat="1" ht="14.4" hidden="1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3" customFormat="1" ht="14.4" hidden="1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3" customFormat="1" ht="14.4" hidden="1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3" customFormat="1" ht="14.4" hidden="1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3" customFormat="1" ht="14.4" hidden="1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3" customFormat="1" ht="14.4" hidden="1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3" customFormat="1" ht="14.4" hidden="1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3" customFormat="1" ht="14.4" hidden="1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3" customFormat="1" ht="14.4" hidden="1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3" customFormat="1" ht="14.4" hidden="1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3" customFormat="1" ht="14.4" hidden="1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3" customFormat="1" ht="14.4" hidden="1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3" customFormat="1" ht="14.4" hidden="1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3" customFormat="1" ht="14.4" hidden="1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3" customFormat="1" ht="14.4" hidden="1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3" customFormat="1" ht="14.4" hidden="1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3" customFormat="1" ht="14.4" hidden="1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3" customFormat="1" ht="14.4" hidden="1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3" customFormat="1" ht="14.4" hidden="1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3" customFormat="1" ht="14.4" hidden="1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3" customFormat="1" ht="14.4" hidden="1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3" customFormat="1" ht="14.4" hidden="1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3" customFormat="1" ht="14.4" hidden="1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3" customFormat="1" ht="14.4" hidden="1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3" customFormat="1" ht="14.4" hidden="1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3" customFormat="1" ht="14.4" hidden="1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3" customFormat="1" ht="14.4" hidden="1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3" customFormat="1" ht="14.4" hidden="1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3" customFormat="1" ht="14.4" hidden="1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3" customFormat="1" ht="14.4" hidden="1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3" customFormat="1" ht="14.4" hidden="1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3" customFormat="1" ht="14.4" hidden="1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3" customFormat="1" ht="14.4" hidden="1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3" customFormat="1" ht="14.4" hidden="1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3" customFormat="1" ht="14.4" hidden="1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3" customFormat="1" ht="14.4" hidden="1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3" customFormat="1" ht="14.4" hidden="1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3" customFormat="1" ht="14.4" hidden="1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3" customFormat="1" ht="14.4" hidden="1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3" customFormat="1" ht="14.4" hidden="1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3" customFormat="1" ht="14.4" hidden="1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3" customFormat="1" ht="14.4" hidden="1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3" customFormat="1" ht="14.4" hidden="1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3" customFormat="1" ht="14.4" hidden="1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3" customFormat="1" ht="14.4" hidden="1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3" customFormat="1" ht="14.4" hidden="1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3" customFormat="1" ht="14.4" hidden="1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3" customFormat="1" ht="14.4" hidden="1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3" customFormat="1" ht="14.4" hidden="1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3" customFormat="1" ht="14.4" hidden="1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3" customFormat="1" ht="14.4" hidden="1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3" customFormat="1" ht="14.4" hidden="1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3" customFormat="1" ht="14.4" hidden="1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3" customFormat="1" ht="14.4" hidden="1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3" customFormat="1" ht="14.4" hidden="1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3" customFormat="1" ht="14.4" hidden="1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3" customFormat="1" ht="14.4" hidden="1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3" customFormat="1" ht="14.4" hidden="1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3" customFormat="1" ht="14.4" hidden="1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3" customFormat="1" ht="14.4" hidden="1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3" customFormat="1" ht="14.4" hidden="1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3" customFormat="1" ht="14.4" hidden="1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3" customFormat="1" ht="14.4" hidden="1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3" customFormat="1" ht="14.4" hidden="1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3" customFormat="1" ht="14.4" hidden="1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3" customFormat="1" ht="14.4" hidden="1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3" customFormat="1" ht="14.4" hidden="1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3" customFormat="1" ht="14.4" hidden="1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3" customFormat="1" ht="14.4" hidden="1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3" customFormat="1" ht="14.4" hidden="1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3" customFormat="1" ht="14.4" hidden="1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3" customFormat="1" ht="14.4" hidden="1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3" customFormat="1" ht="14.4" hidden="1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3" customFormat="1" ht="14.4" hidden="1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3" customFormat="1" ht="14.4" hidden="1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3" customFormat="1" ht="14.4" hidden="1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3" customFormat="1" ht="14.4" hidden="1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3" customFormat="1" ht="14.4" hidden="1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3" customFormat="1" ht="14.4" hidden="1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3" customFormat="1" ht="14.4" hidden="1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3" customFormat="1" ht="14.4" hidden="1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3" customFormat="1" ht="14.4" hidden="1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3" customFormat="1" ht="14.4" hidden="1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3" customFormat="1" ht="14.4" hidden="1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3" customFormat="1" ht="14.4" hidden="1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3" customFormat="1" ht="14.4" hidden="1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3" customFormat="1" ht="14.4" hidden="1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3" customFormat="1" ht="14.4" hidden="1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3" customFormat="1" ht="14.4" hidden="1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3" customFormat="1" ht="14.4" hidden="1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3" customFormat="1" ht="14.4" hidden="1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3" customFormat="1" ht="14.4" hidden="1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3" customFormat="1" ht="14.4" hidden="1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3" customFormat="1" ht="14.4" hidden="1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3" customFormat="1" ht="14.4" hidden="1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3" customFormat="1" ht="14.4" hidden="1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3" customFormat="1" ht="14.4" hidden="1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3" customFormat="1" ht="14.4" hidden="1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3" customFormat="1" ht="14.4" hidden="1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3" customFormat="1" ht="14.4" hidden="1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3" customFormat="1" ht="14.4" hidden="1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3" customFormat="1" ht="14.4" hidden="1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3" customFormat="1" ht="14.4" hidden="1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3" customFormat="1" ht="14.4" hidden="1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3" customFormat="1" ht="14.4" hidden="1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3" customFormat="1" ht="14.4" hidden="1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3" customFormat="1" ht="14.4" hidden="1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3" customFormat="1" ht="14.4" hidden="1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3" customFormat="1" ht="14.4" hidden="1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3" customFormat="1" ht="14.4" hidden="1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3" customFormat="1" ht="14.4" hidden="1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3" customFormat="1" ht="14.4" hidden="1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3" customFormat="1" ht="14.4" hidden="1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3" customFormat="1" ht="14.4" hidden="1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3" customFormat="1" ht="14.4" hidden="1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3" customFormat="1" ht="14.4" hidden="1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3" customFormat="1" ht="14.4" hidden="1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3" customFormat="1" ht="14.4" hidden="1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3" customFormat="1" ht="14.4" hidden="1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3" customFormat="1" ht="14.4" hidden="1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3" customFormat="1" ht="14.4" hidden="1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3" customFormat="1" ht="14.4" hidden="1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3" customFormat="1" ht="14.4" hidden="1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3" customFormat="1" ht="14.4" hidden="1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3" customFormat="1" ht="14.4" hidden="1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3" customFormat="1" ht="15" hidden="1" customHeight="1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3" customFormat="1" ht="15" hidden="1" customHeight="1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3" customFormat="1" ht="15" hidden="1" customHeight="1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3" customFormat="1" ht="15" hidden="1" customHeight="1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3" customFormat="1" ht="15" hidden="1" customHeight="1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3" customFormat="1" ht="15" hidden="1" customHeight="1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3" customFormat="1" ht="15" hidden="1" customHeight="1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3" customFormat="1" ht="15" hidden="1" customHeight="1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3" customFormat="1" ht="15" hidden="1" customHeight="1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3" customFormat="1" ht="15" hidden="1" customHeight="1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3" customFormat="1" ht="15" hidden="1" customHeight="1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3" customFormat="1" ht="15" hidden="1" customHeight="1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3" customFormat="1" ht="15" hidden="1" customHeight="1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3" customFormat="1" ht="15" hidden="1" customHeight="1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3" customFormat="1" ht="15" hidden="1" customHeight="1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3" customFormat="1" ht="15" hidden="1" customHeight="1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3" customFormat="1" ht="15" hidden="1" customHeight="1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3" customFormat="1" ht="15" hidden="1" customHeight="1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3" customFormat="1" ht="15" hidden="1" customHeight="1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3" customFormat="1" ht="15" hidden="1" customHeight="1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3" customFormat="1" ht="15" hidden="1" customHeight="1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3" customFormat="1" ht="15" hidden="1" customHeight="1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3" customFormat="1" ht="15" hidden="1" customHeight="1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3" customFormat="1" ht="15" hidden="1" customHeight="1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3" customFormat="1" ht="15" hidden="1" customHeight="1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3" customFormat="1" ht="15" hidden="1" customHeight="1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3" customFormat="1" ht="15" hidden="1" customHeight="1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3" customFormat="1" ht="15" hidden="1" customHeight="1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3" customFormat="1" ht="15" hidden="1" customHeight="1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3" customFormat="1" ht="15" hidden="1" customHeight="1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3" customFormat="1" ht="15" hidden="1" customHeight="1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3" customFormat="1" ht="15" hidden="1" customHeight="1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3" customFormat="1" ht="15" hidden="1" customHeight="1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3" customFormat="1" ht="15" hidden="1" customHeight="1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3" customFormat="1" ht="15" hidden="1" customHeight="1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3" customFormat="1" ht="15" hidden="1" customHeight="1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3" customFormat="1" ht="15" hidden="1" customHeight="1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3" customFormat="1" ht="15" hidden="1" customHeight="1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3" customFormat="1" ht="15" hidden="1" customHeight="1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3" customFormat="1" ht="15" hidden="1" customHeight="1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3" customFormat="1" ht="15" hidden="1" customHeight="1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3" customFormat="1" ht="15" hidden="1" customHeight="1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3" customFormat="1" ht="15" hidden="1" customHeight="1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3" customFormat="1" ht="15" hidden="1" customHeight="1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3" customFormat="1" ht="15" hidden="1" customHeight="1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3" customFormat="1" ht="15" hidden="1" customHeight="1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3" customFormat="1" ht="15" hidden="1" customHeight="1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3" customFormat="1" ht="15" hidden="1" customHeight="1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3" customFormat="1" ht="15" hidden="1" customHeight="1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3" customFormat="1" ht="15" hidden="1" customHeight="1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3" customFormat="1" ht="15" hidden="1" customHeight="1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3" customFormat="1" ht="15" hidden="1" customHeight="1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3" customFormat="1" ht="15" hidden="1" customHeight="1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3" customFormat="1" ht="15" hidden="1" customHeight="1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3" customFormat="1" ht="15" hidden="1" customHeight="1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3" customFormat="1" ht="15" hidden="1" customHeight="1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3" customFormat="1" ht="15" hidden="1" customHeight="1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3" customFormat="1" ht="15" hidden="1" customHeight="1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3" customFormat="1" ht="15" hidden="1" customHeight="1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3" customFormat="1" ht="15" hidden="1" customHeight="1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3" customFormat="1" ht="15" hidden="1" customHeight="1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3" customFormat="1" ht="15" hidden="1" customHeight="1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3" customFormat="1" ht="15" hidden="1" customHeight="1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3" customFormat="1" ht="15" hidden="1" customHeight="1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spans="2:29" s="3" customFormat="1" ht="15" hidden="1" customHeight="1" x14ac:dyDescent="0.3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 spans="2:29" ht="15" hidden="1" customHeight="1" x14ac:dyDescent="0.3"/>
    <row r="1555" spans="2:29" ht="15" hidden="1" customHeight="1" x14ac:dyDescent="0.3"/>
    <row r="1556" spans="2:29" ht="15" hidden="1" customHeight="1" x14ac:dyDescent="0.3"/>
    <row r="1557" spans="2:29" ht="15" hidden="1" customHeight="1" x14ac:dyDescent="0.3"/>
    <row r="1558" spans="2:29" ht="15" hidden="1" customHeight="1" x14ac:dyDescent="0.3"/>
    <row r="1559" spans="2:29" ht="15" hidden="1" customHeight="1" x14ac:dyDescent="0.3"/>
    <row r="1560" spans="2:29" ht="15" hidden="1" customHeight="1" x14ac:dyDescent="0.3"/>
    <row r="1561" spans="2:29" ht="15" hidden="1" customHeight="1" x14ac:dyDescent="0.3"/>
    <row r="1562" spans="2:29" ht="15" hidden="1" customHeight="1" x14ac:dyDescent="0.3"/>
    <row r="1563" spans="2:29" ht="15" hidden="1" customHeight="1" x14ac:dyDescent="0.3"/>
    <row r="1564" spans="2:29" ht="15" hidden="1" customHeight="1" x14ac:dyDescent="0.3"/>
    <row r="1565" spans="2:29" ht="15" hidden="1" customHeight="1" x14ac:dyDescent="0.3"/>
    <row r="1566" spans="2:29" ht="15" hidden="1" customHeight="1" x14ac:dyDescent="0.3"/>
    <row r="1567" spans="2:29" ht="15" hidden="1" customHeight="1" x14ac:dyDescent="0.3"/>
    <row r="1568" spans="2:29" ht="15" hidden="1" customHeight="1" x14ac:dyDescent="0.3"/>
    <row r="1569" ht="15" hidden="1" customHeight="1" x14ac:dyDescent="0.3"/>
    <row r="1570" ht="15" hidden="1" customHeight="1" x14ac:dyDescent="0.3"/>
    <row r="1571" ht="15" hidden="1" customHeight="1" x14ac:dyDescent="0.3"/>
    <row r="1572" ht="15" hidden="1" customHeight="1" x14ac:dyDescent="0.3"/>
    <row r="1573" ht="15" hidden="1" customHeight="1" x14ac:dyDescent="0.3"/>
    <row r="1574" ht="15" hidden="1" customHeight="1" x14ac:dyDescent="0.3"/>
    <row r="1575" ht="15" hidden="1" customHeight="1" x14ac:dyDescent="0.3"/>
    <row r="1576" ht="15" hidden="1" customHeight="1" x14ac:dyDescent="0.3"/>
    <row r="1577" ht="15" hidden="1" customHeight="1" x14ac:dyDescent="0.3"/>
    <row r="1578" ht="15" hidden="1" customHeight="1" x14ac:dyDescent="0.3"/>
    <row r="1579" ht="15" hidden="1" customHeight="1" x14ac:dyDescent="0.3"/>
    <row r="1580" ht="15" hidden="1" customHeight="1" x14ac:dyDescent="0.3"/>
    <row r="1581" ht="15" hidden="1" customHeight="1" x14ac:dyDescent="0.3"/>
    <row r="1582" ht="15" hidden="1" customHeight="1" x14ac:dyDescent="0.3"/>
    <row r="1583" ht="15" hidden="1" customHeight="1" x14ac:dyDescent="0.3"/>
    <row r="1584" ht="15" hidden="1" customHeight="1" x14ac:dyDescent="0.3"/>
    <row r="1585" ht="15" hidden="1" customHeight="1" x14ac:dyDescent="0.3"/>
    <row r="1586" ht="15" hidden="1" customHeight="1" x14ac:dyDescent="0.3"/>
    <row r="1587" ht="15" hidden="1" customHeight="1" x14ac:dyDescent="0.3"/>
    <row r="1588" ht="15" hidden="1" customHeight="1" x14ac:dyDescent="0.3"/>
    <row r="1589" ht="15" hidden="1" customHeight="1" x14ac:dyDescent="0.3"/>
    <row r="1590" ht="15" hidden="1" customHeight="1" x14ac:dyDescent="0.3"/>
    <row r="1591" ht="15" hidden="1" customHeight="1" x14ac:dyDescent="0.3"/>
    <row r="1592" ht="15" hidden="1" customHeight="1" x14ac:dyDescent="0.3"/>
    <row r="1593" ht="15" hidden="1" customHeight="1" x14ac:dyDescent="0.3"/>
    <row r="1594" ht="15" hidden="1" customHeight="1" x14ac:dyDescent="0.3"/>
    <row r="1595" ht="15" hidden="1" customHeight="1" x14ac:dyDescent="0.3"/>
    <row r="1596" ht="15" hidden="1" customHeight="1" x14ac:dyDescent="0.3"/>
    <row r="1597" ht="15" hidden="1" customHeight="1" x14ac:dyDescent="0.3"/>
    <row r="1598" ht="15" hidden="1" customHeight="1" x14ac:dyDescent="0.3"/>
    <row r="1599" ht="15" hidden="1" customHeight="1" x14ac:dyDescent="0.3"/>
    <row r="1600" ht="15" hidden="1" customHeight="1" x14ac:dyDescent="0.3"/>
    <row r="1601" ht="15" hidden="1" customHeight="1" x14ac:dyDescent="0.3"/>
    <row r="1602" ht="15" hidden="1" customHeight="1" x14ac:dyDescent="0.3"/>
    <row r="1603" ht="15" hidden="1" customHeight="1" x14ac:dyDescent="0.3"/>
    <row r="1604" ht="15" hidden="1" customHeight="1" x14ac:dyDescent="0.3"/>
    <row r="1605" ht="15" hidden="1" customHeight="1" x14ac:dyDescent="0.3"/>
    <row r="1606" ht="15" hidden="1" customHeight="1" x14ac:dyDescent="0.3"/>
  </sheetData>
  <mergeCells count="11">
    <mergeCell ref="C45:C46"/>
    <mergeCell ref="D45:D46"/>
    <mergeCell ref="E45:E46"/>
    <mergeCell ref="B10:B11"/>
    <mergeCell ref="C10:C11"/>
    <mergeCell ref="B27:B28"/>
    <mergeCell ref="C27:C28"/>
    <mergeCell ref="E10:E11"/>
    <mergeCell ref="E27:E28"/>
    <mergeCell ref="D10:D11"/>
    <mergeCell ref="D27:D2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41"/>
  <sheetViews>
    <sheetView showGridLines="0" topLeftCell="A4" zoomScale="90" zoomScaleNormal="90" workbookViewId="0">
      <selection activeCell="G22" sqref="G22"/>
    </sheetView>
  </sheetViews>
  <sheetFormatPr defaultColWidth="0" defaultRowHeight="0" customHeight="1" zeroHeight="1" x14ac:dyDescent="0.3"/>
  <cols>
    <col min="1" max="1" width="3.5546875" style="3" customWidth="1"/>
    <col min="2" max="2" width="54.77734375" bestFit="1" customWidth="1"/>
    <col min="3" max="7" width="25.5546875" customWidth="1"/>
    <col min="8" max="8" width="3.77734375" customWidth="1"/>
    <col min="9" max="16384" width="9" hidden="1"/>
  </cols>
  <sheetData>
    <row r="1" spans="1:8" ht="14.4" x14ac:dyDescent="0.3">
      <c r="A1" s="9"/>
      <c r="B1" s="10"/>
      <c r="C1" s="10"/>
      <c r="D1" s="10"/>
      <c r="E1" s="10"/>
      <c r="F1" s="10"/>
      <c r="G1" s="10"/>
      <c r="H1" s="10"/>
    </row>
    <row r="2" spans="1:8" ht="14.4" x14ac:dyDescent="0.3">
      <c r="A2" s="9"/>
      <c r="B2" s="10"/>
      <c r="C2" s="10"/>
      <c r="D2" s="10"/>
      <c r="E2" s="10"/>
      <c r="F2" s="10"/>
      <c r="G2" s="10"/>
      <c r="H2" s="10"/>
    </row>
    <row r="3" spans="1:8" ht="14.4" x14ac:dyDescent="0.3">
      <c r="A3" s="9"/>
      <c r="B3" s="10"/>
      <c r="C3" s="10"/>
      <c r="D3" s="10"/>
      <c r="E3" s="10"/>
      <c r="F3" s="10"/>
      <c r="G3" s="10"/>
      <c r="H3" s="10"/>
    </row>
    <row r="4" spans="1:8" ht="14.4" x14ac:dyDescent="0.3">
      <c r="A4" s="9"/>
      <c r="B4" s="10"/>
      <c r="C4" s="10"/>
      <c r="D4" s="10"/>
      <c r="E4" s="10"/>
      <c r="F4" s="10"/>
      <c r="G4" s="10"/>
      <c r="H4" s="10"/>
    </row>
    <row r="5" spans="1:8" ht="3" customHeight="1" x14ac:dyDescent="0.3">
      <c r="A5" s="1"/>
      <c r="B5" s="2"/>
      <c r="C5" s="2"/>
      <c r="D5" s="2"/>
      <c r="E5" s="2"/>
      <c r="F5" s="2"/>
      <c r="G5" s="2"/>
      <c r="H5" s="2"/>
    </row>
    <row r="6" spans="1:8" ht="14.4" x14ac:dyDescent="0.3"/>
    <row r="7" spans="1:8" ht="14.4" x14ac:dyDescent="0.3">
      <c r="A7" s="51"/>
      <c r="B7" s="53"/>
      <c r="C7" s="53"/>
      <c r="D7" s="53"/>
      <c r="E7" s="53"/>
      <c r="F7" s="53"/>
      <c r="G7" s="53">
        <f>E8/G8</f>
        <v>4.8628503831680332E-2</v>
      </c>
      <c r="H7" s="63"/>
    </row>
    <row r="8" spans="1:8" ht="14.4" x14ac:dyDescent="0.3">
      <c r="A8" s="51"/>
      <c r="B8" s="81" t="s">
        <v>108</v>
      </c>
      <c r="C8" s="53"/>
      <c r="D8" s="53"/>
      <c r="E8" s="63">
        <f>SUM(E13:E14)</f>
        <v>797434.33821320557</v>
      </c>
      <c r="F8" s="53"/>
      <c r="G8" s="63">
        <f>SUM(G13:G14)</f>
        <v>16398496.26</v>
      </c>
      <c r="H8" s="63"/>
    </row>
    <row r="9" spans="1:8" ht="4.95" customHeight="1" x14ac:dyDescent="0.3">
      <c r="A9" s="51"/>
      <c r="B9" s="53"/>
      <c r="C9" s="53"/>
      <c r="D9" s="53"/>
      <c r="E9" s="53"/>
      <c r="F9" s="53"/>
      <c r="G9" s="53"/>
      <c r="H9" s="63"/>
    </row>
    <row r="10" spans="1:8" ht="15" customHeight="1" x14ac:dyDescent="0.3">
      <c r="A10" s="51"/>
      <c r="B10" s="143" t="s">
        <v>1</v>
      </c>
      <c r="C10" s="145" t="s">
        <v>2</v>
      </c>
      <c r="D10" s="145" t="s">
        <v>3</v>
      </c>
      <c r="E10" s="141" t="s">
        <v>4</v>
      </c>
      <c r="F10" s="141" t="s">
        <v>80</v>
      </c>
      <c r="G10" s="151" t="s">
        <v>83</v>
      </c>
      <c r="H10" s="53"/>
    </row>
    <row r="11" spans="1:8" ht="15" customHeight="1" x14ac:dyDescent="0.3">
      <c r="A11" s="51"/>
      <c r="B11" s="144"/>
      <c r="C11" s="146"/>
      <c r="D11" s="146"/>
      <c r="E11" s="142"/>
      <c r="F11" s="142"/>
      <c r="G11" s="151"/>
      <c r="H11" s="53"/>
    </row>
    <row r="12" spans="1:8" ht="14.4" x14ac:dyDescent="0.3">
      <c r="A12" s="51"/>
      <c r="B12" s="74" t="s">
        <v>7</v>
      </c>
      <c r="C12" s="131">
        <f>+SUM(C13:C16)</f>
        <v>2386067144.2560568</v>
      </c>
      <c r="D12" s="109">
        <f>+C12/$C$22</f>
        <v>9.2867706840569442E-2</v>
      </c>
      <c r="E12" s="110">
        <f>+SUM(E13:E16)</f>
        <v>834675.45847151708</v>
      </c>
      <c r="F12" s="109">
        <f>+E12/$E$22</f>
        <v>0.66398771413348334</v>
      </c>
      <c r="G12" s="110">
        <f>+SUM(G13:G16)</f>
        <v>16398496.26</v>
      </c>
      <c r="H12" s="53"/>
    </row>
    <row r="13" spans="1:8" ht="14.4" x14ac:dyDescent="0.3">
      <c r="A13" s="51"/>
      <c r="B13" s="75" t="s">
        <v>109</v>
      </c>
      <c r="C13" s="111">
        <v>252736519.15900901</v>
      </c>
      <c r="D13" s="112">
        <f>+C13/$C$12</f>
        <v>0.10592179678070578</v>
      </c>
      <c r="E13" s="113">
        <v>6517.6473833845803</v>
      </c>
      <c r="F13" s="112">
        <f>+E13/$E$12</f>
        <v>7.808600716882096E-3</v>
      </c>
      <c r="G13" s="113">
        <v>379909.39</v>
      </c>
      <c r="H13" s="53"/>
    </row>
    <row r="14" spans="1:8" ht="14.4" x14ac:dyDescent="0.3">
      <c r="A14" s="51"/>
      <c r="B14" s="75" t="s">
        <v>110</v>
      </c>
      <c r="C14" s="111">
        <v>1522116076.3257599</v>
      </c>
      <c r="D14" s="112">
        <f>+C14/$C$12</f>
        <v>0.63791837542791985</v>
      </c>
      <c r="E14" s="113">
        <v>790916.69082982105</v>
      </c>
      <c r="F14" s="112">
        <f>+E14/$E$12</f>
        <v>0.94757391367199362</v>
      </c>
      <c r="G14" s="113">
        <v>16018586.869999999</v>
      </c>
      <c r="H14" s="53"/>
    </row>
    <row r="15" spans="1:8" ht="14.4" x14ac:dyDescent="0.3">
      <c r="A15" s="51"/>
      <c r="B15" s="75" t="s">
        <v>111</v>
      </c>
      <c r="C15" s="111">
        <v>541425664.16458905</v>
      </c>
      <c r="D15" s="112">
        <f t="shared" ref="D15:D16" si="0">+C15/$C$12</f>
        <v>0.22691132790120966</v>
      </c>
      <c r="E15" s="113">
        <v>37241.120258311501</v>
      </c>
      <c r="F15" s="112">
        <f>+E15/$E$12</f>
        <v>4.4617485611124309E-2</v>
      </c>
      <c r="G15" s="114" t="s">
        <v>82</v>
      </c>
      <c r="H15" s="53"/>
    </row>
    <row r="16" spans="1:8" ht="14.4" x14ac:dyDescent="0.3">
      <c r="A16" s="51"/>
      <c r="B16" s="75" t="s">
        <v>103</v>
      </c>
      <c r="C16" s="94">
        <v>69788884.606699094</v>
      </c>
      <c r="D16" s="112">
        <f t="shared" si="0"/>
        <v>2.924849989016479E-2</v>
      </c>
      <c r="E16" s="114" t="s">
        <v>82</v>
      </c>
      <c r="F16" s="114" t="s">
        <v>82</v>
      </c>
      <c r="G16" s="114" t="s">
        <v>82</v>
      </c>
      <c r="H16" s="53"/>
    </row>
    <row r="17" spans="1:8" ht="14.4" x14ac:dyDescent="0.3">
      <c r="A17" s="51"/>
      <c r="B17" s="74" t="s">
        <v>16</v>
      </c>
      <c r="C17" s="131">
        <f>+SUM(C18:C21)</f>
        <v>23307117552.899601</v>
      </c>
      <c r="D17" s="109">
        <f>+C17/$C$22</f>
        <v>0.90713229315943056</v>
      </c>
      <c r="E17" s="110">
        <f>+SUM(E18:E21)</f>
        <v>422389.15387719858</v>
      </c>
      <c r="F17" s="109">
        <f>+E17/$E$22</f>
        <v>0.3360122858665166</v>
      </c>
      <c r="G17" s="110">
        <f>+SUM(G18:G21)</f>
        <v>29537894.210000001</v>
      </c>
      <c r="H17" s="53"/>
    </row>
    <row r="18" spans="1:8" ht="14.4" x14ac:dyDescent="0.3">
      <c r="A18" s="51"/>
      <c r="B18" s="75" t="s">
        <v>109</v>
      </c>
      <c r="C18" s="111">
        <v>12314289343.2414</v>
      </c>
      <c r="D18" s="112">
        <f>+C18/$C$17</f>
        <v>0.52834887520054574</v>
      </c>
      <c r="E18" s="113">
        <v>87350.829258739497</v>
      </c>
      <c r="F18" s="112">
        <f>+E18/$E$17</f>
        <v>0.20680178090968465</v>
      </c>
      <c r="G18" s="113">
        <v>9226649.7899999991</v>
      </c>
      <c r="H18" s="53"/>
    </row>
    <row r="19" spans="1:8" ht="14.4" x14ac:dyDescent="0.3">
      <c r="A19" s="51"/>
      <c r="B19" s="75" t="s">
        <v>110</v>
      </c>
      <c r="C19" s="111">
        <v>10464690414.8256</v>
      </c>
      <c r="D19" s="112">
        <f>+C19/$C$17</f>
        <v>0.44899118868191851</v>
      </c>
      <c r="E19" s="113">
        <v>317322.74944347702</v>
      </c>
      <c r="F19" s="112">
        <f>+E19/$E$17</f>
        <v>0.75125686000860814</v>
      </c>
      <c r="G19" s="113">
        <v>20311244.420000002</v>
      </c>
      <c r="H19" s="53"/>
    </row>
    <row r="20" spans="1:8" ht="14.4" x14ac:dyDescent="0.3">
      <c r="A20" s="51"/>
      <c r="B20" s="75" t="s">
        <v>111</v>
      </c>
      <c r="C20" s="111">
        <v>488523826.58202201</v>
      </c>
      <c r="D20" s="112">
        <f>+C20/$C$17</f>
        <v>2.0960285006210284E-2</v>
      </c>
      <c r="E20" s="113">
        <v>17715.575174982099</v>
      </c>
      <c r="F20" s="112">
        <f>+E20/$E$17</f>
        <v>4.1941359081707284E-2</v>
      </c>
      <c r="G20" s="112" t="s">
        <v>82</v>
      </c>
      <c r="H20" s="53"/>
    </row>
    <row r="21" spans="1:8" ht="14.4" x14ac:dyDescent="0.3">
      <c r="A21" s="51"/>
      <c r="B21" s="75" t="s">
        <v>103</v>
      </c>
      <c r="C21" s="94">
        <v>39613968.25057476</v>
      </c>
      <c r="D21" s="112">
        <f>+C21/$C$17</f>
        <v>1.6996511113252805E-3</v>
      </c>
      <c r="E21" s="114" t="s">
        <v>82</v>
      </c>
      <c r="F21" s="114" t="s">
        <v>82</v>
      </c>
      <c r="G21" s="114" t="s">
        <v>82</v>
      </c>
      <c r="H21" s="53"/>
    </row>
    <row r="22" spans="1:8" s="3" customFormat="1" ht="14.4" x14ac:dyDescent="0.3">
      <c r="A22" s="51"/>
      <c r="B22" s="90" t="s">
        <v>21</v>
      </c>
      <c r="C22" s="91">
        <f>+C17+C12</f>
        <v>25693184697.155659</v>
      </c>
      <c r="D22" s="115">
        <f>+D12+D17</f>
        <v>1</v>
      </c>
      <c r="E22" s="116">
        <f>+E17+E12</f>
        <v>1257064.6123487158</v>
      </c>
      <c r="F22" s="115">
        <f>+F12+F17</f>
        <v>1</v>
      </c>
      <c r="G22" s="116">
        <f>+G12+G17</f>
        <v>45936390.469999999</v>
      </c>
      <c r="H22" s="53"/>
    </row>
    <row r="23" spans="1:8" s="3" customFormat="1" ht="14.4" x14ac:dyDescent="0.3">
      <c r="A23" s="51"/>
      <c r="B23" s="51"/>
      <c r="C23" s="51"/>
      <c r="D23" s="51"/>
      <c r="E23" s="51"/>
      <c r="F23" s="51"/>
      <c r="G23" s="51"/>
      <c r="H23" s="51"/>
    </row>
    <row r="24" spans="1:8" s="3" customFormat="1" ht="14.4" hidden="1" x14ac:dyDescent="0.3">
      <c r="A24" s="51"/>
      <c r="B24" s="51"/>
      <c r="C24" s="51"/>
      <c r="D24" s="51"/>
      <c r="E24" s="51"/>
      <c r="F24" s="51"/>
      <c r="G24" s="51"/>
      <c r="H24" s="51"/>
    </row>
    <row r="25" spans="1:8" s="3" customFormat="1" ht="14.4" hidden="1" x14ac:dyDescent="0.3">
      <c r="B25" s="7"/>
      <c r="C25" s="7"/>
      <c r="D25" s="7"/>
      <c r="E25" s="7"/>
      <c r="F25"/>
      <c r="G25"/>
      <c r="H25"/>
    </row>
    <row r="26" spans="1:8" s="3" customFormat="1" ht="14.4" hidden="1" x14ac:dyDescent="0.3">
      <c r="B26" s="7"/>
      <c r="C26" s="7"/>
      <c r="D26" s="7"/>
      <c r="E26" s="7"/>
      <c r="F26"/>
      <c r="G26"/>
      <c r="H26"/>
    </row>
    <row r="27" spans="1:8" s="3" customFormat="1" ht="14.4" hidden="1" x14ac:dyDescent="0.3">
      <c r="F27"/>
      <c r="G27"/>
      <c r="H27"/>
    </row>
    <row r="28" spans="1:8" s="3" customFormat="1" ht="14.4" hidden="1" x14ac:dyDescent="0.3">
      <c r="F28"/>
      <c r="G28"/>
      <c r="H28"/>
    </row>
    <row r="29" spans="1:8" s="3" customFormat="1" ht="14.4" hidden="1" x14ac:dyDescent="0.3">
      <c r="F29"/>
      <c r="G29"/>
      <c r="H29"/>
    </row>
    <row r="30" spans="1:8" s="3" customFormat="1" ht="14.4" hidden="1" x14ac:dyDescent="0.3">
      <c r="F30"/>
      <c r="G30"/>
      <c r="H30"/>
    </row>
    <row r="31" spans="1:8" s="3" customFormat="1" ht="14.4" hidden="1" x14ac:dyDescent="0.3">
      <c r="F31" s="5"/>
      <c r="G31" s="5"/>
      <c r="H31"/>
    </row>
    <row r="32" spans="1:8" s="3" customFormat="1" ht="14.4" hidden="1" x14ac:dyDescent="0.3">
      <c r="F32"/>
      <c r="G32"/>
      <c r="H32"/>
    </row>
    <row r="33" spans="2:8" s="3" customFormat="1" ht="14.4" hidden="1" x14ac:dyDescent="0.3">
      <c r="F33"/>
      <c r="G33"/>
      <c r="H33"/>
    </row>
    <row r="34" spans="2:8" s="3" customFormat="1" ht="14.4" hidden="1" x14ac:dyDescent="0.3">
      <c r="F34"/>
      <c r="G34"/>
      <c r="H34"/>
    </row>
    <row r="35" spans="2:8" s="3" customFormat="1" ht="14.4" hidden="1" x14ac:dyDescent="0.3">
      <c r="F35"/>
      <c r="G35"/>
      <c r="H35"/>
    </row>
    <row r="36" spans="2:8" s="3" customFormat="1" ht="14.4" hidden="1" x14ac:dyDescent="0.3">
      <c r="F36"/>
      <c r="G36"/>
      <c r="H36"/>
    </row>
    <row r="37" spans="2:8" s="3" customFormat="1" ht="14.4" hidden="1" x14ac:dyDescent="0.3"/>
    <row r="38" spans="2:8" s="3" customFormat="1" ht="14.4" hidden="1" x14ac:dyDescent="0.3">
      <c r="B38" s="17"/>
      <c r="C38" s="27"/>
      <c r="D38" s="28"/>
    </row>
    <row r="39" spans="2:8" s="3" customFormat="1" ht="14.4" hidden="1" x14ac:dyDescent="0.3">
      <c r="B39" s="17"/>
      <c r="C39" s="17"/>
      <c r="D39" s="28"/>
    </row>
    <row r="40" spans="2:8" s="3" customFormat="1" ht="14.4" hidden="1" x14ac:dyDescent="0.3">
      <c r="B40" s="17"/>
      <c r="C40" s="27"/>
      <c r="D40" s="28"/>
    </row>
    <row r="41" spans="2:8" s="3" customFormat="1" ht="14.4" hidden="1" x14ac:dyDescent="0.3"/>
  </sheetData>
  <mergeCells count="6">
    <mergeCell ref="G10:G11"/>
    <mergeCell ref="B10:B11"/>
    <mergeCell ref="C10:C11"/>
    <mergeCell ref="E10:E11"/>
    <mergeCell ref="D10:D11"/>
    <mergeCell ref="F10:F1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3"/>
  <sheetViews>
    <sheetView showGridLines="0" zoomScale="90" zoomScaleNormal="90" workbookViewId="0"/>
  </sheetViews>
  <sheetFormatPr defaultColWidth="0" defaultRowHeight="0" customHeight="1" zeroHeight="1" x14ac:dyDescent="0.3"/>
  <cols>
    <col min="1" max="1" width="3.5546875" customWidth="1"/>
    <col min="2" max="2" width="30.109375" bestFit="1" customWidth="1"/>
    <col min="3" max="3" width="47.33203125" bestFit="1" customWidth="1"/>
    <col min="4" max="5" width="23.109375" customWidth="1"/>
    <col min="6" max="6" width="3.77734375" customWidth="1"/>
    <col min="7" max="10" width="23.109375" hidden="1" customWidth="1"/>
    <col min="11" max="11" width="19.44140625" hidden="1" customWidth="1"/>
    <col min="12" max="47" width="0" hidden="1" customWidth="1"/>
    <col min="48" max="16384" width="9.109375" hidden="1"/>
  </cols>
  <sheetData>
    <row r="1" spans="1:11" ht="14.4" x14ac:dyDescent="0.3">
      <c r="A1" s="10"/>
      <c r="B1" s="10"/>
      <c r="C1" s="10"/>
      <c r="D1" s="10"/>
      <c r="E1" s="10"/>
      <c r="F1" s="10"/>
    </row>
    <row r="2" spans="1:11" ht="14.4" x14ac:dyDescent="0.3">
      <c r="A2" s="10"/>
      <c r="B2" s="10"/>
      <c r="C2" s="10"/>
      <c r="D2" s="10"/>
      <c r="E2" s="10"/>
      <c r="F2" s="10"/>
    </row>
    <row r="3" spans="1:11" ht="14.4" x14ac:dyDescent="0.3">
      <c r="A3" s="10"/>
      <c r="B3" s="10"/>
      <c r="C3" s="10"/>
      <c r="D3" s="10"/>
      <c r="E3" s="10"/>
      <c r="F3" s="10"/>
    </row>
    <row r="4" spans="1:11" ht="14.4" x14ac:dyDescent="0.3">
      <c r="A4" s="10"/>
      <c r="B4" s="10"/>
      <c r="C4" s="10"/>
      <c r="D4" s="10"/>
      <c r="E4" s="10"/>
      <c r="F4" s="10"/>
    </row>
    <row r="5" spans="1:11" ht="3" customHeight="1" x14ac:dyDescent="0.3">
      <c r="A5" s="2"/>
      <c r="B5" s="2"/>
      <c r="C5" s="2"/>
      <c r="D5" s="2"/>
      <c r="E5" s="2"/>
      <c r="F5" s="2"/>
    </row>
    <row r="6" spans="1:11" ht="14.4" x14ac:dyDescent="0.3">
      <c r="A6" s="53"/>
      <c r="B6" s="53"/>
      <c r="C6" s="53"/>
      <c r="D6" s="53"/>
      <c r="E6" s="53"/>
      <c r="F6" s="53"/>
    </row>
    <row r="7" spans="1:11" ht="14.4" x14ac:dyDescent="0.3">
      <c r="A7" s="53"/>
      <c r="B7" s="81" t="s">
        <v>112</v>
      </c>
      <c r="C7" s="53"/>
      <c r="D7" s="94"/>
      <c r="E7" s="94"/>
      <c r="F7" s="94"/>
      <c r="G7" s="8"/>
      <c r="H7" s="8"/>
      <c r="I7" s="8"/>
      <c r="J7" s="8"/>
    </row>
    <row r="8" spans="1:11" ht="4.95" customHeight="1" x14ac:dyDescent="0.3">
      <c r="A8" s="53"/>
      <c r="B8" s="117"/>
      <c r="C8" s="53"/>
      <c r="D8" s="94"/>
      <c r="E8" s="94"/>
      <c r="F8" s="94"/>
      <c r="G8" s="8"/>
      <c r="H8" s="8"/>
      <c r="I8" s="8"/>
      <c r="J8" s="8"/>
    </row>
    <row r="9" spans="1:11" ht="15" customHeight="1" x14ac:dyDescent="0.3">
      <c r="A9" s="53"/>
      <c r="B9" s="152" t="s">
        <v>52</v>
      </c>
      <c r="C9" s="154" t="s">
        <v>53</v>
      </c>
      <c r="D9" s="141" t="s">
        <v>54</v>
      </c>
      <c r="E9" s="141" t="s">
        <v>4</v>
      </c>
      <c r="F9" s="52"/>
      <c r="G9" s="6" t="s">
        <v>22</v>
      </c>
      <c r="H9" s="6" t="s">
        <v>81</v>
      </c>
      <c r="I9" s="6" t="s">
        <v>23</v>
      </c>
      <c r="J9" s="6" t="s">
        <v>36</v>
      </c>
    </row>
    <row r="10" spans="1:11" ht="15" customHeight="1" x14ac:dyDescent="0.3">
      <c r="A10" s="53"/>
      <c r="B10" s="153"/>
      <c r="C10" s="155"/>
      <c r="D10" s="142"/>
      <c r="E10" s="142"/>
      <c r="F10" s="52"/>
      <c r="G10" s="6"/>
      <c r="H10" s="6"/>
      <c r="I10" s="6"/>
      <c r="J10" s="6"/>
    </row>
    <row r="11" spans="1:11" ht="14.4" x14ac:dyDescent="0.3">
      <c r="A11" s="53"/>
      <c r="B11" s="118" t="s">
        <v>6</v>
      </c>
      <c r="C11" s="118"/>
      <c r="D11" s="119">
        <f>(+SUM(D12:D24))</f>
        <v>2386067144.2560582</v>
      </c>
      <c r="E11" s="120">
        <f>+SUM(E12:E24)</f>
        <v>834675.45852442703</v>
      </c>
      <c r="F11" s="121"/>
      <c r="G11" s="18"/>
      <c r="H11" s="20"/>
      <c r="I11" s="18"/>
      <c r="J11" s="21"/>
    </row>
    <row r="12" spans="1:11" ht="14.4" x14ac:dyDescent="0.3">
      <c r="A12" s="53"/>
      <c r="B12" s="122" t="s">
        <v>55</v>
      </c>
      <c r="C12" s="122" t="s">
        <v>15</v>
      </c>
      <c r="D12" s="123">
        <v>464990948.11473107</v>
      </c>
      <c r="E12" s="124">
        <v>16299.99791</v>
      </c>
      <c r="F12" s="125"/>
      <c r="G12" s="14"/>
      <c r="H12" s="16"/>
      <c r="I12" s="18"/>
      <c r="J12" s="15"/>
      <c r="K12" s="12"/>
    </row>
    <row r="13" spans="1:11" ht="14.4" x14ac:dyDescent="0.3">
      <c r="A13" s="53"/>
      <c r="B13" s="122" t="s">
        <v>58</v>
      </c>
      <c r="C13" s="122" t="s">
        <v>59</v>
      </c>
      <c r="D13" s="123">
        <v>1251066674.6644807</v>
      </c>
      <c r="E13" s="124">
        <v>641082.75190000003</v>
      </c>
      <c r="F13" s="125"/>
      <c r="G13" s="14"/>
      <c r="H13" s="16"/>
      <c r="I13" s="18"/>
      <c r="J13" s="15"/>
      <c r="K13" s="12"/>
    </row>
    <row r="14" spans="1:11" ht="14.4" x14ac:dyDescent="0.3">
      <c r="A14" s="53"/>
      <c r="B14" s="122" t="s">
        <v>62</v>
      </c>
      <c r="C14" s="122" t="s">
        <v>63</v>
      </c>
      <c r="D14" s="123">
        <v>111864493.14043665</v>
      </c>
      <c r="E14" s="124">
        <v>4895.9557089999998</v>
      </c>
      <c r="F14" s="125"/>
      <c r="G14" s="14"/>
      <c r="H14" s="16"/>
      <c r="I14" s="18"/>
      <c r="J14" s="15"/>
      <c r="K14" s="12"/>
    </row>
    <row r="15" spans="1:11" ht="14.4" x14ac:dyDescent="0.3">
      <c r="A15" s="53"/>
      <c r="B15" s="122" t="s">
        <v>60</v>
      </c>
      <c r="C15" s="122" t="s">
        <v>61</v>
      </c>
      <c r="D15" s="123">
        <v>302492531.31652802</v>
      </c>
      <c r="E15" s="124">
        <v>62565.588920000002</v>
      </c>
      <c r="F15" s="125"/>
      <c r="G15" s="14"/>
      <c r="H15" s="16"/>
      <c r="I15" s="18"/>
      <c r="J15" s="15"/>
      <c r="K15" s="12"/>
    </row>
    <row r="16" spans="1:11" ht="14.4" x14ac:dyDescent="0.3">
      <c r="A16" s="53"/>
      <c r="B16" s="122" t="s">
        <v>64</v>
      </c>
      <c r="C16" s="122" t="s">
        <v>65</v>
      </c>
      <c r="D16" s="123">
        <v>73925219.673434094</v>
      </c>
      <c r="E16" s="124">
        <v>18319.395929999999</v>
      </c>
      <c r="F16" s="125"/>
      <c r="G16" s="14"/>
      <c r="H16" s="16"/>
      <c r="I16" s="18"/>
      <c r="J16" s="15"/>
      <c r="K16" s="12"/>
    </row>
    <row r="17" spans="1:11" ht="14.4" x14ac:dyDescent="0.3">
      <c r="A17" s="53"/>
      <c r="B17" s="122" t="s">
        <v>69</v>
      </c>
      <c r="C17" s="122" t="s">
        <v>70</v>
      </c>
      <c r="D17" s="123">
        <v>11962007.295624334</v>
      </c>
      <c r="E17" s="124" t="s">
        <v>82</v>
      </c>
      <c r="F17" s="125"/>
      <c r="G17" s="14"/>
      <c r="H17" s="16"/>
      <c r="I17" s="18"/>
      <c r="J17" s="15"/>
      <c r="K17" s="12"/>
    </row>
    <row r="18" spans="1:11" ht="14.4" x14ac:dyDescent="0.3">
      <c r="A18" s="53"/>
      <c r="B18" s="122" t="s">
        <v>71</v>
      </c>
      <c r="C18" s="122" t="s">
        <v>72</v>
      </c>
      <c r="D18" s="123">
        <v>4482250.4710747199</v>
      </c>
      <c r="E18" s="124" t="s">
        <v>82</v>
      </c>
      <c r="F18" s="125"/>
      <c r="G18" s="14"/>
      <c r="H18" s="16"/>
      <c r="I18" s="18"/>
      <c r="J18" s="15"/>
      <c r="K18" s="12"/>
    </row>
    <row r="19" spans="1:11" ht="14.4" x14ac:dyDescent="0.3">
      <c r="A19" s="53"/>
      <c r="B19" s="122" t="s">
        <v>56</v>
      </c>
      <c r="C19" s="122" t="s">
        <v>57</v>
      </c>
      <c r="D19" s="123">
        <v>37210919.769085631</v>
      </c>
      <c r="E19" s="124">
        <v>90491.744733899992</v>
      </c>
      <c r="F19" s="125"/>
      <c r="G19" s="14"/>
      <c r="H19" s="16"/>
      <c r="I19" s="18"/>
      <c r="J19" s="15"/>
      <c r="K19" s="12"/>
    </row>
    <row r="20" spans="1:11" ht="14.4" x14ac:dyDescent="0.3">
      <c r="A20" s="53"/>
      <c r="B20" s="122" t="s">
        <v>67</v>
      </c>
      <c r="C20" s="122" t="s">
        <v>68</v>
      </c>
      <c r="D20" s="123">
        <v>35998423.102054596</v>
      </c>
      <c r="E20" s="124">
        <v>465.8249477</v>
      </c>
      <c r="F20" s="125"/>
      <c r="G20" s="14"/>
      <c r="H20" s="16"/>
      <c r="I20" s="18"/>
      <c r="J20" s="15"/>
      <c r="K20" s="12"/>
    </row>
    <row r="21" spans="1:11" ht="14.4" x14ac:dyDescent="0.3">
      <c r="A21" s="53"/>
      <c r="B21" s="122" t="s">
        <v>73</v>
      </c>
      <c r="C21" s="122" t="s">
        <v>74</v>
      </c>
      <c r="D21" s="123">
        <v>2153029.7114285701</v>
      </c>
      <c r="E21" s="124">
        <v>130.6651454</v>
      </c>
      <c r="F21" s="125"/>
      <c r="G21" s="14"/>
      <c r="H21" s="16"/>
      <c r="I21" s="18"/>
      <c r="J21" s="15"/>
      <c r="K21" s="12"/>
    </row>
    <row r="22" spans="1:11" ht="14.4" x14ac:dyDescent="0.3">
      <c r="A22" s="53"/>
      <c r="B22" s="122">
        <v>11</v>
      </c>
      <c r="C22" s="122" t="s">
        <v>66</v>
      </c>
      <c r="D22" s="123">
        <v>36524098.489999898</v>
      </c>
      <c r="E22" s="124">
        <v>421.47724190000002</v>
      </c>
      <c r="F22" s="125"/>
      <c r="G22" s="14"/>
      <c r="H22" s="16"/>
      <c r="I22" s="18"/>
      <c r="J22" s="15"/>
      <c r="K22" s="12"/>
    </row>
    <row r="23" spans="1:11" ht="14.4" customHeight="1" x14ac:dyDescent="0.3">
      <c r="A23" s="53"/>
      <c r="B23" s="122" t="s">
        <v>75</v>
      </c>
      <c r="C23" s="122" t="s">
        <v>76</v>
      </c>
      <c r="D23" s="123">
        <v>609008.20718012005</v>
      </c>
      <c r="E23" s="124">
        <v>2.0560865270000002</v>
      </c>
      <c r="F23" s="125"/>
      <c r="G23" s="14"/>
      <c r="H23" s="16"/>
      <c r="I23" s="18"/>
      <c r="J23" s="14"/>
      <c r="K23" s="12"/>
    </row>
    <row r="24" spans="1:11" ht="14.4" customHeight="1" x14ac:dyDescent="0.3">
      <c r="A24" s="53"/>
      <c r="B24" s="122" t="s">
        <v>77</v>
      </c>
      <c r="C24" s="122"/>
      <c r="D24" s="123">
        <v>52787540.299999997</v>
      </c>
      <c r="E24" s="124" t="s">
        <v>82</v>
      </c>
      <c r="F24" s="126"/>
      <c r="G24" s="19"/>
      <c r="H24" s="23"/>
      <c r="I24" s="18"/>
      <c r="J24" s="19"/>
      <c r="K24" s="12"/>
    </row>
    <row r="25" spans="1:11" ht="4.95" customHeight="1" x14ac:dyDescent="0.3">
      <c r="A25" s="53"/>
      <c r="B25" s="53"/>
      <c r="C25" s="53"/>
      <c r="D25" s="53"/>
      <c r="E25" s="53"/>
      <c r="F25" s="127"/>
      <c r="G25" s="14"/>
      <c r="H25" s="16"/>
      <c r="I25" s="18"/>
      <c r="J25" s="14"/>
      <c r="K25" s="12"/>
    </row>
    <row r="26" spans="1:11" ht="14.4" x14ac:dyDescent="0.3">
      <c r="A26" s="53"/>
      <c r="B26" s="128"/>
      <c r="C26" s="128"/>
      <c r="D26" s="125"/>
      <c r="E26" s="125"/>
      <c r="F26" s="125"/>
      <c r="G26" s="14"/>
      <c r="H26" s="16"/>
      <c r="I26" s="18"/>
      <c r="J26" s="14"/>
    </row>
    <row r="27" spans="1:11" ht="14.4" x14ac:dyDescent="0.3">
      <c r="A27" s="53"/>
      <c r="B27" s="81" t="s">
        <v>113</v>
      </c>
      <c r="C27" s="53"/>
      <c r="D27" s="94"/>
      <c r="E27" s="94"/>
      <c r="F27" s="94"/>
      <c r="G27" s="24"/>
      <c r="H27" s="23"/>
      <c r="I27" s="18"/>
      <c r="J27" s="24"/>
    </row>
    <row r="28" spans="1:11" ht="4.95" customHeight="1" x14ac:dyDescent="0.3">
      <c r="A28" s="53"/>
      <c r="B28" s="117"/>
      <c r="C28" s="53"/>
      <c r="D28" s="94"/>
      <c r="E28" s="94"/>
      <c r="F28" s="94"/>
      <c r="G28" s="24"/>
      <c r="H28" s="23"/>
      <c r="I28" s="18"/>
      <c r="J28" s="24"/>
    </row>
    <row r="29" spans="1:11" ht="15" customHeight="1" x14ac:dyDescent="0.3">
      <c r="A29" s="53"/>
      <c r="B29" s="152" t="s">
        <v>52</v>
      </c>
      <c r="C29" s="154" t="s">
        <v>53</v>
      </c>
      <c r="D29" s="141" t="s">
        <v>54</v>
      </c>
      <c r="E29" s="141" t="s">
        <v>4</v>
      </c>
      <c r="F29" s="129"/>
      <c r="G29" s="25"/>
      <c r="H29" s="26"/>
      <c r="I29" s="18"/>
      <c r="J29" s="25"/>
    </row>
    <row r="30" spans="1:11" ht="15" customHeight="1" x14ac:dyDescent="0.3">
      <c r="A30" s="53"/>
      <c r="B30" s="153"/>
      <c r="C30" s="155"/>
      <c r="D30" s="142"/>
      <c r="E30" s="142"/>
      <c r="F30" s="129"/>
      <c r="G30" s="25"/>
      <c r="H30" s="26"/>
      <c r="I30" s="18"/>
      <c r="J30" s="25"/>
    </row>
    <row r="31" spans="1:11" ht="14.4" customHeight="1" x14ac:dyDescent="0.3">
      <c r="A31" s="53"/>
      <c r="B31" s="118" t="s">
        <v>78</v>
      </c>
      <c r="C31" s="118"/>
      <c r="D31" s="119">
        <f>(+SUM(D32:D42))</f>
        <v>23307117552.899647</v>
      </c>
      <c r="E31" s="120">
        <f>+SUM(E32:E44)</f>
        <v>422389.15389013512</v>
      </c>
      <c r="F31" s="121"/>
      <c r="G31" s="18"/>
      <c r="H31" s="20"/>
      <c r="I31" s="18"/>
      <c r="J31" s="21"/>
    </row>
    <row r="32" spans="1:11" ht="14.4" customHeight="1" x14ac:dyDescent="0.3">
      <c r="A32" s="53"/>
      <c r="B32" s="122" t="s">
        <v>55</v>
      </c>
      <c r="C32" s="122" t="s">
        <v>15</v>
      </c>
      <c r="D32" s="123">
        <v>23225311624.988285</v>
      </c>
      <c r="E32" s="124">
        <v>396765.99810000003</v>
      </c>
      <c r="F32" s="125"/>
      <c r="G32" s="14"/>
      <c r="H32" s="16"/>
      <c r="I32" s="18"/>
      <c r="J32" s="15"/>
    </row>
    <row r="33" spans="1:11" ht="14.4" x14ac:dyDescent="0.3">
      <c r="A33" s="53"/>
      <c r="B33" s="122" t="s">
        <v>58</v>
      </c>
      <c r="C33" s="122" t="s">
        <v>59</v>
      </c>
      <c r="D33" s="123">
        <v>30635871.972419348</v>
      </c>
      <c r="E33" s="124">
        <v>19066.79624</v>
      </c>
      <c r="F33" s="125"/>
      <c r="G33" s="14"/>
      <c r="H33" s="16"/>
      <c r="I33" s="18"/>
      <c r="J33" s="15"/>
    </row>
    <row r="34" spans="1:11" ht="14.4" x14ac:dyDescent="0.3">
      <c r="A34" s="53"/>
      <c r="B34" s="122" t="s">
        <v>62</v>
      </c>
      <c r="C34" s="122" t="s">
        <v>63</v>
      </c>
      <c r="D34" s="123">
        <v>4097961.0242947899</v>
      </c>
      <c r="E34" s="124">
        <v>986.00506819999998</v>
      </c>
      <c r="F34" s="125"/>
      <c r="G34" s="14"/>
      <c r="H34" s="16"/>
      <c r="I34" s="18"/>
      <c r="J34" s="15"/>
    </row>
    <row r="35" spans="1:11" ht="14.4" x14ac:dyDescent="0.3">
      <c r="A35" s="53"/>
      <c r="B35" s="122" t="s">
        <v>60</v>
      </c>
      <c r="C35" s="122" t="s">
        <v>61</v>
      </c>
      <c r="D35" s="123">
        <v>6162600.2846490601</v>
      </c>
      <c r="E35" s="124">
        <v>1284.1378460000001</v>
      </c>
      <c r="F35" s="125"/>
      <c r="G35" s="14"/>
      <c r="H35" s="16"/>
      <c r="I35" s="18"/>
      <c r="J35" s="15"/>
    </row>
    <row r="36" spans="1:11" ht="14.4" x14ac:dyDescent="0.3">
      <c r="A36" s="53"/>
      <c r="B36" s="122" t="s">
        <v>64</v>
      </c>
      <c r="C36" s="122" t="s">
        <v>65</v>
      </c>
      <c r="D36" s="123">
        <v>168410.06315332401</v>
      </c>
      <c r="E36" s="124">
        <v>43.465183340000003</v>
      </c>
      <c r="F36" s="125"/>
      <c r="G36" s="14"/>
      <c r="H36" s="16"/>
      <c r="I36" s="18"/>
      <c r="J36" s="15"/>
    </row>
    <row r="37" spans="1:11" ht="14.4" x14ac:dyDescent="0.3">
      <c r="A37" s="53"/>
      <c r="B37" s="122" t="s">
        <v>69</v>
      </c>
      <c r="C37" s="122" t="s">
        <v>70</v>
      </c>
      <c r="D37" s="123">
        <v>1053445.7723664411</v>
      </c>
      <c r="E37" s="124" t="s">
        <v>82</v>
      </c>
      <c r="F37" s="125"/>
      <c r="G37" s="14"/>
      <c r="H37" s="16"/>
      <c r="I37" s="18"/>
      <c r="J37" s="15"/>
    </row>
    <row r="38" spans="1:11" ht="14.4" x14ac:dyDescent="0.3">
      <c r="A38" s="53"/>
      <c r="B38" s="122" t="s">
        <v>71</v>
      </c>
      <c r="C38" s="122" t="s">
        <v>72</v>
      </c>
      <c r="D38" s="123">
        <v>1840218.1182083169</v>
      </c>
      <c r="E38" s="124" t="s">
        <v>82</v>
      </c>
      <c r="F38" s="125"/>
      <c r="G38" s="14"/>
      <c r="H38" s="16"/>
      <c r="I38" s="18"/>
      <c r="J38" s="15"/>
    </row>
    <row r="39" spans="1:11" ht="14.4" x14ac:dyDescent="0.3">
      <c r="A39" s="53"/>
      <c r="B39" s="122" t="s">
        <v>56</v>
      </c>
      <c r="C39" s="122" t="s">
        <v>57</v>
      </c>
      <c r="D39" s="123">
        <v>1074012.7162694666</v>
      </c>
      <c r="E39" s="124">
        <v>4229.9626598000004</v>
      </c>
      <c r="F39" s="125"/>
      <c r="G39" s="14"/>
      <c r="H39" s="16"/>
      <c r="I39" s="18"/>
      <c r="J39" s="15"/>
      <c r="K39" s="8"/>
    </row>
    <row r="40" spans="1:11" ht="14.4" x14ac:dyDescent="0.3">
      <c r="A40" s="53"/>
      <c r="B40" s="122" t="s">
        <v>73</v>
      </c>
      <c r="C40" s="122" t="s">
        <v>74</v>
      </c>
      <c r="D40" s="123">
        <v>93777.47</v>
      </c>
      <c r="E40" s="124">
        <v>9.9314130130000002</v>
      </c>
      <c r="F40" s="125"/>
      <c r="G40" s="14"/>
      <c r="H40" s="16"/>
      <c r="I40" s="18"/>
      <c r="J40" s="15"/>
    </row>
    <row r="41" spans="1:11" ht="14.4" x14ac:dyDescent="0.3">
      <c r="A41" s="53"/>
      <c r="B41" s="122">
        <v>11</v>
      </c>
      <c r="C41" s="122" t="s">
        <v>66</v>
      </c>
      <c r="D41" s="123">
        <v>3640.1</v>
      </c>
      <c r="E41" s="124">
        <v>2.8573797820000002</v>
      </c>
      <c r="F41" s="125"/>
      <c r="G41" s="14"/>
      <c r="H41" s="14"/>
      <c r="I41" s="18"/>
      <c r="J41" s="15"/>
    </row>
    <row r="42" spans="1:11" ht="14.4" x14ac:dyDescent="0.3">
      <c r="A42" s="53"/>
      <c r="B42" s="122" t="s">
        <v>77</v>
      </c>
      <c r="C42" s="122"/>
      <c r="D42" s="123">
        <v>36675990.390000001</v>
      </c>
      <c r="E42" s="124" t="s">
        <v>82</v>
      </c>
      <c r="F42" s="125"/>
      <c r="G42" s="22"/>
      <c r="H42" s="13"/>
      <c r="I42" s="18"/>
      <c r="J42" s="13"/>
    </row>
    <row r="43" spans="1:11" ht="14.4" x14ac:dyDescent="0.3">
      <c r="A43" s="53"/>
      <c r="B43" s="53"/>
      <c r="C43" s="53"/>
      <c r="D43" s="94"/>
      <c r="E43" s="94"/>
      <c r="F43" s="94"/>
      <c r="G43" s="22"/>
      <c r="H43" s="8"/>
      <c r="I43" s="18"/>
      <c r="J43" s="8"/>
      <c r="K43" s="5"/>
    </row>
  </sheetData>
  <mergeCells count="8">
    <mergeCell ref="B9:B10"/>
    <mergeCell ref="C9:C10"/>
    <mergeCell ref="D9:D10"/>
    <mergeCell ref="E9:E10"/>
    <mergeCell ref="B29:B30"/>
    <mergeCell ref="C29:C30"/>
    <mergeCell ref="D29:D30"/>
    <mergeCell ref="E29:E3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7639714bc41878d1ee5f3dd89cdbedb9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c6c5e8b286f676cbf2d6c7e8c4918e6e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E7D7FE0-7080-4D55-A539-993E3F4AC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Pressupostos</vt:lpstr>
      <vt:lpstr>Overview - Emissões Dez24</vt:lpstr>
      <vt:lpstr>Analises &gt;&gt;</vt:lpstr>
      <vt:lpstr>1. EPC - Commercial Real Estate</vt:lpstr>
      <vt:lpstr>2. EPC - Mortgages Loans</vt:lpstr>
      <vt:lpstr>3. Área</vt:lpstr>
      <vt:lpstr>4. Finalidade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cp:lastPrinted>2025-12-22T21:17:30Z</cp:lastPrinted>
  <dcterms:created xsi:type="dcterms:W3CDTF">2025-12-22T16:36:01Z</dcterms:created>
  <dcterms:modified xsi:type="dcterms:W3CDTF">2025-12-23T17:11:25Z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