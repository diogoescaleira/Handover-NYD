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0. Old/"/>
    </mc:Choice>
  </mc:AlternateContent>
  <xr:revisionPtr revIDLastSave="2183" documentId="8_{87AC9F51-6218-4843-A5BB-46DA4568BEF9}" xr6:coauthVersionLast="47" xr6:coauthVersionMax="47" xr10:uidLastSave="{682115D0-64FE-4D79-BD7C-82C83787B875}"/>
  <bookViews>
    <workbookView xWindow="-108" yWindow="-108" windowWidth="23256" windowHeight="12456" firstSheet="7" activeTab="7" xr2:uid="{EA0C69EA-69EA-46C7-9371-21A2A99C8DEE}"/>
  </bookViews>
  <sheets>
    <sheet name="Capa" sheetId="20" r:id="rId1"/>
    <sheet name="1. Pressupostos" sheetId="8" r:id="rId2"/>
    <sheet name="2. Resumo Emissões Dez 24" sheetId="2" r:id="rId3"/>
    <sheet name="Analises &gt;&gt;" sheetId="21" r:id="rId4"/>
    <sheet name="3. EPC - Commercial Real Estate" sheetId="4" r:id="rId5"/>
    <sheet name="Sheet2" sheetId="22" r:id="rId6"/>
    <sheet name="4. EPC - Mortgages Loans" sheetId="5" r:id="rId7"/>
    <sheet name="Sheet3" sheetId="23" r:id="rId8"/>
    <sheet name="5. Área Bruta" sheetId="10" r:id="rId9"/>
    <sheet name="Sheet4" sheetId="24" r:id="rId10"/>
    <sheet name="6. Finalidade" sheetId="14" r:id="rId11"/>
    <sheet name="Input Finalidade" sheetId="11" r:id="rId12"/>
    <sheet name="5. Input" sheetId="3" r:id="rId13"/>
    <sheet name="Input Análises" sheetId="6" r:id="rId14"/>
  </sheets>
  <definedNames>
    <definedName name="_xlnm._FilterDatabase" localSheetId="13" hidden="1">'Input Análises'!$A$1:$E$61</definedName>
    <definedName name="_xlnm._FilterDatabase" localSheetId="11" hidden="1">'Input Finalidade'!$B$7:$I$63</definedName>
    <definedName name="Ambiente">#REF!</definedName>
    <definedName name="Estado">#REF!</definedName>
    <definedName name="Metas">#REF!</definedName>
  </definedNames>
  <calcPr calcId="191029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4" l="1"/>
  <c r="D31" i="14"/>
  <c r="D16" i="10"/>
  <c r="D12" i="24"/>
  <c r="C12" i="24"/>
  <c r="G17" i="10"/>
  <c r="F29" i="2" s="1"/>
  <c r="E17" i="10"/>
  <c r="F19" i="10" s="1"/>
  <c r="E12" i="10"/>
  <c r="F15" i="10" s="1"/>
  <c r="C17" i="10"/>
  <c r="D21" i="10" s="1"/>
  <c r="C12" i="10"/>
  <c r="C40" i="4"/>
  <c r="D34" i="4" s="1"/>
  <c r="E28" i="2"/>
  <c r="B18" i="20"/>
  <c r="E29" i="2"/>
  <c r="E30" i="2" s="1"/>
  <c r="F30" i="2"/>
  <c r="H29" i="2"/>
  <c r="H28" i="2"/>
  <c r="G12" i="10"/>
  <c r="F28" i="2" s="1"/>
  <c r="D20" i="2"/>
  <c r="D19" i="2"/>
  <c r="D17" i="2"/>
  <c r="D13" i="2"/>
  <c r="D14" i="2"/>
  <c r="D15" i="2"/>
  <c r="D12" i="2"/>
  <c r="D16" i="2"/>
  <c r="D11" i="2"/>
  <c r="C29" i="2"/>
  <c r="C28" i="2"/>
  <c r="C30" i="2" s="1"/>
  <c r="E21" i="2"/>
  <c r="C21" i="2"/>
  <c r="D18" i="2" s="1"/>
  <c r="E31" i="14"/>
  <c r="E11" i="14"/>
  <c r="G63" i="11"/>
  <c r="G62" i="11"/>
  <c r="G61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5" i="11"/>
  <c r="G43" i="11"/>
  <c r="G42" i="11"/>
  <c r="G41" i="11"/>
  <c r="G39" i="11"/>
  <c r="G38" i="11"/>
  <c r="G37" i="11"/>
  <c r="G35" i="11"/>
  <c r="G34" i="11"/>
  <c r="G33" i="11"/>
  <c r="G32" i="11"/>
  <c r="G30" i="11"/>
  <c r="G29" i="11"/>
  <c r="G28" i="11"/>
  <c r="G27" i="11"/>
  <c r="G26" i="11"/>
  <c r="G24" i="11"/>
  <c r="G22" i="11"/>
  <c r="G21" i="11"/>
  <c r="G19" i="11"/>
  <c r="G18" i="11"/>
  <c r="G17" i="11"/>
  <c r="G16" i="11"/>
  <c r="G14" i="11"/>
  <c r="G13" i="11"/>
  <c r="G12" i="11"/>
  <c r="G11" i="11"/>
  <c r="G9" i="11"/>
  <c r="G8" i="11"/>
  <c r="E40" i="5"/>
  <c r="E48" i="5" s="1"/>
  <c r="C40" i="5"/>
  <c r="D31" i="5" s="1"/>
  <c r="E21" i="5"/>
  <c r="E47" i="5" s="1"/>
  <c r="C21" i="5"/>
  <c r="D16" i="5" s="1"/>
  <c r="E40" i="4"/>
  <c r="E48" i="4" s="1"/>
  <c r="E21" i="4"/>
  <c r="E47" i="4" s="1"/>
  <c r="C21" i="4"/>
  <c r="D16" i="4" s="1"/>
  <c r="D19" i="10" l="1"/>
  <c r="F20" i="10"/>
  <c r="D38" i="5"/>
  <c r="D34" i="5"/>
  <c r="E49" i="5"/>
  <c r="D35" i="5"/>
  <c r="D17" i="5"/>
  <c r="C47" i="5"/>
  <c r="D18" i="5"/>
  <c r="D32" i="5"/>
  <c r="C48" i="5"/>
  <c r="D33" i="5"/>
  <c r="E49" i="4"/>
  <c r="C47" i="4"/>
  <c r="D33" i="4"/>
  <c r="C48" i="4"/>
  <c r="D32" i="4"/>
  <c r="D17" i="4"/>
  <c r="D19" i="5"/>
  <c r="D12" i="5"/>
  <c r="D20" i="5"/>
  <c r="D13" i="5"/>
  <c r="D36" i="5"/>
  <c r="D14" i="5"/>
  <c r="D29" i="5"/>
  <c r="D37" i="5"/>
  <c r="D15" i="5"/>
  <c r="D30" i="5"/>
  <c r="D39" i="5"/>
  <c r="D36" i="4"/>
  <c r="D12" i="4"/>
  <c r="D13" i="4"/>
  <c r="D29" i="4"/>
  <c r="D37" i="4"/>
  <c r="D18" i="4"/>
  <c r="D19" i="4"/>
  <c r="D20" i="4"/>
  <c r="D35" i="4"/>
  <c r="D14" i="4"/>
  <c r="D15" i="4"/>
  <c r="D30" i="4"/>
  <c r="D38" i="4"/>
  <c r="D31" i="4"/>
  <c r="D21" i="2"/>
  <c r="G28" i="2"/>
  <c r="G29" i="2"/>
  <c r="D14" i="10"/>
  <c r="F14" i="10"/>
  <c r="C22" i="10"/>
  <c r="D17" i="10" s="1"/>
  <c r="E22" i="10"/>
  <c r="F12" i="10" s="1"/>
  <c r="D13" i="10"/>
  <c r="D15" i="10"/>
  <c r="F18" i="10"/>
  <c r="D18" i="10"/>
  <c r="F13" i="10"/>
  <c r="D20" i="10"/>
  <c r="O6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C49" i="5" l="1"/>
  <c r="C49" i="4"/>
  <c r="D47" i="4" s="1"/>
  <c r="D21" i="5"/>
  <c r="D40" i="5"/>
  <c r="D40" i="4"/>
  <c r="D21" i="4"/>
  <c r="G30" i="2"/>
  <c r="D12" i="10"/>
  <c r="D22" i="10" s="1"/>
  <c r="F17" i="10"/>
  <c r="F22" i="10" s="1"/>
  <c r="D47" i="5" l="1"/>
  <c r="D48" i="5"/>
  <c r="D48" i="4"/>
  <c r="D49" i="4" s="1"/>
  <c r="G22" i="10"/>
  <c r="D49" i="5" l="1"/>
</calcChain>
</file>

<file path=xl/sharedStrings.xml><?xml version="1.0" encoding="utf-8"?>
<sst xmlns="http://schemas.openxmlformats.org/spreadsheetml/2006/main" count="1397" uniqueCount="188">
  <si>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</si>
  <si>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</si>
  <si>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</si>
  <si>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</si>
  <si>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</si>
  <si>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</si>
  <si>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</si>
  <si>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Commercial Real Estate (CRE)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</si>
  <si>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</si>
  <si>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</si>
  <si>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</si>
  <si>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</si>
  <si>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</si>
  <si>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</si>
  <si>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</si>
  <si>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</si>
  <si>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</si>
  <si>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</si>
  <si>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</si>
  <si>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</si>
  <si>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</si>
  <si>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Consumo</t>
  </si>
  <si>
    <t>Outros</t>
  </si>
  <si>
    <t>BLANK</t>
  </si>
  <si>
    <t>OUTRO</t>
  </si>
  <si>
    <t>Total</t>
  </si>
  <si>
    <t>contraparte</t>
  </si>
  <si>
    <t>flg_cre_rre</t>
  </si>
  <si>
    <t>purpose_code</t>
  </si>
  <si>
    <t>flag_cobert</t>
  </si>
  <si>
    <t>flag_financ_imo</t>
  </si>
  <si>
    <t>flag_cto_bem</t>
  </si>
  <si>
    <t>flag_bem</t>
  </si>
  <si>
    <t>area</t>
  </si>
  <si>
    <t>build_emiss_scp1_2b</t>
  </si>
  <si>
    <t>build_emiss_scp2_2b</t>
  </si>
  <si>
    <t>emissao_op_2b</t>
  </si>
  <si>
    <t>valor_bruto</t>
  </si>
  <si>
    <t>num_cto_aux</t>
  </si>
  <si>
    <t>SUM_COLAT_N_COBRE</t>
  </si>
  <si>
    <t>NULL</t>
  </si>
  <si>
    <t>CTO_MOV</t>
  </si>
  <si>
    <t>MUG_MOV</t>
  </si>
  <si>
    <t>SUM_COLAT_COBRE</t>
  </si>
  <si>
    <t>MUG_IMO</t>
  </si>
  <si>
    <t>RRE</t>
  </si>
  <si>
    <t>SEM_COLATERAL</t>
  </si>
  <si>
    <t>SEM COLATERAL</t>
  </si>
  <si>
    <t>bancos centrais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</si>
  <si>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</si>
  <si>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</si>
  <si>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</si>
  <si>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</si>
  <si>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</si>
  <si>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</si>
  <si>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</si>
  <si>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</si>
  <si>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</si>
  <si>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</si>
  <si>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</si>
  <si>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Sem informação</t>
  </si>
  <si>
    <t>epc</t>
  </si>
  <si>
    <t>flag_tipo_epc</t>
  </si>
  <si>
    <t>sum(emiss_op2b)</t>
  </si>
  <si>
    <t>Garagem ou Estacionamento</t>
  </si>
  <si>
    <t>EPC Estimado</t>
  </si>
  <si>
    <t>EPC Real</t>
  </si>
  <si>
    <t>Montante não coberto</t>
  </si>
  <si>
    <t>Row Labels</t>
  </si>
  <si>
    <t>(blank)</t>
  </si>
  <si>
    <t>Grand Total</t>
  </si>
  <si>
    <t>Sum of valor_bruto</t>
  </si>
  <si>
    <t>Sum of 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</si>
  <si>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</si>
  <si>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</si>
  <si>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</si>
  <si>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</si>
  <si>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</si>
  <si>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</si>
  <si>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</si>
  <si>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</si>
  <si>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</si>
  <si>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</si>
  <si>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</si>
  <si>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</si>
  <si>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</si>
  <si>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</si>
  <si>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</si>
  <si>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origem_scp1_emss_op2b</t>
  </si>
  <si>
    <t>origem_scp2_emss_op2b</t>
  </si>
  <si>
    <t>flag_area</t>
  </si>
  <si>
    <t>RE_DQS5_3</t>
  </si>
  <si>
    <t>Nao Aplicavel</t>
  </si>
  <si>
    <t>MISS</t>
  </si>
  <si>
    <t>RE_DQS4_2B</t>
  </si>
  <si>
    <t>RE_DQS3_2A</t>
  </si>
  <si>
    <t>property_purpose_code</t>
  </si>
  <si>
    <t>Descritivo finalidade bem</t>
  </si>
  <si>
    <t>cgarant_bem</t>
  </si>
  <si>
    <t>Descritivo cgarant bem</t>
  </si>
  <si>
    <t>Exposição (€)</t>
  </si>
  <si>
    <t># Bens</t>
  </si>
  <si>
    <t>01</t>
  </si>
  <si>
    <t>Imóvel ou Fração p/ Habitação</t>
  </si>
  <si>
    <t>Imóvel ou Fração p/ Habitação - em construção</t>
  </si>
  <si>
    <t>08</t>
  </si>
  <si>
    <t>Outras</t>
  </si>
  <si>
    <t>Imóvel p/ Comércio</t>
  </si>
  <si>
    <t>02</t>
  </si>
  <si>
    <t>Comercio</t>
  </si>
  <si>
    <t>04</t>
  </si>
  <si>
    <t>Armazem</t>
  </si>
  <si>
    <t>Imóvel p/ Armazém</t>
  </si>
  <si>
    <t>03</t>
  </si>
  <si>
    <t>Escritorio</t>
  </si>
  <si>
    <t>Imóvel p/ Escritório</t>
  </si>
  <si>
    <t>05</t>
  </si>
  <si>
    <t>Industria</t>
  </si>
  <si>
    <t>Imóvel p/ Indústria</t>
  </si>
  <si>
    <t>11</t>
  </si>
  <si>
    <t>Saude</t>
  </si>
  <si>
    <t>Imóvel p/ Saúde</t>
  </si>
  <si>
    <t>09</t>
  </si>
  <si>
    <t>Hotel</t>
  </si>
  <si>
    <t>Imóvel p/ Hotel</t>
  </si>
  <si>
    <t>Imóvel p/ Comercio - em construção</t>
  </si>
  <si>
    <t>Terreno com finalidade indefinida</t>
  </si>
  <si>
    <t>06</t>
  </si>
  <si>
    <t xml:space="preserve">Estacionamento </t>
  </si>
  <si>
    <t>Imóvel ou Fração p/ Estacionamento ligados à exploração</t>
  </si>
  <si>
    <t>Imóvel p/ Hotel - em construção</t>
  </si>
  <si>
    <t>Imóvel p/ Escritório - em construção</t>
  </si>
  <si>
    <t>07</t>
  </si>
  <si>
    <t xml:space="preserve">Garagem </t>
  </si>
  <si>
    <t>Imóvel p/ Armazém - em construção</t>
  </si>
  <si>
    <t>Imóveis com finalidade indefinida</t>
  </si>
  <si>
    <t>10</t>
  </si>
  <si>
    <t>Educacao</t>
  </si>
  <si>
    <t>Imóvel p/ Educação</t>
  </si>
  <si>
    <t>Imóvel p/ Indústria - em construção</t>
  </si>
  <si>
    <t>Imóvel ou Fração p/ Estacionamento em Imo. Residencial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</si>
  <si>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</si>
  <si>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</si>
  <si>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</si>
  <si>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</si>
  <si>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</si>
  <si>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</si>
  <si>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Property_purpose_code_manp</t>
  </si>
  <si>
    <t>Metodologia floor area (Data Quality Score 3)</t>
  </si>
  <si>
    <t>Metodologia floor area (Data Quality Score 4)</t>
  </si>
  <si>
    <t>Metodologia number of buildings (Data Quality Score 5)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</si>
  <si>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</si>
  <si>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</si>
  <si>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</si>
  <si>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</si>
  <si>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</si>
  <si>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</si>
  <si>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</si>
  <si>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</si>
  <si>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</si>
  <si>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</si>
  <si>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</si>
  <si>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</si>
  <si>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</si>
  <si>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</si>
  <si>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</si>
  <si>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</si>
  <si>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</si>
  <si>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</si>
  <si>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</si>
  <si>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r>
      <rPr>
        <b/>
        <i/>
        <sz val="10"/>
        <color theme="0"/>
        <rFont val="Arial"/>
        <family val="2"/>
      </rPr>
      <t>Physical Emissions Intensity</t>
    </r>
    <r>
      <rPr>
        <b/>
        <sz val="10"/>
        <color theme="0"/>
        <rFont val="Arial"/>
        <family val="2"/>
      </rPr>
      <t xml:space="preserve"> (kgCO2e/m2)</t>
    </r>
  </si>
  <si>
    <r>
      <rPr>
        <b/>
        <i/>
        <sz val="10"/>
        <color theme="0"/>
        <rFont val="Arial"/>
        <family val="2"/>
      </rPr>
      <t>Financial Emissions Intensity</t>
    </r>
    <r>
      <rPr>
        <b/>
        <sz val="10"/>
        <color theme="0"/>
        <rFont val="Arial"/>
        <family val="2"/>
      </rPr>
      <t xml:space="preserve"> (tCO2e/€)</t>
    </r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</si>
  <si>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</si>
  <si>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</si>
  <si>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</si>
  <si>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</si>
  <si>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</si>
  <si>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</si>
  <si>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</si>
  <si>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</si>
  <si>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</si>
  <si>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</si>
  <si>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</si>
  <si>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</si>
  <si>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</si>
  <si>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</si>
  <si>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t xml:space="preserve">garagem estaciobamento 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</si>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</sst>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sz val="10"/>
      <color theme="2" tint="-0.49998474074526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theme="0" tint="-0.499984740745262"/>
      </top>
      <bottom style="dotted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8">
    <xf numFmtId="0" fontId="0" fillId="0" borderId="0" xfId="0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3" fillId="0" borderId="0" xfId="0" applyNumberFormat="1" applyFont="1"/>
    <xf numFmtId="3" fontId="0" fillId="0" borderId="0" xfId="0" applyNumberFormat="1"/>
    <xf numFmtId="4" fontId="0" fillId="8" borderId="0" xfId="0" applyNumberFormat="1" applyFill="1"/>
    <xf numFmtId="0" fontId="2" fillId="3" borderId="5" xfId="0" applyFont="1" applyFill="1" applyBorder="1"/>
    <xf numFmtId="4" fontId="2" fillId="3" borderId="5" xfId="0" applyNumberFormat="1" applyFont="1" applyFill="1" applyBorder="1"/>
    <xf numFmtId="4" fontId="2" fillId="9" borderId="0" xfId="0" applyNumberFormat="1" applyFont="1" applyFill="1"/>
    <xf numFmtId="0" fontId="0" fillId="0" borderId="6" xfId="0" applyBorder="1"/>
    <xf numFmtId="164" fontId="0" fillId="0" borderId="6" xfId="0" applyNumberFormat="1" applyBorder="1"/>
    <xf numFmtId="4" fontId="0" fillId="0" borderId="6" xfId="0" applyNumberFormat="1" applyBorder="1"/>
    <xf numFmtId="0" fontId="0" fillId="0" borderId="7" xfId="0" applyBorder="1"/>
    <xf numFmtId="164" fontId="0" fillId="0" borderId="7" xfId="0" applyNumberFormat="1" applyBorder="1"/>
    <xf numFmtId="164" fontId="0" fillId="0" borderId="0" xfId="0" applyNumberFormat="1"/>
    <xf numFmtId="0" fontId="4" fillId="8" borderId="0" xfId="0" applyFont="1" applyFill="1"/>
    <xf numFmtId="0" fontId="0" fillId="8" borderId="0" xfId="0" applyFill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9" fontId="0" fillId="0" borderId="16" xfId="0" applyNumberFormat="1" applyBorder="1"/>
    <xf numFmtId="0" fontId="0" fillId="0" borderId="16" xfId="0" applyBorder="1"/>
    <xf numFmtId="4" fontId="0" fillId="0" borderId="16" xfId="0" applyNumberFormat="1" applyBorder="1"/>
    <xf numFmtId="3" fontId="0" fillId="0" borderId="16" xfId="0" applyNumberFormat="1" applyBorder="1"/>
    <xf numFmtId="0" fontId="2" fillId="3" borderId="2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44" fontId="0" fillId="0" borderId="4" xfId="2" applyFont="1" applyBorder="1" applyAlignment="1">
      <alignment horizontal="left" vertical="center"/>
    </xf>
    <xf numFmtId="4" fontId="0" fillId="0" borderId="4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44" fontId="0" fillId="0" borderId="0" xfId="2" applyFont="1" applyBorder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49" fontId="0" fillId="0" borderId="17" xfId="0" applyNumberFormat="1" applyBorder="1"/>
    <xf numFmtId="0" fontId="0" fillId="0" borderId="17" xfId="0" applyBorder="1"/>
    <xf numFmtId="4" fontId="0" fillId="0" borderId="17" xfId="0" applyNumberFormat="1" applyBorder="1"/>
    <xf numFmtId="3" fontId="0" fillId="0" borderId="17" xfId="0" applyNumberFormat="1" applyBorder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7" fillId="8" borderId="0" xfId="0" applyFont="1" applyFill="1"/>
    <xf numFmtId="0" fontId="7" fillId="0" borderId="0" xfId="0" applyFont="1"/>
    <xf numFmtId="0" fontId="8" fillId="3" borderId="0" xfId="0" applyFont="1" applyFill="1"/>
    <xf numFmtId="0" fontId="7" fillId="3" borderId="0" xfId="0" applyFont="1" applyFill="1"/>
    <xf numFmtId="0" fontId="8" fillId="0" borderId="0" xfId="0" applyFont="1"/>
    <xf numFmtId="0" fontId="7" fillId="0" borderId="1" xfId="0" applyFont="1" applyBorder="1" applyAlignment="1">
      <alignment horizontal="left" indent="1"/>
    </xf>
    <xf numFmtId="3" fontId="10" fillId="0" borderId="0" xfId="0" applyNumberFormat="1" applyFont="1"/>
    <xf numFmtId="0" fontId="11" fillId="0" borderId="0" xfId="0" applyFont="1"/>
    <xf numFmtId="3" fontId="7" fillId="0" borderId="0" xfId="0" applyNumberFormat="1" applyFont="1"/>
    <xf numFmtId="0" fontId="13" fillId="0" borderId="0" xfId="0" applyFont="1" applyAlignment="1">
      <alignment horizontal="left" indent="2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 indent="2"/>
    </xf>
    <xf numFmtId="167" fontId="14" fillId="0" borderId="0" xfId="0" applyNumberFormat="1" applyFont="1" applyAlignment="1">
      <alignment horizontal="left"/>
    </xf>
    <xf numFmtId="0" fontId="12" fillId="3" borderId="0" xfId="0" applyFont="1" applyFill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5" fillId="8" borderId="14" xfId="0" applyFont="1" applyFill="1" applyBorder="1" applyAlignment="1">
      <alignment vertical="center"/>
    </xf>
    <xf numFmtId="0" fontId="16" fillId="0" borderId="14" xfId="0" applyFont="1" applyBorder="1" applyAlignment="1">
      <alignment horizontal="left" vertical="center" wrapText="1"/>
    </xf>
    <xf numFmtId="0" fontId="15" fillId="8" borderId="0" xfId="0" applyFont="1" applyFill="1" applyAlignment="1">
      <alignment vertical="center"/>
    </xf>
    <xf numFmtId="0" fontId="16" fillId="0" borderId="15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8" fillId="8" borderId="15" xfId="0" applyFont="1" applyFill="1" applyBorder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16" fillId="0" borderId="0" xfId="0" applyFont="1"/>
    <xf numFmtId="0" fontId="21" fillId="0" borderId="0" xfId="0" applyFont="1"/>
    <xf numFmtId="164" fontId="15" fillId="6" borderId="4" xfId="0" applyNumberFormat="1" applyFont="1" applyFill="1" applyBorder="1"/>
    <xf numFmtId="10" fontId="15" fillId="6" borderId="4" xfId="1" applyNumberFormat="1" applyFont="1" applyFill="1" applyBorder="1"/>
    <xf numFmtId="3" fontId="15" fillId="6" borderId="4" xfId="0" applyNumberFormat="1" applyFont="1" applyFill="1" applyBorder="1"/>
    <xf numFmtId="3" fontId="15" fillId="0" borderId="0" xfId="0" applyNumberFormat="1" applyFont="1"/>
    <xf numFmtId="164" fontId="17" fillId="0" borderId="4" xfId="0" applyNumberFormat="1" applyFont="1" applyBorder="1"/>
    <xf numFmtId="10" fontId="17" fillId="0" borderId="4" xfId="1" applyNumberFormat="1" applyFont="1" applyBorder="1"/>
    <xf numFmtId="3" fontId="17" fillId="0" borderId="4" xfId="0" applyNumberFormat="1" applyFont="1" applyBorder="1"/>
    <xf numFmtId="3" fontId="17" fillId="0" borderId="0" xfId="0" applyNumberFormat="1" applyFont="1"/>
    <xf numFmtId="3" fontId="16" fillId="0" borderId="0" xfId="0" applyNumberFormat="1" applyFont="1"/>
    <xf numFmtId="0" fontId="15" fillId="7" borderId="0" xfId="0" applyFont="1" applyFill="1"/>
    <xf numFmtId="164" fontId="15" fillId="7" borderId="0" xfId="0" applyNumberFormat="1" applyFont="1" applyFill="1"/>
    <xf numFmtId="9" fontId="15" fillId="7" borderId="0" xfId="1" applyFont="1" applyFill="1"/>
    <xf numFmtId="3" fontId="15" fillId="7" borderId="0" xfId="0" applyNumberFormat="1" applyFont="1" applyFill="1"/>
    <xf numFmtId="164" fontId="15" fillId="0" borderId="4" xfId="2" applyNumberFormat="1" applyFont="1" applyBorder="1"/>
    <xf numFmtId="0" fontId="15" fillId="0" borderId="4" xfId="1" applyNumberFormat="1" applyFont="1" applyFill="1" applyBorder="1" applyAlignment="1">
      <alignment horizontal="center"/>
    </xf>
    <xf numFmtId="4" fontId="15" fillId="0" borderId="4" xfId="0" applyNumberFormat="1" applyFont="1" applyBorder="1"/>
    <xf numFmtId="3" fontId="15" fillId="0" borderId="4" xfId="0" applyNumberFormat="1" applyFont="1" applyBorder="1"/>
    <xf numFmtId="166" fontId="15" fillId="0" borderId="4" xfId="0" applyNumberFormat="1" applyFont="1" applyBorder="1"/>
    <xf numFmtId="165" fontId="15" fillId="0" borderId="4" xfId="0" applyNumberFormat="1" applyFont="1" applyBorder="1"/>
    <xf numFmtId="4" fontId="15" fillId="7" borderId="0" xfId="0" applyNumberFormat="1" applyFont="1" applyFill="1"/>
    <xf numFmtId="166" fontId="15" fillId="7" borderId="0" xfId="0" applyNumberFormat="1" applyFont="1" applyFill="1"/>
    <xf numFmtId="0" fontId="15" fillId="6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2"/>
    </xf>
    <xf numFmtId="0" fontId="15" fillId="0" borderId="4" xfId="0" applyFont="1" applyBorder="1" applyAlignment="1">
      <alignment horizontal="left" indent="1"/>
    </xf>
    <xf numFmtId="0" fontId="18" fillId="6" borderId="4" xfId="0" applyFont="1" applyFill="1" applyBorder="1" applyAlignment="1">
      <alignment horizontal="left" indent="1"/>
    </xf>
    <xf numFmtId="0" fontId="18" fillId="0" borderId="4" xfId="0" applyFont="1" applyBorder="1" applyAlignment="1">
      <alignment horizontal="left" indent="1"/>
    </xf>
    <xf numFmtId="0" fontId="8" fillId="8" borderId="0" xfId="0" applyFont="1" applyFill="1"/>
    <xf numFmtId="0" fontId="23" fillId="0" borderId="0" xfId="0" applyFont="1"/>
    <xf numFmtId="0" fontId="16" fillId="0" borderId="1" xfId="0" applyFont="1" applyBorder="1" applyAlignment="1">
      <alignment horizontal="left" indent="1"/>
    </xf>
    <xf numFmtId="0" fontId="16" fillId="0" borderId="9" xfId="0" applyFont="1" applyBorder="1"/>
    <xf numFmtId="164" fontId="16" fillId="0" borderId="9" xfId="0" applyNumberFormat="1" applyFont="1" applyBorder="1"/>
    <xf numFmtId="10" fontId="16" fillId="0" borderId="9" xfId="1" applyNumberFormat="1" applyFont="1" applyBorder="1"/>
    <xf numFmtId="4" fontId="16" fillId="0" borderId="9" xfId="0" applyNumberFormat="1" applyFont="1" applyBorder="1"/>
    <xf numFmtId="0" fontId="16" fillId="0" borderId="10" xfId="0" applyFont="1" applyBorder="1"/>
    <xf numFmtId="164" fontId="16" fillId="0" borderId="10" xfId="0" applyNumberFormat="1" applyFont="1" applyBorder="1"/>
    <xf numFmtId="10" fontId="16" fillId="0" borderId="10" xfId="1" applyNumberFormat="1" applyFont="1" applyBorder="1"/>
    <xf numFmtId="4" fontId="16" fillId="0" borderId="10" xfId="0" applyNumberFormat="1" applyFont="1" applyBorder="1"/>
    <xf numFmtId="0" fontId="15" fillId="10" borderId="12" xfId="0" applyFont="1" applyFill="1" applyBorder="1"/>
    <xf numFmtId="164" fontId="15" fillId="10" borderId="12" xfId="0" applyNumberFormat="1" applyFont="1" applyFill="1" applyBorder="1"/>
    <xf numFmtId="9" fontId="15" fillId="10" borderId="12" xfId="1" applyFont="1" applyFill="1" applyBorder="1"/>
    <xf numFmtId="4" fontId="15" fillId="10" borderId="12" xfId="0" applyNumberFormat="1" applyFont="1" applyFill="1" applyBorder="1"/>
    <xf numFmtId="164" fontId="16" fillId="0" borderId="0" xfId="0" applyNumberFormat="1" applyFont="1"/>
    <xf numFmtId="4" fontId="16" fillId="0" borderId="0" xfId="0" applyNumberFormat="1" applyFont="1"/>
    <xf numFmtId="0" fontId="16" fillId="0" borderId="0" xfId="0" applyFont="1" applyAlignment="1">
      <alignment horizontal="left" indent="2"/>
    </xf>
    <xf numFmtId="0" fontId="15" fillId="0" borderId="1" xfId="0" applyFont="1" applyBorder="1" applyAlignment="1">
      <alignment horizontal="left" indent="1"/>
    </xf>
    <xf numFmtId="0" fontId="15" fillId="0" borderId="24" xfId="0" applyFont="1" applyBorder="1"/>
    <xf numFmtId="164" fontId="16" fillId="0" borderId="24" xfId="0" applyNumberFormat="1" applyFont="1" applyBorder="1"/>
    <xf numFmtId="10" fontId="16" fillId="0" borderId="24" xfId="1" applyNumberFormat="1" applyFont="1" applyBorder="1"/>
    <xf numFmtId="4" fontId="16" fillId="0" borderId="24" xfId="0" applyNumberFormat="1" applyFont="1" applyBorder="1"/>
    <xf numFmtId="0" fontId="15" fillId="0" borderId="23" xfId="0" applyFont="1" applyBorder="1"/>
    <xf numFmtId="164" fontId="16" fillId="0" borderId="23" xfId="0" applyNumberFormat="1" applyFont="1" applyBorder="1"/>
    <xf numFmtId="10" fontId="16" fillId="0" borderId="23" xfId="1" applyNumberFormat="1" applyFont="1" applyBorder="1"/>
    <xf numFmtId="4" fontId="16" fillId="0" borderId="23" xfId="0" applyNumberFormat="1" applyFont="1" applyBorder="1"/>
    <xf numFmtId="0" fontId="16" fillId="0" borderId="11" xfId="0" applyFont="1" applyBorder="1"/>
    <xf numFmtId="164" fontId="16" fillId="0" borderId="11" xfId="0" applyNumberFormat="1" applyFont="1" applyBorder="1"/>
    <xf numFmtId="10" fontId="16" fillId="0" borderId="11" xfId="1" applyNumberFormat="1" applyFont="1" applyBorder="1"/>
    <xf numFmtId="9" fontId="15" fillId="6" borderId="4" xfId="1" applyFont="1" applyFill="1" applyBorder="1" applyAlignment="1">
      <alignment horizontal="right"/>
    </xf>
    <xf numFmtId="3" fontId="15" fillId="6" borderId="4" xfId="0" applyNumberFormat="1" applyFont="1" applyFill="1" applyBorder="1" applyAlignment="1">
      <alignment horizontal="right"/>
    </xf>
    <xf numFmtId="164" fontId="16" fillId="0" borderId="18" xfId="0" applyNumberFormat="1" applyFont="1" applyBorder="1"/>
    <xf numFmtId="9" fontId="16" fillId="0" borderId="18" xfId="1" applyFont="1" applyBorder="1" applyAlignment="1">
      <alignment horizontal="right"/>
    </xf>
    <xf numFmtId="3" fontId="16" fillId="0" borderId="18" xfId="0" applyNumberFormat="1" applyFont="1" applyBorder="1" applyAlignment="1">
      <alignment horizontal="right"/>
    </xf>
    <xf numFmtId="3" fontId="16" fillId="0" borderId="18" xfId="0" quotePrefix="1" applyNumberFormat="1" applyFont="1" applyBorder="1" applyAlignment="1">
      <alignment horizontal="right"/>
    </xf>
    <xf numFmtId="9" fontId="15" fillId="10" borderId="12" xfId="1" applyFont="1" applyFill="1" applyBorder="1" applyAlignment="1">
      <alignment horizontal="right"/>
    </xf>
    <xf numFmtId="3" fontId="15" fillId="10" borderId="12" xfId="0" applyNumberFormat="1" applyFont="1" applyFill="1" applyBorder="1" applyAlignment="1">
      <alignment horizontal="right"/>
    </xf>
    <xf numFmtId="0" fontId="24" fillId="0" borderId="0" xfId="0" applyFont="1" applyAlignment="1">
      <alignment horizontal="left"/>
    </xf>
    <xf numFmtId="0" fontId="15" fillId="2" borderId="4" xfId="0" applyFont="1" applyFill="1" applyBorder="1"/>
    <xf numFmtId="44" fontId="15" fillId="2" borderId="4" xfId="0" applyNumberFormat="1" applyFont="1" applyFill="1" applyBorder="1"/>
    <xf numFmtId="3" fontId="15" fillId="2" borderId="4" xfId="0" applyNumberFormat="1" applyFont="1" applyFill="1" applyBorder="1" applyAlignment="1">
      <alignment horizontal="right"/>
    </xf>
    <xf numFmtId="44" fontId="15" fillId="0" borderId="0" xfId="0" applyNumberFormat="1" applyFont="1"/>
    <xf numFmtId="0" fontId="16" fillId="0" borderId="4" xfId="0" applyFont="1" applyBorder="1" applyAlignment="1">
      <alignment horizontal="left" vertical="center"/>
    </xf>
    <xf numFmtId="44" fontId="16" fillId="0" borderId="4" xfId="2" applyFont="1" applyBorder="1" applyAlignment="1">
      <alignment horizontal="left" vertical="center"/>
    </xf>
    <xf numFmtId="3" fontId="16" fillId="0" borderId="4" xfId="2" applyNumberFormat="1" applyFont="1" applyBorder="1" applyAlignment="1">
      <alignment horizontal="right" vertical="center"/>
    </xf>
    <xf numFmtId="44" fontId="16" fillId="0" borderId="0" xfId="2" applyFont="1" applyFill="1" applyBorder="1" applyAlignment="1">
      <alignment horizontal="left" vertical="center"/>
    </xf>
    <xf numFmtId="44" fontId="17" fillId="0" borderId="0" xfId="2" applyFont="1" applyAlignment="1">
      <alignment horizontal="left" vertical="center"/>
    </xf>
    <xf numFmtId="44" fontId="17" fillId="0" borderId="0" xfId="2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centerContinuous" vertical="center" wrapText="1"/>
    </xf>
    <xf numFmtId="4" fontId="16" fillId="0" borderId="11" xfId="0" applyNumberFormat="1" applyFont="1" applyBorder="1"/>
    <xf numFmtId="164" fontId="15" fillId="6" borderId="4" xfId="2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5" fillId="8" borderId="14" xfId="0" applyFont="1" applyFill="1" applyBorder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5" fillId="8" borderId="13" xfId="0" applyFont="1" applyFill="1" applyBorder="1" applyAlignment="1">
      <alignment horizontal="left" vertical="center"/>
    </xf>
    <xf numFmtId="0" fontId="15" fillId="8" borderId="14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1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20040" y="191135"/>
          <a:ext cx="2193826" cy="38632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44415" y="179717"/>
          <a:ext cx="2406854" cy="367065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2655223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44136" y="184951"/>
          <a:ext cx="2457103" cy="380709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705773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C7820AE-4FC2-498B-A750-691685E3D70C}"/>
            </a:ext>
          </a:extLst>
        </xdr:cNvPr>
        <xdr:cNvGrpSpPr/>
      </xdr:nvGrpSpPr>
      <xdr:grpSpPr>
        <a:xfrm>
          <a:off x="245533" y="177800"/>
          <a:ext cx="2458373" cy="363231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CA39B689-AD03-E897-55CA-0E48E9DD4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C67914D4-AC25-1579-EC6B-D6349A10A6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29BFCD8-B0E2-483A-9573-071F7042F343}"/>
            </a:ext>
          </a:extLst>
        </xdr:cNvPr>
        <xdr:cNvGrpSpPr/>
      </xdr:nvGrpSpPr>
      <xdr:grpSpPr>
        <a:xfrm>
          <a:off x="247650" y="180975"/>
          <a:ext cx="2455198" cy="369581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203D1F1-C122-4837-9082-29DDFE7C6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6DC9ADC0-438B-8D68-FA3F-F7CE7E40FF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47650" y="180975"/>
          <a:ext cx="2658398" cy="372756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351760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AD1208D-D06D-4263-A025-EC86AB1EEB4F}"/>
            </a:ext>
          </a:extLst>
        </xdr:cNvPr>
        <xdr:cNvGrpSpPr/>
      </xdr:nvGrpSpPr>
      <xdr:grpSpPr>
        <a:xfrm>
          <a:off x="247650" y="180975"/>
          <a:ext cx="2418685" cy="372756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16EEA20C-51B2-576F-48B6-0B30217F2A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FA368F09-18F9-47F9-88A2-09A879167A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2655223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F17678B-B83D-400E-84A3-44E14473516C}"/>
            </a:ext>
          </a:extLst>
        </xdr:cNvPr>
        <xdr:cNvGrpSpPr/>
      </xdr:nvGrpSpPr>
      <xdr:grpSpPr>
        <a:xfrm>
          <a:off x="247650" y="180975"/>
          <a:ext cx="2655223" cy="369581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7526C87C-FBD4-2607-4308-F8E57D1996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80F9E98-93B0-3652-9E36-2F96EE3048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lder Filipe Felicidade Fernandes" refreshedDate="46013.727651851848" createdVersion="8" refreshedVersion="8" minRefreshableVersion="3" recordCount="60" xr:uid="{D14D36DA-ACCF-484E-873E-385B45FF9AC2}">
  <cacheSource type="worksheet">
    <worksheetSource ref="A1:E61" sheet="Input Análises"/>
  </cacheSource>
  <cacheFields count="5">
    <cacheField name="purpose_code" numFmtId="0">
      <sharedItems count="2">
        <s v="CRE_OUTRO"/>
        <s v="Habitacao"/>
      </sharedItems>
    </cacheField>
    <cacheField name="epc" numFmtId="0">
      <sharedItems containsBlank="1" count="11">
        <s v="A+"/>
        <s v="B"/>
        <s v="E"/>
        <m/>
        <s v="G"/>
        <s v="B-"/>
        <s v="C"/>
        <s v="F"/>
        <s v="D"/>
        <s v="A"/>
        <s v="NULL"/>
      </sharedItems>
    </cacheField>
    <cacheField name="flag_tipo_epc" numFmtId="0">
      <sharedItems count="5">
        <s v="Garagem ou Estacionamento"/>
        <s v="EPC Estimado"/>
        <s v="Sem informação"/>
        <s v="EPC Real"/>
        <s v="Montante não coberto"/>
      </sharedItems>
    </cacheField>
    <cacheField name="valor_bruto" numFmtId="4">
      <sharedItems containsSemiMixedTypes="0" containsString="0" containsNumber="1" minValue="3.5471454517765301E-3" maxValue="3432446983.9467802"/>
    </cacheField>
    <cacheField name="sum(emiss_op2b)" numFmtId="4">
      <sharedItems containsMixedTypes="1" containsNumber="1" minValue="1.0950651923000001" maxValue="288507.3457150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Rita Geraldo de Caguerelho" refreshedDate="46013.899602662037" createdVersion="8" refreshedVersion="8" minRefreshableVersion="3" recordCount="12" xr:uid="{870BB5B4-A264-4A4D-A259-997B2DE5D415}">
  <cacheSource type="worksheet">
    <worksheetSource ref="G1:L13" sheet="Input Análises"/>
  </cacheSource>
  <cacheFields count="6">
    <cacheField name="purpose_code" numFmtId="0">
      <sharedItems count="2">
        <s v="Habitacao"/>
        <s v="CRE_OUTRO"/>
      </sharedItems>
    </cacheField>
    <cacheField name="origem_scp1_emss_op2b" numFmtId="0">
      <sharedItems count="6">
        <s v="NULL"/>
        <s v="RE_DQS5_3"/>
        <s v="Nao Aplicavel"/>
        <s v="MISS"/>
        <s v="RE_DQS4_2B"/>
        <s v="RE_DQS3_2A"/>
      </sharedItems>
    </cacheField>
    <cacheField name="origem_scp2_emss_op2b" numFmtId="0">
      <sharedItems/>
    </cacheField>
    <cacheField name="flag_area" numFmtId="0">
      <sharedItems count="9">
        <s v="Fora de âmbito"/>
        <s v="Metodologia number of buildings (Data Quality Score 5)"/>
        <s v="Metodologia floor area (Data Quality Score 4)"/>
        <s v="Metodologia floor area (Data Quality Score 3)"/>
        <s v="Metodologia floor area" u="1"/>
        <s v="Montante não coberto" u="1"/>
        <s v="Garagem ou Estacionamento" u="1"/>
        <s v="Sem informação da área" u="1"/>
        <s v="Com informação da área" u="1"/>
      </sharedItems>
    </cacheField>
    <cacheField name="valor_bruto" numFmtId="0">
      <sharedItems containsSemiMixedTypes="0" containsString="0" containsNumber="1" minValue="44313.97" maxValue="12314289343.2414"/>
    </cacheField>
    <cacheField name="sum(emiss_op2b)" numFmtId="0">
      <sharedItems containsMixedTypes="1" containsNumber="1" minValue="6517.6473833845803" maxValue="790916.690829821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7983.4497520814703"/>
    <s v="NULL"/>
  </r>
  <r>
    <x v="0"/>
    <x v="1"/>
    <x v="1"/>
    <n v="98538605.594622806"/>
    <n v="15226.141492791099"/>
  </r>
  <r>
    <x v="0"/>
    <x v="2"/>
    <x v="0"/>
    <n v="1611442.45387249"/>
    <s v="NULL"/>
  </r>
  <r>
    <x v="0"/>
    <x v="3"/>
    <x v="2"/>
    <n v="7405941.3126334501"/>
    <n v="967.07771872659998"/>
  </r>
  <r>
    <x v="0"/>
    <x v="2"/>
    <x v="3"/>
    <n v="18208719.8855564"/>
    <n v="224.43223953825"/>
  </r>
  <r>
    <x v="0"/>
    <x v="4"/>
    <x v="3"/>
    <n v="668499.77"/>
    <n v="1.9982254181500001"/>
  </r>
  <r>
    <x v="0"/>
    <x v="5"/>
    <x v="1"/>
    <n v="184152982.278633"/>
    <n v="11922.752905023999"/>
  </r>
  <r>
    <x v="0"/>
    <x v="1"/>
    <x v="0"/>
    <n v="160350.17724360601"/>
    <s v="NULL"/>
  </r>
  <r>
    <x v="0"/>
    <x v="6"/>
    <x v="0"/>
    <n v="5571795.6398635497"/>
    <s v="NULL"/>
  </r>
  <r>
    <x v="0"/>
    <x v="7"/>
    <x v="0"/>
    <n v="20860.6558202095"/>
    <s v="NULL"/>
  </r>
  <r>
    <x v="0"/>
    <x v="8"/>
    <x v="1"/>
    <n v="360816702.98650801"/>
    <n v="127123.55158711399"/>
  </r>
  <r>
    <x v="0"/>
    <x v="5"/>
    <x v="3"/>
    <n v="55144200.679906301"/>
    <n v="749.21836744655002"/>
  </r>
  <r>
    <x v="0"/>
    <x v="0"/>
    <x v="1"/>
    <n v="7792022.4534692504"/>
    <n v="9027.0737609504395"/>
  </r>
  <r>
    <x v="0"/>
    <x v="6"/>
    <x v="1"/>
    <n v="985602316.16979802"/>
    <n v="99167.333191554295"/>
  </r>
  <r>
    <x v="0"/>
    <x v="6"/>
    <x v="3"/>
    <n v="93233211.795725897"/>
    <n v="1776.68881580519"/>
  </r>
  <r>
    <x v="0"/>
    <x v="0"/>
    <x v="3"/>
    <n v="1786795.07"/>
    <n v="6.9953706710999999"/>
  </r>
  <r>
    <x v="0"/>
    <x v="9"/>
    <x v="0"/>
    <n v="71424.591941439503"/>
    <s v="NULL"/>
  </r>
  <r>
    <x v="0"/>
    <x v="4"/>
    <x v="1"/>
    <n v="11321516.81446"/>
    <n v="699.99275531610999"/>
  </r>
  <r>
    <x v="0"/>
    <x v="10"/>
    <x v="4"/>
    <n v="52787540.299999997"/>
    <s v="NULL"/>
  </r>
  <r>
    <x v="0"/>
    <x v="8"/>
    <x v="3"/>
    <n v="65502919.713451803"/>
    <n v="540.90802885419896"/>
  </r>
  <r>
    <x v="0"/>
    <x v="10"/>
    <x v="0"/>
    <n v="3.5471454517765301E-3"/>
    <s v="NULL"/>
  </r>
  <r>
    <x v="0"/>
    <x v="7"/>
    <x v="3"/>
    <n v="13269354.8199999"/>
    <n v="4620.1745721899297"/>
  </r>
  <r>
    <x v="0"/>
    <x v="2"/>
    <x v="1"/>
    <n v="148334764.212378"/>
    <n v="72637.539087754601"/>
  </r>
  <r>
    <x v="0"/>
    <x v="7"/>
    <x v="1"/>
    <n v="92735492.154708907"/>
    <n v="288507.345715084"/>
  </r>
  <r>
    <x v="0"/>
    <x v="1"/>
    <x v="3"/>
    <n v="37128347.428131998"/>
    <n v="270.01945538989901"/>
  </r>
  <r>
    <x v="0"/>
    <x v="10"/>
    <x v="2"/>
    <n v="5605812.2201682497"/>
    <n v="169.30219518954999"/>
  </r>
  <r>
    <x v="0"/>
    <x v="8"/>
    <x v="0"/>
    <n v="8588531.2279879805"/>
    <s v="NULL"/>
  </r>
  <r>
    <x v="0"/>
    <x v="9"/>
    <x v="3"/>
    <n v="11339142.855346801"/>
    <n v="98.453366540549993"/>
  </r>
  <r>
    <x v="0"/>
    <x v="5"/>
    <x v="0"/>
    <n v="411869.56667062599"/>
    <s v="NULL"/>
  </r>
  <r>
    <x v="0"/>
    <x v="9"/>
    <x v="1"/>
    <n v="118247997.97386099"/>
    <n v="200938.45962015699"/>
  </r>
  <r>
    <x v="1"/>
    <x v="4"/>
    <x v="0"/>
    <n v="27188.3767106288"/>
    <s v="NULL"/>
  </r>
  <r>
    <x v="1"/>
    <x v="1"/>
    <x v="0"/>
    <n v="106059.41729120701"/>
    <s v="NULL"/>
  </r>
  <r>
    <x v="1"/>
    <x v="2"/>
    <x v="0"/>
    <n v="333076.51660380198"/>
    <s v="NULL"/>
  </r>
  <r>
    <x v="1"/>
    <x v="10"/>
    <x v="2"/>
    <n v="90461.437174139704"/>
    <n v="1.0950651923000001"/>
  </r>
  <r>
    <x v="1"/>
    <x v="4"/>
    <x v="3"/>
    <n v="2310673.65"/>
    <n v="36.781589250000003"/>
  </r>
  <r>
    <x v="1"/>
    <x v="0"/>
    <x v="0"/>
    <n v="23232.501531179099"/>
    <s v="NULL"/>
  </r>
  <r>
    <x v="1"/>
    <x v="4"/>
    <x v="1"/>
    <n v="47548621.642100401"/>
    <n v="1029.24155064405"/>
  </r>
  <r>
    <x v="1"/>
    <x v="0"/>
    <x v="1"/>
    <n v="186948690.72251201"/>
    <n v="4152.0524416903399"/>
  </r>
  <r>
    <x v="1"/>
    <x v="8"/>
    <x v="3"/>
    <n v="3215966375.55234"/>
    <n v="26845.312980732"/>
  </r>
  <r>
    <x v="1"/>
    <x v="9"/>
    <x v="0"/>
    <n v="42797.688362865898"/>
    <s v="NULL"/>
  </r>
  <r>
    <x v="1"/>
    <x v="3"/>
    <x v="2"/>
    <n v="729321.88758620596"/>
    <n v="238.43664045200001"/>
  </r>
  <r>
    <x v="1"/>
    <x v="5"/>
    <x v="0"/>
    <n v="83884.275717754499"/>
    <s v="NULL"/>
  </r>
  <r>
    <x v="1"/>
    <x v="6"/>
    <x v="0"/>
    <n v="1309083.7247045201"/>
    <s v="NULL"/>
  </r>
  <r>
    <x v="1"/>
    <x v="5"/>
    <x v="3"/>
    <n v="862835003.22305501"/>
    <n v="3515.5613449252401"/>
  </r>
  <r>
    <x v="1"/>
    <x v="7"/>
    <x v="0"/>
    <n v="122264.699598975"/>
    <s v="NULL"/>
  </r>
  <r>
    <x v="1"/>
    <x v="1"/>
    <x v="3"/>
    <n v="790066918.75412703"/>
    <n v="2313.3510086731499"/>
  </r>
  <r>
    <x v="1"/>
    <x v="8"/>
    <x v="0"/>
    <n v="846076.69005382701"/>
    <s v="NULL"/>
  </r>
  <r>
    <x v="1"/>
    <x v="6"/>
    <x v="3"/>
    <n v="3210616442.7512999"/>
    <n v="17605.226406739399"/>
  </r>
  <r>
    <x v="1"/>
    <x v="8"/>
    <x v="1"/>
    <n v="3244184519.01864"/>
    <n v="130722.06146285099"/>
  </r>
  <r>
    <x v="1"/>
    <x v="5"/>
    <x v="1"/>
    <n v="600855811.032745"/>
    <n v="11618.4055120147"/>
  </r>
  <r>
    <x v="1"/>
    <x v="9"/>
    <x v="3"/>
    <n v="1167430129.0543399"/>
    <n v="1845.9660128569001"/>
  </r>
  <r>
    <x v="1"/>
    <x v="6"/>
    <x v="1"/>
    <n v="3432446983.9467802"/>
    <n v="71345.767272631696"/>
  </r>
  <r>
    <x v="1"/>
    <x v="9"/>
    <x v="1"/>
    <n v="507983691.03065503"/>
    <n v="9032.0622654625604"/>
  </r>
  <r>
    <x v="1"/>
    <x v="0"/>
    <x v="3"/>
    <n v="499039026.67188698"/>
    <n v="302.36619585239998"/>
  </r>
  <r>
    <x v="1"/>
    <x v="10"/>
    <x v="4"/>
    <n v="36675990.390000001"/>
    <s v="NULL"/>
  </r>
  <r>
    <x v="1"/>
    <x v="2"/>
    <x v="3"/>
    <n v="1798652199.90046"/>
    <n v="21641.393918226298"/>
  </r>
  <r>
    <x v="1"/>
    <x v="7"/>
    <x v="1"/>
    <n v="906530140.02200699"/>
    <n v="43870.412001985103"/>
  </r>
  <r>
    <x v="1"/>
    <x v="1"/>
    <x v="1"/>
    <n v="574733107.43702304"/>
    <n v="32974.470361174099"/>
  </r>
  <r>
    <x v="1"/>
    <x v="7"/>
    <x v="3"/>
    <n v="789068945.70535898"/>
    <n v="13809.533351230901"/>
  </r>
  <r>
    <x v="1"/>
    <x v="2"/>
    <x v="1"/>
    <n v="1429510835.1790299"/>
    <n v="29489.6564946147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NULL"/>
    <x v="0"/>
    <n v="36675990.390000001"/>
    <s v="NULL"/>
  </r>
  <r>
    <x v="0"/>
    <x v="1"/>
    <s v="RE_DQS5_3"/>
    <x v="1"/>
    <n v="488523826.58202201"/>
    <n v="17715.575174982099"/>
  </r>
  <r>
    <x v="0"/>
    <x v="2"/>
    <s v="Nao Aplicavel"/>
    <x v="0"/>
    <n v="2893663.8905747598"/>
    <s v="NULL"/>
  </r>
  <r>
    <x v="0"/>
    <x v="3"/>
    <s v="MISS"/>
    <x v="0"/>
    <n v="44313.97"/>
    <s v="NULL"/>
  </r>
  <r>
    <x v="1"/>
    <x v="2"/>
    <s v="Nao Aplicavel"/>
    <x v="0"/>
    <n v="16444257.7666991"/>
    <s v="NULL"/>
  </r>
  <r>
    <x v="1"/>
    <x v="0"/>
    <s v="NULL"/>
    <x v="0"/>
    <n v="52787540.299999997"/>
    <s v="NULL"/>
  </r>
  <r>
    <x v="0"/>
    <x v="4"/>
    <s v="RE_DQS4_2B"/>
    <x v="2"/>
    <n v="10464690414.8256"/>
    <n v="317322.74944347702"/>
  </r>
  <r>
    <x v="1"/>
    <x v="3"/>
    <s v="MISS"/>
    <x v="0"/>
    <n v="557086.54"/>
    <s v="NULL"/>
  </r>
  <r>
    <x v="1"/>
    <x v="1"/>
    <s v="RE_DQS5_3"/>
    <x v="1"/>
    <n v="541425664.16458905"/>
    <n v="37241.120258311501"/>
  </r>
  <r>
    <x v="1"/>
    <x v="5"/>
    <s v="RE_DQS3_2A"/>
    <x v="3"/>
    <n v="252736519.15900901"/>
    <n v="6517.6473833845803"/>
  </r>
  <r>
    <x v="1"/>
    <x v="4"/>
    <s v="RE_DQS4_2B"/>
    <x v="2"/>
    <n v="1522116076.3257599"/>
    <n v="790916.69082982105"/>
  </r>
  <r>
    <x v="0"/>
    <x v="5"/>
    <s v="RE_DQS3_2A"/>
    <x v="3"/>
    <n v="12314289343.2414"/>
    <n v="87350.8292587394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1779D-C831-46DF-A079-C1148D684BB8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4" firstHeaderRow="0" firstDataRow="1" firstDataCol="1" rowPageCount="2" colPageCount="1"/>
  <pivotFields count="5">
    <pivotField axis="axisPage" multipleItemSelectionAllowed="1" showAll="0">
      <items count="3">
        <item x="0"/>
        <item h="1" x="1"/>
        <item t="default"/>
      </items>
    </pivotField>
    <pivotField axis="axisRow" showAll="0">
      <items count="12">
        <item x="9"/>
        <item x="0"/>
        <item x="1"/>
        <item x="5"/>
        <item x="6"/>
        <item x="8"/>
        <item x="2"/>
        <item x="7"/>
        <item x="4"/>
        <item x="10"/>
        <item x="3"/>
        <item t="default"/>
      </items>
    </pivotField>
    <pivotField axis="axisPage" multipleItemSelectionAllowed="1" showAll="0">
      <items count="6">
        <item h="1" x="1"/>
        <item x="3"/>
        <item h="1" x="0"/>
        <item h="1" x="4"/>
        <item h="1" x="2"/>
        <item t="default"/>
      </items>
    </pivotField>
    <pivotField dataField="1" numFmtId="4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valor_bruto" fld="3" baseField="0" baseItem="0" numFmtId="4"/>
    <dataField name="Sum of sum(emiss_op2b)" fld="4" baseField="1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CF90F-4103-4F49-8C62-68B7BCB0F13D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25" firstHeaderRow="0" firstDataRow="1" firstDataCol="1" rowPageCount="2" colPageCount="1"/>
  <pivotFields count="5">
    <pivotField axis="axisPage" multipleItemSelectionAllowed="1" showAll="0">
      <items count="3">
        <item x="0"/>
        <item h="1" x="1"/>
        <item t="default"/>
      </items>
    </pivotField>
    <pivotField axis="axisRow" showAll="0">
      <items count="12">
        <item x="9"/>
        <item x="0"/>
        <item x="1"/>
        <item x="5"/>
        <item x="6"/>
        <item x="8"/>
        <item x="2"/>
        <item x="7"/>
        <item x="4"/>
        <item x="10"/>
        <item x="3"/>
        <item t="default"/>
      </items>
    </pivotField>
    <pivotField axis="axisPage" multipleItemSelectionAllowed="1" showAll="0">
      <items count="6">
        <item h="1" x="1"/>
        <item h="1" x="3"/>
        <item h="1" x="0"/>
        <item h="1" x="4"/>
        <item x="2"/>
        <item t="default"/>
      </items>
    </pivotField>
    <pivotField dataField="1" numFmtId="4" showAll="0"/>
    <pivotField dataField="1" showAll="0"/>
  </pivotFields>
  <rowFields count="1">
    <field x="1"/>
  </rowFields>
  <rowItems count="3"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valor_bruto" fld="3" baseField="0" baseItem="0" numFmtId="4"/>
    <dataField name="Sum of sum(emiss_op2b)" fld="4" baseField="1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83401-C5C5-4EC2-A2A8-CD7E61B71A6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4" firstHeaderRow="0" firstDataRow="1" firstDataCol="1" rowPageCount="2" colPageCount="1"/>
  <pivotFields count="5">
    <pivotField axis="axisPage" multipleItemSelectionAllowed="1" showAll="0">
      <items count="3">
        <item x="0"/>
        <item h="1" x="1"/>
        <item t="default"/>
      </items>
    </pivotField>
    <pivotField axis="axisRow" showAll="0">
      <items count="12">
        <item x="9"/>
        <item x="0"/>
        <item x="1"/>
        <item x="5"/>
        <item x="6"/>
        <item x="8"/>
        <item x="2"/>
        <item x="7"/>
        <item x="4"/>
        <item x="10"/>
        <item x="3"/>
        <item t="default"/>
      </items>
    </pivotField>
    <pivotField axis="axisPage" multipleItemSelectionAllowed="1" showAll="0">
      <items count="6">
        <item h="1" x="1"/>
        <item x="3"/>
        <item h="1" x="0"/>
        <item h="1" x="4"/>
        <item h="1" x="2"/>
        <item t="default"/>
      </items>
    </pivotField>
    <pivotField dataField="1" numFmtId="4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valor_bruto" fld="3" baseField="0" baseItem="0" numFmtId="4"/>
    <dataField name="Sum of sum(emiss_op2b)" fld="4" baseField="1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C32D9-C3D4-4884-A4AD-9F7A3BEFBA1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35" firstHeaderRow="0" firstDataRow="1" firstDataCol="1" rowPageCount="2" colPageCount="1"/>
  <pivotFields count="5">
    <pivotField axis="axisPage" multipleItemSelectionAllowed="1" showAll="0">
      <items count="3">
        <item x="0"/>
        <item h="1" x="1"/>
        <item t="default"/>
      </items>
    </pivotField>
    <pivotField axis="axisRow" showAll="0">
      <items count="12">
        <item x="9"/>
        <item x="0"/>
        <item x="1"/>
        <item x="5"/>
        <item x="6"/>
        <item x="8"/>
        <item x="2"/>
        <item x="7"/>
        <item x="4"/>
        <item x="10"/>
        <item x="3"/>
        <item t="default"/>
      </items>
    </pivotField>
    <pivotField axis="axisPage" multipleItemSelectionAllowed="1" showAll="0">
      <items count="6">
        <item x="1"/>
        <item x="3"/>
        <item x="0"/>
        <item x="4"/>
        <item x="2"/>
        <item t="default"/>
      </items>
    </pivotField>
    <pivotField dataField="1" numFmtId="4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valor_bruto" fld="3" baseField="0" baseItem="0" numFmtId="4"/>
    <dataField name="Sum of sum(emiss_op2b)" fld="4" baseField="1" baseItem="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68629-12B1-4448-A22B-711AC332ECA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0" firstDataRow="1" firstDataCol="2" rowPageCount="1" colPageCount="1"/>
  <pivotFields count="6">
    <pivotField axis="axisPage" compact="0" outline="0" multipleItemSelectionAllowed="1" showAll="0" defaultSubtotal="0">
      <items count="2">
        <item h="1" x="1"/>
        <item x="0"/>
      </items>
    </pivotField>
    <pivotField axis="axisRow" compact="0" outline="0" showAll="0" defaultSubtotal="0">
      <items count="6">
        <item x="3"/>
        <item x="2"/>
        <item x="0"/>
        <item x="5"/>
        <item x="4"/>
        <item x="1"/>
      </items>
    </pivotField>
    <pivotField compact="0" outline="0" showAll="0" defaultSubtotal="0"/>
    <pivotField axis="axisRow" compact="0" outline="0" showAll="0" defaultSubtotal="0">
      <items count="9">
        <item m="1" x="8"/>
        <item m="1" x="6"/>
        <item m="1" x="5"/>
        <item m="1" x="7"/>
        <item x="1"/>
        <item m="1" x="4"/>
        <item x="2"/>
        <item x="3"/>
        <item x="0"/>
      </items>
    </pivotField>
    <pivotField dataField="1" compact="0" outline="0" showAll="0" defaultSubtotal="0"/>
    <pivotField dataField="1" compact="0" outline="0" showAll="0" defaultSubtotal="0"/>
  </pivotFields>
  <rowFields count="2">
    <field x="1"/>
    <field x="3"/>
  </rowFields>
  <rowItems count="7">
    <i>
      <x/>
      <x v="8"/>
    </i>
    <i>
      <x v="1"/>
      <x v="8"/>
    </i>
    <i>
      <x v="2"/>
      <x v="8"/>
    </i>
    <i>
      <x v="3"/>
      <x v="7"/>
    </i>
    <i>
      <x v="4"/>
      <x v="6"/>
    </i>
    <i>
      <x v="5"/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valor_bruto" fld="4" baseField="0" baseItem="0" numFmtId="4"/>
    <dataField name="Sum of sum(emiss_op2b)" fld="5" baseField="3" baseItem="0" numFmtId="4"/>
  </dataFields>
  <formats count="2">
    <format dxfId="10">
      <pivotArea outline="0" fieldPosition="0">
        <references count="1">
          <reference field="4294967294" count="1" selected="0">
            <x v="0"/>
          </reference>
        </references>
      </pivotArea>
    </format>
    <format dxfId="9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Normal="100" workbookViewId="0">
      <selection activeCell="B18" sqref="B18"/>
    </sheetView>
  </sheetViews>
  <sheetFormatPr defaultColWidth="0" defaultRowHeight="14.4" zeroHeight="1" x14ac:dyDescent="0.3"/>
  <cols>
    <col min="1" max="1" width="3.5546875" customWidth="1"/>
    <col min="2" max="2" width="19.33203125" bestFit="1" customWidth="1"/>
    <col min="3" max="10" width="8.6640625" customWidth="1"/>
    <col min="11" max="11" width="3.5546875" customWidth="1"/>
    <col min="12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pans="2:2" x14ac:dyDescent="0.3"/>
    <row r="18" spans="2:2" x14ac:dyDescent="0.3">
      <c r="B18" s="70">
        <f ca="1">TODAY()</f>
        <v>46027</v>
      </c>
    </row>
    <row r="19" spans="2:2" x14ac:dyDescent="0.3"/>
    <row r="20" spans="2:2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106" zoomScaleNormal="80" workbookViewId="0">
      <selection activeCell="C21" sqref="C21"/>
    </sheetView>
  </sheetViews>
  <sheetFormatPr defaultColWidth="0" defaultRowHeight="0" customHeight="1" zeroHeight="1" x14ac:dyDescent="0.3"/>
  <cols>
    <col min="1" max="1" width="3.5546875" customWidth="1"/>
    <col min="2" max="2" width="31.6640625" bestFit="1" customWidth="1"/>
    <col min="3" max="3" width="163.109375" customWidth="1"/>
    <col min="4" max="4" width="3.5546875" customWidth="1"/>
    <col min="5" max="16384" width="8.88671875" hidden="1"/>
  </cols>
  <sheetData>
    <row r="1" spans="1:4" ht="14.4" x14ac:dyDescent="0.3">
      <c r="A1" s="21"/>
      <c r="B1" s="21"/>
      <c r="C1" s="21"/>
      <c r="D1" s="21"/>
    </row>
    <row r="2" spans="1:4" ht="14.4" x14ac:dyDescent="0.3">
      <c r="A2" s="21"/>
      <c r="B2" s="21"/>
      <c r="C2" s="21"/>
      <c r="D2" s="21"/>
    </row>
    <row r="3" spans="1:4" ht="14.4" x14ac:dyDescent="0.3">
      <c r="A3" s="21"/>
      <c r="B3" s="21"/>
      <c r="C3" s="21"/>
      <c r="D3" s="21"/>
    </row>
    <row r="4" spans="1:4" ht="13.2" customHeight="1" x14ac:dyDescent="0.3">
      <c r="A4" s="21"/>
      <c r="B4" s="21"/>
      <c r="C4" s="21"/>
      <c r="D4" s="21"/>
    </row>
    <row r="5" spans="1:4" ht="3" customHeight="1" x14ac:dyDescent="0.3">
      <c r="A5" s="3"/>
      <c r="B5" s="3"/>
      <c r="C5" s="3"/>
      <c r="D5" s="3"/>
    </row>
    <row r="6" spans="1:4" ht="14.4" x14ac:dyDescent="0.3"/>
    <row r="7" spans="1:4" s="59" customFormat="1" ht="14.4" x14ac:dyDescent="0.3">
      <c r="B7" s="63" t="s">
        <v>156</v>
      </c>
    </row>
    <row r="8" spans="1:4" s="59" customFormat="1" ht="4.95" customHeight="1" x14ac:dyDescent="0.25"/>
    <row r="9" spans="1:4" s="59" customFormat="1" ht="13.8" x14ac:dyDescent="0.25">
      <c r="B9" s="72" t="s">
        <v>73</v>
      </c>
      <c r="C9" s="71" t="s">
        <v>74</v>
      </c>
    </row>
    <row r="10" spans="1:4" s="59" customFormat="1" ht="13.8" x14ac:dyDescent="0.25">
      <c r="B10" s="73" t="s">
        <v>75</v>
      </c>
      <c r="C10" s="74" t="s">
        <v>76</v>
      </c>
    </row>
    <row r="11" spans="1:4" s="59" customFormat="1" ht="26.4" x14ac:dyDescent="0.25">
      <c r="B11" s="75" t="s">
        <v>77</v>
      </c>
      <c r="C11" s="76" t="s">
        <v>78</v>
      </c>
    </row>
    <row r="12" spans="1:4" s="59" customFormat="1" ht="26.4" x14ac:dyDescent="0.25">
      <c r="B12" s="77"/>
      <c r="C12" s="76" t="s">
        <v>79</v>
      </c>
    </row>
    <row r="13" spans="1:4" s="59" customFormat="1" ht="26.4" x14ac:dyDescent="0.25">
      <c r="B13" s="77"/>
      <c r="C13" s="76" t="s">
        <v>157</v>
      </c>
    </row>
    <row r="14" spans="1:4" s="59" customFormat="1" ht="13.8" x14ac:dyDescent="0.25">
      <c r="B14" s="77"/>
      <c r="C14" s="78" t="s">
        <v>154</v>
      </c>
    </row>
    <row r="15" spans="1:4" s="59" customFormat="1" ht="26.4" x14ac:dyDescent="0.25">
      <c r="B15" s="169" t="s">
        <v>80</v>
      </c>
      <c r="C15" s="79" t="s">
        <v>158</v>
      </c>
    </row>
    <row r="16" spans="1:4" s="59" customFormat="1" ht="13.8" x14ac:dyDescent="0.25">
      <c r="B16" s="170"/>
      <c r="C16" s="79" t="s">
        <v>81</v>
      </c>
    </row>
    <row r="17" spans="2:3" s="59" customFormat="1" ht="13.8" x14ac:dyDescent="0.25">
      <c r="B17" s="170"/>
      <c r="C17" s="79" t="s">
        <v>159</v>
      </c>
    </row>
    <row r="18" spans="2:3" s="59" customFormat="1" ht="13.8" x14ac:dyDescent="0.25">
      <c r="B18" s="170"/>
      <c r="C18" s="79" t="s">
        <v>160</v>
      </c>
    </row>
    <row r="19" spans="2:3" s="59" customFormat="1" ht="13.8" x14ac:dyDescent="0.25">
      <c r="B19" s="171"/>
      <c r="C19" s="79" t="s">
        <v>82</v>
      </c>
    </row>
    <row r="20" spans="2:3" s="59" customFormat="1" ht="13.8" x14ac:dyDescent="0.25">
      <c r="B20" s="80" t="s">
        <v>83</v>
      </c>
      <c r="C20" s="74" t="s">
        <v>161</v>
      </c>
    </row>
    <row r="21" spans="2:3" s="59" customFormat="1" ht="39.6" x14ac:dyDescent="0.25">
      <c r="B21" s="164" t="s">
        <v>84</v>
      </c>
      <c r="C21" s="76" t="s">
        <v>85</v>
      </c>
    </row>
    <row r="22" spans="2:3" s="59" customFormat="1" ht="13.8" x14ac:dyDescent="0.25">
      <c r="B22" s="165"/>
      <c r="C22" s="76" t="s">
        <v>86</v>
      </c>
    </row>
    <row r="23" spans="2:3" s="59" customFormat="1" ht="13.8" x14ac:dyDescent="0.25">
      <c r="B23" s="166" t="s">
        <v>87</v>
      </c>
      <c r="C23" s="76" t="s">
        <v>162</v>
      </c>
    </row>
    <row r="24" spans="2:3" s="59" customFormat="1" ht="26.4" x14ac:dyDescent="0.25">
      <c r="B24" s="167"/>
      <c r="C24" s="78" t="s">
        <v>163</v>
      </c>
    </row>
    <row r="25" spans="2:3" s="59" customFormat="1" ht="13.8" x14ac:dyDescent="0.25">
      <c r="B25" s="167"/>
      <c r="C25" s="76" t="s">
        <v>164</v>
      </c>
    </row>
    <row r="26" spans="2:3" s="59" customFormat="1" ht="26.4" x14ac:dyDescent="0.25">
      <c r="B26" s="168"/>
      <c r="C26" s="78" t="s">
        <v>165</v>
      </c>
    </row>
    <row r="27" spans="2:3" ht="14.4" x14ac:dyDescent="0.3"/>
  </sheetData>
  <mergeCells count="3">
    <mergeCell ref="B21:B22"/>
    <mergeCell ref="B23:B26"/>
    <mergeCell ref="B15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1"/>
  <sheetViews>
    <sheetView showGridLines="0" zoomScale="103" zoomScaleNormal="80" workbookViewId="0">
      <selection activeCell="E12" sqref="E12"/>
    </sheetView>
  </sheetViews>
  <sheetFormatPr defaultColWidth="0" defaultRowHeight="0" customHeight="1" zeroHeight="1" outlineLevelRow="1" x14ac:dyDescent="0.3"/>
  <cols>
    <col min="1" max="1" width="3.5546875" style="4" customWidth="1"/>
    <col min="2" max="2" width="35.77734375" bestFit="1" customWidth="1"/>
    <col min="3" max="8" width="20.5546875" customWidth="1"/>
    <col min="9" max="9" width="3.5546875" customWidth="1"/>
    <col min="10" max="16384" width="9.109375" hidden="1"/>
  </cols>
  <sheetData>
    <row r="1" spans="1:9" ht="14.4" x14ac:dyDescent="0.3">
      <c r="A1" s="21"/>
      <c r="B1" s="21"/>
      <c r="C1" s="21"/>
      <c r="D1" s="21"/>
      <c r="E1" s="21"/>
      <c r="F1" s="21"/>
      <c r="G1" s="21"/>
      <c r="H1" s="21"/>
      <c r="I1" s="21"/>
    </row>
    <row r="2" spans="1:9" ht="14.4" x14ac:dyDescent="0.3">
      <c r="A2" s="21"/>
      <c r="B2" s="21"/>
      <c r="C2" s="21"/>
      <c r="D2" s="21"/>
      <c r="E2" s="21"/>
      <c r="F2" s="21"/>
      <c r="G2" s="21"/>
      <c r="H2" s="21"/>
      <c r="I2" s="21"/>
    </row>
    <row r="3" spans="1:9" ht="14.4" x14ac:dyDescent="0.3">
      <c r="A3" s="21"/>
      <c r="B3" s="21"/>
      <c r="C3" s="21"/>
      <c r="D3" s="21"/>
      <c r="E3" s="21"/>
      <c r="F3" s="21"/>
      <c r="G3" s="21"/>
      <c r="H3" s="21"/>
      <c r="I3" s="21"/>
    </row>
    <row r="4" spans="1:9" ht="14.4" x14ac:dyDescent="0.3">
      <c r="A4" s="21"/>
      <c r="B4" s="21"/>
      <c r="C4" s="21"/>
      <c r="D4" s="21"/>
      <c r="E4" s="21"/>
      <c r="F4" s="21"/>
      <c r="G4" s="21"/>
      <c r="H4" s="21"/>
      <c r="I4" s="21"/>
    </row>
    <row r="5" spans="1:9" ht="3" customHeight="1" x14ac:dyDescent="0.3">
      <c r="A5" s="2"/>
      <c r="B5" s="3"/>
      <c r="C5" s="3"/>
      <c r="D5" s="3"/>
      <c r="E5" s="3"/>
      <c r="F5" s="3"/>
      <c r="G5" s="3"/>
      <c r="H5" s="3"/>
      <c r="I5" s="3"/>
    </row>
    <row r="6" spans="1:9" ht="14.4" x14ac:dyDescent="0.3"/>
    <row r="7" spans="1:9" s="59" customFormat="1" ht="14.4" x14ac:dyDescent="0.3">
      <c r="A7" s="62"/>
      <c r="B7" s="63" t="s">
        <v>155</v>
      </c>
      <c r="G7" s="64"/>
    </row>
    <row r="8" spans="1:9" s="59" customFormat="1" ht="4.95" customHeight="1" x14ac:dyDescent="0.3">
      <c r="A8" s="62"/>
      <c r="C8" s="65" t="s">
        <v>0</v>
      </c>
      <c r="D8" s="64"/>
      <c r="E8" s="65"/>
      <c r="G8" s="64"/>
    </row>
    <row r="9" spans="1:9" s="83" customFormat="1" ht="15" customHeight="1" x14ac:dyDescent="0.25">
      <c r="A9" s="81"/>
      <c r="B9" s="174" t="s">
        <v>1</v>
      </c>
      <c r="C9" s="176" t="s">
        <v>2</v>
      </c>
      <c r="D9" s="176" t="s">
        <v>3</v>
      </c>
      <c r="E9" s="179" t="s">
        <v>4</v>
      </c>
      <c r="F9" s="178"/>
      <c r="G9" s="82"/>
    </row>
    <row r="10" spans="1:9" s="83" customFormat="1" ht="15" customHeight="1" x14ac:dyDescent="0.25">
      <c r="A10" s="84" t="s">
        <v>5</v>
      </c>
      <c r="B10" s="175"/>
      <c r="C10" s="177"/>
      <c r="D10" s="177"/>
      <c r="E10" s="180"/>
      <c r="F10" s="178"/>
      <c r="G10" s="82"/>
    </row>
    <row r="11" spans="1:9" s="83" customFormat="1" ht="13.2" x14ac:dyDescent="0.25">
      <c r="A11" s="84" t="s">
        <v>6</v>
      </c>
      <c r="B11" s="106" t="s">
        <v>168</v>
      </c>
      <c r="C11" s="85">
        <v>2386067144.2560592</v>
      </c>
      <c r="D11" s="86">
        <f>+C11/$C$21</f>
        <v>8.9804434907450742E-2</v>
      </c>
      <c r="E11" s="87">
        <v>834675.4584715165</v>
      </c>
      <c r="F11" s="88"/>
      <c r="G11" s="88"/>
    </row>
    <row r="12" spans="1:9" s="83" customFormat="1" ht="13.2" x14ac:dyDescent="0.25">
      <c r="A12" s="84" t="s">
        <v>8</v>
      </c>
      <c r="B12" s="107" t="s">
        <v>9</v>
      </c>
      <c r="C12" s="89">
        <v>2244357118.37606</v>
      </c>
      <c r="D12" s="90">
        <f>+C12/$C$11</f>
        <v>0.9406093721121237</v>
      </c>
      <c r="E12" s="91">
        <v>819201.46493320109</v>
      </c>
      <c r="F12" s="92"/>
      <c r="G12" s="92"/>
    </row>
    <row r="13" spans="1:9" s="83" customFormat="1" ht="13.2" x14ac:dyDescent="0.25">
      <c r="A13" s="84" t="s">
        <v>10</v>
      </c>
      <c r="B13" s="107" t="s">
        <v>11</v>
      </c>
      <c r="C13" s="89">
        <v>140539843.14999899</v>
      </c>
      <c r="D13" s="90">
        <f>+C13/$C$11</f>
        <v>5.8900204668723713E-2</v>
      </c>
      <c r="E13" s="91">
        <v>15354.94273911832</v>
      </c>
      <c r="F13" s="92"/>
      <c r="G13" s="92"/>
    </row>
    <row r="14" spans="1:9" s="83" customFormat="1" ht="13.2" x14ac:dyDescent="0.25">
      <c r="A14" s="84" t="s">
        <v>12</v>
      </c>
      <c r="B14" s="107" t="s">
        <v>169</v>
      </c>
      <c r="C14" s="89">
        <v>814512.41999999899</v>
      </c>
      <c r="D14" s="90">
        <f>+C14/$C$11</f>
        <v>3.4136190256035402E-4</v>
      </c>
      <c r="E14" s="91">
        <v>84.114311943350003</v>
      </c>
      <c r="F14" s="92"/>
      <c r="G14" s="92"/>
    </row>
    <row r="15" spans="1:9" s="83" customFormat="1" ht="13.2" x14ac:dyDescent="0.25">
      <c r="A15" s="84" t="s">
        <v>13</v>
      </c>
      <c r="B15" s="107" t="s">
        <v>14</v>
      </c>
      <c r="C15" s="89">
        <v>355670.30999999901</v>
      </c>
      <c r="D15" s="90">
        <f>+C15/$C$11</f>
        <v>1.4906131659211619E-4</v>
      </c>
      <c r="E15" s="91">
        <v>34.936487253698999</v>
      </c>
      <c r="F15" s="92"/>
      <c r="G15" s="92"/>
    </row>
    <row r="16" spans="1:9" s="83" customFormat="1" ht="13.2" x14ac:dyDescent="0.25">
      <c r="A16" s="84" t="s">
        <v>15</v>
      </c>
      <c r="B16" s="109" t="s">
        <v>16</v>
      </c>
      <c r="C16" s="85">
        <v>23307117552.8997</v>
      </c>
      <c r="D16" s="86">
        <f>+C16/$C$21</f>
        <v>0.87721023534410059</v>
      </c>
      <c r="E16" s="87">
        <v>422389.15387719905</v>
      </c>
      <c r="F16" s="88"/>
      <c r="G16" s="88"/>
    </row>
    <row r="17" spans="1:8" s="83" customFormat="1" ht="13.2" x14ac:dyDescent="0.25">
      <c r="A17" s="84" t="s">
        <v>17</v>
      </c>
      <c r="B17" s="107" t="s">
        <v>18</v>
      </c>
      <c r="C17" s="89">
        <v>23307117552.8997</v>
      </c>
      <c r="D17" s="90">
        <f>+C17/C16</f>
        <v>1</v>
      </c>
      <c r="E17" s="91">
        <v>422389.15387719905</v>
      </c>
      <c r="F17" s="93"/>
      <c r="G17" s="93"/>
    </row>
    <row r="18" spans="1:8" s="83" customFormat="1" ht="13.2" outlineLevel="1" x14ac:dyDescent="0.25">
      <c r="A18" s="84" t="s">
        <v>19</v>
      </c>
      <c r="B18" s="106" t="s">
        <v>20</v>
      </c>
      <c r="C18" s="85">
        <v>876406734.65999794</v>
      </c>
      <c r="D18" s="86">
        <f>+C18/$C$21</f>
        <v>3.2985329748448623E-2</v>
      </c>
      <c r="E18" s="87">
        <v>12148.850648519639</v>
      </c>
      <c r="F18" s="88"/>
      <c r="G18" s="88"/>
    </row>
    <row r="19" spans="1:8" s="83" customFormat="1" ht="13.2" outlineLevel="1" x14ac:dyDescent="0.25">
      <c r="A19" s="84" t="s">
        <v>8</v>
      </c>
      <c r="B19" s="107" t="s">
        <v>9</v>
      </c>
      <c r="C19" s="89">
        <v>758133074.00999892</v>
      </c>
      <c r="D19" s="90">
        <f>+C19/$C$18</f>
        <v>0.86504706550904897</v>
      </c>
      <c r="E19" s="91">
        <v>11442.487747327625</v>
      </c>
      <c r="F19" s="92"/>
      <c r="G19" s="92"/>
    </row>
    <row r="20" spans="1:8" s="83" customFormat="1" ht="13.2" outlineLevel="1" x14ac:dyDescent="0.25">
      <c r="A20" s="84" t="s">
        <v>10</v>
      </c>
      <c r="B20" s="107" t="s">
        <v>11</v>
      </c>
      <c r="C20" s="89">
        <v>118273660.64999899</v>
      </c>
      <c r="D20" s="90">
        <f>+C20/$C$18</f>
        <v>0.13495293449095103</v>
      </c>
      <c r="E20" s="91">
        <v>706.36290119201499</v>
      </c>
      <c r="F20" s="92"/>
      <c r="G20" s="92"/>
    </row>
    <row r="21" spans="1:8" s="83" customFormat="1" ht="13.2" x14ac:dyDescent="0.25">
      <c r="A21" s="81"/>
      <c r="B21" s="94" t="s">
        <v>25</v>
      </c>
      <c r="C21" s="95">
        <f>+C18+C16+C11</f>
        <v>26569591431.815758</v>
      </c>
      <c r="D21" s="96">
        <f>+D11+D16+D18</f>
        <v>0.99999999999999989</v>
      </c>
      <c r="E21" s="97">
        <f>+E18+E16+E11</f>
        <v>1269213.4629972351</v>
      </c>
      <c r="F21" s="88"/>
      <c r="G21" s="88"/>
    </row>
    <row r="22" spans="1:8" s="59" customFormat="1" ht="4.95" customHeight="1" x14ac:dyDescent="0.25">
      <c r="A22" s="62"/>
      <c r="B22" s="67"/>
      <c r="C22" s="68"/>
      <c r="D22" s="68"/>
      <c r="E22" s="68"/>
      <c r="F22" s="69"/>
      <c r="G22" s="69"/>
    </row>
    <row r="23" spans="1:8" s="59" customFormat="1" ht="14.4" customHeight="1" x14ac:dyDescent="0.25">
      <c r="A23" s="62"/>
      <c r="B23" s="68"/>
      <c r="C23" s="68"/>
      <c r="D23" s="68"/>
      <c r="E23" s="68"/>
      <c r="F23" s="69"/>
      <c r="G23" s="69"/>
    </row>
    <row r="24" spans="1:8" s="59" customFormat="1" ht="14.4" customHeight="1" x14ac:dyDescent="0.3">
      <c r="A24" s="62"/>
      <c r="B24" s="63" t="s">
        <v>155</v>
      </c>
      <c r="C24" s="68"/>
      <c r="D24" s="68"/>
      <c r="E24" s="68"/>
      <c r="F24" s="69"/>
      <c r="G24" s="69"/>
    </row>
    <row r="25" spans="1:8" s="59" customFormat="1" ht="4.95" customHeight="1" x14ac:dyDescent="0.25">
      <c r="A25" s="62"/>
      <c r="B25" s="68"/>
      <c r="C25" s="68"/>
      <c r="D25" s="68"/>
      <c r="E25" s="68"/>
      <c r="F25" s="69"/>
      <c r="G25" s="69"/>
    </row>
    <row r="26" spans="1:8" s="83" customFormat="1" ht="15" customHeight="1" x14ac:dyDescent="0.25">
      <c r="A26" s="81"/>
      <c r="B26" s="174" t="s">
        <v>1</v>
      </c>
      <c r="C26" s="176" t="s">
        <v>2</v>
      </c>
      <c r="D26" s="172" t="s">
        <v>166</v>
      </c>
      <c r="E26" s="172" t="s">
        <v>4</v>
      </c>
      <c r="F26" s="172" t="s">
        <v>170</v>
      </c>
      <c r="G26" s="172" t="s">
        <v>171</v>
      </c>
      <c r="H26" s="172" t="s">
        <v>167</v>
      </c>
    </row>
    <row r="27" spans="1:8" s="83" customFormat="1" ht="15" customHeight="1" x14ac:dyDescent="0.25">
      <c r="A27" s="81"/>
      <c r="B27" s="175"/>
      <c r="C27" s="177"/>
      <c r="D27" s="173"/>
      <c r="E27" s="173"/>
      <c r="F27" s="173"/>
      <c r="G27" s="173"/>
      <c r="H27" s="173"/>
    </row>
    <row r="28" spans="1:8" s="83" customFormat="1" ht="14.4" customHeight="1" x14ac:dyDescent="0.25">
      <c r="A28" s="81"/>
      <c r="B28" s="108" t="s">
        <v>168</v>
      </c>
      <c r="C28" s="98">
        <f>+C11</f>
        <v>2386067144.2560592</v>
      </c>
      <c r="D28" s="99" t="s">
        <v>145</v>
      </c>
      <c r="E28" s="100">
        <f>+E11</f>
        <v>834675.4584715165</v>
      </c>
      <c r="F28" s="101">
        <f>+('5. Área Bruta'!E13+'5. Área Bruta'!E14)*1000/'5. Área Bruta'!G12</f>
        <v>48.628503831680334</v>
      </c>
      <c r="G28" s="102">
        <f>+E28/C28</f>
        <v>3.4981222572919512E-4</v>
      </c>
      <c r="H28" s="103">
        <f>+(('5. Área Bruta'!E13*3)+('5. Área Bruta'!E14*4)+('5. Área Bruta'!E15*5))/SUM('5. Área Bruta'!E13:E15)</f>
        <v>4.0368088848942421</v>
      </c>
    </row>
    <row r="29" spans="1:8" s="83" customFormat="1" ht="14.4" customHeight="1" x14ac:dyDescent="0.25">
      <c r="A29" s="81"/>
      <c r="B29" s="110" t="s">
        <v>16</v>
      </c>
      <c r="C29" s="98">
        <f>+C16</f>
        <v>23307117552.8997</v>
      </c>
      <c r="D29" s="99" t="s">
        <v>145</v>
      </c>
      <c r="E29" s="100">
        <f>+E16</f>
        <v>422389.15387719905</v>
      </c>
      <c r="F29" s="101">
        <f>+('5. Área Bruta'!E18+'5. Área Bruta'!E19)*1000/'5. Área Bruta'!G17</f>
        <v>13.700149909982919</v>
      </c>
      <c r="G29" s="102">
        <f>+E29/C29</f>
        <v>1.8122753829104384E-5</v>
      </c>
      <c r="H29" s="103">
        <f>+(('5. Área Bruta'!E18*3)+('5. Área Bruta'!E19*4)+('5. Área Bruta'!E20*5))/SUM('5. Área Bruta'!E18:E20)</f>
        <v>3.835139578172023</v>
      </c>
    </row>
    <row r="30" spans="1:8" s="83" customFormat="1" ht="14.4" customHeight="1" x14ac:dyDescent="0.25">
      <c r="A30" s="81"/>
      <c r="B30" s="94" t="s">
        <v>25</v>
      </c>
      <c r="C30" s="95">
        <f>SUM(C28:C29)</f>
        <v>25693184697.155758</v>
      </c>
      <c r="D30" s="95"/>
      <c r="E30" s="104">
        <f>SUM(E28:E29)</f>
        <v>1257064.6123487155</v>
      </c>
      <c r="F30" s="104">
        <f>+F27+F25+F20</f>
        <v>0</v>
      </c>
      <c r="G30" s="105">
        <f>SUM(G28:G29)</f>
        <v>3.6793497955829948E-4</v>
      </c>
      <c r="H30" s="95"/>
    </row>
    <row r="31" spans="1:8" ht="14.4" customHeight="1" x14ac:dyDescent="0.3">
      <c r="B31" s="5"/>
      <c r="C31" s="5"/>
      <c r="D31" s="5"/>
      <c r="E31" s="5"/>
      <c r="F31" s="5"/>
      <c r="G31" s="5"/>
    </row>
  </sheetData>
  <mergeCells count="12">
    <mergeCell ref="F9:F10"/>
    <mergeCell ref="B9:B10"/>
    <mergeCell ref="C9:C10"/>
    <mergeCell ref="D9:D10"/>
    <mergeCell ref="E9:E10"/>
    <mergeCell ref="G26:G27"/>
    <mergeCell ref="H26:H27"/>
    <mergeCell ref="B26:B27"/>
    <mergeCell ref="C26:C27"/>
    <mergeCell ref="D26:D27"/>
    <mergeCell ref="E26:E27"/>
    <mergeCell ref="F26:F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>
      <selection activeCell="D21" sqref="A1:XFD1048576"/>
    </sheetView>
  </sheetViews>
  <sheetFormatPr defaultRowHeight="14.4" zeroHeight="1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6"/>
  <sheetViews>
    <sheetView showGridLines="0" zoomScale="90" zoomScaleNormal="90" workbookViewId="0"/>
  </sheetViews>
  <sheetFormatPr defaultColWidth="0" defaultRowHeight="0" customHeight="1" zeroHeight="1" x14ac:dyDescent="0.25"/>
  <cols>
    <col min="1" max="1" width="3.5546875" style="62" customWidth="1"/>
    <col min="2" max="5" width="25.5546875" style="59" customWidth="1"/>
    <col min="6" max="6" width="3.21875" style="59" customWidth="1"/>
    <col min="7" max="7" width="15.77734375" style="59" hidden="1" customWidth="1"/>
    <col min="8" max="8" width="13.44140625" style="59" hidden="1" customWidth="1"/>
    <col min="9" max="9" width="18" style="59" hidden="1" customWidth="1"/>
    <col min="10" max="10" width="23.21875" style="59" hidden="1" customWidth="1"/>
    <col min="11" max="12" width="15.77734375" style="59" hidden="1" customWidth="1"/>
    <col min="13" max="13" width="3.21875" style="59" hidden="1" customWidth="1"/>
    <col min="14" max="16384" width="0" style="59" hidden="1"/>
  </cols>
  <sheetData>
    <row r="1" spans="1:27" ht="13.8" x14ac:dyDescent="0.25">
      <c r="A1" s="111"/>
      <c r="B1" s="58"/>
      <c r="C1" s="58"/>
      <c r="D1" s="58"/>
      <c r="E1" s="58"/>
      <c r="F1" s="58"/>
    </row>
    <row r="2" spans="1:27" ht="13.8" x14ac:dyDescent="0.25">
      <c r="A2" s="111"/>
      <c r="B2" s="58"/>
      <c r="C2" s="58"/>
      <c r="D2" s="58"/>
      <c r="E2" s="58"/>
      <c r="F2" s="58"/>
    </row>
    <row r="3" spans="1:27" ht="13.8" x14ac:dyDescent="0.25">
      <c r="A3" s="111"/>
      <c r="B3" s="58"/>
      <c r="C3" s="58"/>
      <c r="D3" s="58"/>
      <c r="E3" s="58"/>
      <c r="F3" s="58"/>
    </row>
    <row r="4" spans="1:27" ht="13.8" x14ac:dyDescent="0.25">
      <c r="A4" s="111"/>
      <c r="B4" s="58"/>
      <c r="C4" s="58"/>
      <c r="D4" s="58"/>
      <c r="E4" s="58"/>
      <c r="F4" s="58"/>
    </row>
    <row r="5" spans="1:27" ht="3" customHeight="1" x14ac:dyDescent="0.25">
      <c r="A5" s="60"/>
      <c r="B5" s="61"/>
      <c r="C5" s="61"/>
      <c r="D5" s="61"/>
      <c r="E5" s="61"/>
      <c r="F5" s="61"/>
    </row>
    <row r="6" spans="1:27" ht="13.8" x14ac:dyDescent="0.25"/>
    <row r="7" spans="1:27" ht="13.8" x14ac:dyDescent="0.25">
      <c r="B7" s="112"/>
      <c r="G7" s="66"/>
      <c r="H7" s="66"/>
      <c r="I7" s="66"/>
      <c r="J7" s="66"/>
      <c r="K7" s="66"/>
    </row>
    <row r="8" spans="1:27" ht="13.8" x14ac:dyDescent="0.25">
      <c r="B8" s="113" t="s">
        <v>176</v>
      </c>
      <c r="C8" s="83"/>
      <c r="D8" s="83"/>
      <c r="E8" s="83"/>
      <c r="F8" s="83"/>
      <c r="G8" s="66"/>
      <c r="H8" s="66"/>
      <c r="I8" s="66"/>
      <c r="J8" s="66"/>
      <c r="K8" s="66"/>
    </row>
    <row r="9" spans="1:27" ht="4.95" customHeight="1" x14ac:dyDescent="0.25">
      <c r="B9" s="83"/>
      <c r="C9" s="83"/>
      <c r="D9" s="83"/>
      <c r="E9" s="83"/>
      <c r="F9" s="83"/>
      <c r="G9" s="66"/>
      <c r="H9" s="66"/>
      <c r="I9" s="66"/>
      <c r="J9" s="66"/>
      <c r="K9" s="66"/>
    </row>
    <row r="10" spans="1:27" ht="15" customHeight="1" x14ac:dyDescent="0.25">
      <c r="B10" s="181" t="s">
        <v>49</v>
      </c>
      <c r="C10" s="176" t="s">
        <v>2</v>
      </c>
      <c r="D10" s="176" t="s">
        <v>3</v>
      </c>
      <c r="E10" s="172" t="s">
        <v>4</v>
      </c>
      <c r="F10" s="83"/>
      <c r="H10" s="66"/>
      <c r="I10" s="66"/>
      <c r="J10" s="66"/>
      <c r="K10" s="66"/>
    </row>
    <row r="11" spans="1:27" ht="15" customHeight="1" x14ac:dyDescent="0.25">
      <c r="B11" s="181"/>
      <c r="C11" s="177"/>
      <c r="D11" s="177"/>
      <c r="E11" s="173"/>
      <c r="F11" s="83"/>
      <c r="H11" s="66"/>
      <c r="I11" s="66"/>
      <c r="J11" s="66"/>
      <c r="K11" s="66"/>
    </row>
    <row r="12" spans="1:27" ht="13.8" x14ac:dyDescent="0.25">
      <c r="B12" s="114" t="s">
        <v>50</v>
      </c>
      <c r="C12" s="115">
        <v>11339142.855346801</v>
      </c>
      <c r="D12" s="116">
        <f t="shared" ref="D12:D20" si="0">C12/$C$21</f>
        <v>3.8271558103672533E-2</v>
      </c>
      <c r="E12" s="117">
        <v>98.453366540549993</v>
      </c>
      <c r="F12" s="83"/>
      <c r="H12" s="66"/>
      <c r="I12" s="66"/>
      <c r="J12" s="66"/>
      <c r="K12" s="66"/>
    </row>
    <row r="13" spans="1:27" s="62" customFormat="1" ht="13.8" x14ac:dyDescent="0.25">
      <c r="B13" s="118" t="s">
        <v>51</v>
      </c>
      <c r="C13" s="119">
        <v>1786795.07</v>
      </c>
      <c r="D13" s="120">
        <f t="shared" si="0"/>
        <v>6.0307407899544592E-3</v>
      </c>
      <c r="E13" s="121">
        <v>6.9953706710999999</v>
      </c>
      <c r="F13" s="83"/>
      <c r="G13" s="59"/>
      <c r="H13" s="66"/>
      <c r="I13" s="66"/>
      <c r="J13" s="66"/>
      <c r="K13" s="66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s="62" customFormat="1" ht="13.8" x14ac:dyDescent="0.25">
      <c r="B14" s="118" t="s">
        <v>52</v>
      </c>
      <c r="C14" s="119">
        <v>37128347.428131998</v>
      </c>
      <c r="D14" s="120">
        <f t="shared" si="0"/>
        <v>0.12531456072264424</v>
      </c>
      <c r="E14" s="121">
        <v>270.01945538989901</v>
      </c>
      <c r="F14" s="83"/>
      <c r="G14" s="59"/>
      <c r="H14" s="66"/>
      <c r="I14" s="66"/>
      <c r="J14" s="66"/>
      <c r="K14" s="66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27" s="62" customFormat="1" ht="13.8" x14ac:dyDescent="0.25">
      <c r="B15" s="118" t="s">
        <v>53</v>
      </c>
      <c r="C15" s="119">
        <v>55144200.679906301</v>
      </c>
      <c r="D15" s="120">
        <f t="shared" si="0"/>
        <v>0.18612116518193961</v>
      </c>
      <c r="E15" s="121">
        <v>749.21836744655002</v>
      </c>
      <c r="F15" s="83"/>
      <c r="G15" s="59"/>
      <c r="H15" s="66"/>
      <c r="I15" s="66"/>
      <c r="J15" s="66"/>
      <c r="K15" s="66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 spans="1:27" s="62" customFormat="1" ht="13.8" x14ac:dyDescent="0.25">
      <c r="B16" s="118" t="s">
        <v>54</v>
      </c>
      <c r="C16" s="119">
        <v>93233211.795725897</v>
      </c>
      <c r="D16" s="120">
        <f t="shared" si="0"/>
        <v>0.3146781311384228</v>
      </c>
      <c r="E16" s="121">
        <v>1776.68881580519</v>
      </c>
      <c r="F16" s="83"/>
      <c r="G16" s="59"/>
      <c r="H16" s="66"/>
      <c r="I16" s="66"/>
      <c r="J16" s="66"/>
      <c r="K16" s="66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 spans="2:27" s="62" customFormat="1" ht="13.8" x14ac:dyDescent="0.25">
      <c r="B17" s="118" t="s">
        <v>55</v>
      </c>
      <c r="C17" s="119">
        <v>65502919.713451803</v>
      </c>
      <c r="D17" s="120">
        <f t="shared" si="0"/>
        <v>0.22108362419929098</v>
      </c>
      <c r="E17" s="121">
        <v>540.90802885419896</v>
      </c>
      <c r="F17" s="83"/>
      <c r="G17" s="59"/>
      <c r="H17" s="66"/>
      <c r="I17" s="66"/>
      <c r="J17" s="66"/>
      <c r="K17" s="66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 spans="2:27" s="62" customFormat="1" ht="13.8" x14ac:dyDescent="0.25">
      <c r="B18" s="118" t="s">
        <v>56</v>
      </c>
      <c r="C18" s="119">
        <v>18208719.8855564</v>
      </c>
      <c r="D18" s="120">
        <f t="shared" si="0"/>
        <v>6.1457562532159817E-2</v>
      </c>
      <c r="E18" s="121">
        <v>224.43223953825</v>
      </c>
      <c r="F18" s="83"/>
      <c r="G18" s="59"/>
      <c r="H18" s="66"/>
      <c r="I18" s="66"/>
      <c r="J18" s="66"/>
      <c r="K18" s="66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 spans="2:27" s="62" customFormat="1" ht="13.8" x14ac:dyDescent="0.25">
      <c r="B19" s="118" t="s">
        <v>57</v>
      </c>
      <c r="C19" s="119">
        <v>13269354.8199999</v>
      </c>
      <c r="D19" s="120">
        <f t="shared" si="0"/>
        <v>4.4786355588809751E-2</v>
      </c>
      <c r="E19" s="121">
        <v>4620.1745721899297</v>
      </c>
      <c r="F19" s="83"/>
      <c r="G19" s="59"/>
      <c r="H19" s="66"/>
      <c r="I19" s="66"/>
      <c r="J19" s="66"/>
      <c r="K19" s="66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</row>
    <row r="20" spans="2:27" s="62" customFormat="1" ht="13.8" x14ac:dyDescent="0.25">
      <c r="B20" s="118" t="s">
        <v>58</v>
      </c>
      <c r="C20" s="119">
        <v>668499.77</v>
      </c>
      <c r="D20" s="120">
        <f t="shared" si="0"/>
        <v>2.2563017431059817E-3</v>
      </c>
      <c r="E20" s="121">
        <v>1.9982254181500001</v>
      </c>
      <c r="F20" s="83"/>
      <c r="G20" s="59"/>
      <c r="H20" s="66"/>
      <c r="I20" s="66"/>
      <c r="J20" s="66"/>
      <c r="K20" s="66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 spans="2:27" s="62" customFormat="1" ht="13.8" x14ac:dyDescent="0.25">
      <c r="B21" s="122" t="s">
        <v>25</v>
      </c>
      <c r="C21" s="123">
        <f>+SUM(C12:C20)</f>
        <v>296281192.01811904</v>
      </c>
      <c r="D21" s="124">
        <f>SUM(D12:D20)</f>
        <v>1</v>
      </c>
      <c r="E21" s="125">
        <f>+SUM(E12:E20)</f>
        <v>8288.8884418538182</v>
      </c>
      <c r="F21" s="83"/>
      <c r="G21" s="59"/>
      <c r="H21" s="66"/>
      <c r="I21" s="66"/>
      <c r="J21" s="66"/>
      <c r="K21" s="66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 spans="2:27" s="62" customFormat="1" ht="4.95" customHeight="1" x14ac:dyDescent="0.25">
      <c r="B22" s="83"/>
      <c r="C22" s="126"/>
      <c r="D22" s="126"/>
      <c r="E22" s="127"/>
      <c r="F22" s="83"/>
      <c r="G22" s="59"/>
      <c r="H22" s="66"/>
      <c r="I22" s="66"/>
      <c r="J22" s="66"/>
      <c r="K22" s="66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 spans="2:27" s="62" customFormat="1" ht="13.8" x14ac:dyDescent="0.25">
      <c r="B23" s="83"/>
      <c r="C23" s="126"/>
      <c r="D23" s="126"/>
      <c r="E23" s="127"/>
      <c r="F23" s="83"/>
      <c r="G23" s="59"/>
      <c r="H23" s="66"/>
      <c r="I23" s="66"/>
      <c r="J23" s="66"/>
      <c r="K23" s="66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 spans="2:27" s="62" customFormat="1" ht="13.8" x14ac:dyDescent="0.25">
      <c r="B24" s="113" t="s">
        <v>177</v>
      </c>
      <c r="C24" s="126"/>
      <c r="D24" s="126"/>
      <c r="E24" s="127"/>
      <c r="F24" s="83"/>
      <c r="G24" s="59"/>
      <c r="H24" s="66"/>
      <c r="I24" s="66"/>
      <c r="J24" s="66"/>
      <c r="K24" s="66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 spans="2:27" s="62" customFormat="1" ht="13.8" x14ac:dyDescent="0.25">
      <c r="B25" s="128" t="s">
        <v>59</v>
      </c>
      <c r="C25" s="126"/>
      <c r="D25" s="126"/>
      <c r="E25" s="127"/>
      <c r="F25" s="83"/>
      <c r="G25" s="59"/>
      <c r="H25" s="66"/>
      <c r="I25" s="66"/>
      <c r="J25" s="66"/>
      <c r="K25" s="66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 spans="2:27" s="62" customFormat="1" ht="4.95" customHeight="1" x14ac:dyDescent="0.25">
      <c r="B26" s="83"/>
      <c r="C26" s="126"/>
      <c r="D26" s="126"/>
      <c r="E26" s="127"/>
      <c r="F26" s="83"/>
      <c r="G26" s="59"/>
      <c r="H26" s="66"/>
      <c r="I26" s="66"/>
      <c r="J26" s="66"/>
      <c r="K26" s="66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 spans="2:27" s="62" customFormat="1" ht="15" customHeight="1" x14ac:dyDescent="0.25">
      <c r="B27" s="181" t="s">
        <v>49</v>
      </c>
      <c r="C27" s="176" t="s">
        <v>2</v>
      </c>
      <c r="D27" s="176" t="s">
        <v>3</v>
      </c>
      <c r="E27" s="172" t="s">
        <v>4</v>
      </c>
      <c r="F27" s="83"/>
      <c r="G27" s="59"/>
      <c r="H27" s="66"/>
      <c r="I27" s="66"/>
      <c r="J27" s="66"/>
      <c r="K27" s="66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 spans="2:27" s="62" customFormat="1" ht="15" customHeight="1" x14ac:dyDescent="0.25">
      <c r="B28" s="181"/>
      <c r="C28" s="177"/>
      <c r="D28" s="177"/>
      <c r="E28" s="173"/>
      <c r="F28" s="83"/>
      <c r="G28" s="59"/>
      <c r="H28" s="66"/>
      <c r="I28" s="66"/>
      <c r="J28" s="66"/>
      <c r="K28" s="66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 spans="2:27" s="62" customFormat="1" ht="13.8" x14ac:dyDescent="0.25">
      <c r="B29" s="118" t="s">
        <v>50</v>
      </c>
      <c r="C29" s="119">
        <v>118247997.97386099</v>
      </c>
      <c r="D29" s="116">
        <f t="shared" ref="D29:D38" si="1">C29/$C$40</f>
        <v>5.658378450062309E-2</v>
      </c>
      <c r="E29" s="121">
        <v>200938.45962015699</v>
      </c>
      <c r="F29" s="83"/>
      <c r="G29" s="59"/>
      <c r="H29" s="66"/>
      <c r="I29" s="66"/>
      <c r="J29" s="66"/>
      <c r="K29" s="66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spans="2:27" s="62" customFormat="1" ht="13.8" x14ac:dyDescent="0.25">
      <c r="B30" s="118" t="s">
        <v>51</v>
      </c>
      <c r="C30" s="119">
        <v>7792022.4534692504</v>
      </c>
      <c r="D30" s="120">
        <f t="shared" si="1"/>
        <v>3.728622275944012E-3</v>
      </c>
      <c r="E30" s="121">
        <v>9027.0737609504395</v>
      </c>
      <c r="F30" s="83"/>
      <c r="G30" s="59"/>
      <c r="H30" s="66"/>
      <c r="I30" s="66"/>
      <c r="J30" s="66"/>
      <c r="K30" s="66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2:27" s="62" customFormat="1" ht="13.8" x14ac:dyDescent="0.25">
      <c r="B31" s="118" t="s">
        <v>52</v>
      </c>
      <c r="C31" s="119">
        <v>98538605.594622806</v>
      </c>
      <c r="D31" s="120">
        <f t="shared" si="1"/>
        <v>4.7152487310529761E-2</v>
      </c>
      <c r="E31" s="121">
        <v>15226.141492791099</v>
      </c>
      <c r="F31" s="83"/>
      <c r="G31" s="59"/>
      <c r="H31" s="66"/>
      <c r="I31" s="66"/>
      <c r="J31" s="66"/>
      <c r="K31" s="66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2:27" s="62" customFormat="1" ht="13.8" x14ac:dyDescent="0.25">
      <c r="B32" s="118" t="s">
        <v>53</v>
      </c>
      <c r="C32" s="119">
        <v>184152982.278633</v>
      </c>
      <c r="D32" s="120">
        <f t="shared" si="1"/>
        <v>8.8120499652811157E-2</v>
      </c>
      <c r="E32" s="121">
        <v>11922.752905023999</v>
      </c>
      <c r="F32" s="83"/>
      <c r="G32" s="59"/>
      <c r="H32" s="66"/>
      <c r="I32" s="66"/>
      <c r="J32" s="66"/>
      <c r="K32" s="66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 spans="2:29" s="62" customFormat="1" ht="13.8" x14ac:dyDescent="0.25">
      <c r="B33" s="118" t="s">
        <v>54</v>
      </c>
      <c r="C33" s="119">
        <v>985602316.16979802</v>
      </c>
      <c r="D33" s="120">
        <f t="shared" si="1"/>
        <v>0.4716283574948536</v>
      </c>
      <c r="E33" s="121">
        <v>99167.333191554295</v>
      </c>
      <c r="F33" s="83"/>
      <c r="G33" s="59"/>
      <c r="H33" s="66"/>
      <c r="I33" s="66"/>
      <c r="J33" s="66"/>
      <c r="K33" s="66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 spans="2:29" s="62" customFormat="1" ht="13.8" x14ac:dyDescent="0.25">
      <c r="B34" s="118" t="s">
        <v>55</v>
      </c>
      <c r="C34" s="119">
        <v>360816702.98650801</v>
      </c>
      <c r="D34" s="120">
        <f t="shared" si="1"/>
        <v>0.17265725353360306</v>
      </c>
      <c r="E34" s="121">
        <v>127123.55158711399</v>
      </c>
      <c r="F34" s="83"/>
      <c r="G34" s="59"/>
      <c r="H34" s="66"/>
      <c r="I34" s="66"/>
      <c r="J34" s="66"/>
      <c r="K34" s="66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 spans="2:29" s="62" customFormat="1" ht="13.8" x14ac:dyDescent="0.25">
      <c r="B35" s="118" t="s">
        <v>56</v>
      </c>
      <c r="C35" s="119">
        <v>148334764.212378</v>
      </c>
      <c r="D35" s="120">
        <f t="shared" si="1"/>
        <v>7.0980840910298576E-2</v>
      </c>
      <c r="E35" s="121">
        <v>72637.539087754601</v>
      </c>
      <c r="F35" s="83"/>
      <c r="G35" s="59"/>
      <c r="H35" s="66"/>
      <c r="I35" s="66"/>
      <c r="J35" s="66"/>
      <c r="K35" s="66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 spans="2:29" s="62" customFormat="1" ht="13.8" x14ac:dyDescent="0.25">
      <c r="B36" s="118" t="s">
        <v>57</v>
      </c>
      <c r="C36" s="119">
        <v>92735492.154708907</v>
      </c>
      <c r="D36" s="120">
        <f t="shared" si="1"/>
        <v>4.4375593613020035E-2</v>
      </c>
      <c r="E36" s="121">
        <v>288507.345715084</v>
      </c>
      <c r="F36" s="83"/>
      <c r="G36" s="59"/>
      <c r="H36" s="66"/>
      <c r="I36" s="66"/>
      <c r="J36" s="66"/>
      <c r="K36" s="66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 spans="2:29" s="62" customFormat="1" ht="13.8" x14ac:dyDescent="0.25">
      <c r="B37" s="118" t="s">
        <v>58</v>
      </c>
      <c r="C37" s="119">
        <v>11321516.81446</v>
      </c>
      <c r="D37" s="120">
        <f t="shared" si="1"/>
        <v>5.417548530430044E-3</v>
      </c>
      <c r="E37" s="121">
        <v>699.99275531610999</v>
      </c>
      <c r="F37" s="83"/>
      <c r="G37" s="59"/>
      <c r="H37" s="66"/>
      <c r="I37" s="66"/>
      <c r="J37" s="66"/>
      <c r="K37" s="66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 spans="2:29" s="62" customFormat="1" ht="13.8" x14ac:dyDescent="0.25">
      <c r="B38" s="118" t="s">
        <v>60</v>
      </c>
      <c r="C38" s="119">
        <v>13011753.532801699</v>
      </c>
      <c r="D38" s="120">
        <f t="shared" si="1"/>
        <v>6.2263570672716449E-3</v>
      </c>
      <c r="E38" s="121">
        <v>1136.3799139161499</v>
      </c>
      <c r="F38" s="83"/>
      <c r="G38" s="59"/>
      <c r="H38" s="66"/>
      <c r="I38" s="66"/>
      <c r="J38" s="66"/>
      <c r="K38" s="66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 spans="2:29" s="62" customFormat="1" ht="13.8" x14ac:dyDescent="0.25">
      <c r="B39" s="118" t="s">
        <v>175</v>
      </c>
      <c r="C39" s="119">
        <v>69231798.066699132</v>
      </c>
      <c r="D39" s="120">
        <v>0.23363871063291206</v>
      </c>
      <c r="E39" s="121">
        <v>0</v>
      </c>
      <c r="F39" s="83"/>
      <c r="G39" s="59"/>
      <c r="H39" s="66"/>
      <c r="I39" s="66"/>
      <c r="J39" s="66"/>
      <c r="K39" s="66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 spans="2:29" s="62" customFormat="1" ht="13.8" x14ac:dyDescent="0.25">
      <c r="B40" s="122" t="s">
        <v>25</v>
      </c>
      <c r="C40" s="123">
        <f>+SUM(C29:C39)</f>
        <v>2089785952.2379396</v>
      </c>
      <c r="D40" s="124">
        <f>SUM(D29:D38)</f>
        <v>0.96687134488938486</v>
      </c>
      <c r="E40" s="125">
        <f>+SUM(E29:E38)</f>
        <v>826386.57002966164</v>
      </c>
      <c r="F40" s="83"/>
      <c r="G40" s="59"/>
      <c r="H40" s="66"/>
      <c r="I40" s="66"/>
      <c r="J40" s="66"/>
      <c r="K40" s="66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 spans="2:29" s="62" customFormat="1" ht="4.95" customHeight="1" x14ac:dyDescent="0.25">
      <c r="B41" s="83"/>
      <c r="C41" s="126"/>
      <c r="D41" s="126"/>
      <c r="E41" s="127"/>
      <c r="F41" s="83"/>
      <c r="G41" s="59"/>
      <c r="H41" s="66"/>
      <c r="I41" s="66"/>
      <c r="J41" s="66"/>
      <c r="K41" s="66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</row>
    <row r="42" spans="2:29" s="62" customFormat="1" ht="13.8" x14ac:dyDescent="0.25">
      <c r="B42" s="83"/>
      <c r="C42" s="83"/>
      <c r="D42" s="83"/>
      <c r="E42" s="83"/>
      <c r="F42" s="83"/>
      <c r="G42" s="59"/>
      <c r="H42" s="66"/>
      <c r="I42" s="66"/>
      <c r="J42" s="66"/>
      <c r="K42" s="66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spans="2:29" s="62" customFormat="1" ht="13.8" x14ac:dyDescent="0.25">
      <c r="B43" s="129" t="s">
        <v>172</v>
      </c>
      <c r="C43" s="127"/>
      <c r="D43" s="83"/>
      <c r="E43" s="83"/>
      <c r="F43" s="83"/>
      <c r="G43" s="59"/>
      <c r="H43" s="66"/>
      <c r="I43" s="66"/>
      <c r="J43" s="66"/>
      <c r="K43" s="66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spans="2:29" s="62" customFormat="1" ht="4.95" customHeight="1" x14ac:dyDescent="0.25">
      <c r="B44" s="83"/>
      <c r="C44" s="83"/>
      <c r="D44" s="83"/>
      <c r="E44" s="83"/>
      <c r="F44" s="83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spans="2:29" s="62" customFormat="1" ht="15" customHeight="1" x14ac:dyDescent="0.25">
      <c r="B45" s="81"/>
      <c r="C45" s="176" t="s">
        <v>2</v>
      </c>
      <c r="D45" s="176" t="s">
        <v>3</v>
      </c>
      <c r="E45" s="172" t="s">
        <v>4</v>
      </c>
      <c r="F45" s="83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</row>
    <row r="46" spans="2:29" s="62" customFormat="1" ht="15" customHeight="1" x14ac:dyDescent="0.25">
      <c r="B46" s="81"/>
      <c r="C46" s="177"/>
      <c r="D46" s="177"/>
      <c r="E46" s="173"/>
      <c r="F46" s="83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</row>
    <row r="47" spans="2:29" s="62" customFormat="1" ht="13.8" x14ac:dyDescent="0.25">
      <c r="B47" s="130" t="s">
        <v>173</v>
      </c>
      <c r="C47" s="131">
        <f>C21</f>
        <v>296281192.01811904</v>
      </c>
      <c r="D47" s="132">
        <f>C47/$C$49</f>
        <v>0.12417135566840691</v>
      </c>
      <c r="E47" s="133">
        <f>E21</f>
        <v>8288.8884418538182</v>
      </c>
      <c r="F47" s="83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</row>
    <row r="48" spans="2:29" s="62" customFormat="1" ht="13.8" x14ac:dyDescent="0.25">
      <c r="B48" s="134" t="s">
        <v>174</v>
      </c>
      <c r="C48" s="135">
        <f>C40</f>
        <v>2089785952.2379396</v>
      </c>
      <c r="D48" s="136">
        <f>C48/$C$49</f>
        <v>0.87582864433159302</v>
      </c>
      <c r="E48" s="137">
        <f>E40</f>
        <v>826386.57002966164</v>
      </c>
      <c r="F48" s="83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</row>
    <row r="49" spans="2:29" s="62" customFormat="1" ht="13.8" x14ac:dyDescent="0.25">
      <c r="B49" s="122" t="s">
        <v>25</v>
      </c>
      <c r="C49" s="123">
        <f>SUM(C47:C48)</f>
        <v>2386067144.2560587</v>
      </c>
      <c r="D49" s="124">
        <f>SUM(D47:D48)</f>
        <v>0.99999999999999989</v>
      </c>
      <c r="E49" s="123">
        <f>SUM(E47:E48)</f>
        <v>834675.45847151545</v>
      </c>
      <c r="F49" s="83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</row>
    <row r="50" spans="2:29" s="62" customFormat="1" ht="13.8" x14ac:dyDescent="0.25">
      <c r="B50" s="83"/>
      <c r="C50" s="83"/>
      <c r="D50" s="83"/>
      <c r="E50" s="83"/>
      <c r="F50" s="83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</row>
    <row r="51" spans="2:29" s="62" customFormat="1" ht="13.8" hidden="1" x14ac:dyDescent="0.25"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</row>
    <row r="52" spans="2:29" s="62" customFormat="1" ht="13.8" hidden="1" x14ac:dyDescent="0.25"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spans="2:29" s="62" customFormat="1" ht="13.8" hidden="1" x14ac:dyDescent="0.25"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</row>
    <row r="54" spans="2:29" s="62" customFormat="1" ht="13.8" hidden="1" x14ac:dyDescent="0.25"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</row>
    <row r="55" spans="2:29" s="62" customFormat="1" ht="13.8" hidden="1" x14ac:dyDescent="0.25"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</row>
    <row r="56" spans="2:29" s="62" customFormat="1" ht="13.8" hidden="1" x14ac:dyDescent="0.25"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</row>
    <row r="57" spans="2:29" s="62" customFormat="1" ht="13.8" hidden="1" x14ac:dyDescent="0.25"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</row>
    <row r="58" spans="2:29" s="62" customFormat="1" ht="13.8" hidden="1" x14ac:dyDescent="0.25"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</row>
    <row r="59" spans="2:29" s="62" customFormat="1" ht="13.8" hidden="1" x14ac:dyDescent="0.25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</row>
    <row r="60" spans="2:29" s="62" customFormat="1" ht="13.8" hidden="1" x14ac:dyDescent="0.25"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</row>
    <row r="61" spans="2:29" s="62" customFormat="1" ht="13.8" hidden="1" x14ac:dyDescent="0.25"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</row>
    <row r="62" spans="2:29" s="62" customFormat="1" ht="13.8" hidden="1" x14ac:dyDescent="0.25"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</row>
    <row r="63" spans="2:29" s="62" customFormat="1" ht="13.8" hidden="1" x14ac:dyDescent="0.25"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</row>
    <row r="64" spans="2:29" s="62" customFormat="1" ht="13.8" hidden="1" x14ac:dyDescent="0.25"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</row>
    <row r="65" spans="2:29" s="62" customFormat="1" ht="13.8" hidden="1" x14ac:dyDescent="0.25"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</row>
    <row r="66" spans="2:29" s="62" customFormat="1" ht="13.8" hidden="1" x14ac:dyDescent="0.25"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</row>
    <row r="67" spans="2:29" s="62" customFormat="1" ht="13.8" hidden="1" x14ac:dyDescent="0.25"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</row>
    <row r="68" spans="2:29" s="62" customFormat="1" ht="13.8" hidden="1" x14ac:dyDescent="0.25"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</row>
    <row r="69" spans="2:29" s="62" customFormat="1" ht="13.8" hidden="1" x14ac:dyDescent="0.25"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</row>
    <row r="70" spans="2:29" s="62" customFormat="1" ht="13.8" hidden="1" x14ac:dyDescent="0.25"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</row>
    <row r="71" spans="2:29" s="62" customFormat="1" ht="13.8" hidden="1" x14ac:dyDescent="0.25"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</row>
    <row r="72" spans="2:29" s="62" customFormat="1" ht="13.8" hidden="1" x14ac:dyDescent="0.25"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</row>
    <row r="73" spans="2:29" s="62" customFormat="1" ht="13.8" hidden="1" x14ac:dyDescent="0.25"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</row>
    <row r="74" spans="2:29" s="62" customFormat="1" ht="13.8" hidden="1" x14ac:dyDescent="0.25"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</row>
    <row r="75" spans="2:29" s="62" customFormat="1" ht="13.8" hidden="1" x14ac:dyDescent="0.25"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</row>
    <row r="76" spans="2:29" s="62" customFormat="1" ht="13.8" hidden="1" x14ac:dyDescent="0.25"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</row>
    <row r="77" spans="2:29" s="62" customFormat="1" ht="13.8" hidden="1" x14ac:dyDescent="0.25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</row>
    <row r="78" spans="2:29" s="62" customFormat="1" ht="13.8" hidden="1" x14ac:dyDescent="0.25"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</row>
    <row r="79" spans="2:29" s="62" customFormat="1" ht="13.8" hidden="1" x14ac:dyDescent="0.25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</row>
    <row r="80" spans="2:29" s="62" customFormat="1" ht="13.8" hidden="1" x14ac:dyDescent="0.25"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</row>
    <row r="81" spans="2:29" s="62" customFormat="1" ht="13.8" hidden="1" x14ac:dyDescent="0.25"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</row>
    <row r="82" spans="2:29" s="62" customFormat="1" ht="13.8" hidden="1" x14ac:dyDescent="0.25"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</row>
    <row r="83" spans="2:29" s="62" customFormat="1" ht="13.8" hidden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</row>
    <row r="84" spans="2:29" s="62" customFormat="1" ht="13.8" hidden="1" x14ac:dyDescent="0.25"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</row>
    <row r="85" spans="2:29" s="62" customFormat="1" ht="13.8" hidden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</row>
    <row r="86" spans="2:29" s="62" customFormat="1" ht="13.8" hidden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</row>
    <row r="87" spans="2:29" s="62" customFormat="1" ht="13.8" hidden="1" x14ac:dyDescent="0.25"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</row>
    <row r="88" spans="2:29" s="62" customFormat="1" ht="13.8" hidden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</row>
    <row r="89" spans="2:29" s="62" customFormat="1" ht="13.8" hidden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</row>
    <row r="90" spans="2:29" s="62" customFormat="1" ht="13.8" hidden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</row>
    <row r="91" spans="2:29" s="62" customFormat="1" ht="13.8" hidden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</row>
    <row r="92" spans="2:29" s="62" customFormat="1" ht="13.8" hidden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</row>
    <row r="93" spans="2:29" s="62" customFormat="1" ht="13.8" hidden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</row>
    <row r="94" spans="2:29" s="62" customFormat="1" ht="13.8" hidden="1" x14ac:dyDescent="0.25"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</row>
    <row r="95" spans="2:29" s="62" customFormat="1" ht="13.8" hidden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</row>
    <row r="96" spans="2:29" s="62" customFormat="1" ht="13.8" hidden="1" x14ac:dyDescent="0.25"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</row>
    <row r="97" spans="2:29" s="62" customFormat="1" ht="13.8" hidden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</row>
    <row r="98" spans="2:29" s="62" customFormat="1" ht="13.8" hidden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</row>
    <row r="99" spans="2:29" s="62" customFormat="1" ht="13.8" hidden="1" x14ac:dyDescent="0.25"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</row>
    <row r="100" spans="2:29" s="62" customFormat="1" ht="13.8" hidden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</row>
    <row r="101" spans="2:29" s="62" customFormat="1" ht="13.8" hidden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</row>
    <row r="102" spans="2:29" s="62" customFormat="1" ht="13.8" hidden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</row>
    <row r="103" spans="2:29" s="62" customFormat="1" ht="13.8" hidden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</row>
    <row r="104" spans="2:29" s="62" customFormat="1" ht="13.8" hidden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</row>
    <row r="105" spans="2:29" s="62" customFormat="1" ht="13.8" hidden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</row>
    <row r="106" spans="2:29" s="62" customFormat="1" ht="13.8" hidden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</row>
    <row r="107" spans="2:29" s="62" customFormat="1" ht="13.8" hidden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</row>
    <row r="108" spans="2:29" s="62" customFormat="1" ht="13.8" hidden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</row>
    <row r="109" spans="2:29" s="62" customFormat="1" ht="13.8" hidden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</row>
    <row r="110" spans="2:29" s="62" customFormat="1" ht="13.8" hidden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</row>
    <row r="111" spans="2:29" s="62" customFormat="1" ht="13.8" hidden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</row>
    <row r="112" spans="2:29" s="62" customFormat="1" ht="13.8" hidden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</row>
    <row r="113" spans="2:29" s="62" customFormat="1" ht="13.8" hidden="1" x14ac:dyDescent="0.25"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</row>
    <row r="114" spans="2:29" s="62" customFormat="1" ht="13.8" hidden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</row>
    <row r="115" spans="2:29" s="62" customFormat="1" ht="13.8" hidden="1" x14ac:dyDescent="0.25"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</row>
    <row r="116" spans="2:29" s="62" customFormat="1" ht="13.8" hidden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</row>
    <row r="117" spans="2:29" s="62" customFormat="1" ht="13.8" hidden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</row>
    <row r="118" spans="2:29" s="62" customFormat="1" ht="13.8" hidden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</row>
    <row r="119" spans="2:29" s="62" customFormat="1" ht="13.8" hidden="1" x14ac:dyDescent="0.25"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</row>
    <row r="120" spans="2:29" s="62" customFormat="1" ht="13.8" hidden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</row>
    <row r="121" spans="2:29" s="62" customFormat="1" ht="13.8" hidden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</row>
    <row r="122" spans="2:29" s="62" customFormat="1" ht="13.8" hidden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</row>
    <row r="123" spans="2:29" s="62" customFormat="1" ht="13.8" hidden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</row>
    <row r="124" spans="2:29" s="62" customFormat="1" ht="13.8" hidden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</row>
    <row r="125" spans="2:29" s="62" customFormat="1" ht="13.8" hidden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</row>
    <row r="126" spans="2:29" s="62" customFormat="1" ht="13.8" hidden="1" x14ac:dyDescent="0.25"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</row>
    <row r="127" spans="2:29" s="62" customFormat="1" ht="13.8" hidden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</row>
    <row r="128" spans="2:29" s="62" customFormat="1" ht="13.8" hidden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</row>
    <row r="129" spans="2:29" s="62" customFormat="1" ht="13.8" hidden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</row>
    <row r="130" spans="2:29" s="62" customFormat="1" ht="13.8" hidden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</row>
    <row r="131" spans="2:29" s="62" customFormat="1" ht="13.8" hidden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</row>
    <row r="132" spans="2:29" s="62" customFormat="1" ht="13.8" hidden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</row>
    <row r="133" spans="2:29" s="62" customFormat="1" ht="13.8" hidden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</row>
    <row r="134" spans="2:29" s="62" customFormat="1" ht="13.8" hidden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</row>
    <row r="135" spans="2:29" s="62" customFormat="1" ht="13.8" hidden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</row>
    <row r="136" spans="2:29" s="62" customFormat="1" ht="13.8" hidden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</row>
    <row r="137" spans="2:29" s="62" customFormat="1" ht="13.8" hidden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</row>
    <row r="138" spans="2:29" s="62" customFormat="1" ht="13.8" hidden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</row>
    <row r="139" spans="2:29" s="62" customFormat="1" ht="13.8" hidden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</row>
    <row r="140" spans="2:29" s="62" customFormat="1" ht="13.8" hidden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</row>
    <row r="141" spans="2:29" s="62" customFormat="1" ht="13.8" hidden="1" x14ac:dyDescent="0.25"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</row>
    <row r="142" spans="2:29" s="62" customFormat="1" ht="13.8" hidden="1" x14ac:dyDescent="0.25"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</row>
    <row r="143" spans="2:29" s="62" customFormat="1" ht="13.8" hidden="1" x14ac:dyDescent="0.25"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</row>
    <row r="144" spans="2:29" s="62" customFormat="1" ht="13.8" hidden="1" x14ac:dyDescent="0.25"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</row>
    <row r="145" spans="2:29" s="62" customFormat="1" ht="13.8" hidden="1" x14ac:dyDescent="0.25"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</row>
    <row r="146" spans="2:29" s="62" customFormat="1" ht="13.8" hidden="1" x14ac:dyDescent="0.25"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</row>
    <row r="147" spans="2:29" s="62" customFormat="1" ht="13.8" hidden="1" x14ac:dyDescent="0.25"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</row>
    <row r="148" spans="2:29" s="62" customFormat="1" ht="13.8" hidden="1" x14ac:dyDescent="0.25"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</row>
    <row r="149" spans="2:29" s="62" customFormat="1" ht="13.8" hidden="1" x14ac:dyDescent="0.25"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</row>
    <row r="150" spans="2:29" s="62" customFormat="1" ht="13.8" hidden="1" x14ac:dyDescent="0.25"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</row>
    <row r="151" spans="2:29" s="62" customFormat="1" ht="13.8" hidden="1" x14ac:dyDescent="0.25"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</row>
    <row r="152" spans="2:29" s="62" customFormat="1" ht="13.8" hidden="1" x14ac:dyDescent="0.25"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</row>
    <row r="153" spans="2:29" s="62" customFormat="1" ht="13.8" hidden="1" x14ac:dyDescent="0.25"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</row>
    <row r="154" spans="2:29" s="62" customFormat="1" ht="13.8" hidden="1" x14ac:dyDescent="0.25"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</row>
    <row r="155" spans="2:29" s="62" customFormat="1" ht="13.8" hidden="1" x14ac:dyDescent="0.25"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</row>
    <row r="156" spans="2:29" s="62" customFormat="1" ht="13.8" hidden="1" x14ac:dyDescent="0.25"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</row>
    <row r="157" spans="2:29" s="62" customFormat="1" ht="13.8" hidden="1" x14ac:dyDescent="0.25"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</row>
    <row r="158" spans="2:29" s="62" customFormat="1" ht="13.8" hidden="1" x14ac:dyDescent="0.25"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</row>
    <row r="159" spans="2:29" s="62" customFormat="1" ht="13.8" hidden="1" x14ac:dyDescent="0.25"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</row>
    <row r="160" spans="2:29" s="62" customFormat="1" ht="13.8" hidden="1" x14ac:dyDescent="0.25"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</row>
    <row r="161" spans="2:29" s="62" customFormat="1" ht="13.8" hidden="1" x14ac:dyDescent="0.25"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</row>
    <row r="162" spans="2:29" s="62" customFormat="1" ht="13.8" hidden="1" x14ac:dyDescent="0.25"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</row>
    <row r="163" spans="2:29" s="62" customFormat="1" ht="13.8" hidden="1" x14ac:dyDescent="0.25"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</row>
    <row r="164" spans="2:29" s="62" customFormat="1" ht="13.8" hidden="1" x14ac:dyDescent="0.25"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</row>
    <row r="165" spans="2:29" s="62" customFormat="1" ht="13.8" hidden="1" x14ac:dyDescent="0.25"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</row>
    <row r="166" spans="2:29" s="62" customFormat="1" ht="13.8" hidden="1" x14ac:dyDescent="0.25"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</row>
    <row r="167" spans="2:29" s="62" customFormat="1" ht="13.8" hidden="1" x14ac:dyDescent="0.25"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</row>
    <row r="168" spans="2:29" s="62" customFormat="1" ht="13.8" hidden="1" x14ac:dyDescent="0.25"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</row>
    <row r="169" spans="2:29" s="62" customFormat="1" ht="13.8" hidden="1" x14ac:dyDescent="0.25"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</row>
    <row r="170" spans="2:29" s="62" customFormat="1" ht="13.8" hidden="1" x14ac:dyDescent="0.25"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</row>
    <row r="171" spans="2:29" s="62" customFormat="1" ht="13.8" hidden="1" x14ac:dyDescent="0.25"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</row>
    <row r="172" spans="2:29" s="62" customFormat="1" ht="13.8" hidden="1" x14ac:dyDescent="0.25"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</row>
    <row r="173" spans="2:29" s="62" customFormat="1" ht="13.8" hidden="1" x14ac:dyDescent="0.25"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</row>
    <row r="174" spans="2:29" s="62" customFormat="1" ht="13.8" hidden="1" x14ac:dyDescent="0.25"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</row>
    <row r="175" spans="2:29" s="62" customFormat="1" ht="13.8" hidden="1" x14ac:dyDescent="0.25"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</row>
    <row r="176" spans="2:29" s="62" customFormat="1" ht="13.8" hidden="1" x14ac:dyDescent="0.25"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</row>
    <row r="177" spans="2:29" s="62" customFormat="1" ht="13.8" hidden="1" x14ac:dyDescent="0.25"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</row>
    <row r="178" spans="2:29" s="62" customFormat="1" ht="13.8" hidden="1" x14ac:dyDescent="0.25"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</row>
    <row r="179" spans="2:29" s="62" customFormat="1" ht="13.8" hidden="1" x14ac:dyDescent="0.25"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</row>
    <row r="180" spans="2:29" s="62" customFormat="1" ht="13.8" hidden="1" x14ac:dyDescent="0.25"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</row>
    <row r="181" spans="2:29" s="62" customFormat="1" ht="13.8" hidden="1" x14ac:dyDescent="0.25"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</row>
    <row r="182" spans="2:29" s="62" customFormat="1" ht="13.8" hidden="1" x14ac:dyDescent="0.25"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</row>
    <row r="183" spans="2:29" s="62" customFormat="1" ht="13.8" hidden="1" x14ac:dyDescent="0.25"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</row>
    <row r="184" spans="2:29" s="62" customFormat="1" ht="13.8" hidden="1" x14ac:dyDescent="0.25"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</row>
    <row r="185" spans="2:29" s="62" customFormat="1" ht="13.8" hidden="1" x14ac:dyDescent="0.25"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</row>
    <row r="186" spans="2:29" s="62" customFormat="1" ht="13.8" hidden="1" x14ac:dyDescent="0.25"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</row>
    <row r="187" spans="2:29" s="62" customFormat="1" ht="13.8" hidden="1" x14ac:dyDescent="0.25"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</row>
    <row r="188" spans="2:29" s="62" customFormat="1" ht="13.8" hidden="1" x14ac:dyDescent="0.25"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</row>
    <row r="189" spans="2:29" s="62" customFormat="1" ht="13.8" hidden="1" x14ac:dyDescent="0.25"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</row>
    <row r="190" spans="2:29" s="62" customFormat="1" ht="13.8" hidden="1" x14ac:dyDescent="0.25"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</row>
    <row r="191" spans="2:29" s="62" customFormat="1" ht="13.8" hidden="1" x14ac:dyDescent="0.25"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</row>
    <row r="192" spans="2:29" s="62" customFormat="1" ht="13.8" hidden="1" x14ac:dyDescent="0.25"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</row>
    <row r="193" spans="2:29" s="62" customFormat="1" ht="13.8" hidden="1" x14ac:dyDescent="0.25"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</row>
    <row r="194" spans="2:29" s="62" customFormat="1" ht="13.8" hidden="1" x14ac:dyDescent="0.25"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</row>
    <row r="195" spans="2:29" s="62" customFormat="1" ht="13.8" hidden="1" x14ac:dyDescent="0.25"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</row>
    <row r="196" spans="2:29" s="62" customFormat="1" ht="13.8" hidden="1" x14ac:dyDescent="0.25"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</row>
    <row r="197" spans="2:29" s="62" customFormat="1" ht="13.8" hidden="1" x14ac:dyDescent="0.25"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</row>
    <row r="198" spans="2:29" s="62" customFormat="1" ht="13.8" hidden="1" x14ac:dyDescent="0.25"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</row>
    <row r="199" spans="2:29" s="62" customFormat="1" ht="13.8" hidden="1" x14ac:dyDescent="0.25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</row>
    <row r="200" spans="2:29" s="62" customFormat="1" ht="13.8" hidden="1" x14ac:dyDescent="0.25"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</row>
    <row r="201" spans="2:29" s="62" customFormat="1" ht="13.8" hidden="1" x14ac:dyDescent="0.25"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</row>
    <row r="202" spans="2:29" s="62" customFormat="1" ht="13.8" hidden="1" x14ac:dyDescent="0.25"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</row>
    <row r="203" spans="2:29" s="62" customFormat="1" ht="13.8" hidden="1" x14ac:dyDescent="0.25"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</row>
    <row r="204" spans="2:29" s="62" customFormat="1" ht="13.8" hidden="1" x14ac:dyDescent="0.25"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</row>
    <row r="205" spans="2:29" s="62" customFormat="1" ht="13.8" hidden="1" x14ac:dyDescent="0.25"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</row>
    <row r="206" spans="2:29" s="62" customFormat="1" ht="13.8" hidden="1" x14ac:dyDescent="0.25"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</row>
    <row r="207" spans="2:29" s="62" customFormat="1" ht="13.8" hidden="1" x14ac:dyDescent="0.25"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</row>
    <row r="208" spans="2:29" s="62" customFormat="1" ht="13.8" hidden="1" x14ac:dyDescent="0.25"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</row>
    <row r="209" spans="2:29" s="62" customFormat="1" ht="13.8" hidden="1" x14ac:dyDescent="0.25"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</row>
    <row r="210" spans="2:29" s="62" customFormat="1" ht="13.8" hidden="1" x14ac:dyDescent="0.25"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</row>
    <row r="211" spans="2:29" s="62" customFormat="1" ht="13.8" hidden="1" x14ac:dyDescent="0.25"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</row>
    <row r="212" spans="2:29" s="62" customFormat="1" ht="13.8" hidden="1" x14ac:dyDescent="0.25"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</row>
    <row r="213" spans="2:29" s="62" customFormat="1" ht="13.8" hidden="1" x14ac:dyDescent="0.25"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</row>
    <row r="214" spans="2:29" s="62" customFormat="1" ht="13.8" hidden="1" x14ac:dyDescent="0.25"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</row>
    <row r="215" spans="2:29" s="62" customFormat="1" ht="13.8" hidden="1" x14ac:dyDescent="0.25"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</row>
    <row r="216" spans="2:29" s="62" customFormat="1" ht="13.8" hidden="1" x14ac:dyDescent="0.25"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</row>
    <row r="217" spans="2:29" s="62" customFormat="1" ht="13.8" hidden="1" x14ac:dyDescent="0.25"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</row>
    <row r="218" spans="2:29" s="62" customFormat="1" ht="13.8" hidden="1" x14ac:dyDescent="0.25"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</row>
    <row r="219" spans="2:29" s="62" customFormat="1" ht="13.8" hidden="1" x14ac:dyDescent="0.25"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</row>
    <row r="220" spans="2:29" s="62" customFormat="1" ht="13.8" hidden="1" x14ac:dyDescent="0.25"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</row>
    <row r="221" spans="2:29" s="62" customFormat="1" ht="13.8" hidden="1" x14ac:dyDescent="0.25"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</row>
    <row r="222" spans="2:29" s="62" customFormat="1" ht="13.8" hidden="1" x14ac:dyDescent="0.25"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</row>
    <row r="223" spans="2:29" s="62" customFormat="1" ht="13.8" hidden="1" x14ac:dyDescent="0.25"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</row>
    <row r="224" spans="2:29" s="62" customFormat="1" ht="13.8" hidden="1" x14ac:dyDescent="0.25"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</row>
    <row r="225" spans="2:29" s="62" customFormat="1" ht="13.8" hidden="1" x14ac:dyDescent="0.25"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</row>
    <row r="226" spans="2:29" s="62" customFormat="1" ht="13.8" hidden="1" x14ac:dyDescent="0.25"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</row>
    <row r="227" spans="2:29" s="62" customFormat="1" ht="13.8" hidden="1" x14ac:dyDescent="0.25"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</row>
    <row r="228" spans="2:29" s="62" customFormat="1" ht="13.8" hidden="1" x14ac:dyDescent="0.25"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</row>
    <row r="229" spans="2:29" s="62" customFormat="1" ht="13.8" hidden="1" x14ac:dyDescent="0.25"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</row>
    <row r="230" spans="2:29" s="62" customFormat="1" ht="13.8" hidden="1" x14ac:dyDescent="0.25"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</row>
    <row r="231" spans="2:29" s="62" customFormat="1" ht="13.8" hidden="1" x14ac:dyDescent="0.25"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</row>
    <row r="232" spans="2:29" s="62" customFormat="1" ht="13.8" hidden="1" x14ac:dyDescent="0.25"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</row>
    <row r="233" spans="2:29" s="62" customFormat="1" ht="13.8" hidden="1" x14ac:dyDescent="0.25"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</row>
    <row r="234" spans="2:29" s="62" customFormat="1" ht="13.8" hidden="1" x14ac:dyDescent="0.25"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</row>
    <row r="235" spans="2:29" s="62" customFormat="1" ht="13.8" hidden="1" x14ac:dyDescent="0.25"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</row>
    <row r="236" spans="2:29" s="62" customFormat="1" ht="13.8" hidden="1" x14ac:dyDescent="0.25"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</row>
    <row r="237" spans="2:29" s="62" customFormat="1" ht="13.8" hidden="1" x14ac:dyDescent="0.25"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</row>
    <row r="238" spans="2:29" s="62" customFormat="1" ht="13.8" hidden="1" x14ac:dyDescent="0.25"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</row>
    <row r="239" spans="2:29" s="62" customFormat="1" ht="13.8" hidden="1" x14ac:dyDescent="0.25"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</row>
    <row r="240" spans="2:29" s="62" customFormat="1" ht="13.8" hidden="1" x14ac:dyDescent="0.25"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</row>
    <row r="241" spans="2:29" s="62" customFormat="1" ht="13.8" hidden="1" x14ac:dyDescent="0.25"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</row>
    <row r="242" spans="2:29" s="62" customFormat="1" ht="13.8" hidden="1" x14ac:dyDescent="0.25"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</row>
    <row r="243" spans="2:29" s="62" customFormat="1" ht="13.8" hidden="1" x14ac:dyDescent="0.25"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</row>
    <row r="244" spans="2:29" s="62" customFormat="1" ht="13.8" hidden="1" x14ac:dyDescent="0.25"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</row>
    <row r="245" spans="2:29" s="62" customFormat="1" ht="13.8" hidden="1" x14ac:dyDescent="0.25"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</row>
    <row r="246" spans="2:29" s="62" customFormat="1" ht="13.8" hidden="1" x14ac:dyDescent="0.25"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</row>
    <row r="247" spans="2:29" s="62" customFormat="1" ht="13.8" hidden="1" x14ac:dyDescent="0.25"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</row>
    <row r="248" spans="2:29" s="62" customFormat="1" ht="13.8" hidden="1" x14ac:dyDescent="0.25"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</row>
    <row r="249" spans="2:29" s="62" customFormat="1" ht="13.8" hidden="1" x14ac:dyDescent="0.25"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</row>
    <row r="250" spans="2:29" s="62" customFormat="1" ht="13.8" hidden="1" x14ac:dyDescent="0.25"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</row>
    <row r="251" spans="2:29" s="62" customFormat="1" ht="13.8" hidden="1" x14ac:dyDescent="0.25"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</row>
    <row r="252" spans="2:29" s="62" customFormat="1" ht="13.8" hidden="1" x14ac:dyDescent="0.25"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</row>
    <row r="253" spans="2:29" s="62" customFormat="1" ht="13.8" hidden="1" x14ac:dyDescent="0.25"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</row>
    <row r="254" spans="2:29" s="62" customFormat="1" ht="13.8" hidden="1" x14ac:dyDescent="0.25"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</row>
    <row r="255" spans="2:29" s="62" customFormat="1" ht="13.8" hidden="1" x14ac:dyDescent="0.25"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</row>
    <row r="256" spans="2:29" s="62" customFormat="1" ht="13.8" hidden="1" x14ac:dyDescent="0.25"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</row>
    <row r="257" spans="2:29" s="62" customFormat="1" ht="13.8" hidden="1" x14ac:dyDescent="0.25"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</row>
    <row r="258" spans="2:29" s="62" customFormat="1" ht="13.8" hidden="1" x14ac:dyDescent="0.25"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</row>
    <row r="259" spans="2:29" s="62" customFormat="1" ht="13.8" hidden="1" x14ac:dyDescent="0.25"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</row>
    <row r="260" spans="2:29" s="62" customFormat="1" ht="13.8" hidden="1" x14ac:dyDescent="0.25"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</row>
    <row r="261" spans="2:29" s="62" customFormat="1" ht="13.8" hidden="1" x14ac:dyDescent="0.25"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</row>
    <row r="262" spans="2:29" s="62" customFormat="1" ht="13.8" hidden="1" x14ac:dyDescent="0.25"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</row>
    <row r="263" spans="2:29" s="62" customFormat="1" ht="13.8" hidden="1" x14ac:dyDescent="0.25"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</row>
    <row r="264" spans="2:29" s="62" customFormat="1" ht="13.8" hidden="1" x14ac:dyDescent="0.25"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</row>
    <row r="265" spans="2:29" s="62" customFormat="1" ht="13.8" hidden="1" x14ac:dyDescent="0.25"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</row>
    <row r="266" spans="2:29" s="62" customFormat="1" ht="13.8" hidden="1" x14ac:dyDescent="0.25"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</row>
    <row r="267" spans="2:29" s="62" customFormat="1" ht="13.8" hidden="1" x14ac:dyDescent="0.25"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</row>
    <row r="268" spans="2:29" s="62" customFormat="1" ht="13.8" hidden="1" x14ac:dyDescent="0.25"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</row>
    <row r="269" spans="2:29" s="62" customFormat="1" ht="13.8" hidden="1" x14ac:dyDescent="0.25"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</row>
    <row r="270" spans="2:29" s="62" customFormat="1" ht="13.8" hidden="1" x14ac:dyDescent="0.25"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</row>
    <row r="271" spans="2:29" s="62" customFormat="1" ht="13.8" hidden="1" x14ac:dyDescent="0.25"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</row>
    <row r="272" spans="2:29" s="62" customFormat="1" ht="13.8" hidden="1" x14ac:dyDescent="0.25"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</row>
    <row r="273" spans="2:29" s="62" customFormat="1" ht="13.8" hidden="1" x14ac:dyDescent="0.25"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</row>
    <row r="274" spans="2:29" s="62" customFormat="1" ht="13.8" hidden="1" x14ac:dyDescent="0.25"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</row>
    <row r="275" spans="2:29" s="62" customFormat="1" ht="13.8" hidden="1" x14ac:dyDescent="0.25"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</row>
    <row r="276" spans="2:29" s="62" customFormat="1" ht="13.8" hidden="1" x14ac:dyDescent="0.25"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</row>
    <row r="277" spans="2:29" s="62" customFormat="1" ht="13.8" hidden="1" x14ac:dyDescent="0.25"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</row>
    <row r="278" spans="2:29" s="62" customFormat="1" ht="13.8" hidden="1" x14ac:dyDescent="0.25"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</row>
    <row r="279" spans="2:29" s="62" customFormat="1" ht="13.8" hidden="1" x14ac:dyDescent="0.25"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</row>
    <row r="280" spans="2:29" s="62" customFormat="1" ht="13.8" hidden="1" x14ac:dyDescent="0.25"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</row>
    <row r="281" spans="2:29" s="62" customFormat="1" ht="13.8" hidden="1" x14ac:dyDescent="0.25"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</row>
    <row r="282" spans="2:29" s="62" customFormat="1" ht="13.8" hidden="1" x14ac:dyDescent="0.25"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</row>
    <row r="283" spans="2:29" s="62" customFormat="1" ht="13.8" hidden="1" x14ac:dyDescent="0.25"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</row>
    <row r="284" spans="2:29" s="62" customFormat="1" ht="13.8" hidden="1" x14ac:dyDescent="0.25"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</row>
    <row r="285" spans="2:29" s="62" customFormat="1" ht="13.8" hidden="1" x14ac:dyDescent="0.25"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</row>
    <row r="286" spans="2:29" s="62" customFormat="1" ht="13.8" hidden="1" x14ac:dyDescent="0.25"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</row>
    <row r="287" spans="2:29" s="62" customFormat="1" ht="13.8" hidden="1" x14ac:dyDescent="0.25"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</row>
    <row r="288" spans="2:29" s="62" customFormat="1" ht="13.8" hidden="1" x14ac:dyDescent="0.25"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</row>
    <row r="289" spans="2:29" s="62" customFormat="1" ht="13.8" hidden="1" x14ac:dyDescent="0.25"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</row>
    <row r="290" spans="2:29" s="62" customFormat="1" ht="13.8" hidden="1" x14ac:dyDescent="0.25"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</row>
    <row r="291" spans="2:29" s="62" customFormat="1" ht="13.8" hidden="1" x14ac:dyDescent="0.25"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</row>
    <row r="292" spans="2:29" s="62" customFormat="1" ht="13.8" hidden="1" x14ac:dyDescent="0.25"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</row>
    <row r="293" spans="2:29" s="62" customFormat="1" ht="13.8" hidden="1" x14ac:dyDescent="0.25"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</row>
    <row r="294" spans="2:29" s="62" customFormat="1" ht="13.8" hidden="1" x14ac:dyDescent="0.25"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</row>
    <row r="295" spans="2:29" s="62" customFormat="1" ht="13.8" hidden="1" x14ac:dyDescent="0.25"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</row>
    <row r="296" spans="2:29" s="62" customFormat="1" ht="13.8" hidden="1" x14ac:dyDescent="0.25"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</row>
    <row r="297" spans="2:29" s="62" customFormat="1" ht="13.8" hidden="1" x14ac:dyDescent="0.25"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</row>
    <row r="298" spans="2:29" s="62" customFormat="1" ht="13.8" hidden="1" x14ac:dyDescent="0.25"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</row>
    <row r="299" spans="2:29" s="62" customFormat="1" ht="13.8" hidden="1" x14ac:dyDescent="0.25"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</row>
    <row r="300" spans="2:29" s="62" customFormat="1" ht="13.8" hidden="1" x14ac:dyDescent="0.25"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</row>
    <row r="301" spans="2:29" s="62" customFormat="1" ht="13.8" hidden="1" x14ac:dyDescent="0.25"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</row>
    <row r="302" spans="2:29" s="62" customFormat="1" ht="13.8" hidden="1" x14ac:dyDescent="0.25"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</row>
    <row r="303" spans="2:29" s="62" customFormat="1" ht="13.8" hidden="1" x14ac:dyDescent="0.25"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</row>
    <row r="304" spans="2:29" s="62" customFormat="1" ht="13.8" hidden="1" x14ac:dyDescent="0.25"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</row>
    <row r="305" spans="2:29" s="62" customFormat="1" ht="13.8" hidden="1" x14ac:dyDescent="0.25"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</row>
    <row r="306" spans="2:29" s="62" customFormat="1" ht="13.8" hidden="1" x14ac:dyDescent="0.25"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</row>
    <row r="307" spans="2:29" s="62" customFormat="1" ht="13.8" hidden="1" x14ac:dyDescent="0.25"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</row>
    <row r="308" spans="2:29" s="62" customFormat="1" ht="13.8" hidden="1" x14ac:dyDescent="0.25"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</row>
    <row r="309" spans="2:29" s="62" customFormat="1" ht="13.8" hidden="1" x14ac:dyDescent="0.25"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</row>
    <row r="310" spans="2:29" s="62" customFormat="1" ht="13.8" hidden="1" x14ac:dyDescent="0.25"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</row>
    <row r="311" spans="2:29" s="62" customFormat="1" ht="13.8" hidden="1" x14ac:dyDescent="0.25"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</row>
    <row r="312" spans="2:29" s="62" customFormat="1" ht="13.8" hidden="1" x14ac:dyDescent="0.25"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</row>
    <row r="313" spans="2:29" s="62" customFormat="1" ht="13.8" hidden="1" x14ac:dyDescent="0.25"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</row>
    <row r="314" spans="2:29" s="62" customFormat="1" ht="13.8" hidden="1" x14ac:dyDescent="0.25"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</row>
    <row r="315" spans="2:29" s="62" customFormat="1" ht="13.8" hidden="1" x14ac:dyDescent="0.25"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</row>
    <row r="316" spans="2:29" s="62" customFormat="1" ht="13.8" hidden="1" x14ac:dyDescent="0.25"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</row>
    <row r="317" spans="2:29" s="62" customFormat="1" ht="13.8" hidden="1" x14ac:dyDescent="0.25"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</row>
    <row r="318" spans="2:29" s="62" customFormat="1" ht="13.8" hidden="1" x14ac:dyDescent="0.25"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</row>
    <row r="319" spans="2:29" s="62" customFormat="1" ht="13.8" hidden="1" x14ac:dyDescent="0.25"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</row>
    <row r="320" spans="2:29" s="62" customFormat="1" ht="13.8" hidden="1" x14ac:dyDescent="0.25"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</row>
    <row r="321" spans="2:29" s="62" customFormat="1" ht="13.8" hidden="1" x14ac:dyDescent="0.25"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</row>
    <row r="322" spans="2:29" s="62" customFormat="1" ht="13.8" hidden="1" x14ac:dyDescent="0.25"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</row>
    <row r="323" spans="2:29" s="62" customFormat="1" ht="13.8" hidden="1" x14ac:dyDescent="0.25"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</row>
    <row r="324" spans="2:29" s="62" customFormat="1" ht="13.8" hidden="1" x14ac:dyDescent="0.25"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</row>
    <row r="325" spans="2:29" s="62" customFormat="1" ht="13.8" hidden="1" x14ac:dyDescent="0.25"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</row>
    <row r="326" spans="2:29" s="62" customFormat="1" ht="13.8" hidden="1" x14ac:dyDescent="0.25"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</row>
    <row r="327" spans="2:29" s="62" customFormat="1" ht="13.8" hidden="1" x14ac:dyDescent="0.25"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</row>
    <row r="328" spans="2:29" s="62" customFormat="1" ht="13.8" hidden="1" x14ac:dyDescent="0.25"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</row>
    <row r="329" spans="2:29" s="62" customFormat="1" ht="13.8" hidden="1" x14ac:dyDescent="0.25"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</row>
    <row r="330" spans="2:29" s="62" customFormat="1" ht="13.8" hidden="1" x14ac:dyDescent="0.25"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</row>
    <row r="331" spans="2:29" s="62" customFormat="1" ht="13.8" hidden="1" x14ac:dyDescent="0.25"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</row>
    <row r="332" spans="2:29" s="62" customFormat="1" ht="13.8" hidden="1" x14ac:dyDescent="0.25"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</row>
    <row r="333" spans="2:29" s="62" customFormat="1" ht="13.8" hidden="1" x14ac:dyDescent="0.25"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</row>
    <row r="334" spans="2:29" s="62" customFormat="1" ht="13.8" hidden="1" x14ac:dyDescent="0.25"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</row>
    <row r="335" spans="2:29" s="62" customFormat="1" ht="13.8" hidden="1" x14ac:dyDescent="0.25"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</row>
    <row r="336" spans="2:29" s="62" customFormat="1" ht="13.8" hidden="1" x14ac:dyDescent="0.25"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</row>
    <row r="337" spans="2:29" s="62" customFormat="1" ht="13.8" hidden="1" x14ac:dyDescent="0.25"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</row>
    <row r="338" spans="2:29" s="62" customFormat="1" ht="13.8" hidden="1" x14ac:dyDescent="0.25"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</row>
    <row r="339" spans="2:29" s="62" customFormat="1" ht="13.8" hidden="1" x14ac:dyDescent="0.25"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</row>
    <row r="340" spans="2:29" s="62" customFormat="1" ht="13.8" hidden="1" x14ac:dyDescent="0.25"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</row>
    <row r="341" spans="2:29" s="62" customFormat="1" ht="13.8" hidden="1" x14ac:dyDescent="0.25"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</row>
    <row r="342" spans="2:29" s="62" customFormat="1" ht="13.8" hidden="1" x14ac:dyDescent="0.25"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</row>
    <row r="343" spans="2:29" s="62" customFormat="1" ht="13.8" hidden="1" x14ac:dyDescent="0.25"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</row>
    <row r="344" spans="2:29" s="62" customFormat="1" ht="13.8" hidden="1" x14ac:dyDescent="0.25"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</row>
    <row r="345" spans="2:29" s="62" customFormat="1" ht="13.8" hidden="1" x14ac:dyDescent="0.25"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</row>
    <row r="346" spans="2:29" s="62" customFormat="1" ht="13.8" hidden="1" x14ac:dyDescent="0.25"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</row>
    <row r="347" spans="2:29" s="62" customFormat="1" ht="13.8" hidden="1" x14ac:dyDescent="0.25"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</row>
    <row r="348" spans="2:29" s="62" customFormat="1" ht="13.8" hidden="1" x14ac:dyDescent="0.25"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</row>
    <row r="349" spans="2:29" s="62" customFormat="1" ht="13.8" hidden="1" x14ac:dyDescent="0.25"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</row>
    <row r="350" spans="2:29" s="62" customFormat="1" ht="13.8" hidden="1" x14ac:dyDescent="0.25"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</row>
    <row r="351" spans="2:29" s="62" customFormat="1" ht="13.8" hidden="1" x14ac:dyDescent="0.25"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</row>
    <row r="352" spans="2:29" s="62" customFormat="1" ht="13.8" hidden="1" x14ac:dyDescent="0.25"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</row>
    <row r="353" spans="2:29" s="62" customFormat="1" ht="13.8" hidden="1" x14ac:dyDescent="0.25"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</row>
    <row r="354" spans="2:29" s="62" customFormat="1" ht="13.8" hidden="1" x14ac:dyDescent="0.25"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</row>
    <row r="355" spans="2:29" s="62" customFormat="1" ht="13.8" hidden="1" x14ac:dyDescent="0.25"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</row>
    <row r="356" spans="2:29" s="62" customFormat="1" ht="13.8" hidden="1" x14ac:dyDescent="0.25"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</row>
    <row r="357" spans="2:29" s="62" customFormat="1" ht="13.8" hidden="1" x14ac:dyDescent="0.25"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</row>
    <row r="358" spans="2:29" s="62" customFormat="1" ht="13.8" hidden="1" x14ac:dyDescent="0.25"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</row>
    <row r="359" spans="2:29" s="62" customFormat="1" ht="13.8" hidden="1" x14ac:dyDescent="0.25"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</row>
    <row r="360" spans="2:29" s="62" customFormat="1" ht="13.8" hidden="1" x14ac:dyDescent="0.25"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</row>
    <row r="361" spans="2:29" s="62" customFormat="1" ht="13.8" hidden="1" x14ac:dyDescent="0.25"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</row>
    <row r="362" spans="2:29" s="62" customFormat="1" ht="13.8" hidden="1" x14ac:dyDescent="0.25"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</row>
    <row r="363" spans="2:29" s="62" customFormat="1" ht="13.8" hidden="1" x14ac:dyDescent="0.25"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</row>
    <row r="364" spans="2:29" s="62" customFormat="1" ht="13.8" hidden="1" x14ac:dyDescent="0.25"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</row>
    <row r="365" spans="2:29" s="62" customFormat="1" ht="13.8" hidden="1" x14ac:dyDescent="0.25"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</row>
    <row r="366" spans="2:29" s="62" customFormat="1" ht="13.8" hidden="1" x14ac:dyDescent="0.25"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</row>
    <row r="367" spans="2:29" s="62" customFormat="1" ht="13.8" hidden="1" x14ac:dyDescent="0.25"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</row>
    <row r="368" spans="2:29" s="62" customFormat="1" ht="13.8" hidden="1" x14ac:dyDescent="0.25"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</row>
    <row r="369" spans="2:29" s="62" customFormat="1" ht="13.8" hidden="1" x14ac:dyDescent="0.25"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</row>
    <row r="370" spans="2:29" s="62" customFormat="1" ht="13.8" hidden="1" x14ac:dyDescent="0.25"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</row>
    <row r="371" spans="2:29" s="62" customFormat="1" ht="13.8" hidden="1" x14ac:dyDescent="0.25"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</row>
    <row r="372" spans="2:29" s="62" customFormat="1" ht="13.8" hidden="1" x14ac:dyDescent="0.25"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</row>
    <row r="373" spans="2:29" s="62" customFormat="1" ht="13.8" hidden="1" x14ac:dyDescent="0.25"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</row>
    <row r="374" spans="2:29" s="62" customFormat="1" ht="13.8" hidden="1" x14ac:dyDescent="0.25"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</row>
    <row r="375" spans="2:29" s="62" customFormat="1" ht="13.8" hidden="1" x14ac:dyDescent="0.25"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</row>
    <row r="376" spans="2:29" s="62" customFormat="1" ht="13.8" hidden="1" x14ac:dyDescent="0.25"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</row>
    <row r="377" spans="2:29" s="62" customFormat="1" ht="13.8" hidden="1" x14ac:dyDescent="0.25"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</row>
    <row r="378" spans="2:29" s="62" customFormat="1" ht="13.8" hidden="1" x14ac:dyDescent="0.25"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</row>
    <row r="379" spans="2:29" s="62" customFormat="1" ht="13.8" hidden="1" x14ac:dyDescent="0.25"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</row>
    <row r="380" spans="2:29" s="62" customFormat="1" ht="13.8" hidden="1" x14ac:dyDescent="0.25"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</row>
    <row r="381" spans="2:29" s="62" customFormat="1" ht="13.8" hidden="1" x14ac:dyDescent="0.25"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</row>
    <row r="382" spans="2:29" s="62" customFormat="1" ht="13.8" hidden="1" x14ac:dyDescent="0.25"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</row>
    <row r="383" spans="2:29" s="62" customFormat="1" ht="13.8" hidden="1" x14ac:dyDescent="0.25"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</row>
    <row r="384" spans="2:29" s="62" customFormat="1" ht="13.8" hidden="1" x14ac:dyDescent="0.25"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</row>
    <row r="385" spans="2:29" s="62" customFormat="1" ht="13.8" hidden="1" x14ac:dyDescent="0.25"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</row>
    <row r="386" spans="2:29" s="62" customFormat="1" ht="13.8" hidden="1" x14ac:dyDescent="0.25"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</row>
    <row r="387" spans="2:29" s="62" customFormat="1" ht="13.8" hidden="1" x14ac:dyDescent="0.25"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</row>
    <row r="388" spans="2:29" s="62" customFormat="1" ht="13.8" hidden="1" x14ac:dyDescent="0.25"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</row>
    <row r="389" spans="2:29" s="62" customFormat="1" ht="13.8" hidden="1" x14ac:dyDescent="0.25"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</row>
    <row r="390" spans="2:29" s="62" customFormat="1" ht="13.8" hidden="1" x14ac:dyDescent="0.25"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</row>
    <row r="391" spans="2:29" s="62" customFormat="1" ht="13.8" hidden="1" x14ac:dyDescent="0.25"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</row>
    <row r="392" spans="2:29" s="62" customFormat="1" ht="13.8" hidden="1" x14ac:dyDescent="0.25"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</row>
    <row r="393" spans="2:29" s="62" customFormat="1" ht="13.8" hidden="1" x14ac:dyDescent="0.25"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</row>
    <row r="394" spans="2:29" s="62" customFormat="1" ht="13.8" hidden="1" x14ac:dyDescent="0.25"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</row>
    <row r="395" spans="2:29" s="62" customFormat="1" ht="13.8" hidden="1" x14ac:dyDescent="0.25"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</row>
    <row r="396" spans="2:29" s="62" customFormat="1" ht="13.8" hidden="1" x14ac:dyDescent="0.25"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</row>
    <row r="397" spans="2:29" s="62" customFormat="1" ht="13.8" hidden="1" x14ac:dyDescent="0.25"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</row>
    <row r="398" spans="2:29" s="62" customFormat="1" ht="13.8" hidden="1" x14ac:dyDescent="0.25"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</row>
    <row r="399" spans="2:29" s="62" customFormat="1" ht="13.8" hidden="1" x14ac:dyDescent="0.25"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</row>
    <row r="400" spans="2:29" s="62" customFormat="1" ht="13.8" hidden="1" x14ac:dyDescent="0.25"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</row>
    <row r="401" spans="2:29" s="62" customFormat="1" ht="13.8" hidden="1" x14ac:dyDescent="0.25"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</row>
    <row r="402" spans="2:29" s="62" customFormat="1" ht="13.8" hidden="1" x14ac:dyDescent="0.25"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</row>
    <row r="403" spans="2:29" s="62" customFormat="1" ht="13.8" hidden="1" x14ac:dyDescent="0.25"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</row>
    <row r="404" spans="2:29" s="62" customFormat="1" ht="13.8" hidden="1" x14ac:dyDescent="0.25"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</row>
    <row r="405" spans="2:29" s="62" customFormat="1" ht="13.8" hidden="1" x14ac:dyDescent="0.25"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</row>
    <row r="406" spans="2:29" s="62" customFormat="1" ht="13.8" hidden="1" x14ac:dyDescent="0.25"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</row>
    <row r="407" spans="2:29" s="62" customFormat="1" ht="13.8" hidden="1" x14ac:dyDescent="0.25"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</row>
    <row r="408" spans="2:29" s="62" customFormat="1" ht="13.8" hidden="1" x14ac:dyDescent="0.25"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</row>
    <row r="409" spans="2:29" s="62" customFormat="1" ht="13.8" hidden="1" x14ac:dyDescent="0.25"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</row>
    <row r="410" spans="2:29" s="62" customFormat="1" ht="13.8" hidden="1" x14ac:dyDescent="0.25"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</row>
    <row r="411" spans="2:29" s="62" customFormat="1" ht="13.8" hidden="1" x14ac:dyDescent="0.25"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</row>
    <row r="412" spans="2:29" s="62" customFormat="1" ht="13.8" hidden="1" x14ac:dyDescent="0.25"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</row>
    <row r="413" spans="2:29" s="62" customFormat="1" ht="13.8" hidden="1" x14ac:dyDescent="0.25"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</row>
    <row r="414" spans="2:29" s="62" customFormat="1" ht="13.8" hidden="1" x14ac:dyDescent="0.25"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</row>
    <row r="415" spans="2:29" s="62" customFormat="1" ht="13.8" hidden="1" x14ac:dyDescent="0.25"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</row>
    <row r="416" spans="2:29" s="62" customFormat="1" ht="13.8" hidden="1" x14ac:dyDescent="0.25"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</row>
    <row r="417" spans="2:29" s="62" customFormat="1" ht="13.8" hidden="1" x14ac:dyDescent="0.25"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</row>
    <row r="418" spans="2:29" s="62" customFormat="1" ht="13.8" hidden="1" x14ac:dyDescent="0.25"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</row>
    <row r="419" spans="2:29" s="62" customFormat="1" ht="13.8" hidden="1" x14ac:dyDescent="0.25"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</row>
    <row r="420" spans="2:29" s="62" customFormat="1" ht="13.8" hidden="1" x14ac:dyDescent="0.25"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</row>
    <row r="421" spans="2:29" s="62" customFormat="1" ht="13.8" hidden="1" x14ac:dyDescent="0.25"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</row>
    <row r="422" spans="2:29" s="62" customFormat="1" ht="13.8" hidden="1" x14ac:dyDescent="0.25"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</row>
    <row r="423" spans="2:29" s="62" customFormat="1" ht="13.8" hidden="1" x14ac:dyDescent="0.25"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</row>
    <row r="424" spans="2:29" s="62" customFormat="1" ht="13.8" hidden="1" x14ac:dyDescent="0.25"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</row>
    <row r="425" spans="2:29" s="62" customFormat="1" ht="13.8" hidden="1" x14ac:dyDescent="0.25"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</row>
    <row r="426" spans="2:29" s="62" customFormat="1" ht="13.8" hidden="1" x14ac:dyDescent="0.25"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</row>
    <row r="427" spans="2:29" s="62" customFormat="1" ht="13.8" hidden="1" x14ac:dyDescent="0.25"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</row>
    <row r="428" spans="2:29" s="62" customFormat="1" ht="13.8" hidden="1" x14ac:dyDescent="0.25"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</row>
    <row r="429" spans="2:29" s="62" customFormat="1" ht="13.8" hidden="1" x14ac:dyDescent="0.25"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</row>
    <row r="430" spans="2:29" s="62" customFormat="1" ht="13.8" hidden="1" x14ac:dyDescent="0.25"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</row>
    <row r="431" spans="2:29" s="62" customFormat="1" ht="13.8" hidden="1" x14ac:dyDescent="0.25"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</row>
    <row r="432" spans="2:29" s="62" customFormat="1" ht="13.8" hidden="1" x14ac:dyDescent="0.25"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</row>
    <row r="433" spans="2:29" s="62" customFormat="1" ht="13.8" hidden="1" x14ac:dyDescent="0.25"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</row>
    <row r="434" spans="2:29" s="62" customFormat="1" ht="13.8" hidden="1" x14ac:dyDescent="0.25"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</row>
    <row r="435" spans="2:29" s="62" customFormat="1" ht="13.8" hidden="1" x14ac:dyDescent="0.25"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</row>
    <row r="436" spans="2:29" s="62" customFormat="1" ht="13.8" hidden="1" x14ac:dyDescent="0.25"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</row>
    <row r="437" spans="2:29" s="62" customFormat="1" ht="13.8" hidden="1" x14ac:dyDescent="0.25"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</row>
    <row r="438" spans="2:29" s="62" customFormat="1" ht="13.8" hidden="1" x14ac:dyDescent="0.25"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</row>
    <row r="439" spans="2:29" s="62" customFormat="1" ht="13.8" hidden="1" x14ac:dyDescent="0.25"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</row>
    <row r="440" spans="2:29" s="62" customFormat="1" ht="13.8" hidden="1" x14ac:dyDescent="0.25"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</row>
    <row r="441" spans="2:29" s="62" customFormat="1" ht="13.8" hidden="1" x14ac:dyDescent="0.25"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</row>
    <row r="442" spans="2:29" s="62" customFormat="1" ht="13.8" hidden="1" x14ac:dyDescent="0.25"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</row>
    <row r="443" spans="2:29" s="62" customFormat="1" ht="13.8" hidden="1" x14ac:dyDescent="0.25"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</row>
    <row r="444" spans="2:29" s="62" customFormat="1" ht="13.8" hidden="1" x14ac:dyDescent="0.25"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</row>
    <row r="445" spans="2:29" s="62" customFormat="1" ht="13.8" hidden="1" x14ac:dyDescent="0.25"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</row>
    <row r="446" spans="2:29" s="62" customFormat="1" ht="13.8" hidden="1" x14ac:dyDescent="0.25"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</row>
    <row r="447" spans="2:29" s="62" customFormat="1" ht="13.8" hidden="1" x14ac:dyDescent="0.25"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</row>
    <row r="448" spans="2:29" s="62" customFormat="1" ht="13.8" hidden="1" x14ac:dyDescent="0.25"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</row>
    <row r="449" spans="2:29" s="62" customFormat="1" ht="13.8" hidden="1" x14ac:dyDescent="0.25"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</row>
    <row r="450" spans="2:29" s="62" customFormat="1" ht="13.8" hidden="1" x14ac:dyDescent="0.25"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</row>
    <row r="451" spans="2:29" s="62" customFormat="1" ht="13.8" hidden="1" x14ac:dyDescent="0.25"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</row>
    <row r="452" spans="2:29" s="62" customFormat="1" ht="13.8" hidden="1" x14ac:dyDescent="0.25"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</row>
    <row r="453" spans="2:29" s="62" customFormat="1" ht="13.8" hidden="1" x14ac:dyDescent="0.25"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</row>
    <row r="454" spans="2:29" s="62" customFormat="1" ht="13.8" hidden="1" x14ac:dyDescent="0.25"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</row>
    <row r="455" spans="2:29" s="62" customFormat="1" ht="13.8" hidden="1" x14ac:dyDescent="0.25"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</row>
    <row r="456" spans="2:29" s="62" customFormat="1" ht="13.8" hidden="1" x14ac:dyDescent="0.25"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</row>
    <row r="457" spans="2:29" s="62" customFormat="1" ht="13.8" hidden="1" x14ac:dyDescent="0.25"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</row>
    <row r="458" spans="2:29" s="62" customFormat="1" ht="13.8" hidden="1" x14ac:dyDescent="0.25"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</row>
    <row r="459" spans="2:29" s="62" customFormat="1" ht="13.8" hidden="1" x14ac:dyDescent="0.25"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</row>
    <row r="460" spans="2:29" s="62" customFormat="1" ht="13.8" hidden="1" x14ac:dyDescent="0.25"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</row>
    <row r="461" spans="2:29" s="62" customFormat="1" ht="13.8" hidden="1" x14ac:dyDescent="0.25"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</row>
    <row r="462" spans="2:29" s="62" customFormat="1" ht="13.8" hidden="1" x14ac:dyDescent="0.25"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</row>
    <row r="463" spans="2:29" s="62" customFormat="1" ht="13.8" hidden="1" x14ac:dyDescent="0.25"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</row>
    <row r="464" spans="2:29" s="62" customFormat="1" ht="13.8" hidden="1" x14ac:dyDescent="0.25"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</row>
    <row r="465" spans="2:29" s="62" customFormat="1" ht="13.8" hidden="1" x14ac:dyDescent="0.25"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</row>
    <row r="466" spans="2:29" s="62" customFormat="1" ht="13.8" hidden="1" x14ac:dyDescent="0.25"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</row>
    <row r="467" spans="2:29" s="62" customFormat="1" ht="13.8" hidden="1" x14ac:dyDescent="0.25"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</row>
    <row r="468" spans="2:29" s="62" customFormat="1" ht="13.8" hidden="1" x14ac:dyDescent="0.25"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</row>
    <row r="469" spans="2:29" s="62" customFormat="1" ht="13.8" hidden="1" x14ac:dyDescent="0.25"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</row>
    <row r="470" spans="2:29" s="62" customFormat="1" ht="13.8" hidden="1" x14ac:dyDescent="0.25"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</row>
    <row r="471" spans="2:29" s="62" customFormat="1" ht="13.8" hidden="1" x14ac:dyDescent="0.25"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</row>
    <row r="472" spans="2:29" s="62" customFormat="1" ht="13.8" hidden="1" x14ac:dyDescent="0.25"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</row>
    <row r="473" spans="2:29" s="62" customFormat="1" ht="13.8" hidden="1" x14ac:dyDescent="0.25"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</row>
    <row r="474" spans="2:29" s="62" customFormat="1" ht="13.8" hidden="1" x14ac:dyDescent="0.25"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</row>
    <row r="475" spans="2:29" s="62" customFormat="1" ht="13.8" hidden="1" x14ac:dyDescent="0.25"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</row>
    <row r="476" spans="2:29" s="62" customFormat="1" ht="13.8" hidden="1" x14ac:dyDescent="0.25"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</row>
    <row r="477" spans="2:29" s="62" customFormat="1" ht="13.8" hidden="1" x14ac:dyDescent="0.25"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</row>
    <row r="478" spans="2:29" s="62" customFormat="1" ht="13.8" hidden="1" x14ac:dyDescent="0.25"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</row>
    <row r="479" spans="2:29" s="62" customFormat="1" ht="13.8" hidden="1" x14ac:dyDescent="0.25"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</row>
    <row r="480" spans="2:29" s="62" customFormat="1" ht="13.8" hidden="1" x14ac:dyDescent="0.25"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</row>
    <row r="481" spans="2:29" s="62" customFormat="1" ht="13.8" hidden="1" x14ac:dyDescent="0.25"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</row>
    <row r="482" spans="2:29" s="62" customFormat="1" ht="13.8" hidden="1" x14ac:dyDescent="0.25"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</row>
    <row r="483" spans="2:29" s="62" customFormat="1" ht="13.8" hidden="1" x14ac:dyDescent="0.25"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</row>
    <row r="484" spans="2:29" s="62" customFormat="1" ht="13.8" hidden="1" x14ac:dyDescent="0.25"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</row>
    <row r="485" spans="2:29" s="62" customFormat="1" ht="13.8" hidden="1" x14ac:dyDescent="0.25"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</row>
    <row r="486" spans="2:29" s="62" customFormat="1" ht="13.8" hidden="1" x14ac:dyDescent="0.25"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</row>
    <row r="487" spans="2:29" s="62" customFormat="1" ht="13.8" hidden="1" x14ac:dyDescent="0.25"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</row>
    <row r="488" spans="2:29" s="62" customFormat="1" ht="13.8" hidden="1" x14ac:dyDescent="0.25"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</row>
    <row r="489" spans="2:29" s="62" customFormat="1" ht="13.8" hidden="1" x14ac:dyDescent="0.25"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</row>
    <row r="490" spans="2:29" s="62" customFormat="1" ht="13.8" hidden="1" x14ac:dyDescent="0.25"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</row>
    <row r="491" spans="2:29" s="62" customFormat="1" ht="13.8" hidden="1" x14ac:dyDescent="0.25"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</row>
    <row r="492" spans="2:29" s="62" customFormat="1" ht="13.8" hidden="1" x14ac:dyDescent="0.25"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</row>
    <row r="493" spans="2:29" s="62" customFormat="1" ht="13.8" hidden="1" x14ac:dyDescent="0.25"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</row>
    <row r="494" spans="2:29" s="62" customFormat="1" ht="13.8" hidden="1" x14ac:dyDescent="0.25"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</row>
    <row r="495" spans="2:29" s="62" customFormat="1" ht="13.8" hidden="1" x14ac:dyDescent="0.25"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</row>
    <row r="496" spans="2:29" s="62" customFormat="1" ht="13.8" hidden="1" x14ac:dyDescent="0.25"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</row>
    <row r="497" spans="2:29" s="62" customFormat="1" ht="13.8" hidden="1" x14ac:dyDescent="0.25"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</row>
    <row r="498" spans="2:29" s="62" customFormat="1" ht="13.8" hidden="1" x14ac:dyDescent="0.25"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</row>
    <row r="499" spans="2:29" s="62" customFormat="1" ht="13.8" hidden="1" x14ac:dyDescent="0.25"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</row>
    <row r="500" spans="2:29" s="62" customFormat="1" ht="13.8" hidden="1" x14ac:dyDescent="0.25"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</row>
    <row r="501" spans="2:29" s="62" customFormat="1" ht="13.8" hidden="1" x14ac:dyDescent="0.25"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</row>
    <row r="502" spans="2:29" s="62" customFormat="1" ht="13.8" hidden="1" x14ac:dyDescent="0.25"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</row>
    <row r="503" spans="2:29" s="62" customFormat="1" ht="13.8" hidden="1" x14ac:dyDescent="0.25"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</row>
    <row r="504" spans="2:29" s="62" customFormat="1" ht="13.8" hidden="1" x14ac:dyDescent="0.25"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</row>
    <row r="505" spans="2:29" s="62" customFormat="1" ht="13.8" hidden="1" x14ac:dyDescent="0.25"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</row>
    <row r="506" spans="2:29" s="62" customFormat="1" ht="13.8" hidden="1" x14ac:dyDescent="0.25"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</row>
    <row r="507" spans="2:29" s="62" customFormat="1" ht="13.8" hidden="1" x14ac:dyDescent="0.25"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</row>
    <row r="508" spans="2:29" s="62" customFormat="1" ht="13.8" hidden="1" x14ac:dyDescent="0.25"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</row>
    <row r="509" spans="2:29" s="62" customFormat="1" ht="13.8" hidden="1" x14ac:dyDescent="0.25"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</row>
    <row r="510" spans="2:29" s="62" customFormat="1" ht="13.8" hidden="1" x14ac:dyDescent="0.25"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</row>
    <row r="511" spans="2:29" s="62" customFormat="1" ht="13.8" hidden="1" x14ac:dyDescent="0.25"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</row>
    <row r="512" spans="2:29" s="62" customFormat="1" ht="13.8" hidden="1" x14ac:dyDescent="0.25"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</row>
    <row r="513" spans="2:29" s="62" customFormat="1" ht="13.8" hidden="1" x14ac:dyDescent="0.25"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</row>
    <row r="514" spans="2:29" s="62" customFormat="1" ht="13.8" hidden="1" x14ac:dyDescent="0.25"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</row>
    <row r="515" spans="2:29" s="62" customFormat="1" ht="13.8" hidden="1" x14ac:dyDescent="0.25"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</row>
    <row r="516" spans="2:29" s="62" customFormat="1" ht="13.8" hidden="1" x14ac:dyDescent="0.25"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</row>
    <row r="517" spans="2:29" s="62" customFormat="1" ht="13.8" hidden="1" x14ac:dyDescent="0.25"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</row>
    <row r="518" spans="2:29" s="62" customFormat="1" ht="13.8" hidden="1" x14ac:dyDescent="0.25"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</row>
    <row r="519" spans="2:29" s="62" customFormat="1" ht="13.8" hidden="1" x14ac:dyDescent="0.25"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</row>
    <row r="520" spans="2:29" s="62" customFormat="1" ht="13.8" hidden="1" x14ac:dyDescent="0.25"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</row>
    <row r="521" spans="2:29" s="62" customFormat="1" ht="13.8" hidden="1" x14ac:dyDescent="0.25"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</row>
    <row r="522" spans="2:29" s="62" customFormat="1" ht="13.8" hidden="1" x14ac:dyDescent="0.25"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</row>
    <row r="523" spans="2:29" s="62" customFormat="1" ht="13.8" hidden="1" x14ac:dyDescent="0.25"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</row>
    <row r="524" spans="2:29" s="62" customFormat="1" ht="13.8" hidden="1" x14ac:dyDescent="0.25"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</row>
    <row r="525" spans="2:29" s="62" customFormat="1" ht="13.8" hidden="1" x14ac:dyDescent="0.25"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</row>
    <row r="526" spans="2:29" s="62" customFormat="1" ht="13.8" hidden="1" x14ac:dyDescent="0.25"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</row>
    <row r="527" spans="2:29" s="62" customFormat="1" ht="13.8" hidden="1" x14ac:dyDescent="0.25"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</row>
    <row r="528" spans="2:29" s="62" customFormat="1" ht="13.8" hidden="1" x14ac:dyDescent="0.25"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</row>
    <row r="529" spans="2:29" s="62" customFormat="1" ht="13.8" hidden="1" x14ac:dyDescent="0.25"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</row>
    <row r="530" spans="2:29" s="62" customFormat="1" ht="13.8" hidden="1" x14ac:dyDescent="0.25"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</row>
    <row r="531" spans="2:29" s="62" customFormat="1" ht="13.8" hidden="1" x14ac:dyDescent="0.25"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</row>
    <row r="532" spans="2:29" s="62" customFormat="1" ht="13.8" hidden="1" x14ac:dyDescent="0.25"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</row>
    <row r="533" spans="2:29" s="62" customFormat="1" ht="13.8" hidden="1" x14ac:dyDescent="0.25"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</row>
    <row r="534" spans="2:29" s="62" customFormat="1" ht="13.8" hidden="1" x14ac:dyDescent="0.25"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</row>
    <row r="535" spans="2:29" s="62" customFormat="1" ht="13.8" hidden="1" x14ac:dyDescent="0.25"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</row>
    <row r="536" spans="2:29" s="62" customFormat="1" ht="13.8" hidden="1" x14ac:dyDescent="0.25"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</row>
    <row r="537" spans="2:29" s="62" customFormat="1" ht="13.8" hidden="1" x14ac:dyDescent="0.25"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</row>
    <row r="538" spans="2:29" s="62" customFormat="1" ht="13.8" hidden="1" x14ac:dyDescent="0.25"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</row>
    <row r="539" spans="2:29" s="62" customFormat="1" ht="13.8" hidden="1" x14ac:dyDescent="0.25"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</row>
    <row r="540" spans="2:29" s="62" customFormat="1" ht="13.8" hidden="1" x14ac:dyDescent="0.25"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</row>
    <row r="541" spans="2:29" s="62" customFormat="1" ht="13.8" hidden="1" x14ac:dyDescent="0.25"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</row>
    <row r="542" spans="2:29" s="62" customFormat="1" ht="13.8" hidden="1" x14ac:dyDescent="0.25"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</row>
    <row r="543" spans="2:29" s="62" customFormat="1" ht="13.8" hidden="1" x14ac:dyDescent="0.25"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</row>
    <row r="544" spans="2:29" s="62" customFormat="1" ht="13.8" hidden="1" x14ac:dyDescent="0.25"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</row>
    <row r="545" spans="2:29" s="62" customFormat="1" ht="13.8" hidden="1" x14ac:dyDescent="0.25"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</row>
    <row r="546" spans="2:29" s="62" customFormat="1" ht="13.8" hidden="1" x14ac:dyDescent="0.25"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</row>
    <row r="547" spans="2:29" s="62" customFormat="1" ht="13.8" hidden="1" x14ac:dyDescent="0.25"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</row>
    <row r="548" spans="2:29" s="62" customFormat="1" ht="13.8" hidden="1" x14ac:dyDescent="0.25"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</row>
    <row r="549" spans="2:29" s="62" customFormat="1" ht="13.8" hidden="1" x14ac:dyDescent="0.25"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</row>
    <row r="550" spans="2:29" s="62" customFormat="1" ht="13.8" hidden="1" x14ac:dyDescent="0.25"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</row>
    <row r="551" spans="2:29" s="62" customFormat="1" ht="13.8" hidden="1" x14ac:dyDescent="0.25"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</row>
    <row r="552" spans="2:29" s="62" customFormat="1" ht="13.8" hidden="1" x14ac:dyDescent="0.25"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</row>
    <row r="553" spans="2:29" s="62" customFormat="1" ht="13.8" hidden="1" x14ac:dyDescent="0.25"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</row>
    <row r="554" spans="2:29" s="62" customFormat="1" ht="13.8" hidden="1" x14ac:dyDescent="0.25"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</row>
    <row r="555" spans="2:29" s="62" customFormat="1" ht="13.8" hidden="1" x14ac:dyDescent="0.25"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</row>
    <row r="556" spans="2:29" s="62" customFormat="1" ht="13.8" hidden="1" x14ac:dyDescent="0.25"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</row>
    <row r="557" spans="2:29" s="62" customFormat="1" ht="13.8" hidden="1" x14ac:dyDescent="0.25"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</row>
    <row r="558" spans="2:29" s="62" customFormat="1" ht="13.8" hidden="1" x14ac:dyDescent="0.25"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</row>
    <row r="559" spans="2:29" s="62" customFormat="1" ht="13.8" hidden="1" x14ac:dyDescent="0.25"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</row>
    <row r="560" spans="2:29" s="62" customFormat="1" ht="13.8" hidden="1" x14ac:dyDescent="0.25"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</row>
    <row r="561" spans="2:29" s="62" customFormat="1" ht="13.8" hidden="1" x14ac:dyDescent="0.25"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</row>
    <row r="562" spans="2:29" s="62" customFormat="1" ht="13.8" hidden="1" x14ac:dyDescent="0.25"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</row>
    <row r="563" spans="2:29" s="62" customFormat="1" ht="13.8" hidden="1" x14ac:dyDescent="0.25"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</row>
    <row r="564" spans="2:29" s="62" customFormat="1" ht="13.8" hidden="1" x14ac:dyDescent="0.25"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</row>
    <row r="565" spans="2:29" s="62" customFormat="1" ht="13.8" hidden="1" x14ac:dyDescent="0.25"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</row>
    <row r="566" spans="2:29" s="62" customFormat="1" ht="13.8" hidden="1" x14ac:dyDescent="0.25"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</row>
    <row r="567" spans="2:29" s="62" customFormat="1" ht="13.8" hidden="1" x14ac:dyDescent="0.25"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</row>
    <row r="568" spans="2:29" s="62" customFormat="1" ht="13.8" hidden="1" x14ac:dyDescent="0.25"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</row>
    <row r="569" spans="2:29" s="62" customFormat="1" ht="13.8" hidden="1" x14ac:dyDescent="0.25"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</row>
    <row r="570" spans="2:29" s="62" customFormat="1" ht="13.8" hidden="1" x14ac:dyDescent="0.25"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</row>
    <row r="571" spans="2:29" s="62" customFormat="1" ht="13.8" hidden="1" x14ac:dyDescent="0.25"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</row>
    <row r="572" spans="2:29" s="62" customFormat="1" ht="13.8" hidden="1" x14ac:dyDescent="0.25"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</row>
    <row r="573" spans="2:29" s="62" customFormat="1" ht="13.8" hidden="1" x14ac:dyDescent="0.25"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</row>
    <row r="574" spans="2:29" s="62" customFormat="1" ht="13.8" hidden="1" x14ac:dyDescent="0.25"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</row>
    <row r="575" spans="2:29" s="62" customFormat="1" ht="13.8" hidden="1" x14ac:dyDescent="0.25"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</row>
    <row r="576" spans="2:29" s="62" customFormat="1" ht="13.8" hidden="1" x14ac:dyDescent="0.25"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</row>
    <row r="577" spans="2:29" s="62" customFormat="1" ht="13.8" hidden="1" x14ac:dyDescent="0.25"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</row>
    <row r="578" spans="2:29" s="62" customFormat="1" ht="13.8" hidden="1" x14ac:dyDescent="0.25"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</row>
    <row r="579" spans="2:29" s="62" customFormat="1" ht="13.8" hidden="1" x14ac:dyDescent="0.25"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</row>
    <row r="580" spans="2:29" s="62" customFormat="1" ht="13.8" hidden="1" x14ac:dyDescent="0.25"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</row>
    <row r="581" spans="2:29" s="62" customFormat="1" ht="13.8" hidden="1" x14ac:dyDescent="0.25"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</row>
    <row r="582" spans="2:29" s="62" customFormat="1" ht="13.8" hidden="1" x14ac:dyDescent="0.25"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</row>
    <row r="583" spans="2:29" s="62" customFormat="1" ht="13.8" hidden="1" x14ac:dyDescent="0.25"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</row>
    <row r="584" spans="2:29" s="62" customFormat="1" ht="13.8" hidden="1" x14ac:dyDescent="0.25"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</row>
    <row r="585" spans="2:29" s="62" customFormat="1" ht="13.8" hidden="1" x14ac:dyDescent="0.25"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</row>
    <row r="586" spans="2:29" s="62" customFormat="1" ht="13.8" hidden="1" x14ac:dyDescent="0.25"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</row>
    <row r="587" spans="2:29" s="62" customFormat="1" ht="13.8" hidden="1" x14ac:dyDescent="0.25"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</row>
    <row r="588" spans="2:29" s="62" customFormat="1" ht="13.8" hidden="1" x14ac:dyDescent="0.25"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</row>
    <row r="589" spans="2:29" s="62" customFormat="1" ht="13.8" hidden="1" x14ac:dyDescent="0.25"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</row>
    <row r="590" spans="2:29" s="62" customFormat="1" ht="13.8" hidden="1" x14ac:dyDescent="0.25"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</row>
    <row r="591" spans="2:29" s="62" customFormat="1" ht="13.8" hidden="1" x14ac:dyDescent="0.25"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</row>
    <row r="592" spans="2:29" s="62" customFormat="1" ht="13.8" hidden="1" x14ac:dyDescent="0.25"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</row>
    <row r="593" spans="2:29" s="62" customFormat="1" ht="13.8" hidden="1" x14ac:dyDescent="0.25"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</row>
    <row r="594" spans="2:29" s="62" customFormat="1" ht="13.8" hidden="1" x14ac:dyDescent="0.25"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</row>
    <row r="595" spans="2:29" s="62" customFormat="1" ht="13.8" hidden="1" x14ac:dyDescent="0.25"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</row>
    <row r="596" spans="2:29" s="62" customFormat="1" ht="13.8" hidden="1" x14ac:dyDescent="0.25"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</row>
    <row r="597" spans="2:29" s="62" customFormat="1" ht="13.8" hidden="1" x14ac:dyDescent="0.25"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</row>
    <row r="598" spans="2:29" s="62" customFormat="1" ht="13.8" hidden="1" x14ac:dyDescent="0.25"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</row>
    <row r="599" spans="2:29" s="62" customFormat="1" ht="13.8" hidden="1" x14ac:dyDescent="0.25"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</row>
    <row r="600" spans="2:29" s="62" customFormat="1" ht="13.8" hidden="1" x14ac:dyDescent="0.25"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</row>
    <row r="601" spans="2:29" s="62" customFormat="1" ht="13.8" hidden="1" x14ac:dyDescent="0.25"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</row>
    <row r="602" spans="2:29" s="62" customFormat="1" ht="13.8" hidden="1" x14ac:dyDescent="0.25"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</row>
    <row r="603" spans="2:29" s="62" customFormat="1" ht="13.8" hidden="1" x14ac:dyDescent="0.25"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</row>
    <row r="604" spans="2:29" s="62" customFormat="1" ht="13.8" hidden="1" x14ac:dyDescent="0.25"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</row>
    <row r="605" spans="2:29" s="62" customFormat="1" ht="13.8" hidden="1" x14ac:dyDescent="0.25"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</row>
    <row r="606" spans="2:29" s="62" customFormat="1" ht="13.8" hidden="1" x14ac:dyDescent="0.25"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</row>
    <row r="607" spans="2:29" s="62" customFormat="1" ht="13.8" hidden="1" x14ac:dyDescent="0.25"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</row>
    <row r="608" spans="2:29" s="62" customFormat="1" ht="13.8" hidden="1" x14ac:dyDescent="0.25"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</row>
    <row r="609" spans="2:29" s="62" customFormat="1" ht="13.8" hidden="1" x14ac:dyDescent="0.25"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</row>
    <row r="610" spans="2:29" s="62" customFormat="1" ht="13.8" hidden="1" x14ac:dyDescent="0.25"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</row>
    <row r="611" spans="2:29" s="62" customFormat="1" ht="13.8" hidden="1" x14ac:dyDescent="0.25"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</row>
    <row r="612" spans="2:29" s="62" customFormat="1" ht="13.8" hidden="1" x14ac:dyDescent="0.25"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</row>
    <row r="613" spans="2:29" s="62" customFormat="1" ht="13.8" hidden="1" x14ac:dyDescent="0.25"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</row>
    <row r="614" spans="2:29" s="62" customFormat="1" ht="13.8" hidden="1" x14ac:dyDescent="0.25"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</row>
    <row r="615" spans="2:29" s="62" customFormat="1" ht="13.8" hidden="1" x14ac:dyDescent="0.25"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</row>
    <row r="616" spans="2:29" s="62" customFormat="1" ht="13.8" hidden="1" x14ac:dyDescent="0.25"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</row>
    <row r="617" spans="2:29" s="62" customFormat="1" ht="13.8" hidden="1" x14ac:dyDescent="0.25"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</row>
    <row r="618" spans="2:29" s="62" customFormat="1" ht="13.8" hidden="1" x14ac:dyDescent="0.25"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</row>
    <row r="619" spans="2:29" s="62" customFormat="1" ht="13.8" hidden="1" x14ac:dyDescent="0.25"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</row>
    <row r="620" spans="2:29" s="62" customFormat="1" ht="13.8" hidden="1" x14ac:dyDescent="0.25"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</row>
    <row r="621" spans="2:29" s="62" customFormat="1" ht="13.8" hidden="1" x14ac:dyDescent="0.25"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</row>
    <row r="622" spans="2:29" s="62" customFormat="1" ht="13.8" hidden="1" x14ac:dyDescent="0.25"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</row>
    <row r="623" spans="2:29" s="62" customFormat="1" ht="13.8" hidden="1" x14ac:dyDescent="0.25"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</row>
    <row r="624" spans="2:29" s="62" customFormat="1" ht="13.8" hidden="1" x14ac:dyDescent="0.25"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</row>
    <row r="625" spans="2:29" s="62" customFormat="1" ht="13.8" hidden="1" x14ac:dyDescent="0.25"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</row>
    <row r="626" spans="2:29" s="62" customFormat="1" ht="13.8" hidden="1" x14ac:dyDescent="0.25"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</row>
    <row r="627" spans="2:29" s="62" customFormat="1" ht="13.8" hidden="1" x14ac:dyDescent="0.25"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</row>
    <row r="628" spans="2:29" s="62" customFormat="1" ht="13.8" hidden="1" x14ac:dyDescent="0.25"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</row>
    <row r="629" spans="2:29" s="62" customFormat="1" ht="13.8" hidden="1" x14ac:dyDescent="0.25"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</row>
    <row r="630" spans="2:29" s="62" customFormat="1" ht="13.8" hidden="1" x14ac:dyDescent="0.25"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</row>
    <row r="631" spans="2:29" s="62" customFormat="1" ht="13.8" hidden="1" x14ac:dyDescent="0.25"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</row>
    <row r="632" spans="2:29" s="62" customFormat="1" ht="13.8" hidden="1" x14ac:dyDescent="0.25"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</row>
    <row r="633" spans="2:29" s="62" customFormat="1" ht="13.8" hidden="1" x14ac:dyDescent="0.25"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</row>
    <row r="634" spans="2:29" s="62" customFormat="1" ht="13.8" hidden="1" x14ac:dyDescent="0.25"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</row>
    <row r="635" spans="2:29" s="62" customFormat="1" ht="13.8" hidden="1" x14ac:dyDescent="0.25"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</row>
    <row r="636" spans="2:29" s="62" customFormat="1" ht="13.8" hidden="1" x14ac:dyDescent="0.25"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</row>
    <row r="637" spans="2:29" s="62" customFormat="1" ht="13.8" hidden="1" x14ac:dyDescent="0.25"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</row>
    <row r="638" spans="2:29" s="62" customFormat="1" ht="13.8" hidden="1" x14ac:dyDescent="0.25"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</row>
    <row r="639" spans="2:29" s="62" customFormat="1" ht="13.8" hidden="1" x14ac:dyDescent="0.25"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</row>
    <row r="640" spans="2:29" s="62" customFormat="1" ht="13.8" hidden="1" x14ac:dyDescent="0.25"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</row>
    <row r="641" spans="2:29" s="62" customFormat="1" ht="13.8" hidden="1" x14ac:dyDescent="0.25"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</row>
    <row r="642" spans="2:29" s="62" customFormat="1" ht="13.8" hidden="1" x14ac:dyDescent="0.25"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</row>
    <row r="643" spans="2:29" s="62" customFormat="1" ht="13.8" hidden="1" x14ac:dyDescent="0.25"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</row>
    <row r="644" spans="2:29" s="62" customFormat="1" ht="13.8" hidden="1" x14ac:dyDescent="0.25"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</row>
    <row r="645" spans="2:29" s="62" customFormat="1" ht="13.8" hidden="1" x14ac:dyDescent="0.25"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</row>
    <row r="646" spans="2:29" s="62" customFormat="1" ht="13.8" hidden="1" x14ac:dyDescent="0.25"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</row>
    <row r="647" spans="2:29" s="62" customFormat="1" ht="13.8" hidden="1" x14ac:dyDescent="0.25"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</row>
    <row r="648" spans="2:29" s="62" customFormat="1" ht="13.8" hidden="1" x14ac:dyDescent="0.25"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</row>
    <row r="649" spans="2:29" s="62" customFormat="1" ht="13.8" hidden="1" x14ac:dyDescent="0.25"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</row>
    <row r="650" spans="2:29" s="62" customFormat="1" ht="13.8" hidden="1" x14ac:dyDescent="0.25"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</row>
    <row r="651" spans="2:29" s="62" customFormat="1" ht="13.8" hidden="1" x14ac:dyDescent="0.25"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</row>
    <row r="652" spans="2:29" s="62" customFormat="1" ht="13.8" hidden="1" x14ac:dyDescent="0.25"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</row>
    <row r="653" spans="2:29" s="62" customFormat="1" ht="13.8" hidden="1" x14ac:dyDescent="0.25"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</row>
    <row r="654" spans="2:29" s="62" customFormat="1" ht="13.8" hidden="1" x14ac:dyDescent="0.25"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</row>
    <row r="655" spans="2:29" s="62" customFormat="1" ht="13.8" hidden="1" x14ac:dyDescent="0.25"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</row>
    <row r="656" spans="2:29" s="62" customFormat="1" ht="13.8" hidden="1" x14ac:dyDescent="0.25"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</row>
    <row r="657" spans="2:29" s="62" customFormat="1" ht="13.8" hidden="1" x14ac:dyDescent="0.25"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</row>
    <row r="658" spans="2:29" s="62" customFormat="1" ht="13.8" hidden="1" x14ac:dyDescent="0.25"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</row>
    <row r="659" spans="2:29" s="62" customFormat="1" ht="13.8" hidden="1" x14ac:dyDescent="0.25"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</row>
    <row r="660" spans="2:29" s="62" customFormat="1" ht="13.8" hidden="1" x14ac:dyDescent="0.25"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</row>
    <row r="661" spans="2:29" s="62" customFormat="1" ht="13.8" hidden="1" x14ac:dyDescent="0.25"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</row>
    <row r="662" spans="2:29" s="62" customFormat="1" ht="13.8" hidden="1" x14ac:dyDescent="0.25"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</row>
    <row r="663" spans="2:29" s="62" customFormat="1" ht="13.8" hidden="1" x14ac:dyDescent="0.25"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</row>
    <row r="664" spans="2:29" s="62" customFormat="1" ht="13.8" hidden="1" x14ac:dyDescent="0.25"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</row>
    <row r="665" spans="2:29" s="62" customFormat="1" ht="13.8" hidden="1" x14ac:dyDescent="0.25"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</row>
    <row r="666" spans="2:29" s="62" customFormat="1" ht="13.8" hidden="1" x14ac:dyDescent="0.25"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</row>
    <row r="667" spans="2:29" s="62" customFormat="1" ht="13.8" hidden="1" x14ac:dyDescent="0.25"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</row>
    <row r="668" spans="2:29" s="62" customFormat="1" ht="13.8" hidden="1" x14ac:dyDescent="0.25"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</row>
    <row r="669" spans="2:29" s="62" customFormat="1" ht="13.8" hidden="1" x14ac:dyDescent="0.25"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</row>
    <row r="670" spans="2:29" s="62" customFormat="1" ht="13.8" hidden="1" x14ac:dyDescent="0.25"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</row>
    <row r="671" spans="2:29" s="62" customFormat="1" ht="13.8" hidden="1" x14ac:dyDescent="0.25"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</row>
    <row r="672" spans="2:29" s="62" customFormat="1" ht="13.8" hidden="1" x14ac:dyDescent="0.25"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</row>
    <row r="673" spans="2:29" s="62" customFormat="1" ht="13.8" hidden="1" x14ac:dyDescent="0.25"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</row>
    <row r="674" spans="2:29" s="62" customFormat="1" ht="13.8" hidden="1" x14ac:dyDescent="0.25"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</row>
    <row r="675" spans="2:29" s="62" customFormat="1" ht="13.8" hidden="1" x14ac:dyDescent="0.25"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</row>
    <row r="676" spans="2:29" s="62" customFormat="1" ht="13.8" hidden="1" x14ac:dyDescent="0.25"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</row>
    <row r="677" spans="2:29" s="62" customFormat="1" ht="13.8" hidden="1" x14ac:dyDescent="0.25"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</row>
    <row r="678" spans="2:29" s="62" customFormat="1" ht="13.8" hidden="1" x14ac:dyDescent="0.25"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</row>
    <row r="679" spans="2:29" s="62" customFormat="1" ht="13.8" hidden="1" x14ac:dyDescent="0.25"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</row>
    <row r="680" spans="2:29" s="62" customFormat="1" ht="13.8" hidden="1" x14ac:dyDescent="0.25"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</row>
    <row r="681" spans="2:29" s="62" customFormat="1" ht="13.8" hidden="1" x14ac:dyDescent="0.25"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</row>
    <row r="682" spans="2:29" s="62" customFormat="1" ht="13.8" hidden="1" x14ac:dyDescent="0.25"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</row>
    <row r="683" spans="2:29" s="62" customFormat="1" ht="13.8" hidden="1" x14ac:dyDescent="0.25"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</row>
    <row r="684" spans="2:29" s="62" customFormat="1" ht="13.8" hidden="1" x14ac:dyDescent="0.25"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</row>
    <row r="685" spans="2:29" s="62" customFormat="1" ht="13.8" hidden="1" x14ac:dyDescent="0.25"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</row>
    <row r="686" spans="2:29" s="62" customFormat="1" ht="13.8" hidden="1" x14ac:dyDescent="0.25"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</row>
    <row r="687" spans="2:29" s="62" customFormat="1" ht="13.8" hidden="1" x14ac:dyDescent="0.25"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</row>
    <row r="688" spans="2:29" s="62" customFormat="1" ht="13.8" hidden="1" x14ac:dyDescent="0.25"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</row>
    <row r="689" spans="2:29" s="62" customFormat="1" ht="13.8" hidden="1" x14ac:dyDescent="0.25"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</row>
    <row r="690" spans="2:29" s="62" customFormat="1" ht="13.8" hidden="1" x14ac:dyDescent="0.25"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</row>
    <row r="691" spans="2:29" s="62" customFormat="1" ht="13.8" hidden="1" x14ac:dyDescent="0.25"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</row>
    <row r="692" spans="2:29" s="62" customFormat="1" ht="13.8" hidden="1" x14ac:dyDescent="0.25"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</row>
    <row r="693" spans="2:29" s="62" customFormat="1" ht="13.8" hidden="1" x14ac:dyDescent="0.25"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</row>
    <row r="694" spans="2:29" s="62" customFormat="1" ht="13.8" hidden="1" x14ac:dyDescent="0.25"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</row>
    <row r="695" spans="2:29" s="62" customFormat="1" ht="13.8" hidden="1" x14ac:dyDescent="0.25"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</row>
    <row r="696" spans="2:29" s="62" customFormat="1" ht="13.8" hidden="1" x14ac:dyDescent="0.25"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</row>
    <row r="697" spans="2:29" s="62" customFormat="1" ht="13.8" hidden="1" x14ac:dyDescent="0.25"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</row>
    <row r="698" spans="2:29" s="62" customFormat="1" ht="13.8" hidden="1" x14ac:dyDescent="0.25"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</row>
    <row r="699" spans="2:29" s="62" customFormat="1" ht="13.8" hidden="1" x14ac:dyDescent="0.25"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</row>
    <row r="700" spans="2:29" s="62" customFormat="1" ht="13.8" hidden="1" x14ac:dyDescent="0.25"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</row>
    <row r="701" spans="2:29" s="62" customFormat="1" ht="13.8" hidden="1" x14ac:dyDescent="0.25"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</row>
    <row r="702" spans="2:29" s="62" customFormat="1" ht="13.8" hidden="1" x14ac:dyDescent="0.25"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</row>
    <row r="703" spans="2:29" s="62" customFormat="1" ht="13.8" hidden="1" x14ac:dyDescent="0.25"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</row>
    <row r="704" spans="2:29" s="62" customFormat="1" ht="13.8" hidden="1" x14ac:dyDescent="0.25"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</row>
    <row r="705" spans="2:29" s="62" customFormat="1" ht="13.8" hidden="1" x14ac:dyDescent="0.25"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</row>
    <row r="706" spans="2:29" s="62" customFormat="1" ht="13.8" hidden="1" x14ac:dyDescent="0.25"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</row>
    <row r="707" spans="2:29" s="62" customFormat="1" ht="13.8" hidden="1" x14ac:dyDescent="0.25"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</row>
    <row r="708" spans="2:29" s="62" customFormat="1" ht="13.8" hidden="1" x14ac:dyDescent="0.25"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</row>
    <row r="709" spans="2:29" s="62" customFormat="1" ht="13.8" hidden="1" x14ac:dyDescent="0.25"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</row>
    <row r="710" spans="2:29" s="62" customFormat="1" ht="13.8" hidden="1" x14ac:dyDescent="0.25"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</row>
    <row r="711" spans="2:29" s="62" customFormat="1" ht="13.8" hidden="1" x14ac:dyDescent="0.25"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</row>
    <row r="712" spans="2:29" s="62" customFormat="1" ht="13.8" hidden="1" x14ac:dyDescent="0.25"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</row>
    <row r="713" spans="2:29" s="62" customFormat="1" ht="13.8" hidden="1" x14ac:dyDescent="0.25"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</row>
    <row r="714" spans="2:29" s="62" customFormat="1" ht="13.8" hidden="1" x14ac:dyDescent="0.25"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</row>
    <row r="715" spans="2:29" s="62" customFormat="1" ht="13.8" hidden="1" x14ac:dyDescent="0.25"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</row>
    <row r="716" spans="2:29" s="62" customFormat="1" ht="13.8" hidden="1" x14ac:dyDescent="0.25"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</row>
    <row r="717" spans="2:29" s="62" customFormat="1" ht="13.8" hidden="1" x14ac:dyDescent="0.25"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</row>
    <row r="718" spans="2:29" s="62" customFormat="1" ht="13.8" hidden="1" x14ac:dyDescent="0.25"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</row>
    <row r="719" spans="2:29" s="62" customFormat="1" ht="13.8" hidden="1" x14ac:dyDescent="0.25"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</row>
    <row r="720" spans="2:29" s="62" customFormat="1" ht="13.8" hidden="1" x14ac:dyDescent="0.25"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</row>
    <row r="721" spans="2:29" s="62" customFormat="1" ht="13.8" hidden="1" x14ac:dyDescent="0.25"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</row>
    <row r="722" spans="2:29" s="62" customFormat="1" ht="13.8" hidden="1" x14ac:dyDescent="0.25"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</row>
    <row r="723" spans="2:29" s="62" customFormat="1" ht="13.8" hidden="1" x14ac:dyDescent="0.25"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</row>
    <row r="724" spans="2:29" s="62" customFormat="1" ht="13.8" hidden="1" x14ac:dyDescent="0.25"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</row>
    <row r="725" spans="2:29" s="62" customFormat="1" ht="13.8" hidden="1" x14ac:dyDescent="0.25"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</row>
    <row r="726" spans="2:29" s="62" customFormat="1" ht="13.8" hidden="1" x14ac:dyDescent="0.25"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</row>
    <row r="727" spans="2:29" s="62" customFormat="1" ht="13.8" hidden="1" x14ac:dyDescent="0.25"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</row>
    <row r="728" spans="2:29" s="62" customFormat="1" ht="13.8" hidden="1" x14ac:dyDescent="0.25"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</row>
    <row r="729" spans="2:29" s="62" customFormat="1" ht="13.8" hidden="1" x14ac:dyDescent="0.25"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</row>
    <row r="730" spans="2:29" s="62" customFormat="1" ht="13.8" hidden="1" x14ac:dyDescent="0.25"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</row>
    <row r="731" spans="2:29" s="62" customFormat="1" ht="13.8" hidden="1" x14ac:dyDescent="0.25"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</row>
    <row r="732" spans="2:29" s="62" customFormat="1" ht="13.8" hidden="1" x14ac:dyDescent="0.25"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</row>
    <row r="733" spans="2:29" s="62" customFormat="1" ht="13.8" hidden="1" x14ac:dyDescent="0.25"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</row>
    <row r="734" spans="2:29" s="62" customFormat="1" ht="13.8" hidden="1" x14ac:dyDescent="0.25"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</row>
    <row r="735" spans="2:29" s="62" customFormat="1" ht="13.8" hidden="1" x14ac:dyDescent="0.25"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</row>
    <row r="736" spans="2:29" s="62" customFormat="1" ht="13.8" hidden="1" x14ac:dyDescent="0.25"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</row>
    <row r="737" spans="2:29" s="62" customFormat="1" ht="13.8" hidden="1" x14ac:dyDescent="0.25"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</row>
    <row r="738" spans="2:29" s="62" customFormat="1" ht="13.8" hidden="1" x14ac:dyDescent="0.25"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</row>
    <row r="739" spans="2:29" s="62" customFormat="1" ht="13.8" hidden="1" x14ac:dyDescent="0.25"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</row>
    <row r="740" spans="2:29" s="62" customFormat="1" ht="13.8" hidden="1" x14ac:dyDescent="0.25"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</row>
    <row r="741" spans="2:29" s="62" customFormat="1" ht="13.8" hidden="1" x14ac:dyDescent="0.25"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</row>
    <row r="742" spans="2:29" s="62" customFormat="1" ht="13.8" hidden="1" x14ac:dyDescent="0.25"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</row>
    <row r="743" spans="2:29" s="62" customFormat="1" ht="13.8" hidden="1" x14ac:dyDescent="0.25"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</row>
    <row r="744" spans="2:29" s="62" customFormat="1" ht="13.8" hidden="1" x14ac:dyDescent="0.25"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</row>
    <row r="745" spans="2:29" s="62" customFormat="1" ht="13.8" hidden="1" x14ac:dyDescent="0.25"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</row>
    <row r="746" spans="2:29" s="62" customFormat="1" ht="13.8" hidden="1" x14ac:dyDescent="0.25"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</row>
    <row r="747" spans="2:29" s="62" customFormat="1" ht="13.8" hidden="1" x14ac:dyDescent="0.25"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</row>
    <row r="748" spans="2:29" s="62" customFormat="1" ht="13.8" hidden="1" x14ac:dyDescent="0.25"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</row>
    <row r="749" spans="2:29" s="62" customFormat="1" ht="13.8" hidden="1" x14ac:dyDescent="0.25"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</row>
    <row r="750" spans="2:29" s="62" customFormat="1" ht="13.8" hidden="1" x14ac:dyDescent="0.25"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</row>
    <row r="751" spans="2:29" s="62" customFormat="1" ht="13.8" hidden="1" x14ac:dyDescent="0.25"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</row>
    <row r="752" spans="2:29" s="62" customFormat="1" ht="13.8" hidden="1" x14ac:dyDescent="0.25"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</row>
    <row r="753" spans="2:29" s="62" customFormat="1" ht="13.8" hidden="1" x14ac:dyDescent="0.25"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</row>
    <row r="754" spans="2:29" s="62" customFormat="1" ht="13.8" hidden="1" x14ac:dyDescent="0.25"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</row>
    <row r="755" spans="2:29" s="62" customFormat="1" ht="13.8" hidden="1" x14ac:dyDescent="0.25"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</row>
    <row r="756" spans="2:29" s="62" customFormat="1" ht="13.8" hidden="1" x14ac:dyDescent="0.25"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</row>
    <row r="757" spans="2:29" s="62" customFormat="1" ht="13.8" hidden="1" x14ac:dyDescent="0.25"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</row>
    <row r="758" spans="2:29" s="62" customFormat="1" ht="13.8" hidden="1" x14ac:dyDescent="0.25"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</row>
    <row r="759" spans="2:29" s="62" customFormat="1" ht="13.8" hidden="1" x14ac:dyDescent="0.25"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</row>
    <row r="760" spans="2:29" s="62" customFormat="1" ht="13.8" hidden="1" x14ac:dyDescent="0.25"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</row>
    <row r="761" spans="2:29" s="62" customFormat="1" ht="13.8" hidden="1" x14ac:dyDescent="0.25"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</row>
    <row r="762" spans="2:29" s="62" customFormat="1" ht="13.8" hidden="1" x14ac:dyDescent="0.25"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</row>
    <row r="763" spans="2:29" s="62" customFormat="1" ht="13.8" hidden="1" x14ac:dyDescent="0.25"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</row>
    <row r="764" spans="2:29" s="62" customFormat="1" ht="13.8" hidden="1" x14ac:dyDescent="0.25"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</row>
    <row r="765" spans="2:29" s="62" customFormat="1" ht="13.8" hidden="1" x14ac:dyDescent="0.25"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</row>
    <row r="766" spans="2:29" s="62" customFormat="1" ht="13.8" hidden="1" x14ac:dyDescent="0.25"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</row>
    <row r="767" spans="2:29" s="62" customFormat="1" ht="13.8" hidden="1" x14ac:dyDescent="0.25"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</row>
    <row r="768" spans="2:29" s="62" customFormat="1" ht="13.8" hidden="1" x14ac:dyDescent="0.25"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</row>
    <row r="769" spans="2:29" s="62" customFormat="1" ht="13.8" hidden="1" x14ac:dyDescent="0.25"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</row>
    <row r="770" spans="2:29" s="62" customFormat="1" ht="13.8" hidden="1" x14ac:dyDescent="0.25"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</row>
    <row r="771" spans="2:29" s="62" customFormat="1" ht="13.8" hidden="1" x14ac:dyDescent="0.25"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</row>
    <row r="772" spans="2:29" s="62" customFormat="1" ht="13.8" hidden="1" x14ac:dyDescent="0.25"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</row>
    <row r="773" spans="2:29" s="62" customFormat="1" ht="13.8" hidden="1" x14ac:dyDescent="0.25"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</row>
    <row r="774" spans="2:29" s="62" customFormat="1" ht="13.8" hidden="1" x14ac:dyDescent="0.25"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</row>
    <row r="775" spans="2:29" s="62" customFormat="1" ht="13.8" hidden="1" x14ac:dyDescent="0.25"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</row>
    <row r="776" spans="2:29" s="62" customFormat="1" ht="13.8" hidden="1" x14ac:dyDescent="0.25"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</row>
    <row r="777" spans="2:29" s="62" customFormat="1" ht="13.8" hidden="1" x14ac:dyDescent="0.25"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</row>
    <row r="778" spans="2:29" s="62" customFormat="1" ht="13.8" hidden="1" x14ac:dyDescent="0.25"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</row>
    <row r="779" spans="2:29" s="62" customFormat="1" ht="13.8" hidden="1" x14ac:dyDescent="0.25"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</row>
    <row r="780" spans="2:29" s="62" customFormat="1" ht="13.8" hidden="1" x14ac:dyDescent="0.25"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</row>
    <row r="781" spans="2:29" s="62" customFormat="1" ht="13.8" hidden="1" x14ac:dyDescent="0.25"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</row>
    <row r="782" spans="2:29" s="62" customFormat="1" ht="13.8" hidden="1" x14ac:dyDescent="0.25"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</row>
    <row r="783" spans="2:29" s="62" customFormat="1" ht="13.8" hidden="1" x14ac:dyDescent="0.25"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</row>
    <row r="784" spans="2:29" s="62" customFormat="1" ht="13.8" hidden="1" x14ac:dyDescent="0.25"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</row>
    <row r="785" spans="2:29" s="62" customFormat="1" ht="13.8" hidden="1" x14ac:dyDescent="0.25"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</row>
    <row r="786" spans="2:29" s="62" customFormat="1" ht="13.8" hidden="1" x14ac:dyDescent="0.25"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</row>
    <row r="787" spans="2:29" s="62" customFormat="1" ht="13.8" hidden="1" x14ac:dyDescent="0.25"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</row>
    <row r="788" spans="2:29" s="62" customFormat="1" ht="13.8" hidden="1" x14ac:dyDescent="0.25"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</row>
    <row r="789" spans="2:29" s="62" customFormat="1" ht="13.8" hidden="1" x14ac:dyDescent="0.25"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</row>
    <row r="790" spans="2:29" s="62" customFormat="1" ht="13.8" hidden="1" x14ac:dyDescent="0.25"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</row>
    <row r="791" spans="2:29" s="62" customFormat="1" ht="13.8" hidden="1" x14ac:dyDescent="0.25"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</row>
    <row r="792" spans="2:29" s="62" customFormat="1" ht="13.8" hidden="1" x14ac:dyDescent="0.25"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</row>
    <row r="793" spans="2:29" s="62" customFormat="1" ht="13.8" hidden="1" x14ac:dyDescent="0.25"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</row>
    <row r="794" spans="2:29" s="62" customFormat="1" ht="13.8" hidden="1" x14ac:dyDescent="0.25"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</row>
    <row r="795" spans="2:29" s="62" customFormat="1" ht="13.8" hidden="1" x14ac:dyDescent="0.25"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</row>
    <row r="796" spans="2:29" s="62" customFormat="1" ht="13.8" hidden="1" x14ac:dyDescent="0.25"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</row>
    <row r="797" spans="2:29" s="62" customFormat="1" ht="13.8" hidden="1" x14ac:dyDescent="0.25"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</row>
    <row r="798" spans="2:29" s="62" customFormat="1" ht="13.8" hidden="1" x14ac:dyDescent="0.25"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</row>
    <row r="799" spans="2:29" s="62" customFormat="1" ht="13.8" hidden="1" x14ac:dyDescent="0.25"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</row>
    <row r="800" spans="2:29" s="62" customFormat="1" ht="13.8" hidden="1" x14ac:dyDescent="0.25"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</row>
    <row r="801" spans="2:29" s="62" customFormat="1" ht="13.8" hidden="1" x14ac:dyDescent="0.25"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</row>
    <row r="802" spans="2:29" s="62" customFormat="1" ht="13.8" hidden="1" x14ac:dyDescent="0.25"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</row>
    <row r="803" spans="2:29" s="62" customFormat="1" ht="13.8" hidden="1" x14ac:dyDescent="0.25"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</row>
    <row r="804" spans="2:29" s="62" customFormat="1" ht="13.8" hidden="1" x14ac:dyDescent="0.25"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</row>
    <row r="805" spans="2:29" s="62" customFormat="1" ht="13.8" hidden="1" x14ac:dyDescent="0.25"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</row>
    <row r="806" spans="2:29" s="62" customFormat="1" ht="13.8" hidden="1" x14ac:dyDescent="0.25"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</row>
    <row r="807" spans="2:29" s="62" customFormat="1" ht="13.8" hidden="1" x14ac:dyDescent="0.25"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</row>
    <row r="808" spans="2:29" s="62" customFormat="1" ht="13.8" hidden="1" x14ac:dyDescent="0.25"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</row>
    <row r="809" spans="2:29" s="62" customFormat="1" ht="13.8" hidden="1" x14ac:dyDescent="0.25"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</row>
    <row r="810" spans="2:29" s="62" customFormat="1" ht="13.8" hidden="1" x14ac:dyDescent="0.25"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</row>
    <row r="811" spans="2:29" s="62" customFormat="1" ht="13.8" hidden="1" x14ac:dyDescent="0.25"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</row>
    <row r="812" spans="2:29" s="62" customFormat="1" ht="13.8" hidden="1" x14ac:dyDescent="0.25"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</row>
    <row r="813" spans="2:29" s="62" customFormat="1" ht="13.8" hidden="1" x14ac:dyDescent="0.25"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</row>
    <row r="814" spans="2:29" s="62" customFormat="1" ht="13.8" hidden="1" x14ac:dyDescent="0.25"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</row>
    <row r="815" spans="2:29" s="62" customFormat="1" ht="13.8" hidden="1" x14ac:dyDescent="0.25"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</row>
    <row r="816" spans="2:29" s="62" customFormat="1" ht="13.8" hidden="1" x14ac:dyDescent="0.25"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</row>
    <row r="817" spans="2:29" s="62" customFormat="1" ht="13.8" hidden="1" x14ac:dyDescent="0.25"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</row>
    <row r="818" spans="2:29" s="62" customFormat="1" ht="13.8" hidden="1" x14ac:dyDescent="0.25"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</row>
    <row r="819" spans="2:29" s="62" customFormat="1" ht="13.8" hidden="1" x14ac:dyDescent="0.25"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</row>
    <row r="820" spans="2:29" s="62" customFormat="1" ht="13.8" hidden="1" x14ac:dyDescent="0.25"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</row>
    <row r="821" spans="2:29" s="62" customFormat="1" ht="13.8" hidden="1" x14ac:dyDescent="0.25"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</row>
    <row r="822" spans="2:29" s="62" customFormat="1" ht="13.8" hidden="1" x14ac:dyDescent="0.25"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</row>
    <row r="823" spans="2:29" s="62" customFormat="1" ht="13.8" hidden="1" x14ac:dyDescent="0.25"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</row>
    <row r="824" spans="2:29" s="62" customFormat="1" ht="13.8" hidden="1" x14ac:dyDescent="0.25"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</row>
    <row r="825" spans="2:29" s="62" customFormat="1" ht="13.8" hidden="1" x14ac:dyDescent="0.25"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</row>
    <row r="826" spans="2:29" s="62" customFormat="1" ht="13.8" hidden="1" x14ac:dyDescent="0.25"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</row>
    <row r="827" spans="2:29" s="62" customFormat="1" ht="13.8" hidden="1" x14ac:dyDescent="0.25"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</row>
    <row r="828" spans="2:29" s="62" customFormat="1" ht="13.8" hidden="1" x14ac:dyDescent="0.25"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</row>
    <row r="829" spans="2:29" s="62" customFormat="1" ht="13.8" hidden="1" x14ac:dyDescent="0.25"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</row>
    <row r="830" spans="2:29" s="62" customFormat="1" ht="13.8" hidden="1" x14ac:dyDescent="0.25"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</row>
    <row r="831" spans="2:29" s="62" customFormat="1" ht="13.8" hidden="1" x14ac:dyDescent="0.25"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</row>
    <row r="832" spans="2:29" s="62" customFormat="1" ht="13.8" hidden="1" x14ac:dyDescent="0.25"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</row>
    <row r="833" spans="2:29" s="62" customFormat="1" ht="13.8" hidden="1" x14ac:dyDescent="0.25"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</row>
    <row r="834" spans="2:29" s="62" customFormat="1" ht="13.8" hidden="1" x14ac:dyDescent="0.25"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</row>
    <row r="835" spans="2:29" s="62" customFormat="1" ht="13.8" hidden="1" x14ac:dyDescent="0.25"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</row>
    <row r="836" spans="2:29" s="62" customFormat="1" ht="13.8" hidden="1" x14ac:dyDescent="0.25"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</row>
    <row r="837" spans="2:29" s="62" customFormat="1" ht="13.8" hidden="1" x14ac:dyDescent="0.25"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</row>
    <row r="838" spans="2:29" s="62" customFormat="1" ht="13.8" hidden="1" x14ac:dyDescent="0.25"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</row>
    <row r="839" spans="2:29" s="62" customFormat="1" ht="13.8" hidden="1" x14ac:dyDescent="0.25"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</row>
    <row r="840" spans="2:29" s="62" customFormat="1" ht="13.8" hidden="1" x14ac:dyDescent="0.25"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</row>
    <row r="841" spans="2:29" s="62" customFormat="1" ht="13.8" hidden="1" x14ac:dyDescent="0.25"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</row>
    <row r="842" spans="2:29" s="62" customFormat="1" ht="13.8" hidden="1" x14ac:dyDescent="0.25"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</row>
    <row r="843" spans="2:29" s="62" customFormat="1" ht="13.8" hidden="1" x14ac:dyDescent="0.25"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</row>
    <row r="844" spans="2:29" s="62" customFormat="1" ht="13.8" hidden="1" x14ac:dyDescent="0.25"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</row>
    <row r="845" spans="2:29" s="62" customFormat="1" ht="13.8" hidden="1" x14ac:dyDescent="0.25"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</row>
    <row r="846" spans="2:29" s="62" customFormat="1" ht="13.8" hidden="1" x14ac:dyDescent="0.25"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</row>
    <row r="847" spans="2:29" s="62" customFormat="1" ht="13.8" hidden="1" x14ac:dyDescent="0.25"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</row>
    <row r="848" spans="2:29" s="62" customFormat="1" ht="13.8" hidden="1" x14ac:dyDescent="0.25"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</row>
    <row r="849" spans="2:29" s="62" customFormat="1" ht="13.8" hidden="1" x14ac:dyDescent="0.25"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</row>
    <row r="850" spans="2:29" s="62" customFormat="1" ht="13.8" hidden="1" x14ac:dyDescent="0.25"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</row>
    <row r="851" spans="2:29" s="62" customFormat="1" ht="13.8" hidden="1" x14ac:dyDescent="0.25"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</row>
    <row r="852" spans="2:29" s="62" customFormat="1" ht="13.8" hidden="1" x14ac:dyDescent="0.25"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</row>
    <row r="853" spans="2:29" s="62" customFormat="1" ht="13.8" hidden="1" x14ac:dyDescent="0.25"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</row>
    <row r="854" spans="2:29" s="62" customFormat="1" ht="13.8" hidden="1" x14ac:dyDescent="0.25"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</row>
    <row r="855" spans="2:29" s="62" customFormat="1" ht="13.8" hidden="1" x14ac:dyDescent="0.25"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</row>
    <row r="856" spans="2:29" s="62" customFormat="1" ht="13.8" hidden="1" x14ac:dyDescent="0.25"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</row>
    <row r="857" spans="2:29" s="62" customFormat="1" ht="13.8" hidden="1" x14ac:dyDescent="0.25"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</row>
    <row r="858" spans="2:29" s="62" customFormat="1" ht="13.8" hidden="1" x14ac:dyDescent="0.25"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</row>
    <row r="859" spans="2:29" s="62" customFormat="1" ht="13.8" hidden="1" x14ac:dyDescent="0.25"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</row>
    <row r="860" spans="2:29" s="62" customFormat="1" ht="13.8" hidden="1" x14ac:dyDescent="0.25"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</row>
    <row r="861" spans="2:29" s="62" customFormat="1" ht="13.8" hidden="1" x14ac:dyDescent="0.25"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</row>
    <row r="862" spans="2:29" s="62" customFormat="1" ht="13.8" hidden="1" x14ac:dyDescent="0.25"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</row>
    <row r="863" spans="2:29" s="62" customFormat="1" ht="13.8" hidden="1" x14ac:dyDescent="0.25"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</row>
    <row r="864" spans="2:29" s="62" customFormat="1" ht="13.8" hidden="1" x14ac:dyDescent="0.25"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</row>
    <row r="865" spans="2:29" s="62" customFormat="1" ht="13.8" hidden="1" x14ac:dyDescent="0.25"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</row>
    <row r="866" spans="2:29" s="62" customFormat="1" ht="13.8" hidden="1" x14ac:dyDescent="0.25"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</row>
    <row r="867" spans="2:29" s="62" customFormat="1" ht="13.8" hidden="1" x14ac:dyDescent="0.25"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</row>
    <row r="868" spans="2:29" s="62" customFormat="1" ht="13.8" hidden="1" x14ac:dyDescent="0.25"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</row>
    <row r="869" spans="2:29" s="62" customFormat="1" ht="13.8" hidden="1" x14ac:dyDescent="0.25"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</row>
    <row r="870" spans="2:29" s="62" customFormat="1" ht="13.8" hidden="1" x14ac:dyDescent="0.25"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</row>
    <row r="871" spans="2:29" s="62" customFormat="1" ht="13.8" hidden="1" x14ac:dyDescent="0.25"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</row>
    <row r="872" spans="2:29" s="62" customFormat="1" ht="13.8" hidden="1" x14ac:dyDescent="0.25"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</row>
    <row r="873" spans="2:29" s="62" customFormat="1" ht="13.8" hidden="1" x14ac:dyDescent="0.25"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</row>
    <row r="874" spans="2:29" s="62" customFormat="1" ht="13.8" hidden="1" x14ac:dyDescent="0.25"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</row>
    <row r="875" spans="2:29" s="62" customFormat="1" ht="13.8" hidden="1" x14ac:dyDescent="0.25"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</row>
    <row r="876" spans="2:29" s="62" customFormat="1" ht="13.8" hidden="1" x14ac:dyDescent="0.25"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</row>
    <row r="877" spans="2:29" s="62" customFormat="1" ht="13.8" hidden="1" x14ac:dyDescent="0.25"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</row>
    <row r="878" spans="2:29" s="62" customFormat="1" ht="13.8" hidden="1" x14ac:dyDescent="0.25"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</row>
    <row r="879" spans="2:29" s="62" customFormat="1" ht="13.8" hidden="1" x14ac:dyDescent="0.25"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</row>
    <row r="880" spans="2:29" s="62" customFormat="1" ht="13.8" hidden="1" x14ac:dyDescent="0.25"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</row>
    <row r="881" spans="2:29" s="62" customFormat="1" ht="13.8" hidden="1" x14ac:dyDescent="0.25"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</row>
    <row r="882" spans="2:29" s="62" customFormat="1" ht="13.8" hidden="1" x14ac:dyDescent="0.25"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</row>
    <row r="883" spans="2:29" s="62" customFormat="1" ht="13.8" hidden="1" x14ac:dyDescent="0.25"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</row>
    <row r="884" spans="2:29" s="62" customFormat="1" ht="13.8" hidden="1" x14ac:dyDescent="0.25"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</row>
    <row r="885" spans="2:29" s="62" customFormat="1" ht="13.8" hidden="1" x14ac:dyDescent="0.25"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</row>
    <row r="886" spans="2:29" s="62" customFormat="1" ht="13.8" hidden="1" x14ac:dyDescent="0.25"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</row>
    <row r="887" spans="2:29" s="62" customFormat="1" ht="13.8" hidden="1" x14ac:dyDescent="0.25"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</row>
    <row r="888" spans="2:29" s="62" customFormat="1" ht="13.8" hidden="1" x14ac:dyDescent="0.25"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</row>
    <row r="889" spans="2:29" s="62" customFormat="1" ht="13.8" hidden="1" x14ac:dyDescent="0.25"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</row>
    <row r="890" spans="2:29" s="62" customFormat="1" ht="13.8" hidden="1" x14ac:dyDescent="0.25"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</row>
    <row r="891" spans="2:29" s="62" customFormat="1" ht="13.8" hidden="1" x14ac:dyDescent="0.25"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</row>
    <row r="892" spans="2:29" s="62" customFormat="1" ht="13.8" hidden="1" x14ac:dyDescent="0.25"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</row>
    <row r="893" spans="2:29" s="62" customFormat="1" ht="13.8" hidden="1" x14ac:dyDescent="0.25"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</row>
    <row r="894" spans="2:29" s="62" customFormat="1" ht="13.8" hidden="1" x14ac:dyDescent="0.25"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</row>
    <row r="895" spans="2:29" s="62" customFormat="1" ht="13.8" hidden="1" x14ac:dyDescent="0.25"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</row>
    <row r="896" spans="2:29" s="62" customFormat="1" ht="13.8" hidden="1" x14ac:dyDescent="0.25"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</row>
    <row r="897" spans="2:29" s="62" customFormat="1" ht="13.8" hidden="1" x14ac:dyDescent="0.25"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</row>
    <row r="898" spans="2:29" s="62" customFormat="1" ht="13.8" hidden="1" x14ac:dyDescent="0.25"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</row>
    <row r="899" spans="2:29" s="62" customFormat="1" ht="13.8" hidden="1" x14ac:dyDescent="0.25"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</row>
    <row r="900" spans="2:29" s="62" customFormat="1" ht="13.8" hidden="1" x14ac:dyDescent="0.25"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</row>
    <row r="901" spans="2:29" s="62" customFormat="1" ht="13.8" hidden="1" x14ac:dyDescent="0.25"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</row>
    <row r="902" spans="2:29" s="62" customFormat="1" ht="13.8" hidden="1" x14ac:dyDescent="0.25"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</row>
    <row r="903" spans="2:29" s="62" customFormat="1" ht="13.8" hidden="1" x14ac:dyDescent="0.25"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</row>
    <row r="904" spans="2:29" s="62" customFormat="1" ht="13.8" hidden="1" x14ac:dyDescent="0.25"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</row>
    <row r="905" spans="2:29" s="62" customFormat="1" ht="13.8" hidden="1" x14ac:dyDescent="0.25"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</row>
    <row r="906" spans="2:29" s="62" customFormat="1" ht="13.8" hidden="1" x14ac:dyDescent="0.25"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</row>
    <row r="907" spans="2:29" s="62" customFormat="1" ht="13.8" hidden="1" x14ac:dyDescent="0.25"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</row>
    <row r="908" spans="2:29" s="62" customFormat="1" ht="13.8" hidden="1" x14ac:dyDescent="0.25"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</row>
    <row r="909" spans="2:29" s="62" customFormat="1" ht="13.8" hidden="1" x14ac:dyDescent="0.25"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</row>
    <row r="910" spans="2:29" s="62" customFormat="1" ht="13.8" hidden="1" x14ac:dyDescent="0.25"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</row>
    <row r="911" spans="2:29" s="62" customFormat="1" ht="13.8" hidden="1" x14ac:dyDescent="0.25"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</row>
    <row r="912" spans="2:29" s="62" customFormat="1" ht="13.8" hidden="1" x14ac:dyDescent="0.25"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</row>
    <row r="913" spans="2:29" s="62" customFormat="1" ht="13.8" hidden="1" x14ac:dyDescent="0.25"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</row>
    <row r="914" spans="2:29" s="62" customFormat="1" ht="13.8" hidden="1" x14ac:dyDescent="0.25"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</row>
    <row r="915" spans="2:29" s="62" customFormat="1" ht="13.8" hidden="1" x14ac:dyDescent="0.25"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</row>
    <row r="916" spans="2:29" s="62" customFormat="1" ht="13.8" hidden="1" x14ac:dyDescent="0.25"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</row>
    <row r="917" spans="2:29" s="62" customFormat="1" ht="13.8" hidden="1" x14ac:dyDescent="0.25"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</row>
    <row r="918" spans="2:29" s="62" customFormat="1" ht="13.8" hidden="1" x14ac:dyDescent="0.25"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</row>
    <row r="919" spans="2:29" s="62" customFormat="1" ht="13.8" hidden="1" x14ac:dyDescent="0.25"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</row>
    <row r="920" spans="2:29" s="62" customFormat="1" ht="13.8" hidden="1" x14ac:dyDescent="0.25"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</row>
    <row r="921" spans="2:29" s="62" customFormat="1" ht="13.8" hidden="1" x14ac:dyDescent="0.25"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</row>
    <row r="922" spans="2:29" s="62" customFormat="1" ht="13.8" hidden="1" x14ac:dyDescent="0.25"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</row>
    <row r="923" spans="2:29" s="62" customFormat="1" ht="13.8" hidden="1" x14ac:dyDescent="0.25"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</row>
    <row r="924" spans="2:29" s="62" customFormat="1" ht="13.8" hidden="1" x14ac:dyDescent="0.25"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</row>
    <row r="925" spans="2:29" s="62" customFormat="1" ht="13.8" hidden="1" x14ac:dyDescent="0.25"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</row>
    <row r="926" spans="2:29" s="62" customFormat="1" ht="13.8" hidden="1" x14ac:dyDescent="0.25"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</row>
    <row r="927" spans="2:29" s="62" customFormat="1" ht="13.8" hidden="1" x14ac:dyDescent="0.25"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</row>
    <row r="928" spans="2:29" s="62" customFormat="1" ht="13.8" hidden="1" x14ac:dyDescent="0.25"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</row>
    <row r="929" spans="2:29" s="62" customFormat="1" ht="13.8" hidden="1" x14ac:dyDescent="0.25"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</row>
    <row r="930" spans="2:29" s="62" customFormat="1" ht="13.8" hidden="1" x14ac:dyDescent="0.25"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</row>
    <row r="931" spans="2:29" s="62" customFormat="1" ht="13.8" hidden="1" x14ac:dyDescent="0.25"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</row>
    <row r="932" spans="2:29" s="62" customFormat="1" ht="13.8" hidden="1" x14ac:dyDescent="0.25"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</row>
    <row r="933" spans="2:29" s="62" customFormat="1" ht="13.8" hidden="1" x14ac:dyDescent="0.25"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</row>
    <row r="934" spans="2:29" s="62" customFormat="1" ht="13.8" hidden="1" x14ac:dyDescent="0.25"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</row>
    <row r="935" spans="2:29" s="62" customFormat="1" ht="13.8" hidden="1" x14ac:dyDescent="0.25"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</row>
    <row r="936" spans="2:29" s="62" customFormat="1" ht="13.8" hidden="1" x14ac:dyDescent="0.25"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</row>
    <row r="937" spans="2:29" s="62" customFormat="1" ht="13.8" hidden="1" x14ac:dyDescent="0.25"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</row>
    <row r="938" spans="2:29" s="62" customFormat="1" ht="13.8" hidden="1" x14ac:dyDescent="0.25"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</row>
    <row r="939" spans="2:29" s="62" customFormat="1" ht="13.8" hidden="1" x14ac:dyDescent="0.25"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</row>
    <row r="940" spans="2:29" s="62" customFormat="1" ht="13.8" hidden="1" x14ac:dyDescent="0.25"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</row>
    <row r="941" spans="2:29" s="62" customFormat="1" ht="13.8" hidden="1" x14ac:dyDescent="0.25"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</row>
    <row r="942" spans="2:29" s="62" customFormat="1" ht="13.8" hidden="1" x14ac:dyDescent="0.25"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</row>
    <row r="943" spans="2:29" s="62" customFormat="1" ht="13.8" hidden="1" x14ac:dyDescent="0.25"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</row>
    <row r="944" spans="2:29" s="62" customFormat="1" ht="13.8" hidden="1" x14ac:dyDescent="0.25"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</row>
    <row r="945" spans="2:29" s="62" customFormat="1" ht="13.8" hidden="1" x14ac:dyDescent="0.25"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</row>
    <row r="946" spans="2:29" s="62" customFormat="1" ht="13.8" hidden="1" x14ac:dyDescent="0.25"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</row>
    <row r="947" spans="2:29" s="62" customFormat="1" ht="13.8" hidden="1" x14ac:dyDescent="0.25"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</row>
    <row r="948" spans="2:29" s="62" customFormat="1" ht="13.8" hidden="1" x14ac:dyDescent="0.25"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</row>
    <row r="949" spans="2:29" s="62" customFormat="1" ht="13.8" hidden="1" x14ac:dyDescent="0.25"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</row>
    <row r="950" spans="2:29" s="62" customFormat="1" ht="13.8" hidden="1" x14ac:dyDescent="0.25"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</row>
    <row r="951" spans="2:29" s="62" customFormat="1" ht="13.8" hidden="1" x14ac:dyDescent="0.25"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</row>
    <row r="952" spans="2:29" s="62" customFormat="1" ht="13.8" hidden="1" x14ac:dyDescent="0.25"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</row>
    <row r="953" spans="2:29" s="62" customFormat="1" ht="13.8" hidden="1" x14ac:dyDescent="0.25"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</row>
    <row r="954" spans="2:29" s="62" customFormat="1" ht="13.8" hidden="1" x14ac:dyDescent="0.25"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</row>
    <row r="955" spans="2:29" s="62" customFormat="1" ht="13.8" hidden="1" x14ac:dyDescent="0.25"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</row>
    <row r="956" spans="2:29" s="62" customFormat="1" ht="13.8" hidden="1" x14ac:dyDescent="0.25"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</row>
    <row r="957" spans="2:29" s="62" customFormat="1" ht="13.8" hidden="1" x14ac:dyDescent="0.25"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</row>
    <row r="958" spans="2:29" s="62" customFormat="1" ht="13.8" hidden="1" x14ac:dyDescent="0.25"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</row>
    <row r="959" spans="2:29" s="62" customFormat="1" ht="13.8" hidden="1" x14ac:dyDescent="0.25"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</row>
    <row r="960" spans="2:29" s="62" customFormat="1" ht="13.8" hidden="1" x14ac:dyDescent="0.25"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</row>
    <row r="961" spans="2:29" s="62" customFormat="1" ht="13.8" hidden="1" x14ac:dyDescent="0.25"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</row>
    <row r="962" spans="2:29" s="62" customFormat="1" ht="13.8" hidden="1" x14ac:dyDescent="0.25"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</row>
    <row r="963" spans="2:29" s="62" customFormat="1" ht="13.8" hidden="1" x14ac:dyDescent="0.25"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</row>
    <row r="964" spans="2:29" s="62" customFormat="1" ht="13.8" hidden="1" x14ac:dyDescent="0.25"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</row>
    <row r="965" spans="2:29" s="62" customFormat="1" ht="13.8" hidden="1" x14ac:dyDescent="0.25"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</row>
    <row r="966" spans="2:29" s="62" customFormat="1" ht="13.8" hidden="1" x14ac:dyDescent="0.25"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</row>
    <row r="967" spans="2:29" s="62" customFormat="1" ht="13.8" hidden="1" x14ac:dyDescent="0.25"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</row>
    <row r="968" spans="2:29" s="62" customFormat="1" ht="13.8" hidden="1" x14ac:dyDescent="0.25"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</row>
    <row r="969" spans="2:29" s="62" customFormat="1" ht="13.8" hidden="1" x14ac:dyDescent="0.25"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</row>
    <row r="970" spans="2:29" s="62" customFormat="1" ht="13.8" hidden="1" x14ac:dyDescent="0.25"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</row>
    <row r="971" spans="2:29" s="62" customFormat="1" ht="13.8" hidden="1" x14ac:dyDescent="0.25"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</row>
    <row r="972" spans="2:29" s="62" customFormat="1" ht="13.8" hidden="1" x14ac:dyDescent="0.25"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</row>
    <row r="973" spans="2:29" s="62" customFormat="1" ht="13.8" hidden="1" x14ac:dyDescent="0.25"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</row>
    <row r="974" spans="2:29" s="62" customFormat="1" ht="13.8" hidden="1" x14ac:dyDescent="0.25"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</row>
    <row r="975" spans="2:29" s="62" customFormat="1" ht="13.8" hidden="1" x14ac:dyDescent="0.25"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</row>
    <row r="976" spans="2:29" s="62" customFormat="1" ht="13.8" hidden="1" x14ac:dyDescent="0.25"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</row>
    <row r="977" spans="2:29" s="62" customFormat="1" ht="13.8" hidden="1" x14ac:dyDescent="0.25"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</row>
    <row r="978" spans="2:29" s="62" customFormat="1" ht="13.8" hidden="1" x14ac:dyDescent="0.25"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</row>
    <row r="979" spans="2:29" s="62" customFormat="1" ht="13.8" hidden="1" x14ac:dyDescent="0.25"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</row>
    <row r="980" spans="2:29" s="62" customFormat="1" ht="13.8" hidden="1" x14ac:dyDescent="0.25"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</row>
    <row r="981" spans="2:29" s="62" customFormat="1" ht="13.8" hidden="1" x14ac:dyDescent="0.25"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</row>
    <row r="982" spans="2:29" s="62" customFormat="1" ht="13.8" hidden="1" x14ac:dyDescent="0.25"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</row>
    <row r="983" spans="2:29" s="62" customFormat="1" ht="13.8" hidden="1" x14ac:dyDescent="0.25"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</row>
    <row r="984" spans="2:29" s="62" customFormat="1" ht="13.8" hidden="1" x14ac:dyDescent="0.25"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</row>
    <row r="985" spans="2:29" s="62" customFormat="1" ht="13.8" hidden="1" x14ac:dyDescent="0.25"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</row>
    <row r="986" spans="2:29" s="62" customFormat="1" ht="13.8" hidden="1" x14ac:dyDescent="0.25"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</row>
    <row r="987" spans="2:29" s="62" customFormat="1" ht="13.8" hidden="1" x14ac:dyDescent="0.25"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</row>
    <row r="988" spans="2:29" s="62" customFormat="1" ht="13.8" hidden="1" x14ac:dyDescent="0.25"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</row>
    <row r="989" spans="2:29" s="62" customFormat="1" ht="13.8" hidden="1" x14ac:dyDescent="0.25"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</row>
    <row r="990" spans="2:29" s="62" customFormat="1" ht="13.8" hidden="1" x14ac:dyDescent="0.25"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</row>
    <row r="991" spans="2:29" s="62" customFormat="1" ht="13.8" hidden="1" x14ac:dyDescent="0.25"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</row>
    <row r="992" spans="2:29" s="62" customFormat="1" ht="13.8" hidden="1" x14ac:dyDescent="0.25"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</row>
    <row r="993" spans="2:29" s="62" customFormat="1" ht="13.8" hidden="1" x14ac:dyDescent="0.25"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</row>
    <row r="994" spans="2:29" s="62" customFormat="1" ht="13.8" hidden="1" x14ac:dyDescent="0.25"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</row>
    <row r="995" spans="2:29" s="62" customFormat="1" ht="13.8" hidden="1" x14ac:dyDescent="0.25"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</row>
    <row r="996" spans="2:29" s="62" customFormat="1" ht="13.8" hidden="1" x14ac:dyDescent="0.25"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</row>
    <row r="997" spans="2:29" s="62" customFormat="1" ht="13.8" hidden="1" x14ac:dyDescent="0.25"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</row>
    <row r="998" spans="2:29" s="62" customFormat="1" ht="13.8" hidden="1" x14ac:dyDescent="0.25"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</row>
    <row r="999" spans="2:29" s="62" customFormat="1" ht="13.8" hidden="1" x14ac:dyDescent="0.25"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</row>
    <row r="1000" spans="2:29" s="62" customFormat="1" ht="13.8" hidden="1" x14ac:dyDescent="0.25"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</row>
    <row r="1001" spans="2:29" s="62" customFormat="1" ht="13.8" hidden="1" x14ac:dyDescent="0.25"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</row>
    <row r="1002" spans="2:29" s="62" customFormat="1" ht="13.8" hidden="1" x14ac:dyDescent="0.25"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</row>
    <row r="1003" spans="2:29" s="62" customFormat="1" ht="13.8" hidden="1" x14ac:dyDescent="0.25"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</row>
    <row r="1004" spans="2:29" s="62" customFormat="1" ht="13.8" hidden="1" x14ac:dyDescent="0.25"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</row>
    <row r="1005" spans="2:29" s="62" customFormat="1" ht="13.8" hidden="1" x14ac:dyDescent="0.25"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</row>
    <row r="1006" spans="2:29" s="62" customFormat="1" ht="13.8" hidden="1" x14ac:dyDescent="0.25"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</row>
    <row r="1007" spans="2:29" s="62" customFormat="1" ht="13.8" hidden="1" x14ac:dyDescent="0.25"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</row>
    <row r="1008" spans="2:29" s="62" customFormat="1" ht="13.8" hidden="1" x14ac:dyDescent="0.25"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</row>
    <row r="1009" spans="2:29" s="62" customFormat="1" ht="13.8" hidden="1" x14ac:dyDescent="0.25"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</row>
    <row r="1010" spans="2:29" s="62" customFormat="1" ht="13.8" hidden="1" x14ac:dyDescent="0.25"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</row>
    <row r="1011" spans="2:29" s="62" customFormat="1" ht="13.8" hidden="1" x14ac:dyDescent="0.25"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</row>
    <row r="1012" spans="2:29" s="62" customFormat="1" ht="13.8" hidden="1" x14ac:dyDescent="0.25"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  <c r="AC1012" s="59"/>
    </row>
    <row r="1013" spans="2:29" s="62" customFormat="1" ht="13.8" hidden="1" x14ac:dyDescent="0.25"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  <c r="AC1013" s="59"/>
    </row>
    <row r="1014" spans="2:29" s="62" customFormat="1" ht="13.8" hidden="1" x14ac:dyDescent="0.25"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  <c r="AC1014" s="59"/>
    </row>
    <row r="1015" spans="2:29" s="62" customFormat="1" ht="13.8" hidden="1" x14ac:dyDescent="0.25"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  <c r="AB1015" s="59"/>
      <c r="AC1015" s="59"/>
    </row>
    <row r="1016" spans="2:29" s="62" customFormat="1" ht="13.8" hidden="1" x14ac:dyDescent="0.25"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  <c r="AB1016" s="59"/>
      <c r="AC1016" s="59"/>
    </row>
    <row r="1017" spans="2:29" s="62" customFormat="1" ht="13.8" hidden="1" x14ac:dyDescent="0.25"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59"/>
      <c r="AC1017" s="59"/>
    </row>
    <row r="1018" spans="2:29" s="62" customFormat="1" ht="13.8" hidden="1" x14ac:dyDescent="0.25"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  <c r="AB1018" s="59"/>
      <c r="AC1018" s="59"/>
    </row>
    <row r="1019" spans="2:29" s="62" customFormat="1" ht="13.8" hidden="1" x14ac:dyDescent="0.25"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  <c r="AB1019" s="59"/>
      <c r="AC1019" s="59"/>
    </row>
    <row r="1020" spans="2:29" s="62" customFormat="1" ht="13.8" hidden="1" x14ac:dyDescent="0.25"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  <c r="AB1020" s="59"/>
      <c r="AC1020" s="59"/>
    </row>
    <row r="1021" spans="2:29" s="62" customFormat="1" ht="13.8" hidden="1" x14ac:dyDescent="0.25"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  <c r="AB1021" s="59"/>
      <c r="AC1021" s="59"/>
    </row>
    <row r="1022" spans="2:29" s="62" customFormat="1" ht="13.8" hidden="1" x14ac:dyDescent="0.25"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  <c r="AB1022" s="59"/>
      <c r="AC1022" s="59"/>
    </row>
    <row r="1023" spans="2:29" s="62" customFormat="1" ht="13.8" hidden="1" x14ac:dyDescent="0.25"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59"/>
      <c r="AC1023" s="59"/>
    </row>
    <row r="1024" spans="2:29" s="62" customFormat="1" ht="13.8" hidden="1" x14ac:dyDescent="0.25"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</row>
    <row r="1025" spans="2:29" s="62" customFormat="1" ht="13.8" hidden="1" x14ac:dyDescent="0.25"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  <c r="AB1025" s="59"/>
      <c r="AC1025" s="59"/>
    </row>
    <row r="1026" spans="2:29" s="62" customFormat="1" ht="13.8" hidden="1" x14ac:dyDescent="0.25"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  <c r="AB1026" s="59"/>
      <c r="AC1026" s="59"/>
    </row>
    <row r="1027" spans="2:29" s="62" customFormat="1" ht="13.8" hidden="1" x14ac:dyDescent="0.25"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59"/>
      <c r="AC1027" s="59"/>
    </row>
    <row r="1028" spans="2:29" s="62" customFormat="1" ht="13.8" hidden="1" x14ac:dyDescent="0.25"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59"/>
      <c r="AC1028" s="59"/>
    </row>
    <row r="1029" spans="2:29" s="62" customFormat="1" ht="13.8" hidden="1" x14ac:dyDescent="0.25"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  <c r="AB1029" s="59"/>
      <c r="AC1029" s="59"/>
    </row>
    <row r="1030" spans="2:29" s="62" customFormat="1" ht="13.8" hidden="1" x14ac:dyDescent="0.25"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  <c r="AB1030" s="59"/>
      <c r="AC1030" s="59"/>
    </row>
    <row r="1031" spans="2:29" s="62" customFormat="1" ht="13.8" hidden="1" x14ac:dyDescent="0.25"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  <c r="AB1031" s="59"/>
      <c r="AC1031" s="59"/>
    </row>
    <row r="1032" spans="2:29" s="62" customFormat="1" ht="13.8" hidden="1" x14ac:dyDescent="0.25"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  <c r="AB1032" s="59"/>
      <c r="AC1032" s="59"/>
    </row>
    <row r="1033" spans="2:29" s="62" customFormat="1" ht="13.8" hidden="1" x14ac:dyDescent="0.25"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59"/>
      <c r="AC1033" s="59"/>
    </row>
    <row r="1034" spans="2:29" s="62" customFormat="1" ht="13.8" hidden="1" x14ac:dyDescent="0.25"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59"/>
      <c r="AC1034" s="59"/>
    </row>
    <row r="1035" spans="2:29" s="62" customFormat="1" ht="13.8" hidden="1" x14ac:dyDescent="0.25"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  <c r="AB1035" s="59"/>
      <c r="AC1035" s="59"/>
    </row>
    <row r="1036" spans="2:29" s="62" customFormat="1" ht="13.8" hidden="1" x14ac:dyDescent="0.25"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  <c r="AB1036" s="59"/>
      <c r="AC1036" s="59"/>
    </row>
    <row r="1037" spans="2:29" s="62" customFormat="1" ht="13.8" hidden="1" x14ac:dyDescent="0.25"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  <c r="AB1037" s="59"/>
      <c r="AC1037" s="59"/>
    </row>
    <row r="1038" spans="2:29" s="62" customFormat="1" ht="13.8" hidden="1" x14ac:dyDescent="0.25"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  <c r="AB1038" s="59"/>
      <c r="AC1038" s="59"/>
    </row>
    <row r="1039" spans="2:29" s="62" customFormat="1" ht="13.8" hidden="1" x14ac:dyDescent="0.25">
      <c r="B1039" s="59"/>
      <c r="C1039" s="59"/>
      <c r="D1039" s="59"/>
      <c r="E1039" s="59"/>
      <c r="F1039" s="59"/>
      <c r="G1039" s="59"/>
      <c r="H1039" s="59"/>
      <c r="I1039" s="59"/>
      <c r="J1039" s="59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  <c r="AB1039" s="59"/>
      <c r="AC1039" s="59"/>
    </row>
    <row r="1040" spans="2:29" s="62" customFormat="1" ht="13.8" hidden="1" x14ac:dyDescent="0.25">
      <c r="B1040" s="59"/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  <c r="AB1040" s="59"/>
      <c r="AC1040" s="59"/>
    </row>
    <row r="1041" spans="2:29" s="62" customFormat="1" ht="13.8" hidden="1" x14ac:dyDescent="0.25">
      <c r="B1041" s="59"/>
      <c r="C1041" s="59"/>
      <c r="D1041" s="59"/>
      <c r="E1041" s="59"/>
      <c r="F1041" s="59"/>
      <c r="G1041" s="59"/>
      <c r="H1041" s="59"/>
      <c r="I1041" s="59"/>
      <c r="J1041" s="59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  <c r="AB1041" s="59"/>
      <c r="AC1041" s="59"/>
    </row>
    <row r="1042" spans="2:29" s="62" customFormat="1" ht="13.8" hidden="1" x14ac:dyDescent="0.25">
      <c r="B1042" s="59"/>
      <c r="C1042" s="59"/>
      <c r="D1042" s="59"/>
      <c r="E1042" s="59"/>
      <c r="F1042" s="59"/>
      <c r="G1042" s="59"/>
      <c r="H1042" s="59"/>
      <c r="I1042" s="59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</row>
    <row r="1043" spans="2:29" s="62" customFormat="1" ht="13.8" hidden="1" x14ac:dyDescent="0.25"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  <c r="AB1043" s="59"/>
      <c r="AC1043" s="59"/>
    </row>
    <row r="1044" spans="2:29" s="62" customFormat="1" ht="13.8" hidden="1" x14ac:dyDescent="0.25">
      <c r="B1044" s="59"/>
      <c r="C1044" s="59"/>
      <c r="D1044" s="59"/>
      <c r="E1044" s="59"/>
      <c r="F1044" s="59"/>
      <c r="G1044" s="59"/>
      <c r="H1044" s="59"/>
      <c r="I1044" s="59"/>
      <c r="J1044" s="59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59"/>
      <c r="AC1044" s="59"/>
    </row>
    <row r="1045" spans="2:29" s="62" customFormat="1" ht="13.8" hidden="1" x14ac:dyDescent="0.25"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59"/>
      <c r="AC1045" s="59"/>
    </row>
    <row r="1046" spans="2:29" s="62" customFormat="1" ht="13.8" hidden="1" x14ac:dyDescent="0.25"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  <c r="AB1046" s="59"/>
      <c r="AC1046" s="59"/>
    </row>
    <row r="1047" spans="2:29" s="62" customFormat="1" ht="13.8" hidden="1" x14ac:dyDescent="0.25">
      <c r="B1047" s="59"/>
      <c r="C1047" s="59"/>
      <c r="D1047" s="59"/>
      <c r="E1047" s="59"/>
      <c r="F1047" s="59"/>
      <c r="G1047" s="59"/>
      <c r="H1047" s="59"/>
      <c r="I1047" s="59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59"/>
      <c r="AC1047" s="59"/>
    </row>
    <row r="1048" spans="2:29" s="62" customFormat="1" ht="13.8" hidden="1" x14ac:dyDescent="0.25">
      <c r="B1048" s="59"/>
      <c r="C1048" s="59"/>
      <c r="D1048" s="59"/>
      <c r="E1048" s="59"/>
      <c r="F1048" s="59"/>
      <c r="G1048" s="59"/>
      <c r="H1048" s="59"/>
      <c r="I1048" s="59"/>
      <c r="J1048" s="59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59"/>
      <c r="AC1048" s="59"/>
    </row>
    <row r="1049" spans="2:29" s="62" customFormat="1" ht="13.8" hidden="1" x14ac:dyDescent="0.25"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  <c r="AB1049" s="59"/>
      <c r="AC1049" s="59"/>
    </row>
    <row r="1050" spans="2:29" s="62" customFormat="1" ht="13.8" hidden="1" x14ac:dyDescent="0.25">
      <c r="B1050" s="59"/>
      <c r="C1050" s="59"/>
      <c r="D1050" s="59"/>
      <c r="E1050" s="59"/>
      <c r="F1050" s="59"/>
      <c r="G1050" s="59"/>
      <c r="H1050" s="59"/>
      <c r="I1050" s="59"/>
      <c r="J1050" s="59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  <c r="AA1050" s="59"/>
      <c r="AB1050" s="59"/>
      <c r="AC1050" s="59"/>
    </row>
    <row r="1051" spans="2:29" s="62" customFormat="1" ht="13.8" hidden="1" x14ac:dyDescent="0.25">
      <c r="B1051" s="59"/>
      <c r="C1051" s="59"/>
      <c r="D1051" s="59"/>
      <c r="E1051" s="59"/>
      <c r="F1051" s="59"/>
      <c r="G1051" s="59"/>
      <c r="H1051" s="59"/>
      <c r="I1051" s="59"/>
      <c r="J1051" s="59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  <c r="AA1051" s="59"/>
      <c r="AB1051" s="59"/>
      <c r="AC1051" s="59"/>
    </row>
    <row r="1052" spans="2:29" s="62" customFormat="1" ht="13.8" hidden="1" x14ac:dyDescent="0.25">
      <c r="B1052" s="59"/>
      <c r="C1052" s="59"/>
      <c r="D1052" s="59"/>
      <c r="E1052" s="59"/>
      <c r="F1052" s="59"/>
      <c r="G1052" s="59"/>
      <c r="H1052" s="59"/>
      <c r="I1052" s="59"/>
      <c r="J1052" s="59"/>
      <c r="K1052" s="59"/>
      <c r="L1052" s="59"/>
      <c r="M1052" s="59"/>
      <c r="N1052" s="59"/>
      <c r="O1052" s="59"/>
      <c r="P1052" s="59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  <c r="AA1052" s="59"/>
      <c r="AB1052" s="59"/>
      <c r="AC1052" s="59"/>
    </row>
    <row r="1053" spans="2:29" s="62" customFormat="1" ht="13.8" hidden="1" x14ac:dyDescent="0.25">
      <c r="B1053" s="59"/>
      <c r="C1053" s="59"/>
      <c r="D1053" s="59"/>
      <c r="E1053" s="59"/>
      <c r="F1053" s="59"/>
      <c r="G1053" s="59"/>
      <c r="H1053" s="59"/>
      <c r="I1053" s="59"/>
      <c r="J1053" s="59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  <c r="AA1053" s="59"/>
      <c r="AB1053" s="59"/>
      <c r="AC1053" s="59"/>
    </row>
    <row r="1054" spans="2:29" s="62" customFormat="1" ht="13.8" hidden="1" x14ac:dyDescent="0.25">
      <c r="B1054" s="59"/>
      <c r="C1054" s="59"/>
      <c r="D1054" s="59"/>
      <c r="E1054" s="59"/>
      <c r="F1054" s="59"/>
      <c r="G1054" s="59"/>
      <c r="H1054" s="59"/>
      <c r="I1054" s="59"/>
      <c r="J1054" s="59"/>
      <c r="K1054" s="59"/>
      <c r="L1054" s="59"/>
      <c r="M1054" s="59"/>
      <c r="N1054" s="59"/>
      <c r="O1054" s="59"/>
      <c r="P1054" s="59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  <c r="AA1054" s="59"/>
      <c r="AB1054" s="59"/>
      <c r="AC1054" s="59"/>
    </row>
    <row r="1055" spans="2:29" s="62" customFormat="1" ht="13.8" hidden="1" x14ac:dyDescent="0.25">
      <c r="B1055" s="59"/>
      <c r="C1055" s="59"/>
      <c r="D1055" s="59"/>
      <c r="E1055" s="59"/>
      <c r="F1055" s="59"/>
      <c r="G1055" s="59"/>
      <c r="H1055" s="59"/>
      <c r="I1055" s="59"/>
      <c r="J1055" s="59"/>
      <c r="K1055" s="59"/>
      <c r="L1055" s="59"/>
      <c r="M1055" s="59"/>
      <c r="N1055" s="59"/>
      <c r="O1055" s="59"/>
      <c r="P1055" s="59"/>
      <c r="Q1055" s="59"/>
      <c r="R1055" s="59"/>
      <c r="S1055" s="59"/>
      <c r="T1055" s="59"/>
      <c r="U1055" s="59"/>
      <c r="V1055" s="59"/>
      <c r="W1055" s="59"/>
      <c r="X1055" s="59"/>
      <c r="Y1055" s="59"/>
      <c r="Z1055" s="59"/>
      <c r="AA1055" s="59"/>
      <c r="AB1055" s="59"/>
      <c r="AC1055" s="59"/>
    </row>
    <row r="1056" spans="2:29" s="62" customFormat="1" ht="13.8" hidden="1" x14ac:dyDescent="0.25">
      <c r="B1056" s="59"/>
      <c r="C1056" s="59"/>
      <c r="D1056" s="59"/>
      <c r="E1056" s="59"/>
      <c r="F1056" s="59"/>
      <c r="G1056" s="59"/>
      <c r="H1056" s="59"/>
      <c r="I1056" s="59"/>
      <c r="J1056" s="59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</row>
    <row r="1057" spans="2:29" s="62" customFormat="1" ht="13.8" hidden="1" x14ac:dyDescent="0.25">
      <c r="B1057" s="59"/>
      <c r="C1057" s="59"/>
      <c r="D1057" s="59"/>
      <c r="E1057" s="59"/>
      <c r="F1057" s="59"/>
      <c r="G1057" s="59"/>
      <c r="H1057" s="59"/>
      <c r="I1057" s="59"/>
      <c r="J1057" s="59"/>
      <c r="K1057" s="59"/>
      <c r="L1057" s="59"/>
      <c r="M1057" s="59"/>
      <c r="N1057" s="59"/>
      <c r="O1057" s="59"/>
      <c r="P1057" s="59"/>
      <c r="Q1057" s="59"/>
      <c r="R1057" s="59"/>
      <c r="S1057" s="59"/>
      <c r="T1057" s="59"/>
      <c r="U1057" s="59"/>
      <c r="V1057" s="59"/>
      <c r="W1057" s="59"/>
      <c r="X1057" s="59"/>
      <c r="Y1057" s="59"/>
      <c r="Z1057" s="59"/>
      <c r="AA1057" s="59"/>
      <c r="AB1057" s="59"/>
      <c r="AC1057" s="59"/>
    </row>
    <row r="1058" spans="2:29" s="62" customFormat="1" ht="13.8" hidden="1" x14ac:dyDescent="0.25">
      <c r="B1058" s="59"/>
      <c r="C1058" s="59"/>
      <c r="D1058" s="59"/>
      <c r="E1058" s="59"/>
      <c r="F1058" s="59"/>
      <c r="G1058" s="59"/>
      <c r="H1058" s="59"/>
      <c r="I1058" s="59"/>
      <c r="J1058" s="59"/>
      <c r="K1058" s="59"/>
      <c r="L1058" s="59"/>
      <c r="M1058" s="59"/>
      <c r="N1058" s="59"/>
      <c r="O1058" s="59"/>
      <c r="P1058" s="59"/>
      <c r="Q1058" s="59"/>
      <c r="R1058" s="59"/>
      <c r="S1058" s="59"/>
      <c r="T1058" s="59"/>
      <c r="U1058" s="59"/>
      <c r="V1058" s="59"/>
      <c r="W1058" s="59"/>
      <c r="X1058" s="59"/>
      <c r="Y1058" s="59"/>
      <c r="Z1058" s="59"/>
      <c r="AA1058" s="59"/>
      <c r="AB1058" s="59"/>
      <c r="AC1058" s="59"/>
    </row>
    <row r="1059" spans="2:29" s="62" customFormat="1" ht="13.8" hidden="1" x14ac:dyDescent="0.25">
      <c r="B1059" s="59"/>
      <c r="C1059" s="59"/>
      <c r="D1059" s="59"/>
      <c r="E1059" s="59"/>
      <c r="F1059" s="59"/>
      <c r="G1059" s="59"/>
      <c r="H1059" s="59"/>
      <c r="I1059" s="59"/>
      <c r="J1059" s="59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  <c r="AA1059" s="59"/>
      <c r="AB1059" s="59"/>
      <c r="AC1059" s="59"/>
    </row>
    <row r="1060" spans="2:29" s="62" customFormat="1" ht="13.8" hidden="1" x14ac:dyDescent="0.25">
      <c r="B1060" s="59"/>
      <c r="C1060" s="59"/>
      <c r="D1060" s="59"/>
      <c r="E1060" s="59"/>
      <c r="F1060" s="59"/>
      <c r="G1060" s="59"/>
      <c r="H1060" s="59"/>
      <c r="I1060" s="59"/>
      <c r="J1060" s="59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</row>
    <row r="1061" spans="2:29" s="62" customFormat="1" ht="13.8" hidden="1" x14ac:dyDescent="0.25">
      <c r="B1061" s="59"/>
      <c r="C1061" s="59"/>
      <c r="D1061" s="59"/>
      <c r="E1061" s="59"/>
      <c r="F1061" s="59"/>
      <c r="G1061" s="59"/>
      <c r="H1061" s="59"/>
      <c r="I1061" s="59"/>
      <c r="J1061" s="59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  <c r="AA1061" s="59"/>
      <c r="AB1061" s="59"/>
      <c r="AC1061" s="59"/>
    </row>
    <row r="1062" spans="2:29" s="62" customFormat="1" ht="13.8" hidden="1" x14ac:dyDescent="0.25">
      <c r="B1062" s="59"/>
      <c r="C1062" s="59"/>
      <c r="D1062" s="59"/>
      <c r="E1062" s="59"/>
      <c r="F1062" s="59"/>
      <c r="G1062" s="59"/>
      <c r="H1062" s="59"/>
      <c r="I1062" s="59"/>
      <c r="J1062" s="59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  <c r="AA1062" s="59"/>
      <c r="AB1062" s="59"/>
      <c r="AC1062" s="59"/>
    </row>
    <row r="1063" spans="2:29" s="62" customFormat="1" ht="13.8" hidden="1" x14ac:dyDescent="0.25">
      <c r="B1063" s="59"/>
      <c r="C1063" s="59"/>
      <c r="D1063" s="59"/>
      <c r="E1063" s="59"/>
      <c r="F1063" s="59"/>
      <c r="G1063" s="59"/>
      <c r="H1063" s="59"/>
      <c r="I1063" s="59"/>
      <c r="J1063" s="59"/>
      <c r="K1063" s="59"/>
      <c r="L1063" s="59"/>
      <c r="M1063" s="59"/>
      <c r="N1063" s="59"/>
      <c r="O1063" s="59"/>
      <c r="P1063" s="59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  <c r="AA1063" s="59"/>
      <c r="AB1063" s="59"/>
      <c r="AC1063" s="59"/>
    </row>
    <row r="1064" spans="2:29" s="62" customFormat="1" ht="13.8" hidden="1" x14ac:dyDescent="0.25">
      <c r="B1064" s="59"/>
      <c r="C1064" s="59"/>
      <c r="D1064" s="59"/>
      <c r="E1064" s="59"/>
      <c r="F1064" s="59"/>
      <c r="G1064" s="59"/>
      <c r="H1064" s="59"/>
      <c r="I1064" s="59"/>
      <c r="J1064" s="59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  <c r="AA1064" s="59"/>
      <c r="AB1064" s="59"/>
      <c r="AC1064" s="59"/>
    </row>
    <row r="1065" spans="2:29" s="62" customFormat="1" ht="13.8" hidden="1" x14ac:dyDescent="0.25">
      <c r="B1065" s="59"/>
      <c r="C1065" s="59"/>
      <c r="D1065" s="59"/>
      <c r="E1065" s="59"/>
      <c r="F1065" s="59"/>
      <c r="G1065" s="59"/>
      <c r="H1065" s="59"/>
      <c r="I1065" s="59"/>
      <c r="J1065" s="59"/>
      <c r="K1065" s="59"/>
      <c r="L1065" s="59"/>
      <c r="M1065" s="59"/>
      <c r="N1065" s="59"/>
      <c r="O1065" s="59"/>
      <c r="P1065" s="59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  <c r="AA1065" s="59"/>
      <c r="AB1065" s="59"/>
      <c r="AC1065" s="59"/>
    </row>
    <row r="1066" spans="2:29" s="62" customFormat="1" ht="13.8" hidden="1" x14ac:dyDescent="0.25">
      <c r="B1066" s="59"/>
      <c r="C1066" s="59"/>
      <c r="D1066" s="59"/>
      <c r="E1066" s="59"/>
      <c r="F1066" s="59"/>
      <c r="G1066" s="59"/>
      <c r="H1066" s="59"/>
      <c r="I1066" s="59"/>
      <c r="J1066" s="59"/>
      <c r="K1066" s="59"/>
      <c r="L1066" s="59"/>
      <c r="M1066" s="59"/>
      <c r="N1066" s="59"/>
      <c r="O1066" s="59"/>
      <c r="P1066" s="59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  <c r="AA1066" s="59"/>
      <c r="AB1066" s="59"/>
      <c r="AC1066" s="59"/>
    </row>
    <row r="1067" spans="2:29" s="62" customFormat="1" ht="13.8" hidden="1" x14ac:dyDescent="0.25">
      <c r="B1067" s="59"/>
      <c r="C1067" s="59"/>
      <c r="D1067" s="59"/>
      <c r="E1067" s="59"/>
      <c r="F1067" s="59"/>
      <c r="G1067" s="59"/>
      <c r="H1067" s="59"/>
      <c r="I1067" s="59"/>
      <c r="J1067" s="59"/>
      <c r="K1067" s="59"/>
      <c r="L1067" s="59"/>
      <c r="M1067" s="59"/>
      <c r="N1067" s="59"/>
      <c r="O1067" s="59"/>
      <c r="P1067" s="59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  <c r="AA1067" s="59"/>
      <c r="AB1067" s="59"/>
      <c r="AC1067" s="59"/>
    </row>
    <row r="1068" spans="2:29" s="62" customFormat="1" ht="13.8" hidden="1" x14ac:dyDescent="0.25">
      <c r="B1068" s="59"/>
      <c r="C1068" s="59"/>
      <c r="D1068" s="59"/>
      <c r="E1068" s="59"/>
      <c r="F1068" s="59"/>
      <c r="G1068" s="59"/>
      <c r="H1068" s="59"/>
      <c r="I1068" s="59"/>
      <c r="J1068" s="59"/>
      <c r="K1068" s="59"/>
      <c r="L1068" s="59"/>
      <c r="M1068" s="59"/>
      <c r="N1068" s="59"/>
      <c r="O1068" s="59"/>
      <c r="P1068" s="59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  <c r="AA1068" s="59"/>
      <c r="AB1068" s="59"/>
      <c r="AC1068" s="59"/>
    </row>
    <row r="1069" spans="2:29" s="62" customFormat="1" ht="13.8" hidden="1" x14ac:dyDescent="0.25">
      <c r="B1069" s="59"/>
      <c r="C1069" s="59"/>
      <c r="D1069" s="59"/>
      <c r="E1069" s="59"/>
      <c r="F1069" s="59"/>
      <c r="G1069" s="59"/>
      <c r="H1069" s="59"/>
      <c r="I1069" s="59"/>
      <c r="J1069" s="59"/>
      <c r="K1069" s="59"/>
      <c r="L1069" s="59"/>
      <c r="M1069" s="59"/>
      <c r="N1069" s="59"/>
      <c r="O1069" s="59"/>
      <c r="P1069" s="59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  <c r="AA1069" s="59"/>
      <c r="AB1069" s="59"/>
      <c r="AC1069" s="59"/>
    </row>
    <row r="1070" spans="2:29" s="62" customFormat="1" ht="13.8" hidden="1" x14ac:dyDescent="0.25">
      <c r="B1070" s="59"/>
      <c r="C1070" s="59"/>
      <c r="D1070" s="59"/>
      <c r="E1070" s="59"/>
      <c r="F1070" s="59"/>
      <c r="G1070" s="59"/>
      <c r="H1070" s="59"/>
      <c r="I1070" s="59"/>
      <c r="J1070" s="59"/>
      <c r="K1070" s="59"/>
      <c r="L1070" s="59"/>
      <c r="M1070" s="59"/>
      <c r="N1070" s="59"/>
      <c r="O1070" s="59"/>
      <c r="P1070" s="59"/>
      <c r="Q1070" s="59"/>
      <c r="R1070" s="59"/>
      <c r="S1070" s="59"/>
      <c r="T1070" s="59"/>
      <c r="U1070" s="59"/>
      <c r="V1070" s="59"/>
      <c r="W1070" s="59"/>
      <c r="X1070" s="59"/>
      <c r="Y1070" s="59"/>
      <c r="Z1070" s="59"/>
      <c r="AA1070" s="59"/>
      <c r="AB1070" s="59"/>
      <c r="AC1070" s="59"/>
    </row>
    <row r="1071" spans="2:29" s="62" customFormat="1" ht="13.8" hidden="1" x14ac:dyDescent="0.25">
      <c r="B1071" s="59"/>
      <c r="C1071" s="59"/>
      <c r="D1071" s="59"/>
      <c r="E1071" s="59"/>
      <c r="F1071" s="59"/>
      <c r="G1071" s="59"/>
      <c r="H1071" s="59"/>
      <c r="I1071" s="59"/>
      <c r="J1071" s="59"/>
      <c r="K1071" s="59"/>
      <c r="L1071" s="59"/>
      <c r="M1071" s="59"/>
      <c r="N1071" s="59"/>
      <c r="O1071" s="59"/>
      <c r="P1071" s="59"/>
      <c r="Q1071" s="59"/>
      <c r="R1071" s="59"/>
      <c r="S1071" s="59"/>
      <c r="T1071" s="59"/>
      <c r="U1071" s="59"/>
      <c r="V1071" s="59"/>
      <c r="W1071" s="59"/>
      <c r="X1071" s="59"/>
      <c r="Y1071" s="59"/>
      <c r="Z1071" s="59"/>
      <c r="AA1071" s="59"/>
      <c r="AB1071" s="59"/>
      <c r="AC1071" s="59"/>
    </row>
    <row r="1072" spans="2:29" s="62" customFormat="1" ht="13.8" hidden="1" x14ac:dyDescent="0.25">
      <c r="B1072" s="59"/>
      <c r="C1072" s="59"/>
      <c r="D1072" s="59"/>
      <c r="E1072" s="59"/>
      <c r="F1072" s="59"/>
      <c r="G1072" s="59"/>
      <c r="H1072" s="59"/>
      <c r="I1072" s="59"/>
      <c r="J1072" s="59"/>
      <c r="K1072" s="59"/>
      <c r="L1072" s="59"/>
      <c r="M1072" s="59"/>
      <c r="N1072" s="59"/>
      <c r="O1072" s="59"/>
      <c r="P1072" s="59"/>
      <c r="Q1072" s="59"/>
      <c r="R1072" s="59"/>
      <c r="S1072" s="59"/>
      <c r="T1072" s="59"/>
      <c r="U1072" s="59"/>
      <c r="V1072" s="59"/>
      <c r="W1072" s="59"/>
      <c r="X1072" s="59"/>
      <c r="Y1072" s="59"/>
      <c r="Z1072" s="59"/>
      <c r="AA1072" s="59"/>
      <c r="AB1072" s="59"/>
      <c r="AC1072" s="59"/>
    </row>
    <row r="1073" spans="2:29" s="62" customFormat="1" ht="13.8" hidden="1" x14ac:dyDescent="0.25">
      <c r="B1073" s="59"/>
      <c r="C1073" s="59"/>
      <c r="D1073" s="59"/>
      <c r="E1073" s="59"/>
      <c r="F1073" s="59"/>
      <c r="G1073" s="59"/>
      <c r="H1073" s="59"/>
      <c r="I1073" s="59"/>
      <c r="J1073" s="59"/>
      <c r="K1073" s="59"/>
      <c r="L1073" s="59"/>
      <c r="M1073" s="59"/>
      <c r="N1073" s="59"/>
      <c r="O1073" s="59"/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/>
      <c r="AB1073" s="59"/>
      <c r="AC1073" s="59"/>
    </row>
    <row r="1074" spans="2:29" s="62" customFormat="1" ht="13.8" hidden="1" x14ac:dyDescent="0.25">
      <c r="B1074" s="59"/>
      <c r="C1074" s="59"/>
      <c r="D1074" s="59"/>
      <c r="E1074" s="59"/>
      <c r="F1074" s="59"/>
      <c r="G1074" s="59"/>
      <c r="H1074" s="59"/>
      <c r="I1074" s="59"/>
      <c r="J1074" s="59"/>
      <c r="K1074" s="59"/>
      <c r="L1074" s="59"/>
      <c r="M1074" s="59"/>
      <c r="N1074" s="59"/>
      <c r="O1074" s="59"/>
      <c r="P1074" s="59"/>
      <c r="Q1074" s="59"/>
      <c r="R1074" s="59"/>
      <c r="S1074" s="59"/>
      <c r="T1074" s="59"/>
      <c r="U1074" s="59"/>
      <c r="V1074" s="59"/>
      <c r="W1074" s="59"/>
      <c r="X1074" s="59"/>
      <c r="Y1074" s="59"/>
      <c r="Z1074" s="59"/>
      <c r="AA1074" s="59"/>
      <c r="AB1074" s="59"/>
      <c r="AC1074" s="59"/>
    </row>
    <row r="1075" spans="2:29" s="62" customFormat="1" ht="13.8" hidden="1" x14ac:dyDescent="0.25">
      <c r="B1075" s="59"/>
      <c r="C1075" s="59"/>
      <c r="D1075" s="59"/>
      <c r="E1075" s="59"/>
      <c r="F1075" s="59"/>
      <c r="G1075" s="59"/>
      <c r="H1075" s="59"/>
      <c r="I1075" s="59"/>
      <c r="J1075" s="59"/>
      <c r="K1075" s="59"/>
      <c r="L1075" s="59"/>
      <c r="M1075" s="59"/>
      <c r="N1075" s="59"/>
      <c r="O1075" s="59"/>
      <c r="P1075" s="59"/>
      <c r="Q1075" s="59"/>
      <c r="R1075" s="59"/>
      <c r="S1075" s="59"/>
      <c r="T1075" s="59"/>
      <c r="U1075" s="59"/>
      <c r="V1075" s="59"/>
      <c r="W1075" s="59"/>
      <c r="X1075" s="59"/>
      <c r="Y1075" s="59"/>
      <c r="Z1075" s="59"/>
      <c r="AA1075" s="59"/>
      <c r="AB1075" s="59"/>
      <c r="AC1075" s="59"/>
    </row>
    <row r="1076" spans="2:29" s="62" customFormat="1" ht="13.8" hidden="1" x14ac:dyDescent="0.25">
      <c r="B1076" s="59"/>
      <c r="C1076" s="59"/>
      <c r="D1076" s="59"/>
      <c r="E1076" s="59"/>
      <c r="F1076" s="59"/>
      <c r="G1076" s="59"/>
      <c r="H1076" s="59"/>
      <c r="I1076" s="59"/>
      <c r="J1076" s="59"/>
      <c r="K1076" s="59"/>
      <c r="L1076" s="59"/>
      <c r="M1076" s="59"/>
      <c r="N1076" s="59"/>
      <c r="O1076" s="59"/>
      <c r="P1076" s="59"/>
      <c r="Q1076" s="59"/>
      <c r="R1076" s="59"/>
      <c r="S1076" s="59"/>
      <c r="T1076" s="59"/>
      <c r="U1076" s="59"/>
      <c r="V1076" s="59"/>
      <c r="W1076" s="59"/>
      <c r="X1076" s="59"/>
      <c r="Y1076" s="59"/>
      <c r="Z1076" s="59"/>
      <c r="AA1076" s="59"/>
      <c r="AB1076" s="59"/>
      <c r="AC1076" s="59"/>
    </row>
    <row r="1077" spans="2:29" s="62" customFormat="1" ht="13.8" hidden="1" x14ac:dyDescent="0.25">
      <c r="B1077" s="59"/>
      <c r="C1077" s="59"/>
      <c r="D1077" s="59"/>
      <c r="E1077" s="59"/>
      <c r="F1077" s="59"/>
      <c r="G1077" s="59"/>
      <c r="H1077" s="59"/>
      <c r="I1077" s="59"/>
      <c r="J1077" s="59"/>
      <c r="K1077" s="59"/>
      <c r="L1077" s="59"/>
      <c r="M1077" s="59"/>
      <c r="N1077" s="59"/>
      <c r="O1077" s="59"/>
      <c r="P1077" s="59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  <c r="AA1077" s="59"/>
      <c r="AB1077" s="59"/>
      <c r="AC1077" s="59"/>
    </row>
    <row r="1078" spans="2:29" s="62" customFormat="1" ht="13.8" hidden="1" x14ac:dyDescent="0.25">
      <c r="B1078" s="59"/>
      <c r="C1078" s="59"/>
      <c r="D1078" s="59"/>
      <c r="E1078" s="59"/>
      <c r="F1078" s="59"/>
      <c r="G1078" s="59"/>
      <c r="H1078" s="59"/>
      <c r="I1078" s="59"/>
      <c r="J1078" s="59"/>
      <c r="K1078" s="59"/>
      <c r="L1078" s="59"/>
      <c r="M1078" s="59"/>
      <c r="N1078" s="59"/>
      <c r="O1078" s="59"/>
      <c r="P1078" s="59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  <c r="AA1078" s="59"/>
      <c r="AB1078" s="59"/>
      <c r="AC1078" s="59"/>
    </row>
    <row r="1079" spans="2:29" s="62" customFormat="1" ht="13.8" hidden="1" x14ac:dyDescent="0.25">
      <c r="B1079" s="59"/>
      <c r="C1079" s="59"/>
      <c r="D1079" s="59"/>
      <c r="E1079" s="59"/>
      <c r="F1079" s="59"/>
      <c r="G1079" s="59"/>
      <c r="H1079" s="59"/>
      <c r="I1079" s="59"/>
      <c r="J1079" s="59"/>
      <c r="K1079" s="59"/>
      <c r="L1079" s="59"/>
      <c r="M1079" s="59"/>
      <c r="N1079" s="59"/>
      <c r="O1079" s="59"/>
      <c r="P1079" s="59"/>
      <c r="Q1079" s="59"/>
      <c r="R1079" s="59"/>
      <c r="S1079" s="59"/>
      <c r="T1079" s="59"/>
      <c r="U1079" s="59"/>
      <c r="V1079" s="59"/>
      <c r="W1079" s="59"/>
      <c r="X1079" s="59"/>
      <c r="Y1079" s="59"/>
      <c r="Z1079" s="59"/>
      <c r="AA1079" s="59"/>
      <c r="AB1079" s="59"/>
      <c r="AC1079" s="59"/>
    </row>
    <row r="1080" spans="2:29" s="62" customFormat="1" ht="13.8" hidden="1" x14ac:dyDescent="0.25">
      <c r="B1080" s="59"/>
      <c r="C1080" s="59"/>
      <c r="D1080" s="59"/>
      <c r="E1080" s="59"/>
      <c r="F1080" s="59"/>
      <c r="G1080" s="59"/>
      <c r="H1080" s="59"/>
      <c r="I1080" s="59"/>
      <c r="J1080" s="59"/>
      <c r="K1080" s="59"/>
      <c r="L1080" s="59"/>
      <c r="M1080" s="59"/>
      <c r="N1080" s="59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</row>
    <row r="1081" spans="2:29" s="62" customFormat="1" ht="13.8" hidden="1" x14ac:dyDescent="0.25">
      <c r="B1081" s="59"/>
      <c r="C1081" s="59"/>
      <c r="D1081" s="59"/>
      <c r="E1081" s="59"/>
      <c r="F1081" s="59"/>
      <c r="G1081" s="59"/>
      <c r="H1081" s="59"/>
      <c r="I1081" s="59"/>
      <c r="J1081" s="59"/>
      <c r="K1081" s="59"/>
      <c r="L1081" s="59"/>
      <c r="M1081" s="59"/>
      <c r="N1081" s="59"/>
      <c r="O1081" s="59"/>
      <c r="P1081" s="59"/>
      <c r="Q1081" s="59"/>
      <c r="R1081" s="59"/>
      <c r="S1081" s="59"/>
      <c r="T1081" s="59"/>
      <c r="U1081" s="59"/>
      <c r="V1081" s="59"/>
      <c r="W1081" s="59"/>
      <c r="X1081" s="59"/>
      <c r="Y1081" s="59"/>
      <c r="Z1081" s="59"/>
      <c r="AA1081" s="59"/>
      <c r="AB1081" s="59"/>
      <c r="AC1081" s="59"/>
    </row>
    <row r="1082" spans="2:29" s="62" customFormat="1" ht="13.8" hidden="1" x14ac:dyDescent="0.25">
      <c r="B1082" s="59"/>
      <c r="C1082" s="59"/>
      <c r="D1082" s="59"/>
      <c r="E1082" s="59"/>
      <c r="F1082" s="59"/>
      <c r="G1082" s="59"/>
      <c r="H1082" s="59"/>
      <c r="I1082" s="59"/>
      <c r="J1082" s="59"/>
      <c r="K1082" s="59"/>
      <c r="L1082" s="59"/>
      <c r="M1082" s="59"/>
      <c r="N1082" s="59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</row>
    <row r="1083" spans="2:29" s="62" customFormat="1" ht="13.8" hidden="1" x14ac:dyDescent="0.25">
      <c r="B1083" s="59"/>
      <c r="C1083" s="59"/>
      <c r="D1083" s="59"/>
      <c r="E1083" s="59"/>
      <c r="F1083" s="59"/>
      <c r="G1083" s="59"/>
      <c r="H1083" s="59"/>
      <c r="I1083" s="59"/>
      <c r="J1083" s="59"/>
      <c r="K1083" s="59"/>
      <c r="L1083" s="59"/>
      <c r="M1083" s="59"/>
      <c r="N1083" s="59"/>
      <c r="O1083" s="59"/>
      <c r="P1083" s="59"/>
      <c r="Q1083" s="59"/>
      <c r="R1083" s="59"/>
      <c r="S1083" s="59"/>
      <c r="T1083" s="59"/>
      <c r="U1083" s="59"/>
      <c r="V1083" s="59"/>
      <c r="W1083" s="59"/>
      <c r="X1083" s="59"/>
      <c r="Y1083" s="59"/>
      <c r="Z1083" s="59"/>
      <c r="AA1083" s="59"/>
      <c r="AB1083" s="59"/>
      <c r="AC1083" s="59"/>
    </row>
    <row r="1084" spans="2:29" s="62" customFormat="1" ht="13.8" hidden="1" x14ac:dyDescent="0.25">
      <c r="B1084" s="59"/>
      <c r="C1084" s="59"/>
      <c r="D1084" s="59"/>
      <c r="E1084" s="59"/>
      <c r="F1084" s="59"/>
      <c r="G1084" s="59"/>
      <c r="H1084" s="59"/>
      <c r="I1084" s="59"/>
      <c r="J1084" s="59"/>
      <c r="K1084" s="59"/>
      <c r="L1084" s="59"/>
      <c r="M1084" s="59"/>
      <c r="N1084" s="59"/>
      <c r="O1084" s="59"/>
      <c r="P1084" s="59"/>
      <c r="Q1084" s="59"/>
      <c r="R1084" s="59"/>
      <c r="S1084" s="59"/>
      <c r="T1084" s="59"/>
      <c r="U1084" s="59"/>
      <c r="V1084" s="59"/>
      <c r="W1084" s="59"/>
      <c r="X1084" s="59"/>
      <c r="Y1084" s="59"/>
      <c r="Z1084" s="59"/>
      <c r="AA1084" s="59"/>
      <c r="AB1084" s="59"/>
      <c r="AC1084" s="59"/>
    </row>
    <row r="1085" spans="2:29" s="62" customFormat="1" ht="13.8" hidden="1" x14ac:dyDescent="0.25">
      <c r="B1085" s="59"/>
      <c r="C1085" s="59"/>
      <c r="D1085" s="59"/>
      <c r="E1085" s="59"/>
      <c r="F1085" s="59"/>
      <c r="G1085" s="59"/>
      <c r="H1085" s="59"/>
      <c r="I1085" s="59"/>
      <c r="J1085" s="59"/>
      <c r="K1085" s="59"/>
      <c r="L1085" s="59"/>
      <c r="M1085" s="59"/>
      <c r="N1085" s="59"/>
      <c r="O1085" s="59"/>
      <c r="P1085" s="59"/>
      <c r="Q1085" s="59"/>
      <c r="R1085" s="59"/>
      <c r="S1085" s="59"/>
      <c r="T1085" s="59"/>
      <c r="U1085" s="59"/>
      <c r="V1085" s="59"/>
      <c r="W1085" s="59"/>
      <c r="X1085" s="59"/>
      <c r="Y1085" s="59"/>
      <c r="Z1085" s="59"/>
      <c r="AA1085" s="59"/>
      <c r="AB1085" s="59"/>
      <c r="AC1085" s="59"/>
    </row>
    <row r="1086" spans="2:29" s="62" customFormat="1" ht="13.8" hidden="1" x14ac:dyDescent="0.25">
      <c r="B1086" s="59"/>
      <c r="C1086" s="59"/>
      <c r="D1086" s="59"/>
      <c r="E1086" s="59"/>
      <c r="F1086" s="59"/>
      <c r="G1086" s="59"/>
      <c r="H1086" s="59"/>
      <c r="I1086" s="59"/>
      <c r="J1086" s="59"/>
      <c r="K1086" s="59"/>
      <c r="L1086" s="59"/>
      <c r="M1086" s="59"/>
      <c r="N1086" s="59"/>
      <c r="O1086" s="59"/>
      <c r="P1086" s="59"/>
      <c r="Q1086" s="59"/>
      <c r="R1086" s="59"/>
      <c r="S1086" s="59"/>
      <c r="T1086" s="59"/>
      <c r="U1086" s="59"/>
      <c r="V1086" s="59"/>
      <c r="W1086" s="59"/>
      <c r="X1086" s="59"/>
      <c r="Y1086" s="59"/>
      <c r="Z1086" s="59"/>
      <c r="AA1086" s="59"/>
      <c r="AB1086" s="59"/>
      <c r="AC1086" s="59"/>
    </row>
    <row r="1087" spans="2:29" s="62" customFormat="1" ht="13.8" hidden="1" x14ac:dyDescent="0.25">
      <c r="B1087" s="59"/>
      <c r="C1087" s="59"/>
      <c r="D1087" s="59"/>
      <c r="E1087" s="59"/>
      <c r="F1087" s="59"/>
      <c r="G1087" s="59"/>
      <c r="H1087" s="59"/>
      <c r="I1087" s="59"/>
      <c r="J1087" s="59"/>
      <c r="K1087" s="59"/>
      <c r="L1087" s="59"/>
      <c r="M1087" s="59"/>
      <c r="N1087" s="59"/>
      <c r="O1087" s="59"/>
      <c r="P1087" s="59"/>
      <c r="Q1087" s="59"/>
      <c r="R1087" s="59"/>
      <c r="S1087" s="59"/>
      <c r="T1087" s="59"/>
      <c r="U1087" s="59"/>
      <c r="V1087" s="59"/>
      <c r="W1087" s="59"/>
      <c r="X1087" s="59"/>
      <c r="Y1087" s="59"/>
      <c r="Z1087" s="59"/>
      <c r="AA1087" s="59"/>
      <c r="AB1087" s="59"/>
      <c r="AC1087" s="59"/>
    </row>
    <row r="1088" spans="2:29" s="62" customFormat="1" ht="13.8" hidden="1" x14ac:dyDescent="0.25">
      <c r="B1088" s="59"/>
      <c r="C1088" s="59"/>
      <c r="D1088" s="59"/>
      <c r="E1088" s="59"/>
      <c r="F1088" s="59"/>
      <c r="G1088" s="59"/>
      <c r="H1088" s="59"/>
      <c r="I1088" s="59"/>
      <c r="J1088" s="59"/>
      <c r="K1088" s="59"/>
      <c r="L1088" s="59"/>
      <c r="M1088" s="59"/>
      <c r="N1088" s="59"/>
      <c r="O1088" s="59"/>
      <c r="P1088" s="59"/>
      <c r="Q1088" s="59"/>
      <c r="R1088" s="59"/>
      <c r="S1088" s="59"/>
      <c r="T1088" s="59"/>
      <c r="U1088" s="59"/>
      <c r="V1088" s="59"/>
      <c r="W1088" s="59"/>
      <c r="X1088" s="59"/>
      <c r="Y1088" s="59"/>
      <c r="Z1088" s="59"/>
      <c r="AA1088" s="59"/>
      <c r="AB1088" s="59"/>
      <c r="AC1088" s="59"/>
    </row>
    <row r="1089" spans="2:29" s="62" customFormat="1" ht="13.8" hidden="1" x14ac:dyDescent="0.25">
      <c r="B1089" s="59"/>
      <c r="C1089" s="59"/>
      <c r="D1089" s="59"/>
      <c r="E1089" s="59"/>
      <c r="F1089" s="59"/>
      <c r="G1089" s="59"/>
      <c r="H1089" s="59"/>
      <c r="I1089" s="59"/>
      <c r="J1089" s="59"/>
      <c r="K1089" s="59"/>
      <c r="L1089" s="59"/>
      <c r="M1089" s="59"/>
      <c r="N1089" s="59"/>
      <c r="O1089" s="59"/>
      <c r="P1089" s="59"/>
      <c r="Q1089" s="59"/>
      <c r="R1089" s="59"/>
      <c r="S1089" s="59"/>
      <c r="T1089" s="59"/>
      <c r="U1089" s="59"/>
      <c r="V1089" s="59"/>
      <c r="W1089" s="59"/>
      <c r="X1089" s="59"/>
      <c r="Y1089" s="59"/>
      <c r="Z1089" s="59"/>
      <c r="AA1089" s="59"/>
      <c r="AB1089" s="59"/>
      <c r="AC1089" s="59"/>
    </row>
    <row r="1090" spans="2:29" s="62" customFormat="1" ht="13.8" hidden="1" x14ac:dyDescent="0.25">
      <c r="B1090" s="59"/>
      <c r="C1090" s="59"/>
      <c r="D1090" s="59"/>
      <c r="E1090" s="59"/>
      <c r="F1090" s="59"/>
      <c r="G1090" s="59"/>
      <c r="H1090" s="59"/>
      <c r="I1090" s="59"/>
      <c r="J1090" s="59"/>
      <c r="K1090" s="59"/>
      <c r="L1090" s="59"/>
      <c r="M1090" s="59"/>
      <c r="N1090" s="59"/>
      <c r="O1090" s="59"/>
      <c r="P1090" s="59"/>
      <c r="Q1090" s="59"/>
      <c r="R1090" s="59"/>
      <c r="S1090" s="59"/>
      <c r="T1090" s="59"/>
      <c r="U1090" s="59"/>
      <c r="V1090" s="59"/>
      <c r="W1090" s="59"/>
      <c r="X1090" s="59"/>
      <c r="Y1090" s="59"/>
      <c r="Z1090" s="59"/>
      <c r="AA1090" s="59"/>
      <c r="AB1090" s="59"/>
      <c r="AC1090" s="59"/>
    </row>
    <row r="1091" spans="2:29" s="62" customFormat="1" ht="13.8" hidden="1" x14ac:dyDescent="0.25">
      <c r="B1091" s="59"/>
      <c r="C1091" s="59"/>
      <c r="D1091" s="59"/>
      <c r="E1091" s="59"/>
      <c r="F1091" s="59"/>
      <c r="G1091" s="59"/>
      <c r="H1091" s="59"/>
      <c r="I1091" s="59"/>
      <c r="J1091" s="59"/>
      <c r="K1091" s="59"/>
      <c r="L1091" s="59"/>
      <c r="M1091" s="59"/>
      <c r="N1091" s="59"/>
      <c r="O1091" s="59"/>
      <c r="P1091" s="59"/>
      <c r="Q1091" s="59"/>
      <c r="R1091" s="59"/>
      <c r="S1091" s="59"/>
      <c r="T1091" s="59"/>
      <c r="U1091" s="59"/>
      <c r="V1091" s="59"/>
      <c r="W1091" s="59"/>
      <c r="X1091" s="59"/>
      <c r="Y1091" s="59"/>
      <c r="Z1091" s="59"/>
      <c r="AA1091" s="59"/>
      <c r="AB1091" s="59"/>
      <c r="AC1091" s="59"/>
    </row>
    <row r="1092" spans="2:29" s="62" customFormat="1" ht="13.8" hidden="1" x14ac:dyDescent="0.25">
      <c r="B1092" s="59"/>
      <c r="C1092" s="59"/>
      <c r="D1092" s="59"/>
      <c r="E1092" s="59"/>
      <c r="F1092" s="59"/>
      <c r="G1092" s="59"/>
      <c r="H1092" s="59"/>
      <c r="I1092" s="59"/>
      <c r="J1092" s="59"/>
      <c r="K1092" s="59"/>
      <c r="L1092" s="59"/>
      <c r="M1092" s="59"/>
      <c r="N1092" s="59"/>
      <c r="O1092" s="59"/>
      <c r="P1092" s="59"/>
      <c r="Q1092" s="59"/>
      <c r="R1092" s="59"/>
      <c r="S1092" s="59"/>
      <c r="T1092" s="59"/>
      <c r="U1092" s="59"/>
      <c r="V1092" s="59"/>
      <c r="W1092" s="59"/>
      <c r="X1092" s="59"/>
      <c r="Y1092" s="59"/>
      <c r="Z1092" s="59"/>
      <c r="AA1092" s="59"/>
      <c r="AB1092" s="59"/>
      <c r="AC1092" s="59"/>
    </row>
    <row r="1093" spans="2:29" s="62" customFormat="1" ht="13.8" hidden="1" x14ac:dyDescent="0.25">
      <c r="B1093" s="59"/>
      <c r="C1093" s="59"/>
      <c r="D1093" s="59"/>
      <c r="E1093" s="59"/>
      <c r="F1093" s="59"/>
      <c r="G1093" s="59"/>
      <c r="H1093" s="59"/>
      <c r="I1093" s="59"/>
      <c r="J1093" s="59"/>
      <c r="K1093" s="59"/>
      <c r="L1093" s="59"/>
      <c r="M1093" s="59"/>
      <c r="N1093" s="59"/>
      <c r="O1093" s="59"/>
      <c r="P1093" s="59"/>
      <c r="Q1093" s="59"/>
      <c r="R1093" s="59"/>
      <c r="S1093" s="59"/>
      <c r="T1093" s="59"/>
      <c r="U1093" s="59"/>
      <c r="V1093" s="59"/>
      <c r="W1093" s="59"/>
      <c r="X1093" s="59"/>
      <c r="Y1093" s="59"/>
      <c r="Z1093" s="59"/>
      <c r="AA1093" s="59"/>
      <c r="AB1093" s="59"/>
      <c r="AC1093" s="59"/>
    </row>
    <row r="1094" spans="2:29" s="62" customFormat="1" ht="13.8" hidden="1" x14ac:dyDescent="0.25">
      <c r="B1094" s="59"/>
      <c r="C1094" s="59"/>
      <c r="D1094" s="59"/>
      <c r="E1094" s="59"/>
      <c r="F1094" s="59"/>
      <c r="G1094" s="59"/>
      <c r="H1094" s="59"/>
      <c r="I1094" s="59"/>
      <c r="J1094" s="59"/>
      <c r="K1094" s="59"/>
      <c r="L1094" s="59"/>
      <c r="M1094" s="59"/>
      <c r="N1094" s="59"/>
      <c r="O1094" s="59"/>
      <c r="P1094" s="59"/>
      <c r="Q1094" s="59"/>
      <c r="R1094" s="59"/>
      <c r="S1094" s="59"/>
      <c r="T1094" s="59"/>
      <c r="U1094" s="59"/>
      <c r="V1094" s="59"/>
      <c r="W1094" s="59"/>
      <c r="X1094" s="59"/>
      <c r="Y1094" s="59"/>
      <c r="Z1094" s="59"/>
      <c r="AA1094" s="59"/>
      <c r="AB1094" s="59"/>
      <c r="AC1094" s="59"/>
    </row>
    <row r="1095" spans="2:29" s="62" customFormat="1" ht="13.8" hidden="1" x14ac:dyDescent="0.25">
      <c r="B1095" s="59"/>
      <c r="C1095" s="59"/>
      <c r="D1095" s="59"/>
      <c r="E1095" s="59"/>
      <c r="F1095" s="59"/>
      <c r="G1095" s="59"/>
      <c r="H1095" s="59"/>
      <c r="I1095" s="59"/>
      <c r="J1095" s="59"/>
      <c r="K1095" s="59"/>
      <c r="L1095" s="59"/>
      <c r="M1095" s="59"/>
      <c r="N1095" s="59"/>
      <c r="O1095" s="59"/>
      <c r="P1095" s="59"/>
      <c r="Q1095" s="59"/>
      <c r="R1095" s="59"/>
      <c r="S1095" s="59"/>
      <c r="T1095" s="59"/>
      <c r="U1095" s="59"/>
      <c r="V1095" s="59"/>
      <c r="W1095" s="59"/>
      <c r="X1095" s="59"/>
      <c r="Y1095" s="59"/>
      <c r="Z1095" s="59"/>
      <c r="AA1095" s="59"/>
      <c r="AB1095" s="59"/>
      <c r="AC1095" s="59"/>
    </row>
    <row r="1096" spans="2:29" s="62" customFormat="1" ht="13.8" hidden="1" x14ac:dyDescent="0.25">
      <c r="B1096" s="59"/>
      <c r="C1096" s="59"/>
      <c r="D1096" s="59"/>
      <c r="E1096" s="59"/>
      <c r="F1096" s="59"/>
      <c r="G1096" s="59"/>
      <c r="H1096" s="59"/>
      <c r="I1096" s="59"/>
      <c r="J1096" s="59"/>
      <c r="K1096" s="59"/>
      <c r="L1096" s="59"/>
      <c r="M1096" s="59"/>
      <c r="N1096" s="59"/>
      <c r="O1096" s="59"/>
      <c r="P1096" s="59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  <c r="AA1096" s="59"/>
      <c r="AB1096" s="59"/>
      <c r="AC1096" s="59"/>
    </row>
    <row r="1097" spans="2:29" s="62" customFormat="1" ht="13.8" hidden="1" x14ac:dyDescent="0.25">
      <c r="B1097" s="59"/>
      <c r="C1097" s="59"/>
      <c r="D1097" s="59"/>
      <c r="E1097" s="59"/>
      <c r="F1097" s="59"/>
      <c r="G1097" s="59"/>
      <c r="H1097" s="59"/>
      <c r="I1097" s="59"/>
      <c r="J1097" s="59"/>
      <c r="K1097" s="59"/>
      <c r="L1097" s="59"/>
      <c r="M1097" s="59"/>
      <c r="N1097" s="59"/>
      <c r="O1097" s="59"/>
      <c r="P1097" s="59"/>
      <c r="Q1097" s="59"/>
      <c r="R1097" s="59"/>
      <c r="S1097" s="59"/>
      <c r="T1097" s="59"/>
      <c r="U1097" s="59"/>
      <c r="V1097" s="59"/>
      <c r="W1097" s="59"/>
      <c r="X1097" s="59"/>
      <c r="Y1097" s="59"/>
      <c r="Z1097" s="59"/>
      <c r="AA1097" s="59"/>
      <c r="AB1097" s="59"/>
      <c r="AC1097" s="59"/>
    </row>
    <row r="1098" spans="2:29" s="62" customFormat="1" ht="13.8" hidden="1" x14ac:dyDescent="0.25">
      <c r="B1098" s="59"/>
      <c r="C1098" s="59"/>
      <c r="D1098" s="59"/>
      <c r="E1098" s="59"/>
      <c r="F1098" s="59"/>
      <c r="G1098" s="59"/>
      <c r="H1098" s="59"/>
      <c r="I1098" s="59"/>
      <c r="J1098" s="59"/>
      <c r="K1098" s="59"/>
      <c r="L1098" s="59"/>
      <c r="M1098" s="59"/>
      <c r="N1098" s="59"/>
      <c r="O1098" s="59"/>
      <c r="P1098" s="59"/>
      <c r="Q1098" s="59"/>
      <c r="R1098" s="59"/>
      <c r="S1098" s="59"/>
      <c r="T1098" s="59"/>
      <c r="U1098" s="59"/>
      <c r="V1098" s="59"/>
      <c r="W1098" s="59"/>
      <c r="X1098" s="59"/>
      <c r="Y1098" s="59"/>
      <c r="Z1098" s="59"/>
      <c r="AA1098" s="59"/>
      <c r="AB1098" s="59"/>
      <c r="AC1098" s="59"/>
    </row>
    <row r="1099" spans="2:29" s="62" customFormat="1" ht="13.8" hidden="1" x14ac:dyDescent="0.25">
      <c r="B1099" s="59"/>
      <c r="C1099" s="59"/>
      <c r="D1099" s="59"/>
      <c r="E1099" s="59"/>
      <c r="F1099" s="59"/>
      <c r="G1099" s="59"/>
      <c r="H1099" s="59"/>
      <c r="I1099" s="59"/>
      <c r="J1099" s="59"/>
      <c r="K1099" s="59"/>
      <c r="L1099" s="59"/>
      <c r="M1099" s="59"/>
      <c r="N1099" s="59"/>
      <c r="O1099" s="59"/>
      <c r="P1099" s="59"/>
      <c r="Q1099" s="59"/>
      <c r="R1099" s="59"/>
      <c r="S1099" s="59"/>
      <c r="T1099" s="59"/>
      <c r="U1099" s="59"/>
      <c r="V1099" s="59"/>
      <c r="W1099" s="59"/>
      <c r="X1099" s="59"/>
      <c r="Y1099" s="59"/>
      <c r="Z1099" s="59"/>
      <c r="AA1099" s="59"/>
      <c r="AB1099" s="59"/>
      <c r="AC1099" s="59"/>
    </row>
    <row r="1100" spans="2:29" s="62" customFormat="1" ht="13.8" hidden="1" x14ac:dyDescent="0.25">
      <c r="B1100" s="59"/>
      <c r="C1100" s="59"/>
      <c r="D1100" s="59"/>
      <c r="E1100" s="59"/>
      <c r="F1100" s="59"/>
      <c r="G1100" s="59"/>
      <c r="H1100" s="59"/>
      <c r="I1100" s="59"/>
      <c r="J1100" s="59"/>
      <c r="K1100" s="59"/>
      <c r="L1100" s="59"/>
      <c r="M1100" s="59"/>
      <c r="N1100" s="59"/>
      <c r="O1100" s="59"/>
      <c r="P1100" s="59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  <c r="AA1100" s="59"/>
      <c r="AB1100" s="59"/>
      <c r="AC1100" s="59"/>
    </row>
    <row r="1101" spans="2:29" s="62" customFormat="1" ht="13.8" hidden="1" x14ac:dyDescent="0.25">
      <c r="B1101" s="59"/>
      <c r="C1101" s="59"/>
      <c r="D1101" s="59"/>
      <c r="E1101" s="59"/>
      <c r="F1101" s="59"/>
      <c r="G1101" s="59"/>
      <c r="H1101" s="59"/>
      <c r="I1101" s="59"/>
      <c r="J1101" s="59"/>
      <c r="K1101" s="59"/>
      <c r="L1101" s="59"/>
      <c r="M1101" s="59"/>
      <c r="N1101" s="59"/>
      <c r="O1101" s="59"/>
      <c r="P1101" s="59"/>
      <c r="Q1101" s="59"/>
      <c r="R1101" s="59"/>
      <c r="S1101" s="59"/>
      <c r="T1101" s="59"/>
      <c r="U1101" s="59"/>
      <c r="V1101" s="59"/>
      <c r="W1101" s="59"/>
      <c r="X1101" s="59"/>
      <c r="Y1101" s="59"/>
      <c r="Z1101" s="59"/>
      <c r="AA1101" s="59"/>
      <c r="AB1101" s="59"/>
      <c r="AC1101" s="59"/>
    </row>
    <row r="1102" spans="2:29" s="62" customFormat="1" ht="13.8" hidden="1" x14ac:dyDescent="0.25">
      <c r="B1102" s="59"/>
      <c r="C1102" s="59"/>
      <c r="D1102" s="59"/>
      <c r="E1102" s="59"/>
      <c r="F1102" s="59"/>
      <c r="G1102" s="59"/>
      <c r="H1102" s="59"/>
      <c r="I1102" s="59"/>
      <c r="J1102" s="59"/>
      <c r="K1102" s="59"/>
      <c r="L1102" s="59"/>
      <c r="M1102" s="59"/>
      <c r="N1102" s="59"/>
      <c r="O1102" s="59"/>
      <c r="P1102" s="59"/>
      <c r="Q1102" s="59"/>
      <c r="R1102" s="59"/>
      <c r="S1102" s="59"/>
      <c r="T1102" s="59"/>
      <c r="U1102" s="59"/>
      <c r="V1102" s="59"/>
      <c r="W1102" s="59"/>
      <c r="X1102" s="59"/>
      <c r="Y1102" s="59"/>
      <c r="Z1102" s="59"/>
      <c r="AA1102" s="59"/>
      <c r="AB1102" s="59"/>
      <c r="AC1102" s="59"/>
    </row>
    <row r="1103" spans="2:29" s="62" customFormat="1" ht="13.8" hidden="1" x14ac:dyDescent="0.25">
      <c r="B1103" s="59"/>
      <c r="C1103" s="59"/>
      <c r="D1103" s="59"/>
      <c r="E1103" s="59"/>
      <c r="F1103" s="59"/>
      <c r="G1103" s="59"/>
      <c r="H1103" s="59"/>
      <c r="I1103" s="59"/>
      <c r="J1103" s="59"/>
      <c r="K1103" s="59"/>
      <c r="L1103" s="59"/>
      <c r="M1103" s="59"/>
      <c r="N1103" s="59"/>
      <c r="O1103" s="59"/>
      <c r="P1103" s="59"/>
      <c r="Q1103" s="59"/>
      <c r="R1103" s="59"/>
      <c r="S1103" s="59"/>
      <c r="T1103" s="59"/>
      <c r="U1103" s="59"/>
      <c r="V1103" s="59"/>
      <c r="W1103" s="59"/>
      <c r="X1103" s="59"/>
      <c r="Y1103" s="59"/>
      <c r="Z1103" s="59"/>
      <c r="AA1103" s="59"/>
      <c r="AB1103" s="59"/>
      <c r="AC1103" s="59"/>
    </row>
    <row r="1104" spans="2:29" s="62" customFormat="1" ht="13.8" hidden="1" x14ac:dyDescent="0.25">
      <c r="B1104" s="59"/>
      <c r="C1104" s="59"/>
      <c r="D1104" s="59"/>
      <c r="E1104" s="59"/>
      <c r="F1104" s="59"/>
      <c r="G1104" s="59"/>
      <c r="H1104" s="59"/>
      <c r="I1104" s="59"/>
      <c r="J1104" s="59"/>
      <c r="K1104" s="59"/>
      <c r="L1104" s="59"/>
      <c r="M1104" s="59"/>
      <c r="N1104" s="59"/>
      <c r="O1104" s="59"/>
      <c r="P1104" s="59"/>
      <c r="Q1104" s="59"/>
      <c r="R1104" s="59"/>
      <c r="S1104" s="59"/>
      <c r="T1104" s="59"/>
      <c r="U1104" s="59"/>
      <c r="V1104" s="59"/>
      <c r="W1104" s="59"/>
      <c r="X1104" s="59"/>
      <c r="Y1104" s="59"/>
      <c r="Z1104" s="59"/>
      <c r="AA1104" s="59"/>
      <c r="AB1104" s="59"/>
      <c r="AC1104" s="59"/>
    </row>
    <row r="1105" spans="2:29" s="62" customFormat="1" ht="13.8" hidden="1" x14ac:dyDescent="0.25">
      <c r="B1105" s="59"/>
      <c r="C1105" s="59"/>
      <c r="D1105" s="59"/>
      <c r="E1105" s="59"/>
      <c r="F1105" s="59"/>
      <c r="G1105" s="59"/>
      <c r="H1105" s="59"/>
      <c r="I1105" s="59"/>
      <c r="J1105" s="59"/>
      <c r="K1105" s="59"/>
      <c r="L1105" s="59"/>
      <c r="M1105" s="59"/>
      <c r="N1105" s="59"/>
      <c r="O1105" s="59"/>
      <c r="P1105" s="59"/>
      <c r="Q1105" s="59"/>
      <c r="R1105" s="59"/>
      <c r="S1105" s="59"/>
      <c r="T1105" s="59"/>
      <c r="U1105" s="59"/>
      <c r="V1105" s="59"/>
      <c r="W1105" s="59"/>
      <c r="X1105" s="59"/>
      <c r="Y1105" s="59"/>
      <c r="Z1105" s="59"/>
      <c r="AA1105" s="59"/>
      <c r="AB1105" s="59"/>
      <c r="AC1105" s="59"/>
    </row>
    <row r="1106" spans="2:29" s="62" customFormat="1" ht="13.8" hidden="1" x14ac:dyDescent="0.25">
      <c r="B1106" s="59"/>
      <c r="C1106" s="59"/>
      <c r="D1106" s="59"/>
      <c r="E1106" s="59"/>
      <c r="F1106" s="59"/>
      <c r="G1106" s="59"/>
      <c r="H1106" s="59"/>
      <c r="I1106" s="59"/>
      <c r="J1106" s="59"/>
      <c r="K1106" s="59"/>
      <c r="L1106" s="59"/>
      <c r="M1106" s="59"/>
      <c r="N1106" s="59"/>
      <c r="O1106" s="59"/>
      <c r="P1106" s="59"/>
      <c r="Q1106" s="59"/>
      <c r="R1106" s="59"/>
      <c r="S1106" s="59"/>
      <c r="T1106" s="59"/>
      <c r="U1106" s="59"/>
      <c r="V1106" s="59"/>
      <c r="W1106" s="59"/>
      <c r="X1106" s="59"/>
      <c r="Y1106" s="59"/>
      <c r="Z1106" s="59"/>
      <c r="AA1106" s="59"/>
      <c r="AB1106" s="59"/>
      <c r="AC1106" s="59"/>
    </row>
    <row r="1107" spans="2:29" s="62" customFormat="1" ht="13.8" hidden="1" x14ac:dyDescent="0.25">
      <c r="B1107" s="59"/>
      <c r="C1107" s="59"/>
      <c r="D1107" s="59"/>
      <c r="E1107" s="59"/>
      <c r="F1107" s="59"/>
      <c r="G1107" s="59"/>
      <c r="H1107" s="59"/>
      <c r="I1107" s="59"/>
      <c r="J1107" s="59"/>
      <c r="K1107" s="59"/>
      <c r="L1107" s="59"/>
      <c r="M1107" s="59"/>
      <c r="N1107" s="59"/>
      <c r="O1107" s="59"/>
      <c r="P1107" s="59"/>
      <c r="Q1107" s="59"/>
      <c r="R1107" s="59"/>
      <c r="S1107" s="59"/>
      <c r="T1107" s="59"/>
      <c r="U1107" s="59"/>
      <c r="V1107" s="59"/>
      <c r="W1107" s="59"/>
      <c r="X1107" s="59"/>
      <c r="Y1107" s="59"/>
      <c r="Z1107" s="59"/>
      <c r="AA1107" s="59"/>
      <c r="AB1107" s="59"/>
      <c r="AC1107" s="59"/>
    </row>
    <row r="1108" spans="2:29" s="62" customFormat="1" ht="13.8" hidden="1" x14ac:dyDescent="0.25">
      <c r="B1108" s="59"/>
      <c r="C1108" s="59"/>
      <c r="D1108" s="59"/>
      <c r="E1108" s="59"/>
      <c r="F1108" s="59"/>
      <c r="G1108" s="59"/>
      <c r="H1108" s="59"/>
      <c r="I1108" s="59"/>
      <c r="J1108" s="59"/>
      <c r="K1108" s="59"/>
      <c r="L1108" s="59"/>
      <c r="M1108" s="59"/>
      <c r="N1108" s="59"/>
      <c r="O1108" s="59"/>
      <c r="P1108" s="59"/>
      <c r="Q1108" s="59"/>
      <c r="R1108" s="59"/>
      <c r="S1108" s="59"/>
      <c r="T1108" s="59"/>
      <c r="U1108" s="59"/>
      <c r="V1108" s="59"/>
      <c r="W1108" s="59"/>
      <c r="X1108" s="59"/>
      <c r="Y1108" s="59"/>
      <c r="Z1108" s="59"/>
      <c r="AA1108" s="59"/>
      <c r="AB1108" s="59"/>
      <c r="AC1108" s="59"/>
    </row>
    <row r="1109" spans="2:29" s="62" customFormat="1" ht="13.8" hidden="1" x14ac:dyDescent="0.25">
      <c r="B1109" s="59"/>
      <c r="C1109" s="59"/>
      <c r="D1109" s="59"/>
      <c r="E1109" s="59"/>
      <c r="F1109" s="59"/>
      <c r="G1109" s="59"/>
      <c r="H1109" s="59"/>
      <c r="I1109" s="59"/>
      <c r="J1109" s="59"/>
      <c r="K1109" s="59"/>
      <c r="L1109" s="59"/>
      <c r="M1109" s="59"/>
      <c r="N1109" s="59"/>
      <c r="O1109" s="59"/>
      <c r="P1109" s="59"/>
      <c r="Q1109" s="59"/>
      <c r="R1109" s="59"/>
      <c r="S1109" s="59"/>
      <c r="T1109" s="59"/>
      <c r="U1109" s="59"/>
      <c r="V1109" s="59"/>
      <c r="W1109" s="59"/>
      <c r="X1109" s="59"/>
      <c r="Y1109" s="59"/>
      <c r="Z1109" s="59"/>
      <c r="AA1109" s="59"/>
      <c r="AB1109" s="59"/>
      <c r="AC1109" s="59"/>
    </row>
    <row r="1110" spans="2:29" s="62" customFormat="1" ht="13.8" hidden="1" x14ac:dyDescent="0.25">
      <c r="B1110" s="59"/>
      <c r="C1110" s="59"/>
      <c r="D1110" s="59"/>
      <c r="E1110" s="59"/>
      <c r="F1110" s="59"/>
      <c r="G1110" s="59"/>
      <c r="H1110" s="59"/>
      <c r="I1110" s="59"/>
      <c r="J1110" s="59"/>
      <c r="K1110" s="59"/>
      <c r="L1110" s="59"/>
      <c r="M1110" s="59"/>
      <c r="N1110" s="59"/>
      <c r="O1110" s="59"/>
      <c r="P1110" s="59"/>
      <c r="Q1110" s="59"/>
      <c r="R1110" s="59"/>
      <c r="S1110" s="59"/>
      <c r="T1110" s="59"/>
      <c r="U1110" s="59"/>
      <c r="V1110" s="59"/>
      <c r="W1110" s="59"/>
      <c r="X1110" s="59"/>
      <c r="Y1110" s="59"/>
      <c r="Z1110" s="59"/>
      <c r="AA1110" s="59"/>
      <c r="AB1110" s="59"/>
      <c r="AC1110" s="59"/>
    </row>
    <row r="1111" spans="2:29" s="62" customFormat="1" ht="13.8" hidden="1" x14ac:dyDescent="0.25">
      <c r="B1111" s="59"/>
      <c r="C1111" s="59"/>
      <c r="D1111" s="59"/>
      <c r="E1111" s="59"/>
      <c r="F1111" s="59"/>
      <c r="G1111" s="59"/>
      <c r="H1111" s="59"/>
      <c r="I1111" s="59"/>
      <c r="J1111" s="59"/>
      <c r="K1111" s="59"/>
      <c r="L1111" s="59"/>
      <c r="M1111" s="59"/>
      <c r="N1111" s="59"/>
      <c r="O1111" s="59"/>
      <c r="P1111" s="59"/>
      <c r="Q1111" s="59"/>
      <c r="R1111" s="59"/>
      <c r="S1111" s="59"/>
      <c r="T1111" s="59"/>
      <c r="U1111" s="59"/>
      <c r="V1111" s="59"/>
      <c r="W1111" s="59"/>
      <c r="X1111" s="59"/>
      <c r="Y1111" s="59"/>
      <c r="Z1111" s="59"/>
      <c r="AA1111" s="59"/>
      <c r="AB1111" s="59"/>
      <c r="AC1111" s="59"/>
    </row>
    <row r="1112" spans="2:29" s="62" customFormat="1" ht="13.8" hidden="1" x14ac:dyDescent="0.25">
      <c r="B1112" s="59"/>
      <c r="C1112" s="59"/>
      <c r="D1112" s="59"/>
      <c r="E1112" s="59"/>
      <c r="F1112" s="59"/>
      <c r="G1112" s="59"/>
      <c r="H1112" s="59"/>
      <c r="I1112" s="59"/>
      <c r="J1112" s="59"/>
      <c r="K1112" s="59"/>
      <c r="L1112" s="59"/>
      <c r="M1112" s="59"/>
      <c r="N1112" s="59"/>
      <c r="O1112" s="59"/>
      <c r="P1112" s="59"/>
      <c r="Q1112" s="59"/>
      <c r="R1112" s="59"/>
      <c r="S1112" s="59"/>
      <c r="T1112" s="59"/>
      <c r="U1112" s="59"/>
      <c r="V1112" s="59"/>
      <c r="W1112" s="59"/>
      <c r="X1112" s="59"/>
      <c r="Y1112" s="59"/>
      <c r="Z1112" s="59"/>
      <c r="AA1112" s="59"/>
      <c r="AB1112" s="59"/>
      <c r="AC1112" s="59"/>
    </row>
    <row r="1113" spans="2:29" s="62" customFormat="1" ht="13.8" hidden="1" x14ac:dyDescent="0.25">
      <c r="B1113" s="59"/>
      <c r="C1113" s="59"/>
      <c r="D1113" s="59"/>
      <c r="E1113" s="59"/>
      <c r="F1113" s="59"/>
      <c r="G1113" s="59"/>
      <c r="H1113" s="59"/>
      <c r="I1113" s="59"/>
      <c r="J1113" s="59"/>
      <c r="K1113" s="59"/>
      <c r="L1113" s="59"/>
      <c r="M1113" s="59"/>
      <c r="N1113" s="59"/>
      <c r="O1113" s="59"/>
      <c r="P1113" s="59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  <c r="AA1113" s="59"/>
      <c r="AB1113" s="59"/>
      <c r="AC1113" s="59"/>
    </row>
    <row r="1114" spans="2:29" s="62" customFormat="1" ht="13.8" hidden="1" x14ac:dyDescent="0.25">
      <c r="B1114" s="59"/>
      <c r="C1114" s="59"/>
      <c r="D1114" s="59"/>
      <c r="E1114" s="59"/>
      <c r="F1114" s="59"/>
      <c r="G1114" s="59"/>
      <c r="H1114" s="59"/>
      <c r="I1114" s="59"/>
      <c r="J1114" s="59"/>
      <c r="K1114" s="59"/>
      <c r="L1114" s="59"/>
      <c r="M1114" s="59"/>
      <c r="N1114" s="59"/>
      <c r="O1114" s="59"/>
      <c r="P1114" s="59"/>
      <c r="Q1114" s="59"/>
      <c r="R1114" s="59"/>
      <c r="S1114" s="59"/>
      <c r="T1114" s="59"/>
      <c r="U1114" s="59"/>
      <c r="V1114" s="59"/>
      <c r="W1114" s="59"/>
      <c r="X1114" s="59"/>
      <c r="Y1114" s="59"/>
      <c r="Z1114" s="59"/>
      <c r="AA1114" s="59"/>
      <c r="AB1114" s="59"/>
      <c r="AC1114" s="59"/>
    </row>
    <row r="1115" spans="2:29" s="62" customFormat="1" ht="13.8" hidden="1" x14ac:dyDescent="0.25">
      <c r="B1115" s="59"/>
      <c r="C1115" s="59"/>
      <c r="D1115" s="59"/>
      <c r="E1115" s="59"/>
      <c r="F1115" s="59"/>
      <c r="G1115" s="59"/>
      <c r="H1115" s="59"/>
      <c r="I1115" s="59"/>
      <c r="J1115" s="59"/>
      <c r="K1115" s="59"/>
      <c r="L1115" s="59"/>
      <c r="M1115" s="59"/>
      <c r="N1115" s="59"/>
      <c r="O1115" s="59"/>
      <c r="P1115" s="59"/>
      <c r="Q1115" s="59"/>
      <c r="R1115" s="59"/>
      <c r="S1115" s="59"/>
      <c r="T1115" s="59"/>
      <c r="U1115" s="59"/>
      <c r="V1115" s="59"/>
      <c r="W1115" s="59"/>
      <c r="X1115" s="59"/>
      <c r="Y1115" s="59"/>
      <c r="Z1115" s="59"/>
      <c r="AA1115" s="59"/>
      <c r="AB1115" s="59"/>
      <c r="AC1115" s="59"/>
    </row>
    <row r="1116" spans="2:29" s="62" customFormat="1" ht="13.8" hidden="1" x14ac:dyDescent="0.25">
      <c r="B1116" s="59"/>
      <c r="C1116" s="59"/>
      <c r="D1116" s="59"/>
      <c r="E1116" s="59"/>
      <c r="F1116" s="59"/>
      <c r="G1116" s="59"/>
      <c r="H1116" s="59"/>
      <c r="I1116" s="59"/>
      <c r="J1116" s="59"/>
      <c r="K1116" s="59"/>
      <c r="L1116" s="59"/>
      <c r="M1116" s="59"/>
      <c r="N1116" s="59"/>
      <c r="O1116" s="59"/>
      <c r="P1116" s="59"/>
      <c r="Q1116" s="59"/>
      <c r="R1116" s="59"/>
      <c r="S1116" s="59"/>
      <c r="T1116" s="59"/>
      <c r="U1116" s="59"/>
      <c r="V1116" s="59"/>
      <c r="W1116" s="59"/>
      <c r="X1116" s="59"/>
      <c r="Y1116" s="59"/>
      <c r="Z1116" s="59"/>
      <c r="AA1116" s="59"/>
      <c r="AB1116" s="59"/>
      <c r="AC1116" s="59"/>
    </row>
    <row r="1117" spans="2:29" s="62" customFormat="1" ht="13.8" hidden="1" x14ac:dyDescent="0.25">
      <c r="B1117" s="59"/>
      <c r="C1117" s="59"/>
      <c r="D1117" s="59"/>
      <c r="E1117" s="59"/>
      <c r="F1117" s="59"/>
      <c r="G1117" s="59"/>
      <c r="H1117" s="59"/>
      <c r="I1117" s="59"/>
      <c r="J1117" s="59"/>
      <c r="K1117" s="59"/>
      <c r="L1117" s="59"/>
      <c r="M1117" s="59"/>
      <c r="N1117" s="59"/>
      <c r="O1117" s="59"/>
      <c r="P1117" s="59"/>
      <c r="Q1117" s="59"/>
      <c r="R1117" s="59"/>
      <c r="S1117" s="59"/>
      <c r="T1117" s="59"/>
      <c r="U1117" s="59"/>
      <c r="V1117" s="59"/>
      <c r="W1117" s="59"/>
      <c r="X1117" s="59"/>
      <c r="Y1117" s="59"/>
      <c r="Z1117" s="59"/>
      <c r="AA1117" s="59"/>
      <c r="AB1117" s="59"/>
      <c r="AC1117" s="59"/>
    </row>
    <row r="1118" spans="2:29" s="62" customFormat="1" ht="13.8" hidden="1" x14ac:dyDescent="0.25">
      <c r="B1118" s="59"/>
      <c r="C1118" s="59"/>
      <c r="D1118" s="59"/>
      <c r="E1118" s="59"/>
      <c r="F1118" s="59"/>
      <c r="G1118" s="59"/>
      <c r="H1118" s="59"/>
      <c r="I1118" s="59"/>
      <c r="J1118" s="59"/>
      <c r="K1118" s="59"/>
      <c r="L1118" s="59"/>
      <c r="M1118" s="59"/>
      <c r="N1118" s="59"/>
      <c r="O1118" s="59"/>
      <c r="P1118" s="59"/>
      <c r="Q1118" s="59"/>
      <c r="R1118" s="59"/>
      <c r="S1118" s="59"/>
      <c r="T1118" s="59"/>
      <c r="U1118" s="59"/>
      <c r="V1118" s="59"/>
      <c r="W1118" s="59"/>
      <c r="X1118" s="59"/>
      <c r="Y1118" s="59"/>
      <c r="Z1118" s="59"/>
      <c r="AA1118" s="59"/>
      <c r="AB1118" s="59"/>
      <c r="AC1118" s="59"/>
    </row>
    <row r="1119" spans="2:29" s="62" customFormat="1" ht="13.8" hidden="1" x14ac:dyDescent="0.25">
      <c r="B1119" s="59"/>
      <c r="C1119" s="59"/>
      <c r="D1119" s="59"/>
      <c r="E1119" s="59"/>
      <c r="F1119" s="59"/>
      <c r="G1119" s="59"/>
      <c r="H1119" s="59"/>
      <c r="I1119" s="59"/>
      <c r="J1119" s="59"/>
      <c r="K1119" s="59"/>
      <c r="L1119" s="59"/>
      <c r="M1119" s="59"/>
      <c r="N1119" s="59"/>
      <c r="O1119" s="59"/>
      <c r="P1119" s="59"/>
      <c r="Q1119" s="59"/>
      <c r="R1119" s="59"/>
      <c r="S1119" s="59"/>
      <c r="T1119" s="59"/>
      <c r="U1119" s="59"/>
      <c r="V1119" s="59"/>
      <c r="W1119" s="59"/>
      <c r="X1119" s="59"/>
      <c r="Y1119" s="59"/>
      <c r="Z1119" s="59"/>
      <c r="AA1119" s="59"/>
      <c r="AB1119" s="59"/>
      <c r="AC1119" s="59"/>
    </row>
    <row r="1120" spans="2:29" s="62" customFormat="1" ht="13.8" hidden="1" x14ac:dyDescent="0.25">
      <c r="B1120" s="59"/>
      <c r="C1120" s="59"/>
      <c r="D1120" s="59"/>
      <c r="E1120" s="59"/>
      <c r="F1120" s="59"/>
      <c r="G1120" s="59"/>
      <c r="H1120" s="59"/>
      <c r="I1120" s="59"/>
      <c r="J1120" s="59"/>
      <c r="K1120" s="59"/>
      <c r="L1120" s="59"/>
      <c r="M1120" s="59"/>
      <c r="N1120" s="59"/>
      <c r="O1120" s="59"/>
      <c r="P1120" s="59"/>
      <c r="Q1120" s="59"/>
      <c r="R1120" s="59"/>
      <c r="S1120" s="59"/>
      <c r="T1120" s="59"/>
      <c r="U1120" s="59"/>
      <c r="V1120" s="59"/>
      <c r="W1120" s="59"/>
      <c r="X1120" s="59"/>
      <c r="Y1120" s="59"/>
      <c r="Z1120" s="59"/>
      <c r="AA1120" s="59"/>
      <c r="AB1120" s="59"/>
      <c r="AC1120" s="59"/>
    </row>
    <row r="1121" spans="2:29" s="62" customFormat="1" ht="13.8" hidden="1" x14ac:dyDescent="0.25">
      <c r="B1121" s="59"/>
      <c r="C1121" s="59"/>
      <c r="D1121" s="59"/>
      <c r="E1121" s="59"/>
      <c r="F1121" s="59"/>
      <c r="G1121" s="59"/>
      <c r="H1121" s="59"/>
      <c r="I1121" s="59"/>
      <c r="J1121" s="59"/>
      <c r="K1121" s="59"/>
      <c r="L1121" s="59"/>
      <c r="M1121" s="59"/>
      <c r="N1121" s="59"/>
      <c r="O1121" s="59"/>
      <c r="P1121" s="59"/>
      <c r="Q1121" s="59"/>
      <c r="R1121" s="59"/>
      <c r="S1121" s="59"/>
      <c r="T1121" s="59"/>
      <c r="U1121" s="59"/>
      <c r="V1121" s="59"/>
      <c r="W1121" s="59"/>
      <c r="X1121" s="59"/>
      <c r="Y1121" s="59"/>
      <c r="Z1121" s="59"/>
      <c r="AA1121" s="59"/>
      <c r="AB1121" s="59"/>
      <c r="AC1121" s="59"/>
    </row>
    <row r="1122" spans="2:29" s="62" customFormat="1" ht="13.8" hidden="1" x14ac:dyDescent="0.25">
      <c r="B1122" s="59"/>
      <c r="C1122" s="59"/>
      <c r="D1122" s="59"/>
      <c r="E1122" s="59"/>
      <c r="F1122" s="59"/>
      <c r="G1122" s="59"/>
      <c r="H1122" s="59"/>
      <c r="I1122" s="59"/>
      <c r="J1122" s="59"/>
      <c r="K1122" s="59"/>
      <c r="L1122" s="59"/>
      <c r="M1122" s="59"/>
      <c r="N1122" s="59"/>
      <c r="O1122" s="59"/>
      <c r="P1122" s="59"/>
      <c r="Q1122" s="59"/>
      <c r="R1122" s="59"/>
      <c r="S1122" s="59"/>
      <c r="T1122" s="59"/>
      <c r="U1122" s="59"/>
      <c r="V1122" s="59"/>
      <c r="W1122" s="59"/>
      <c r="X1122" s="59"/>
      <c r="Y1122" s="59"/>
      <c r="Z1122" s="59"/>
      <c r="AA1122" s="59"/>
      <c r="AB1122" s="59"/>
      <c r="AC1122" s="59"/>
    </row>
    <row r="1123" spans="2:29" s="62" customFormat="1" ht="13.8" hidden="1" x14ac:dyDescent="0.25">
      <c r="B1123" s="59"/>
      <c r="C1123" s="59"/>
      <c r="D1123" s="59"/>
      <c r="E1123" s="59"/>
      <c r="F1123" s="59"/>
      <c r="G1123" s="59"/>
      <c r="H1123" s="59"/>
      <c r="I1123" s="59"/>
      <c r="J1123" s="59"/>
      <c r="K1123" s="59"/>
      <c r="L1123" s="59"/>
      <c r="M1123" s="59"/>
      <c r="N1123" s="59"/>
      <c r="O1123" s="59"/>
      <c r="P1123" s="59"/>
      <c r="Q1123" s="59"/>
      <c r="R1123" s="59"/>
      <c r="S1123" s="59"/>
      <c r="T1123" s="59"/>
      <c r="U1123" s="59"/>
      <c r="V1123" s="59"/>
      <c r="W1123" s="59"/>
      <c r="X1123" s="59"/>
      <c r="Y1123" s="59"/>
      <c r="Z1123" s="59"/>
      <c r="AA1123" s="59"/>
      <c r="AB1123" s="59"/>
      <c r="AC1123" s="59"/>
    </row>
    <row r="1124" spans="2:29" s="62" customFormat="1" ht="13.8" hidden="1" x14ac:dyDescent="0.25">
      <c r="B1124" s="59"/>
      <c r="C1124" s="59"/>
      <c r="D1124" s="59"/>
      <c r="E1124" s="59"/>
      <c r="F1124" s="59"/>
      <c r="G1124" s="59"/>
      <c r="H1124" s="59"/>
      <c r="I1124" s="59"/>
      <c r="J1124" s="59"/>
      <c r="K1124" s="59"/>
      <c r="L1124" s="59"/>
      <c r="M1124" s="59"/>
      <c r="N1124" s="59"/>
      <c r="O1124" s="59"/>
      <c r="P1124" s="59"/>
      <c r="Q1124" s="59"/>
      <c r="R1124" s="59"/>
      <c r="S1124" s="59"/>
      <c r="T1124" s="59"/>
      <c r="U1124" s="59"/>
      <c r="V1124" s="59"/>
      <c r="W1124" s="59"/>
      <c r="X1124" s="59"/>
      <c r="Y1124" s="59"/>
      <c r="Z1124" s="59"/>
      <c r="AA1124" s="59"/>
      <c r="AB1124" s="59"/>
      <c r="AC1124" s="59"/>
    </row>
    <row r="1125" spans="2:29" s="62" customFormat="1" ht="13.8" hidden="1" x14ac:dyDescent="0.25">
      <c r="B1125" s="59"/>
      <c r="C1125" s="59"/>
      <c r="D1125" s="59"/>
      <c r="E1125" s="59"/>
      <c r="F1125" s="59"/>
      <c r="G1125" s="59"/>
      <c r="H1125" s="59"/>
      <c r="I1125" s="59"/>
      <c r="J1125" s="59"/>
      <c r="K1125" s="59"/>
      <c r="L1125" s="59"/>
      <c r="M1125" s="59"/>
      <c r="N1125" s="59"/>
      <c r="O1125" s="59"/>
      <c r="P1125" s="59"/>
      <c r="Q1125" s="59"/>
      <c r="R1125" s="59"/>
      <c r="S1125" s="59"/>
      <c r="T1125" s="59"/>
      <c r="U1125" s="59"/>
      <c r="V1125" s="59"/>
      <c r="W1125" s="59"/>
      <c r="X1125" s="59"/>
      <c r="Y1125" s="59"/>
      <c r="Z1125" s="59"/>
      <c r="AA1125" s="59"/>
      <c r="AB1125" s="59"/>
      <c r="AC1125" s="59"/>
    </row>
    <row r="1126" spans="2:29" s="62" customFormat="1" ht="13.8" hidden="1" x14ac:dyDescent="0.25">
      <c r="B1126" s="59"/>
      <c r="C1126" s="59"/>
      <c r="D1126" s="59"/>
      <c r="E1126" s="59"/>
      <c r="F1126" s="59"/>
      <c r="G1126" s="59"/>
      <c r="H1126" s="59"/>
      <c r="I1126" s="59"/>
      <c r="J1126" s="59"/>
      <c r="K1126" s="59"/>
      <c r="L1126" s="59"/>
      <c r="M1126" s="59"/>
      <c r="N1126" s="59"/>
      <c r="O1126" s="59"/>
      <c r="P1126" s="59"/>
      <c r="Q1126" s="59"/>
      <c r="R1126" s="59"/>
      <c r="S1126" s="59"/>
      <c r="T1126" s="59"/>
      <c r="U1126" s="59"/>
      <c r="V1126" s="59"/>
      <c r="W1126" s="59"/>
      <c r="X1126" s="59"/>
      <c r="Y1126" s="59"/>
      <c r="Z1126" s="59"/>
      <c r="AA1126" s="59"/>
      <c r="AB1126" s="59"/>
      <c r="AC1126" s="59"/>
    </row>
    <row r="1127" spans="2:29" s="62" customFormat="1" ht="13.8" hidden="1" x14ac:dyDescent="0.25">
      <c r="B1127" s="59"/>
      <c r="C1127" s="59"/>
      <c r="D1127" s="59"/>
      <c r="E1127" s="59"/>
      <c r="F1127" s="59"/>
      <c r="G1127" s="59"/>
      <c r="H1127" s="59"/>
      <c r="I1127" s="59"/>
      <c r="J1127" s="59"/>
      <c r="K1127" s="59"/>
      <c r="L1127" s="59"/>
      <c r="M1127" s="59"/>
      <c r="N1127" s="59"/>
      <c r="O1127" s="59"/>
      <c r="P1127" s="59"/>
      <c r="Q1127" s="59"/>
      <c r="R1127" s="59"/>
      <c r="S1127" s="59"/>
      <c r="T1127" s="59"/>
      <c r="U1127" s="59"/>
      <c r="V1127" s="59"/>
      <c r="W1127" s="59"/>
      <c r="X1127" s="59"/>
      <c r="Y1127" s="59"/>
      <c r="Z1127" s="59"/>
      <c r="AA1127" s="59"/>
      <c r="AB1127" s="59"/>
      <c r="AC1127" s="59"/>
    </row>
    <row r="1128" spans="2:29" s="62" customFormat="1" ht="13.8" hidden="1" x14ac:dyDescent="0.25">
      <c r="B1128" s="59"/>
      <c r="C1128" s="59"/>
      <c r="D1128" s="59"/>
      <c r="E1128" s="59"/>
      <c r="F1128" s="59"/>
      <c r="G1128" s="59"/>
      <c r="H1128" s="59"/>
      <c r="I1128" s="59"/>
      <c r="J1128" s="59"/>
      <c r="K1128" s="59"/>
      <c r="L1128" s="59"/>
      <c r="M1128" s="59"/>
      <c r="N1128" s="59"/>
      <c r="O1128" s="59"/>
      <c r="P1128" s="59"/>
      <c r="Q1128" s="59"/>
      <c r="R1128" s="59"/>
      <c r="S1128" s="59"/>
      <c r="T1128" s="59"/>
      <c r="U1128" s="59"/>
      <c r="V1128" s="59"/>
      <c r="W1128" s="59"/>
      <c r="X1128" s="59"/>
      <c r="Y1128" s="59"/>
      <c r="Z1128" s="59"/>
      <c r="AA1128" s="59"/>
      <c r="AB1128" s="59"/>
      <c r="AC1128" s="59"/>
    </row>
    <row r="1129" spans="2:29" s="62" customFormat="1" ht="13.8" hidden="1" x14ac:dyDescent="0.25">
      <c r="B1129" s="59"/>
      <c r="C1129" s="59"/>
      <c r="D1129" s="59"/>
      <c r="E1129" s="59"/>
      <c r="F1129" s="59"/>
      <c r="G1129" s="59"/>
      <c r="H1129" s="59"/>
      <c r="I1129" s="59"/>
      <c r="J1129" s="59"/>
      <c r="K1129" s="59"/>
      <c r="L1129" s="59"/>
      <c r="M1129" s="59"/>
      <c r="N1129" s="59"/>
      <c r="O1129" s="59"/>
      <c r="P1129" s="59"/>
      <c r="Q1129" s="59"/>
      <c r="R1129" s="59"/>
      <c r="S1129" s="59"/>
      <c r="T1129" s="59"/>
      <c r="U1129" s="59"/>
      <c r="V1129" s="59"/>
      <c r="W1129" s="59"/>
      <c r="X1129" s="59"/>
      <c r="Y1129" s="59"/>
      <c r="Z1129" s="59"/>
      <c r="AA1129" s="59"/>
      <c r="AB1129" s="59"/>
      <c r="AC1129" s="59"/>
    </row>
    <row r="1130" spans="2:29" s="62" customFormat="1" ht="13.8" hidden="1" x14ac:dyDescent="0.25">
      <c r="B1130" s="59"/>
      <c r="C1130" s="59"/>
      <c r="D1130" s="59"/>
      <c r="E1130" s="59"/>
      <c r="F1130" s="59"/>
      <c r="G1130" s="59"/>
      <c r="H1130" s="59"/>
      <c r="I1130" s="59"/>
      <c r="J1130" s="59"/>
      <c r="K1130" s="59"/>
      <c r="L1130" s="59"/>
      <c r="M1130" s="59"/>
      <c r="N1130" s="59"/>
      <c r="O1130" s="59"/>
      <c r="P1130" s="59"/>
      <c r="Q1130" s="59"/>
      <c r="R1130" s="59"/>
      <c r="S1130" s="59"/>
      <c r="T1130" s="59"/>
      <c r="U1130" s="59"/>
      <c r="V1130" s="59"/>
      <c r="W1130" s="59"/>
      <c r="X1130" s="59"/>
      <c r="Y1130" s="59"/>
      <c r="Z1130" s="59"/>
      <c r="AA1130" s="59"/>
      <c r="AB1130" s="59"/>
      <c r="AC1130" s="59"/>
    </row>
    <row r="1131" spans="2:29" s="62" customFormat="1" ht="13.8" hidden="1" x14ac:dyDescent="0.25">
      <c r="B1131" s="59"/>
      <c r="C1131" s="59"/>
      <c r="D1131" s="59"/>
      <c r="E1131" s="59"/>
      <c r="F1131" s="59"/>
      <c r="G1131" s="59"/>
      <c r="H1131" s="59"/>
      <c r="I1131" s="59"/>
      <c r="J1131" s="59"/>
      <c r="K1131" s="59"/>
      <c r="L1131" s="59"/>
      <c r="M1131" s="59"/>
      <c r="N1131" s="59"/>
      <c r="O1131" s="59"/>
      <c r="P1131" s="59"/>
      <c r="Q1131" s="59"/>
      <c r="R1131" s="59"/>
      <c r="S1131" s="59"/>
      <c r="T1131" s="59"/>
      <c r="U1131" s="59"/>
      <c r="V1131" s="59"/>
      <c r="W1131" s="59"/>
      <c r="X1131" s="59"/>
      <c r="Y1131" s="59"/>
      <c r="Z1131" s="59"/>
      <c r="AA1131" s="59"/>
      <c r="AB1131" s="59"/>
      <c r="AC1131" s="59"/>
    </row>
    <row r="1132" spans="2:29" s="62" customFormat="1" ht="13.8" hidden="1" x14ac:dyDescent="0.25">
      <c r="B1132" s="59"/>
      <c r="C1132" s="59"/>
      <c r="D1132" s="59"/>
      <c r="E1132" s="59"/>
      <c r="F1132" s="59"/>
      <c r="G1132" s="59"/>
      <c r="H1132" s="59"/>
      <c r="I1132" s="59"/>
      <c r="J1132" s="59"/>
      <c r="K1132" s="59"/>
      <c r="L1132" s="59"/>
      <c r="M1132" s="59"/>
      <c r="N1132" s="59"/>
      <c r="O1132" s="59"/>
      <c r="P1132" s="59"/>
      <c r="Q1132" s="59"/>
      <c r="R1132" s="59"/>
      <c r="S1132" s="59"/>
      <c r="T1132" s="59"/>
      <c r="U1132" s="59"/>
      <c r="V1132" s="59"/>
      <c r="W1132" s="59"/>
      <c r="X1132" s="59"/>
      <c r="Y1132" s="59"/>
      <c r="Z1132" s="59"/>
      <c r="AA1132" s="59"/>
      <c r="AB1132" s="59"/>
      <c r="AC1132" s="59"/>
    </row>
    <row r="1133" spans="2:29" s="62" customFormat="1" ht="13.8" hidden="1" x14ac:dyDescent="0.25">
      <c r="B1133" s="59"/>
      <c r="C1133" s="59"/>
      <c r="D1133" s="59"/>
      <c r="E1133" s="59"/>
      <c r="F1133" s="59"/>
      <c r="G1133" s="59"/>
      <c r="H1133" s="59"/>
      <c r="I1133" s="59"/>
      <c r="J1133" s="59"/>
      <c r="K1133" s="59"/>
      <c r="L1133" s="59"/>
      <c r="M1133" s="59"/>
      <c r="N1133" s="59"/>
      <c r="O1133" s="59"/>
      <c r="P1133" s="59"/>
      <c r="Q1133" s="59"/>
      <c r="R1133" s="59"/>
      <c r="S1133" s="59"/>
      <c r="T1133" s="59"/>
      <c r="U1133" s="59"/>
      <c r="V1133" s="59"/>
      <c r="W1133" s="59"/>
      <c r="X1133" s="59"/>
      <c r="Y1133" s="59"/>
      <c r="Z1133" s="59"/>
      <c r="AA1133" s="59"/>
      <c r="AB1133" s="59"/>
      <c r="AC1133" s="59"/>
    </row>
    <row r="1134" spans="2:29" s="62" customFormat="1" ht="13.8" hidden="1" x14ac:dyDescent="0.25">
      <c r="B1134" s="59"/>
      <c r="C1134" s="59"/>
      <c r="D1134" s="59"/>
      <c r="E1134" s="59"/>
      <c r="F1134" s="59"/>
      <c r="G1134" s="59"/>
      <c r="H1134" s="59"/>
      <c r="I1134" s="59"/>
      <c r="J1134" s="59"/>
      <c r="K1134" s="59"/>
      <c r="L1134" s="59"/>
      <c r="M1134" s="59"/>
      <c r="N1134" s="59"/>
      <c r="O1134" s="59"/>
      <c r="P1134" s="59"/>
      <c r="Q1134" s="59"/>
      <c r="R1134" s="59"/>
      <c r="S1134" s="59"/>
      <c r="T1134" s="59"/>
      <c r="U1134" s="59"/>
      <c r="V1134" s="59"/>
      <c r="W1134" s="59"/>
      <c r="X1134" s="59"/>
      <c r="Y1134" s="59"/>
      <c r="Z1134" s="59"/>
      <c r="AA1134" s="59"/>
      <c r="AB1134" s="59"/>
      <c r="AC1134" s="59"/>
    </row>
    <row r="1135" spans="2:29" s="62" customFormat="1" ht="13.8" hidden="1" x14ac:dyDescent="0.25">
      <c r="B1135" s="59"/>
      <c r="C1135" s="59"/>
      <c r="D1135" s="59"/>
      <c r="E1135" s="59"/>
      <c r="F1135" s="59"/>
      <c r="G1135" s="59"/>
      <c r="H1135" s="59"/>
      <c r="I1135" s="59"/>
      <c r="J1135" s="59"/>
      <c r="K1135" s="59"/>
      <c r="L1135" s="59"/>
      <c r="M1135" s="59"/>
      <c r="N1135" s="59"/>
      <c r="O1135" s="59"/>
      <c r="P1135" s="59"/>
      <c r="Q1135" s="59"/>
      <c r="R1135" s="59"/>
      <c r="S1135" s="59"/>
      <c r="T1135" s="59"/>
      <c r="U1135" s="59"/>
      <c r="V1135" s="59"/>
      <c r="W1135" s="59"/>
      <c r="X1135" s="59"/>
      <c r="Y1135" s="59"/>
      <c r="Z1135" s="59"/>
      <c r="AA1135" s="59"/>
      <c r="AB1135" s="59"/>
      <c r="AC1135" s="59"/>
    </row>
    <row r="1136" spans="2:29" s="62" customFormat="1" ht="13.8" hidden="1" x14ac:dyDescent="0.25">
      <c r="B1136" s="59"/>
      <c r="C1136" s="59"/>
      <c r="D1136" s="59"/>
      <c r="E1136" s="59"/>
      <c r="F1136" s="59"/>
      <c r="G1136" s="59"/>
      <c r="H1136" s="59"/>
      <c r="I1136" s="59"/>
      <c r="J1136" s="59"/>
      <c r="K1136" s="59"/>
      <c r="L1136" s="59"/>
      <c r="M1136" s="59"/>
      <c r="N1136" s="59"/>
      <c r="O1136" s="59"/>
      <c r="P1136" s="59"/>
      <c r="Q1136" s="59"/>
      <c r="R1136" s="59"/>
      <c r="S1136" s="59"/>
      <c r="T1136" s="59"/>
      <c r="U1136" s="59"/>
      <c r="V1136" s="59"/>
      <c r="W1136" s="59"/>
      <c r="X1136" s="59"/>
      <c r="Y1136" s="59"/>
      <c r="Z1136" s="59"/>
      <c r="AA1136" s="59"/>
      <c r="AB1136" s="59"/>
      <c r="AC1136" s="59"/>
    </row>
    <row r="1137" spans="2:29" s="62" customFormat="1" ht="13.8" hidden="1" x14ac:dyDescent="0.25">
      <c r="B1137" s="59"/>
      <c r="C1137" s="59"/>
      <c r="D1137" s="59"/>
      <c r="E1137" s="59"/>
      <c r="F1137" s="59"/>
      <c r="G1137" s="59"/>
      <c r="H1137" s="59"/>
      <c r="I1137" s="59"/>
      <c r="J1137" s="59"/>
      <c r="K1137" s="59"/>
      <c r="L1137" s="59"/>
      <c r="M1137" s="59"/>
      <c r="N1137" s="59"/>
      <c r="O1137" s="59"/>
      <c r="P1137" s="59"/>
      <c r="Q1137" s="59"/>
      <c r="R1137" s="59"/>
      <c r="S1137" s="59"/>
      <c r="T1137" s="59"/>
      <c r="U1137" s="59"/>
      <c r="V1137" s="59"/>
      <c r="W1137" s="59"/>
      <c r="X1137" s="59"/>
      <c r="Y1137" s="59"/>
      <c r="Z1137" s="59"/>
      <c r="AA1137" s="59"/>
      <c r="AB1137" s="59"/>
      <c r="AC1137" s="59"/>
    </row>
    <row r="1138" spans="2:29" s="62" customFormat="1" ht="13.8" hidden="1" x14ac:dyDescent="0.25">
      <c r="B1138" s="59"/>
      <c r="C1138" s="59"/>
      <c r="D1138" s="59"/>
      <c r="E1138" s="59"/>
      <c r="F1138" s="59"/>
      <c r="G1138" s="59"/>
      <c r="H1138" s="59"/>
      <c r="I1138" s="59"/>
      <c r="J1138" s="59"/>
      <c r="K1138" s="59"/>
      <c r="L1138" s="59"/>
      <c r="M1138" s="59"/>
      <c r="N1138" s="59"/>
      <c r="O1138" s="59"/>
      <c r="P1138" s="59"/>
      <c r="Q1138" s="59"/>
      <c r="R1138" s="59"/>
      <c r="S1138" s="59"/>
      <c r="T1138" s="59"/>
      <c r="U1138" s="59"/>
      <c r="V1138" s="59"/>
      <c r="W1138" s="59"/>
      <c r="X1138" s="59"/>
      <c r="Y1138" s="59"/>
      <c r="Z1138" s="59"/>
      <c r="AA1138" s="59"/>
      <c r="AB1138" s="59"/>
      <c r="AC1138" s="59"/>
    </row>
    <row r="1139" spans="2:29" s="62" customFormat="1" ht="13.8" hidden="1" x14ac:dyDescent="0.25">
      <c r="B1139" s="59"/>
      <c r="C1139" s="59"/>
      <c r="D1139" s="59"/>
      <c r="E1139" s="59"/>
      <c r="F1139" s="59"/>
      <c r="G1139" s="59"/>
      <c r="H1139" s="59"/>
      <c r="I1139" s="59"/>
      <c r="J1139" s="59"/>
      <c r="K1139" s="59"/>
      <c r="L1139" s="59"/>
      <c r="M1139" s="59"/>
      <c r="N1139" s="59"/>
      <c r="O1139" s="59"/>
      <c r="P1139" s="59"/>
      <c r="Q1139" s="59"/>
      <c r="R1139" s="59"/>
      <c r="S1139" s="59"/>
      <c r="T1139" s="59"/>
      <c r="U1139" s="59"/>
      <c r="V1139" s="59"/>
      <c r="W1139" s="59"/>
      <c r="X1139" s="59"/>
      <c r="Y1139" s="59"/>
      <c r="Z1139" s="59"/>
      <c r="AA1139" s="59"/>
      <c r="AB1139" s="59"/>
      <c r="AC1139" s="59"/>
    </row>
    <row r="1140" spans="2:29" s="62" customFormat="1" ht="13.8" hidden="1" x14ac:dyDescent="0.25">
      <c r="B1140" s="59"/>
      <c r="C1140" s="59"/>
      <c r="D1140" s="59"/>
      <c r="E1140" s="59"/>
      <c r="F1140" s="59"/>
      <c r="G1140" s="59"/>
      <c r="H1140" s="59"/>
      <c r="I1140" s="59"/>
      <c r="J1140" s="59"/>
      <c r="K1140" s="59"/>
      <c r="L1140" s="59"/>
      <c r="M1140" s="59"/>
      <c r="N1140" s="59"/>
      <c r="O1140" s="59"/>
      <c r="P1140" s="59"/>
      <c r="Q1140" s="59"/>
      <c r="R1140" s="59"/>
      <c r="S1140" s="59"/>
      <c r="T1140" s="59"/>
      <c r="U1140" s="59"/>
      <c r="V1140" s="59"/>
      <c r="W1140" s="59"/>
      <c r="X1140" s="59"/>
      <c r="Y1140" s="59"/>
      <c r="Z1140" s="59"/>
      <c r="AA1140" s="59"/>
      <c r="AB1140" s="59"/>
      <c r="AC1140" s="59"/>
    </row>
    <row r="1141" spans="2:29" s="62" customFormat="1" ht="13.8" hidden="1" x14ac:dyDescent="0.25">
      <c r="B1141" s="59"/>
      <c r="C1141" s="59"/>
      <c r="D1141" s="59"/>
      <c r="E1141" s="59"/>
      <c r="F1141" s="59"/>
      <c r="G1141" s="59"/>
      <c r="H1141" s="59"/>
      <c r="I1141" s="59"/>
      <c r="J1141" s="59"/>
      <c r="K1141" s="59"/>
      <c r="L1141" s="59"/>
      <c r="M1141" s="59"/>
      <c r="N1141" s="59"/>
      <c r="O1141" s="59"/>
      <c r="P1141" s="59"/>
      <c r="Q1141" s="59"/>
      <c r="R1141" s="59"/>
      <c r="S1141" s="59"/>
      <c r="T1141" s="59"/>
      <c r="U1141" s="59"/>
      <c r="V1141" s="59"/>
      <c r="W1141" s="59"/>
      <c r="X1141" s="59"/>
      <c r="Y1141" s="59"/>
      <c r="Z1141" s="59"/>
      <c r="AA1141" s="59"/>
      <c r="AB1141" s="59"/>
      <c r="AC1141" s="59"/>
    </row>
    <row r="1142" spans="2:29" s="62" customFormat="1" ht="13.8" hidden="1" x14ac:dyDescent="0.25">
      <c r="B1142" s="59"/>
      <c r="C1142" s="59"/>
      <c r="D1142" s="59"/>
      <c r="E1142" s="59"/>
      <c r="F1142" s="59"/>
      <c r="G1142" s="59"/>
      <c r="H1142" s="59"/>
      <c r="I1142" s="59"/>
      <c r="J1142" s="59"/>
      <c r="K1142" s="59"/>
      <c r="L1142" s="59"/>
      <c r="M1142" s="59"/>
      <c r="N1142" s="59"/>
      <c r="O1142" s="59"/>
      <c r="P1142" s="59"/>
      <c r="Q1142" s="59"/>
      <c r="R1142" s="59"/>
      <c r="S1142" s="59"/>
      <c r="T1142" s="59"/>
      <c r="U1142" s="59"/>
      <c r="V1142" s="59"/>
      <c r="W1142" s="59"/>
      <c r="X1142" s="59"/>
      <c r="Y1142" s="59"/>
      <c r="Z1142" s="59"/>
      <c r="AA1142" s="59"/>
      <c r="AB1142" s="59"/>
      <c r="AC1142" s="59"/>
    </row>
    <row r="1143" spans="2:29" s="62" customFormat="1" ht="13.8" hidden="1" x14ac:dyDescent="0.25">
      <c r="B1143" s="59"/>
      <c r="C1143" s="59"/>
      <c r="D1143" s="59"/>
      <c r="E1143" s="59"/>
      <c r="F1143" s="59"/>
      <c r="G1143" s="59"/>
      <c r="H1143" s="59"/>
      <c r="I1143" s="59"/>
      <c r="J1143" s="59"/>
      <c r="K1143" s="59"/>
      <c r="L1143" s="59"/>
      <c r="M1143" s="59"/>
      <c r="N1143" s="59"/>
      <c r="O1143" s="59"/>
      <c r="P1143" s="59"/>
      <c r="Q1143" s="59"/>
      <c r="R1143" s="59"/>
      <c r="S1143" s="59"/>
      <c r="T1143" s="59"/>
      <c r="U1143" s="59"/>
      <c r="V1143" s="59"/>
      <c r="W1143" s="59"/>
      <c r="X1143" s="59"/>
      <c r="Y1143" s="59"/>
      <c r="Z1143" s="59"/>
      <c r="AA1143" s="59"/>
      <c r="AB1143" s="59"/>
      <c r="AC1143" s="59"/>
    </row>
    <row r="1144" spans="2:29" s="62" customFormat="1" ht="13.8" hidden="1" x14ac:dyDescent="0.25">
      <c r="B1144" s="59"/>
      <c r="C1144" s="59"/>
      <c r="D1144" s="59"/>
      <c r="E1144" s="59"/>
      <c r="F1144" s="59"/>
      <c r="G1144" s="59"/>
      <c r="H1144" s="59"/>
      <c r="I1144" s="59"/>
      <c r="J1144" s="59"/>
      <c r="K1144" s="59"/>
      <c r="L1144" s="59"/>
      <c r="M1144" s="59"/>
      <c r="N1144" s="59"/>
      <c r="O1144" s="59"/>
      <c r="P1144" s="59"/>
      <c r="Q1144" s="59"/>
      <c r="R1144" s="59"/>
      <c r="S1144" s="59"/>
      <c r="T1144" s="59"/>
      <c r="U1144" s="59"/>
      <c r="V1144" s="59"/>
      <c r="W1144" s="59"/>
      <c r="X1144" s="59"/>
      <c r="Y1144" s="59"/>
      <c r="Z1144" s="59"/>
      <c r="AA1144" s="59"/>
      <c r="AB1144" s="59"/>
      <c r="AC1144" s="59"/>
    </row>
    <row r="1145" spans="2:29" s="62" customFormat="1" ht="13.8" hidden="1" x14ac:dyDescent="0.25">
      <c r="B1145" s="59"/>
      <c r="C1145" s="59"/>
      <c r="D1145" s="59"/>
      <c r="E1145" s="59"/>
      <c r="F1145" s="59"/>
      <c r="G1145" s="59"/>
      <c r="H1145" s="59"/>
      <c r="I1145" s="59"/>
      <c r="J1145" s="59"/>
      <c r="K1145" s="59"/>
      <c r="L1145" s="59"/>
      <c r="M1145" s="59"/>
      <c r="N1145" s="59"/>
      <c r="O1145" s="59"/>
      <c r="P1145" s="59"/>
      <c r="Q1145" s="59"/>
      <c r="R1145" s="59"/>
      <c r="S1145" s="59"/>
      <c r="T1145" s="59"/>
      <c r="U1145" s="59"/>
      <c r="V1145" s="59"/>
      <c r="W1145" s="59"/>
      <c r="X1145" s="59"/>
      <c r="Y1145" s="59"/>
      <c r="Z1145" s="59"/>
      <c r="AA1145" s="59"/>
      <c r="AB1145" s="59"/>
      <c r="AC1145" s="59"/>
    </row>
    <row r="1146" spans="2:29" s="62" customFormat="1" ht="13.8" hidden="1" x14ac:dyDescent="0.25">
      <c r="B1146" s="59"/>
      <c r="C1146" s="59"/>
      <c r="D1146" s="59"/>
      <c r="E1146" s="59"/>
      <c r="F1146" s="59"/>
      <c r="G1146" s="59"/>
      <c r="H1146" s="59"/>
      <c r="I1146" s="59"/>
      <c r="J1146" s="59"/>
      <c r="K1146" s="59"/>
      <c r="L1146" s="59"/>
      <c r="M1146" s="59"/>
      <c r="N1146" s="59"/>
      <c r="O1146" s="59"/>
      <c r="P1146" s="59"/>
      <c r="Q1146" s="59"/>
      <c r="R1146" s="59"/>
      <c r="S1146" s="59"/>
      <c r="T1146" s="59"/>
      <c r="U1146" s="59"/>
      <c r="V1146" s="59"/>
      <c r="W1146" s="59"/>
      <c r="X1146" s="59"/>
      <c r="Y1146" s="59"/>
      <c r="Z1146" s="59"/>
      <c r="AA1146" s="59"/>
      <c r="AB1146" s="59"/>
      <c r="AC1146" s="59"/>
    </row>
    <row r="1147" spans="2:29" s="62" customFormat="1" ht="13.8" hidden="1" x14ac:dyDescent="0.25">
      <c r="B1147" s="59"/>
      <c r="C1147" s="59"/>
      <c r="D1147" s="59"/>
      <c r="E1147" s="59"/>
      <c r="F1147" s="59"/>
      <c r="G1147" s="59"/>
      <c r="H1147" s="59"/>
      <c r="I1147" s="59"/>
      <c r="J1147" s="59"/>
      <c r="K1147" s="59"/>
      <c r="L1147" s="59"/>
      <c r="M1147" s="59"/>
      <c r="N1147" s="59"/>
      <c r="O1147" s="59"/>
      <c r="P1147" s="59"/>
      <c r="Q1147" s="59"/>
      <c r="R1147" s="59"/>
      <c r="S1147" s="59"/>
      <c r="T1147" s="59"/>
      <c r="U1147" s="59"/>
      <c r="V1147" s="59"/>
      <c r="W1147" s="59"/>
      <c r="X1147" s="59"/>
      <c r="Y1147" s="59"/>
      <c r="Z1147" s="59"/>
      <c r="AA1147" s="59"/>
      <c r="AB1147" s="59"/>
      <c r="AC1147" s="59"/>
    </row>
    <row r="1148" spans="2:29" s="62" customFormat="1" ht="13.8" hidden="1" x14ac:dyDescent="0.25">
      <c r="B1148" s="59"/>
      <c r="C1148" s="59"/>
      <c r="D1148" s="59"/>
      <c r="E1148" s="59"/>
      <c r="F1148" s="59"/>
      <c r="G1148" s="59"/>
      <c r="H1148" s="59"/>
      <c r="I1148" s="59"/>
      <c r="J1148" s="59"/>
      <c r="K1148" s="59"/>
      <c r="L1148" s="59"/>
      <c r="M1148" s="59"/>
      <c r="N1148" s="59"/>
      <c r="O1148" s="59"/>
      <c r="P1148" s="59"/>
      <c r="Q1148" s="59"/>
      <c r="R1148" s="59"/>
      <c r="S1148" s="59"/>
      <c r="T1148" s="59"/>
      <c r="U1148" s="59"/>
      <c r="V1148" s="59"/>
      <c r="W1148" s="59"/>
      <c r="X1148" s="59"/>
      <c r="Y1148" s="59"/>
      <c r="Z1148" s="59"/>
      <c r="AA1148" s="59"/>
      <c r="AB1148" s="59"/>
      <c r="AC1148" s="59"/>
    </row>
    <row r="1149" spans="2:29" s="62" customFormat="1" ht="13.8" hidden="1" x14ac:dyDescent="0.25">
      <c r="B1149" s="59"/>
      <c r="C1149" s="59"/>
      <c r="D1149" s="59"/>
      <c r="E1149" s="59"/>
      <c r="F1149" s="59"/>
      <c r="G1149" s="59"/>
      <c r="H1149" s="59"/>
      <c r="I1149" s="59"/>
      <c r="J1149" s="59"/>
      <c r="K1149" s="59"/>
      <c r="L1149" s="59"/>
      <c r="M1149" s="59"/>
      <c r="N1149" s="59"/>
      <c r="O1149" s="59"/>
      <c r="P1149" s="59"/>
      <c r="Q1149" s="59"/>
      <c r="R1149" s="59"/>
      <c r="S1149" s="59"/>
      <c r="T1149" s="59"/>
      <c r="U1149" s="59"/>
      <c r="V1149" s="59"/>
      <c r="W1149" s="59"/>
      <c r="X1149" s="59"/>
      <c r="Y1149" s="59"/>
      <c r="Z1149" s="59"/>
      <c r="AA1149" s="59"/>
      <c r="AB1149" s="59"/>
      <c r="AC1149" s="59"/>
    </row>
    <row r="1150" spans="2:29" s="62" customFormat="1" ht="13.8" hidden="1" x14ac:dyDescent="0.25">
      <c r="B1150" s="59"/>
      <c r="C1150" s="59"/>
      <c r="D1150" s="59"/>
      <c r="E1150" s="59"/>
      <c r="F1150" s="59"/>
      <c r="G1150" s="59"/>
      <c r="H1150" s="59"/>
      <c r="I1150" s="59"/>
      <c r="J1150" s="59"/>
      <c r="K1150" s="59"/>
      <c r="L1150" s="59"/>
      <c r="M1150" s="59"/>
      <c r="N1150" s="59"/>
      <c r="O1150" s="59"/>
      <c r="P1150" s="59"/>
      <c r="Q1150" s="59"/>
      <c r="R1150" s="59"/>
      <c r="S1150" s="59"/>
      <c r="T1150" s="59"/>
      <c r="U1150" s="59"/>
      <c r="V1150" s="59"/>
      <c r="W1150" s="59"/>
      <c r="X1150" s="59"/>
      <c r="Y1150" s="59"/>
      <c r="Z1150" s="59"/>
      <c r="AA1150" s="59"/>
      <c r="AB1150" s="59"/>
      <c r="AC1150" s="59"/>
    </row>
    <row r="1151" spans="2:29" s="62" customFormat="1" ht="13.8" hidden="1" x14ac:dyDescent="0.25">
      <c r="B1151" s="59"/>
      <c r="C1151" s="59"/>
      <c r="D1151" s="59"/>
      <c r="E1151" s="59"/>
      <c r="F1151" s="59"/>
      <c r="G1151" s="59"/>
      <c r="H1151" s="59"/>
      <c r="I1151" s="59"/>
      <c r="J1151" s="59"/>
      <c r="K1151" s="59"/>
      <c r="L1151" s="59"/>
      <c r="M1151" s="59"/>
      <c r="N1151" s="59"/>
      <c r="O1151" s="59"/>
      <c r="P1151" s="59"/>
      <c r="Q1151" s="59"/>
      <c r="R1151" s="59"/>
      <c r="S1151" s="59"/>
      <c r="T1151" s="59"/>
      <c r="U1151" s="59"/>
      <c r="V1151" s="59"/>
      <c r="W1151" s="59"/>
      <c r="X1151" s="59"/>
      <c r="Y1151" s="59"/>
      <c r="Z1151" s="59"/>
      <c r="AA1151" s="59"/>
      <c r="AB1151" s="59"/>
      <c r="AC1151" s="59"/>
    </row>
    <row r="1152" spans="2:29" s="62" customFormat="1" ht="13.8" hidden="1" x14ac:dyDescent="0.25">
      <c r="B1152" s="59"/>
      <c r="C1152" s="59"/>
      <c r="D1152" s="59"/>
      <c r="E1152" s="59"/>
      <c r="F1152" s="59"/>
      <c r="G1152" s="59"/>
      <c r="H1152" s="59"/>
      <c r="I1152" s="59"/>
      <c r="J1152" s="59"/>
      <c r="K1152" s="59"/>
      <c r="L1152" s="59"/>
      <c r="M1152" s="59"/>
      <c r="N1152" s="59"/>
      <c r="O1152" s="59"/>
      <c r="P1152" s="59"/>
      <c r="Q1152" s="59"/>
      <c r="R1152" s="59"/>
      <c r="S1152" s="59"/>
      <c r="T1152" s="59"/>
      <c r="U1152" s="59"/>
      <c r="V1152" s="59"/>
      <c r="W1152" s="59"/>
      <c r="X1152" s="59"/>
      <c r="Y1152" s="59"/>
      <c r="Z1152" s="59"/>
      <c r="AA1152" s="59"/>
      <c r="AB1152" s="59"/>
      <c r="AC1152" s="59"/>
    </row>
    <row r="1153" spans="2:29" s="62" customFormat="1" ht="13.8" hidden="1" x14ac:dyDescent="0.25">
      <c r="B1153" s="59"/>
      <c r="C1153" s="59"/>
      <c r="D1153" s="59"/>
      <c r="E1153" s="59"/>
      <c r="F1153" s="59"/>
      <c r="G1153" s="59"/>
      <c r="H1153" s="59"/>
      <c r="I1153" s="59"/>
      <c r="J1153" s="59"/>
      <c r="K1153" s="59"/>
      <c r="L1153" s="59"/>
      <c r="M1153" s="59"/>
      <c r="N1153" s="59"/>
      <c r="O1153" s="59"/>
      <c r="P1153" s="59"/>
      <c r="Q1153" s="59"/>
      <c r="R1153" s="59"/>
      <c r="S1153" s="59"/>
      <c r="T1153" s="59"/>
      <c r="U1153" s="59"/>
      <c r="V1153" s="59"/>
      <c r="W1153" s="59"/>
      <c r="X1153" s="59"/>
      <c r="Y1153" s="59"/>
      <c r="Z1153" s="59"/>
      <c r="AA1153" s="59"/>
      <c r="AB1153" s="59"/>
      <c r="AC1153" s="59"/>
    </row>
    <row r="1154" spans="2:29" s="62" customFormat="1" ht="13.8" hidden="1" x14ac:dyDescent="0.25">
      <c r="B1154" s="59"/>
      <c r="C1154" s="59"/>
      <c r="D1154" s="59"/>
      <c r="E1154" s="59"/>
      <c r="F1154" s="59"/>
      <c r="G1154" s="59"/>
      <c r="H1154" s="59"/>
      <c r="I1154" s="59"/>
      <c r="J1154" s="59"/>
      <c r="K1154" s="59"/>
      <c r="L1154" s="59"/>
      <c r="M1154" s="59"/>
      <c r="N1154" s="59"/>
      <c r="O1154" s="59"/>
      <c r="P1154" s="59"/>
      <c r="Q1154" s="59"/>
      <c r="R1154" s="59"/>
      <c r="S1154" s="59"/>
      <c r="T1154" s="59"/>
      <c r="U1154" s="59"/>
      <c r="V1154" s="59"/>
      <c r="W1154" s="59"/>
      <c r="X1154" s="59"/>
      <c r="Y1154" s="59"/>
      <c r="Z1154" s="59"/>
      <c r="AA1154" s="59"/>
      <c r="AB1154" s="59"/>
      <c r="AC1154" s="59"/>
    </row>
    <row r="1155" spans="2:29" s="62" customFormat="1" ht="13.8" hidden="1" x14ac:dyDescent="0.25">
      <c r="B1155" s="59"/>
      <c r="C1155" s="59"/>
      <c r="D1155" s="59"/>
      <c r="E1155" s="59"/>
      <c r="F1155" s="59"/>
      <c r="G1155" s="59"/>
      <c r="H1155" s="59"/>
      <c r="I1155" s="59"/>
      <c r="J1155" s="59"/>
      <c r="K1155" s="59"/>
      <c r="L1155" s="59"/>
      <c r="M1155" s="59"/>
      <c r="N1155" s="59"/>
      <c r="O1155" s="59"/>
      <c r="P1155" s="59"/>
      <c r="Q1155" s="59"/>
      <c r="R1155" s="59"/>
      <c r="S1155" s="59"/>
      <c r="T1155" s="59"/>
      <c r="U1155" s="59"/>
      <c r="V1155" s="59"/>
      <c r="W1155" s="59"/>
      <c r="X1155" s="59"/>
      <c r="Y1155" s="59"/>
      <c r="Z1155" s="59"/>
      <c r="AA1155" s="59"/>
      <c r="AB1155" s="59"/>
      <c r="AC1155" s="59"/>
    </row>
    <row r="1156" spans="2:29" s="62" customFormat="1" ht="13.8" hidden="1" x14ac:dyDescent="0.25">
      <c r="B1156" s="59"/>
      <c r="C1156" s="59"/>
      <c r="D1156" s="59"/>
      <c r="E1156" s="59"/>
      <c r="F1156" s="59"/>
      <c r="G1156" s="59"/>
      <c r="H1156" s="59"/>
      <c r="I1156" s="59"/>
      <c r="J1156" s="59"/>
      <c r="K1156" s="59"/>
      <c r="L1156" s="59"/>
      <c r="M1156" s="59"/>
      <c r="N1156" s="59"/>
      <c r="O1156" s="59"/>
      <c r="P1156" s="59"/>
      <c r="Q1156" s="59"/>
      <c r="R1156" s="59"/>
      <c r="S1156" s="59"/>
      <c r="T1156" s="59"/>
      <c r="U1156" s="59"/>
      <c r="V1156" s="59"/>
      <c r="W1156" s="59"/>
      <c r="X1156" s="59"/>
      <c r="Y1156" s="59"/>
      <c r="Z1156" s="59"/>
      <c r="AA1156" s="59"/>
      <c r="AB1156" s="59"/>
      <c r="AC1156" s="59"/>
    </row>
    <row r="1157" spans="2:29" s="62" customFormat="1" ht="13.8" hidden="1" x14ac:dyDescent="0.25">
      <c r="B1157" s="59"/>
      <c r="C1157" s="59"/>
      <c r="D1157" s="59"/>
      <c r="E1157" s="59"/>
      <c r="F1157" s="59"/>
      <c r="G1157" s="59"/>
      <c r="H1157" s="59"/>
      <c r="I1157" s="59"/>
      <c r="J1157" s="59"/>
      <c r="K1157" s="59"/>
      <c r="L1157" s="59"/>
      <c r="M1157" s="59"/>
      <c r="N1157" s="59"/>
      <c r="O1157" s="59"/>
      <c r="P1157" s="59"/>
      <c r="Q1157" s="59"/>
      <c r="R1157" s="59"/>
      <c r="S1157" s="59"/>
      <c r="T1157" s="59"/>
      <c r="U1157" s="59"/>
      <c r="V1157" s="59"/>
      <c r="W1157" s="59"/>
      <c r="X1157" s="59"/>
      <c r="Y1157" s="59"/>
      <c r="Z1157" s="59"/>
      <c r="AA1157" s="59"/>
      <c r="AB1157" s="59"/>
      <c r="AC1157" s="59"/>
    </row>
    <row r="1158" spans="2:29" s="62" customFormat="1" ht="13.8" hidden="1" x14ac:dyDescent="0.25">
      <c r="B1158" s="59"/>
      <c r="C1158" s="59"/>
      <c r="D1158" s="59"/>
      <c r="E1158" s="59"/>
      <c r="F1158" s="59"/>
      <c r="G1158" s="59"/>
      <c r="H1158" s="59"/>
      <c r="I1158" s="59"/>
      <c r="J1158" s="59"/>
      <c r="K1158" s="59"/>
      <c r="L1158" s="59"/>
      <c r="M1158" s="59"/>
      <c r="N1158" s="59"/>
      <c r="O1158" s="59"/>
      <c r="P1158" s="59"/>
      <c r="Q1158" s="59"/>
      <c r="R1158" s="59"/>
      <c r="S1158" s="59"/>
      <c r="T1158" s="59"/>
      <c r="U1158" s="59"/>
      <c r="V1158" s="59"/>
      <c r="W1158" s="59"/>
      <c r="X1158" s="59"/>
      <c r="Y1158" s="59"/>
      <c r="Z1158" s="59"/>
      <c r="AA1158" s="59"/>
      <c r="AB1158" s="59"/>
      <c r="AC1158" s="59"/>
    </row>
    <row r="1159" spans="2:29" s="62" customFormat="1" ht="13.8" hidden="1" x14ac:dyDescent="0.25">
      <c r="B1159" s="59"/>
      <c r="C1159" s="59"/>
      <c r="D1159" s="59"/>
      <c r="E1159" s="59"/>
      <c r="F1159" s="59"/>
      <c r="G1159" s="59"/>
      <c r="H1159" s="59"/>
      <c r="I1159" s="59"/>
      <c r="J1159" s="59"/>
      <c r="K1159" s="59"/>
      <c r="L1159" s="59"/>
      <c r="M1159" s="59"/>
      <c r="N1159" s="59"/>
      <c r="O1159" s="59"/>
      <c r="P1159" s="59"/>
      <c r="Q1159" s="59"/>
      <c r="R1159" s="59"/>
      <c r="S1159" s="59"/>
      <c r="T1159" s="59"/>
      <c r="U1159" s="59"/>
      <c r="V1159" s="59"/>
      <c r="W1159" s="59"/>
      <c r="X1159" s="59"/>
      <c r="Y1159" s="59"/>
      <c r="Z1159" s="59"/>
      <c r="AA1159" s="59"/>
      <c r="AB1159" s="59"/>
      <c r="AC1159" s="59"/>
    </row>
    <row r="1160" spans="2:29" s="62" customFormat="1" ht="13.8" hidden="1" x14ac:dyDescent="0.25">
      <c r="B1160" s="59"/>
      <c r="C1160" s="59"/>
      <c r="D1160" s="59"/>
      <c r="E1160" s="59"/>
      <c r="F1160" s="59"/>
      <c r="G1160" s="59"/>
      <c r="H1160" s="59"/>
      <c r="I1160" s="59"/>
      <c r="J1160" s="59"/>
      <c r="K1160" s="59"/>
      <c r="L1160" s="59"/>
      <c r="M1160" s="59"/>
      <c r="N1160" s="59"/>
      <c r="O1160" s="59"/>
      <c r="P1160" s="59"/>
      <c r="Q1160" s="59"/>
      <c r="R1160" s="59"/>
      <c r="S1160" s="59"/>
      <c r="T1160" s="59"/>
      <c r="U1160" s="59"/>
      <c r="V1160" s="59"/>
      <c r="W1160" s="59"/>
      <c r="X1160" s="59"/>
      <c r="Y1160" s="59"/>
      <c r="Z1160" s="59"/>
      <c r="AA1160" s="59"/>
      <c r="AB1160" s="59"/>
      <c r="AC1160" s="59"/>
    </row>
    <row r="1161" spans="2:29" s="62" customFormat="1" ht="13.8" hidden="1" x14ac:dyDescent="0.25">
      <c r="B1161" s="59"/>
      <c r="C1161" s="59"/>
      <c r="D1161" s="59"/>
      <c r="E1161" s="59"/>
      <c r="F1161" s="59"/>
      <c r="G1161" s="59"/>
      <c r="H1161" s="59"/>
      <c r="I1161" s="59"/>
      <c r="J1161" s="59"/>
      <c r="K1161" s="59"/>
      <c r="L1161" s="59"/>
      <c r="M1161" s="59"/>
      <c r="N1161" s="59"/>
      <c r="O1161" s="59"/>
      <c r="P1161" s="59"/>
      <c r="Q1161" s="59"/>
      <c r="R1161" s="59"/>
      <c r="S1161" s="59"/>
      <c r="T1161" s="59"/>
      <c r="U1161" s="59"/>
      <c r="V1161" s="59"/>
      <c r="W1161" s="59"/>
      <c r="X1161" s="59"/>
      <c r="Y1161" s="59"/>
      <c r="Z1161" s="59"/>
      <c r="AA1161" s="59"/>
      <c r="AB1161" s="59"/>
      <c r="AC1161" s="59"/>
    </row>
    <row r="1162" spans="2:29" s="62" customFormat="1" ht="13.8" hidden="1" x14ac:dyDescent="0.25">
      <c r="B1162" s="59"/>
      <c r="C1162" s="59"/>
      <c r="D1162" s="59"/>
      <c r="E1162" s="59"/>
      <c r="F1162" s="59"/>
      <c r="G1162" s="59"/>
      <c r="H1162" s="59"/>
      <c r="I1162" s="59"/>
      <c r="J1162" s="59"/>
      <c r="K1162" s="59"/>
      <c r="L1162" s="59"/>
      <c r="M1162" s="59"/>
      <c r="N1162" s="59"/>
      <c r="O1162" s="59"/>
      <c r="P1162" s="59"/>
      <c r="Q1162" s="59"/>
      <c r="R1162" s="59"/>
      <c r="S1162" s="59"/>
      <c r="T1162" s="59"/>
      <c r="U1162" s="59"/>
      <c r="V1162" s="59"/>
      <c r="W1162" s="59"/>
      <c r="X1162" s="59"/>
      <c r="Y1162" s="59"/>
      <c r="Z1162" s="59"/>
      <c r="AA1162" s="59"/>
      <c r="AB1162" s="59"/>
      <c r="AC1162" s="59"/>
    </row>
    <row r="1163" spans="2:29" s="62" customFormat="1" ht="13.8" hidden="1" x14ac:dyDescent="0.25">
      <c r="B1163" s="59"/>
      <c r="C1163" s="59"/>
      <c r="D1163" s="59"/>
      <c r="E1163" s="59"/>
      <c r="F1163" s="59"/>
      <c r="G1163" s="59"/>
      <c r="H1163" s="59"/>
      <c r="I1163" s="59"/>
      <c r="J1163" s="59"/>
      <c r="K1163" s="59"/>
      <c r="L1163" s="59"/>
      <c r="M1163" s="59"/>
      <c r="N1163" s="59"/>
      <c r="O1163" s="59"/>
      <c r="P1163" s="59"/>
      <c r="Q1163" s="59"/>
      <c r="R1163" s="59"/>
      <c r="S1163" s="59"/>
      <c r="T1163" s="59"/>
      <c r="U1163" s="59"/>
      <c r="V1163" s="59"/>
      <c r="W1163" s="59"/>
      <c r="X1163" s="59"/>
      <c r="Y1163" s="59"/>
      <c r="Z1163" s="59"/>
      <c r="AA1163" s="59"/>
      <c r="AB1163" s="59"/>
      <c r="AC1163" s="59"/>
    </row>
    <row r="1164" spans="2:29" s="62" customFormat="1" ht="13.8" hidden="1" x14ac:dyDescent="0.25">
      <c r="B1164" s="59"/>
      <c r="C1164" s="59"/>
      <c r="D1164" s="59"/>
      <c r="E1164" s="59"/>
      <c r="F1164" s="59"/>
      <c r="G1164" s="59"/>
      <c r="H1164" s="59"/>
      <c r="I1164" s="59"/>
      <c r="J1164" s="59"/>
      <c r="K1164" s="59"/>
      <c r="L1164" s="59"/>
      <c r="M1164" s="59"/>
      <c r="N1164" s="59"/>
      <c r="O1164" s="59"/>
      <c r="P1164" s="59"/>
      <c r="Q1164" s="59"/>
      <c r="R1164" s="59"/>
      <c r="S1164" s="59"/>
      <c r="T1164" s="59"/>
      <c r="U1164" s="59"/>
      <c r="V1164" s="59"/>
      <c r="W1164" s="59"/>
      <c r="X1164" s="59"/>
      <c r="Y1164" s="59"/>
      <c r="Z1164" s="59"/>
      <c r="AA1164" s="59"/>
      <c r="AB1164" s="59"/>
      <c r="AC1164" s="59"/>
    </row>
    <row r="1165" spans="2:29" s="62" customFormat="1" ht="13.8" hidden="1" x14ac:dyDescent="0.25">
      <c r="B1165" s="59"/>
      <c r="C1165" s="59"/>
      <c r="D1165" s="59"/>
      <c r="E1165" s="59"/>
      <c r="F1165" s="59"/>
      <c r="G1165" s="59"/>
      <c r="H1165" s="59"/>
      <c r="I1165" s="59"/>
      <c r="J1165" s="59"/>
      <c r="K1165" s="59"/>
      <c r="L1165" s="59"/>
      <c r="M1165" s="59"/>
      <c r="N1165" s="59"/>
      <c r="O1165" s="59"/>
      <c r="P1165" s="59"/>
      <c r="Q1165" s="59"/>
      <c r="R1165" s="59"/>
      <c r="S1165" s="59"/>
      <c r="T1165" s="59"/>
      <c r="U1165" s="59"/>
      <c r="V1165" s="59"/>
      <c r="W1165" s="59"/>
      <c r="X1165" s="59"/>
      <c r="Y1165" s="59"/>
      <c r="Z1165" s="59"/>
      <c r="AA1165" s="59"/>
      <c r="AB1165" s="59"/>
      <c r="AC1165" s="59"/>
    </row>
    <row r="1166" spans="2:29" s="62" customFormat="1" ht="13.8" hidden="1" x14ac:dyDescent="0.25">
      <c r="B1166" s="59"/>
      <c r="C1166" s="59"/>
      <c r="D1166" s="59"/>
      <c r="E1166" s="59"/>
      <c r="F1166" s="59"/>
      <c r="G1166" s="59"/>
      <c r="H1166" s="59"/>
      <c r="I1166" s="59"/>
      <c r="J1166" s="59"/>
      <c r="K1166" s="59"/>
      <c r="L1166" s="59"/>
      <c r="M1166" s="59"/>
      <c r="N1166" s="59"/>
      <c r="O1166" s="59"/>
      <c r="P1166" s="59"/>
      <c r="Q1166" s="59"/>
      <c r="R1166" s="59"/>
      <c r="S1166" s="59"/>
      <c r="T1166" s="59"/>
      <c r="U1166" s="59"/>
      <c r="V1166" s="59"/>
      <c r="W1166" s="59"/>
      <c r="X1166" s="59"/>
      <c r="Y1166" s="59"/>
      <c r="Z1166" s="59"/>
      <c r="AA1166" s="59"/>
      <c r="AB1166" s="59"/>
      <c r="AC1166" s="59"/>
    </row>
    <row r="1167" spans="2:29" s="62" customFormat="1" ht="13.8" hidden="1" x14ac:dyDescent="0.25">
      <c r="B1167" s="59"/>
      <c r="C1167" s="59"/>
      <c r="D1167" s="59"/>
      <c r="E1167" s="59"/>
      <c r="F1167" s="59"/>
      <c r="G1167" s="59"/>
      <c r="H1167" s="59"/>
      <c r="I1167" s="59"/>
      <c r="J1167" s="59"/>
      <c r="K1167" s="59"/>
      <c r="L1167" s="59"/>
      <c r="M1167" s="59"/>
      <c r="N1167" s="59"/>
      <c r="O1167" s="59"/>
      <c r="P1167" s="59"/>
      <c r="Q1167" s="59"/>
      <c r="R1167" s="59"/>
      <c r="S1167" s="59"/>
      <c r="T1167" s="59"/>
      <c r="U1167" s="59"/>
      <c r="V1167" s="59"/>
      <c r="W1167" s="59"/>
      <c r="X1167" s="59"/>
      <c r="Y1167" s="59"/>
      <c r="Z1167" s="59"/>
      <c r="AA1167" s="59"/>
      <c r="AB1167" s="59"/>
      <c r="AC1167" s="59"/>
    </row>
    <row r="1168" spans="2:29" s="62" customFormat="1" ht="13.8" hidden="1" x14ac:dyDescent="0.25">
      <c r="B1168" s="59"/>
      <c r="C1168" s="59"/>
      <c r="D1168" s="59"/>
      <c r="E1168" s="59"/>
      <c r="F1168" s="59"/>
      <c r="G1168" s="59"/>
      <c r="H1168" s="59"/>
      <c r="I1168" s="59"/>
      <c r="J1168" s="59"/>
      <c r="K1168" s="59"/>
      <c r="L1168" s="59"/>
      <c r="M1168" s="59"/>
      <c r="N1168" s="59"/>
      <c r="O1168" s="59"/>
      <c r="P1168" s="59"/>
      <c r="Q1168" s="59"/>
      <c r="R1168" s="59"/>
      <c r="S1168" s="59"/>
      <c r="T1168" s="59"/>
      <c r="U1168" s="59"/>
      <c r="V1168" s="59"/>
      <c r="W1168" s="59"/>
      <c r="X1168" s="59"/>
      <c r="Y1168" s="59"/>
      <c r="Z1168" s="59"/>
      <c r="AA1168" s="59"/>
      <c r="AB1168" s="59"/>
      <c r="AC1168" s="59"/>
    </row>
    <row r="1169" spans="2:29" s="62" customFormat="1" ht="13.8" hidden="1" x14ac:dyDescent="0.25">
      <c r="B1169" s="59"/>
      <c r="C1169" s="59"/>
      <c r="D1169" s="59"/>
      <c r="E1169" s="59"/>
      <c r="F1169" s="59"/>
      <c r="G1169" s="59"/>
      <c r="H1169" s="59"/>
      <c r="I1169" s="59"/>
      <c r="J1169" s="59"/>
      <c r="K1169" s="59"/>
      <c r="L1169" s="59"/>
      <c r="M1169" s="59"/>
      <c r="N1169" s="59"/>
      <c r="O1169" s="59"/>
      <c r="P1169" s="59"/>
      <c r="Q1169" s="59"/>
      <c r="R1169" s="59"/>
      <c r="S1169" s="59"/>
      <c r="T1169" s="59"/>
      <c r="U1169" s="59"/>
      <c r="V1169" s="59"/>
      <c r="W1169" s="59"/>
      <c r="X1169" s="59"/>
      <c r="Y1169" s="59"/>
      <c r="Z1169" s="59"/>
      <c r="AA1169" s="59"/>
      <c r="AB1169" s="59"/>
      <c r="AC1169" s="59"/>
    </row>
    <row r="1170" spans="2:29" s="62" customFormat="1" ht="13.8" hidden="1" x14ac:dyDescent="0.25">
      <c r="B1170" s="59"/>
      <c r="C1170" s="59"/>
      <c r="D1170" s="59"/>
      <c r="E1170" s="59"/>
      <c r="F1170" s="59"/>
      <c r="G1170" s="59"/>
      <c r="H1170" s="59"/>
      <c r="I1170" s="59"/>
      <c r="J1170" s="59"/>
      <c r="K1170" s="59"/>
      <c r="L1170" s="59"/>
      <c r="M1170" s="59"/>
      <c r="N1170" s="59"/>
      <c r="O1170" s="59"/>
      <c r="P1170" s="59"/>
      <c r="Q1170" s="59"/>
      <c r="R1170" s="59"/>
      <c r="S1170" s="59"/>
      <c r="T1170" s="59"/>
      <c r="U1170" s="59"/>
      <c r="V1170" s="59"/>
      <c r="W1170" s="59"/>
      <c r="X1170" s="59"/>
      <c r="Y1170" s="59"/>
      <c r="Z1170" s="59"/>
      <c r="AA1170" s="59"/>
      <c r="AB1170" s="59"/>
      <c r="AC1170" s="59"/>
    </row>
    <row r="1171" spans="2:29" s="62" customFormat="1" ht="13.8" hidden="1" x14ac:dyDescent="0.25">
      <c r="B1171" s="59"/>
      <c r="C1171" s="59"/>
      <c r="D1171" s="59"/>
      <c r="E1171" s="59"/>
      <c r="F1171" s="59"/>
      <c r="G1171" s="59"/>
      <c r="H1171" s="59"/>
      <c r="I1171" s="59"/>
      <c r="J1171" s="59"/>
      <c r="K1171" s="59"/>
      <c r="L1171" s="59"/>
      <c r="M1171" s="59"/>
      <c r="N1171" s="59"/>
      <c r="O1171" s="59"/>
      <c r="P1171" s="59"/>
      <c r="Q1171" s="59"/>
      <c r="R1171" s="59"/>
      <c r="S1171" s="59"/>
      <c r="T1171" s="59"/>
      <c r="U1171" s="59"/>
      <c r="V1171" s="59"/>
      <c r="W1171" s="59"/>
      <c r="X1171" s="59"/>
      <c r="Y1171" s="59"/>
      <c r="Z1171" s="59"/>
      <c r="AA1171" s="59"/>
      <c r="AB1171" s="59"/>
      <c r="AC1171" s="59"/>
    </row>
    <row r="1172" spans="2:29" s="62" customFormat="1" ht="13.8" hidden="1" x14ac:dyDescent="0.25">
      <c r="B1172" s="59"/>
      <c r="C1172" s="59"/>
      <c r="D1172" s="59"/>
      <c r="E1172" s="59"/>
      <c r="F1172" s="59"/>
      <c r="G1172" s="59"/>
      <c r="H1172" s="59"/>
      <c r="I1172" s="59"/>
      <c r="J1172" s="59"/>
      <c r="K1172" s="59"/>
      <c r="L1172" s="59"/>
      <c r="M1172" s="59"/>
      <c r="N1172" s="59"/>
      <c r="O1172" s="59"/>
      <c r="P1172" s="59"/>
      <c r="Q1172" s="59"/>
      <c r="R1172" s="59"/>
      <c r="S1172" s="59"/>
      <c r="T1172" s="59"/>
      <c r="U1172" s="59"/>
      <c r="V1172" s="59"/>
      <c r="W1172" s="59"/>
      <c r="X1172" s="59"/>
      <c r="Y1172" s="59"/>
      <c r="Z1172" s="59"/>
      <c r="AA1172" s="59"/>
      <c r="AB1172" s="59"/>
      <c r="AC1172" s="59"/>
    </row>
    <row r="1173" spans="2:29" s="62" customFormat="1" ht="13.8" hidden="1" x14ac:dyDescent="0.25">
      <c r="B1173" s="59"/>
      <c r="C1173" s="59"/>
      <c r="D1173" s="59"/>
      <c r="E1173" s="59"/>
      <c r="F1173" s="59"/>
      <c r="G1173" s="59"/>
      <c r="H1173" s="59"/>
      <c r="I1173" s="59"/>
      <c r="J1173" s="59"/>
      <c r="K1173" s="59"/>
      <c r="L1173" s="59"/>
      <c r="M1173" s="59"/>
      <c r="N1173" s="59"/>
      <c r="O1173" s="59"/>
      <c r="P1173" s="59"/>
      <c r="Q1173" s="59"/>
      <c r="R1173" s="59"/>
      <c r="S1173" s="59"/>
      <c r="T1173" s="59"/>
      <c r="U1173" s="59"/>
      <c r="V1173" s="59"/>
      <c r="W1173" s="59"/>
      <c r="X1173" s="59"/>
      <c r="Y1173" s="59"/>
      <c r="Z1173" s="59"/>
      <c r="AA1173" s="59"/>
      <c r="AB1173" s="59"/>
      <c r="AC1173" s="59"/>
    </row>
    <row r="1174" spans="2:29" s="62" customFormat="1" ht="13.8" hidden="1" x14ac:dyDescent="0.25">
      <c r="B1174" s="59"/>
      <c r="C1174" s="59"/>
      <c r="D1174" s="59"/>
      <c r="E1174" s="59"/>
      <c r="F1174" s="59"/>
      <c r="G1174" s="59"/>
      <c r="H1174" s="59"/>
      <c r="I1174" s="59"/>
      <c r="J1174" s="59"/>
      <c r="K1174" s="59"/>
      <c r="L1174" s="59"/>
      <c r="M1174" s="59"/>
      <c r="N1174" s="59"/>
      <c r="O1174" s="59"/>
      <c r="P1174" s="59"/>
      <c r="Q1174" s="59"/>
      <c r="R1174" s="59"/>
      <c r="S1174" s="59"/>
      <c r="T1174" s="59"/>
      <c r="U1174" s="59"/>
      <c r="V1174" s="59"/>
      <c r="W1174" s="59"/>
      <c r="X1174" s="59"/>
      <c r="Y1174" s="59"/>
      <c r="Z1174" s="59"/>
      <c r="AA1174" s="59"/>
      <c r="AB1174" s="59"/>
      <c r="AC1174" s="59"/>
    </row>
    <row r="1175" spans="2:29" s="62" customFormat="1" ht="13.8" hidden="1" x14ac:dyDescent="0.25">
      <c r="B1175" s="59"/>
      <c r="C1175" s="59"/>
      <c r="D1175" s="59"/>
      <c r="E1175" s="59"/>
      <c r="F1175" s="59"/>
      <c r="G1175" s="59"/>
      <c r="H1175" s="59"/>
      <c r="I1175" s="59"/>
      <c r="J1175" s="59"/>
      <c r="K1175" s="59"/>
      <c r="L1175" s="59"/>
      <c r="M1175" s="59"/>
      <c r="N1175" s="59"/>
      <c r="O1175" s="59"/>
      <c r="P1175" s="59"/>
      <c r="Q1175" s="59"/>
      <c r="R1175" s="59"/>
      <c r="S1175" s="59"/>
      <c r="T1175" s="59"/>
      <c r="U1175" s="59"/>
      <c r="V1175" s="59"/>
      <c r="W1175" s="59"/>
      <c r="X1175" s="59"/>
      <c r="Y1175" s="59"/>
      <c r="Z1175" s="59"/>
      <c r="AA1175" s="59"/>
      <c r="AB1175" s="59"/>
      <c r="AC1175" s="59"/>
    </row>
    <row r="1176" spans="2:29" s="62" customFormat="1" ht="13.8" hidden="1" x14ac:dyDescent="0.25">
      <c r="B1176" s="59"/>
      <c r="C1176" s="59"/>
      <c r="D1176" s="59"/>
      <c r="E1176" s="59"/>
      <c r="F1176" s="59"/>
      <c r="G1176" s="59"/>
      <c r="H1176" s="59"/>
      <c r="I1176" s="59"/>
      <c r="J1176" s="59"/>
      <c r="K1176" s="59"/>
      <c r="L1176" s="59"/>
      <c r="M1176" s="59"/>
      <c r="N1176" s="59"/>
      <c r="O1176" s="59"/>
      <c r="P1176" s="59"/>
      <c r="Q1176" s="59"/>
      <c r="R1176" s="59"/>
      <c r="S1176" s="59"/>
      <c r="T1176" s="59"/>
      <c r="U1176" s="59"/>
      <c r="V1176" s="59"/>
      <c r="W1176" s="59"/>
      <c r="X1176" s="59"/>
      <c r="Y1176" s="59"/>
      <c r="Z1176" s="59"/>
      <c r="AA1176" s="59"/>
      <c r="AB1176" s="59"/>
      <c r="AC1176" s="59"/>
    </row>
    <row r="1177" spans="2:29" s="62" customFormat="1" ht="13.8" hidden="1" x14ac:dyDescent="0.25">
      <c r="B1177" s="59"/>
      <c r="C1177" s="59"/>
      <c r="D1177" s="59"/>
      <c r="E1177" s="59"/>
      <c r="F1177" s="59"/>
      <c r="G1177" s="59"/>
      <c r="H1177" s="59"/>
      <c r="I1177" s="59"/>
      <c r="J1177" s="59"/>
      <c r="K1177" s="59"/>
      <c r="L1177" s="59"/>
      <c r="M1177" s="59"/>
      <c r="N1177" s="59"/>
      <c r="O1177" s="59"/>
      <c r="P1177" s="59"/>
      <c r="Q1177" s="59"/>
      <c r="R1177" s="59"/>
      <c r="S1177" s="59"/>
      <c r="T1177" s="59"/>
      <c r="U1177" s="59"/>
      <c r="V1177" s="59"/>
      <c r="W1177" s="59"/>
      <c r="X1177" s="59"/>
      <c r="Y1177" s="59"/>
      <c r="Z1177" s="59"/>
      <c r="AA1177" s="59"/>
      <c r="AB1177" s="59"/>
      <c r="AC1177" s="59"/>
    </row>
    <row r="1178" spans="2:29" s="62" customFormat="1" ht="13.8" hidden="1" x14ac:dyDescent="0.25">
      <c r="B1178" s="59"/>
      <c r="C1178" s="59"/>
      <c r="D1178" s="59"/>
      <c r="E1178" s="59"/>
      <c r="F1178" s="59"/>
      <c r="G1178" s="59"/>
      <c r="H1178" s="59"/>
      <c r="I1178" s="59"/>
      <c r="J1178" s="59"/>
      <c r="K1178" s="59"/>
      <c r="L1178" s="59"/>
      <c r="M1178" s="59"/>
      <c r="N1178" s="59"/>
      <c r="O1178" s="59"/>
      <c r="P1178" s="59"/>
      <c r="Q1178" s="59"/>
      <c r="R1178" s="59"/>
      <c r="S1178" s="59"/>
      <c r="T1178" s="59"/>
      <c r="U1178" s="59"/>
      <c r="V1178" s="59"/>
      <c r="W1178" s="59"/>
      <c r="X1178" s="59"/>
      <c r="Y1178" s="59"/>
      <c r="Z1178" s="59"/>
      <c r="AA1178" s="59"/>
      <c r="AB1178" s="59"/>
      <c r="AC1178" s="59"/>
    </row>
    <row r="1179" spans="2:29" s="62" customFormat="1" ht="13.8" hidden="1" x14ac:dyDescent="0.25">
      <c r="B1179" s="59"/>
      <c r="C1179" s="59"/>
      <c r="D1179" s="59"/>
      <c r="E1179" s="59"/>
      <c r="F1179" s="59"/>
      <c r="G1179" s="59"/>
      <c r="H1179" s="59"/>
      <c r="I1179" s="59"/>
      <c r="J1179" s="59"/>
      <c r="K1179" s="59"/>
      <c r="L1179" s="59"/>
      <c r="M1179" s="59"/>
      <c r="N1179" s="59"/>
      <c r="O1179" s="59"/>
      <c r="P1179" s="59"/>
      <c r="Q1179" s="59"/>
      <c r="R1179" s="59"/>
      <c r="S1179" s="59"/>
      <c r="T1179" s="59"/>
      <c r="U1179" s="59"/>
      <c r="V1179" s="59"/>
      <c r="W1179" s="59"/>
      <c r="X1179" s="59"/>
      <c r="Y1179" s="59"/>
      <c r="Z1179" s="59"/>
      <c r="AA1179" s="59"/>
      <c r="AB1179" s="59"/>
      <c r="AC1179" s="59"/>
    </row>
    <row r="1180" spans="2:29" s="62" customFormat="1" ht="13.8" hidden="1" x14ac:dyDescent="0.25">
      <c r="B1180" s="59"/>
      <c r="C1180" s="59"/>
      <c r="D1180" s="59"/>
      <c r="E1180" s="59"/>
      <c r="F1180" s="59"/>
      <c r="G1180" s="59"/>
      <c r="H1180" s="59"/>
      <c r="I1180" s="59"/>
      <c r="J1180" s="59"/>
      <c r="K1180" s="59"/>
      <c r="L1180" s="59"/>
      <c r="M1180" s="59"/>
      <c r="N1180" s="59"/>
      <c r="O1180" s="59"/>
      <c r="P1180" s="59"/>
      <c r="Q1180" s="59"/>
      <c r="R1180" s="59"/>
      <c r="S1180" s="59"/>
      <c r="T1180" s="59"/>
      <c r="U1180" s="59"/>
      <c r="V1180" s="59"/>
      <c r="W1180" s="59"/>
      <c r="X1180" s="59"/>
      <c r="Y1180" s="59"/>
      <c r="Z1180" s="59"/>
      <c r="AA1180" s="59"/>
      <c r="AB1180" s="59"/>
      <c r="AC1180" s="59"/>
    </row>
    <row r="1181" spans="2:29" s="62" customFormat="1" ht="13.8" hidden="1" x14ac:dyDescent="0.25">
      <c r="B1181" s="59"/>
      <c r="C1181" s="59"/>
      <c r="D1181" s="59"/>
      <c r="E1181" s="59"/>
      <c r="F1181" s="59"/>
      <c r="G1181" s="59"/>
      <c r="H1181" s="59"/>
      <c r="I1181" s="59"/>
      <c r="J1181" s="59"/>
      <c r="K1181" s="59"/>
      <c r="L1181" s="59"/>
      <c r="M1181" s="59"/>
      <c r="N1181" s="59"/>
      <c r="O1181" s="59"/>
      <c r="P1181" s="59"/>
      <c r="Q1181" s="59"/>
      <c r="R1181" s="59"/>
      <c r="S1181" s="59"/>
      <c r="T1181" s="59"/>
      <c r="U1181" s="59"/>
      <c r="V1181" s="59"/>
      <c r="W1181" s="59"/>
      <c r="X1181" s="59"/>
      <c r="Y1181" s="59"/>
      <c r="Z1181" s="59"/>
      <c r="AA1181" s="59"/>
      <c r="AB1181" s="59"/>
      <c r="AC1181" s="59"/>
    </row>
    <row r="1182" spans="2:29" s="62" customFormat="1" ht="13.8" hidden="1" x14ac:dyDescent="0.25">
      <c r="B1182" s="59"/>
      <c r="C1182" s="59"/>
      <c r="D1182" s="59"/>
      <c r="E1182" s="59"/>
      <c r="F1182" s="59"/>
      <c r="G1182" s="59"/>
      <c r="H1182" s="59"/>
      <c r="I1182" s="59"/>
      <c r="J1182" s="59"/>
      <c r="K1182" s="59"/>
      <c r="L1182" s="59"/>
      <c r="M1182" s="59"/>
      <c r="N1182" s="59"/>
      <c r="O1182" s="59"/>
      <c r="P1182" s="59"/>
      <c r="Q1182" s="59"/>
      <c r="R1182" s="59"/>
      <c r="S1182" s="59"/>
      <c r="T1182" s="59"/>
      <c r="U1182" s="59"/>
      <c r="V1182" s="59"/>
      <c r="W1182" s="59"/>
      <c r="X1182" s="59"/>
      <c r="Y1182" s="59"/>
      <c r="Z1182" s="59"/>
      <c r="AA1182" s="59"/>
      <c r="AB1182" s="59"/>
      <c r="AC1182" s="59"/>
    </row>
    <row r="1183" spans="2:29" s="62" customFormat="1" ht="13.8" hidden="1" x14ac:dyDescent="0.25">
      <c r="B1183" s="59"/>
      <c r="C1183" s="59"/>
      <c r="D1183" s="59"/>
      <c r="E1183" s="59"/>
      <c r="F1183" s="59"/>
      <c r="G1183" s="59"/>
      <c r="H1183" s="59"/>
      <c r="I1183" s="59"/>
      <c r="J1183" s="59"/>
      <c r="K1183" s="59"/>
      <c r="L1183" s="59"/>
      <c r="M1183" s="59"/>
      <c r="N1183" s="59"/>
      <c r="O1183" s="59"/>
      <c r="P1183" s="59"/>
      <c r="Q1183" s="59"/>
      <c r="R1183" s="59"/>
      <c r="S1183" s="59"/>
      <c r="T1183" s="59"/>
      <c r="U1183" s="59"/>
      <c r="V1183" s="59"/>
      <c r="W1183" s="59"/>
      <c r="X1183" s="59"/>
      <c r="Y1183" s="59"/>
      <c r="Z1183" s="59"/>
      <c r="AA1183" s="59"/>
      <c r="AB1183" s="59"/>
      <c r="AC1183" s="59"/>
    </row>
    <row r="1184" spans="2:29" s="62" customFormat="1" ht="13.8" hidden="1" x14ac:dyDescent="0.25">
      <c r="B1184" s="59"/>
      <c r="C1184" s="59"/>
      <c r="D1184" s="59"/>
      <c r="E1184" s="59"/>
      <c r="F1184" s="59"/>
      <c r="G1184" s="59"/>
      <c r="H1184" s="59"/>
      <c r="I1184" s="59"/>
      <c r="J1184" s="59"/>
      <c r="K1184" s="59"/>
      <c r="L1184" s="59"/>
      <c r="M1184" s="59"/>
      <c r="N1184" s="59"/>
      <c r="O1184" s="59"/>
      <c r="P1184" s="59"/>
      <c r="Q1184" s="59"/>
      <c r="R1184" s="59"/>
      <c r="S1184" s="59"/>
      <c r="T1184" s="59"/>
      <c r="U1184" s="59"/>
      <c r="V1184" s="59"/>
      <c r="W1184" s="59"/>
      <c r="X1184" s="59"/>
      <c r="Y1184" s="59"/>
      <c r="Z1184" s="59"/>
      <c r="AA1184" s="59"/>
      <c r="AB1184" s="59"/>
      <c r="AC1184" s="59"/>
    </row>
    <row r="1185" spans="2:29" s="62" customFormat="1" ht="13.8" hidden="1" x14ac:dyDescent="0.25">
      <c r="B1185" s="59"/>
      <c r="C1185" s="59"/>
      <c r="D1185" s="59"/>
      <c r="E1185" s="59"/>
      <c r="F1185" s="59"/>
      <c r="G1185" s="59"/>
      <c r="H1185" s="59"/>
      <c r="I1185" s="59"/>
      <c r="J1185" s="59"/>
      <c r="K1185" s="59"/>
      <c r="L1185" s="59"/>
      <c r="M1185" s="59"/>
      <c r="N1185" s="59"/>
      <c r="O1185" s="59"/>
      <c r="P1185" s="59"/>
      <c r="Q1185" s="59"/>
      <c r="R1185" s="59"/>
      <c r="S1185" s="59"/>
      <c r="T1185" s="59"/>
      <c r="U1185" s="59"/>
      <c r="V1185" s="59"/>
      <c r="W1185" s="59"/>
      <c r="X1185" s="59"/>
      <c r="Y1185" s="59"/>
      <c r="Z1185" s="59"/>
      <c r="AA1185" s="59"/>
      <c r="AB1185" s="59"/>
      <c r="AC1185" s="59"/>
    </row>
    <row r="1186" spans="2:29" s="62" customFormat="1" ht="13.8" hidden="1" x14ac:dyDescent="0.25">
      <c r="B1186" s="59"/>
      <c r="C1186" s="59"/>
      <c r="D1186" s="59"/>
      <c r="E1186" s="59"/>
      <c r="F1186" s="59"/>
      <c r="G1186" s="59"/>
      <c r="H1186" s="59"/>
      <c r="I1186" s="59"/>
      <c r="J1186" s="59"/>
      <c r="K1186" s="59"/>
      <c r="L1186" s="59"/>
      <c r="M1186" s="59"/>
      <c r="N1186" s="59"/>
      <c r="O1186" s="59"/>
      <c r="P1186" s="59"/>
      <c r="Q1186" s="59"/>
      <c r="R1186" s="59"/>
      <c r="S1186" s="59"/>
      <c r="T1186" s="59"/>
      <c r="U1186" s="59"/>
      <c r="V1186" s="59"/>
      <c r="W1186" s="59"/>
      <c r="X1186" s="59"/>
      <c r="Y1186" s="59"/>
      <c r="Z1186" s="59"/>
      <c r="AA1186" s="59"/>
      <c r="AB1186" s="59"/>
      <c r="AC1186" s="59"/>
    </row>
    <row r="1187" spans="2:29" s="62" customFormat="1" ht="13.8" hidden="1" x14ac:dyDescent="0.25">
      <c r="B1187" s="59"/>
      <c r="C1187" s="59"/>
      <c r="D1187" s="59"/>
      <c r="E1187" s="59"/>
      <c r="F1187" s="59"/>
      <c r="G1187" s="59"/>
      <c r="H1187" s="59"/>
      <c r="I1187" s="59"/>
      <c r="J1187" s="59"/>
      <c r="K1187" s="59"/>
      <c r="L1187" s="59"/>
      <c r="M1187" s="59"/>
      <c r="N1187" s="59"/>
      <c r="O1187" s="59"/>
      <c r="P1187" s="59"/>
      <c r="Q1187" s="59"/>
      <c r="R1187" s="59"/>
      <c r="S1187" s="59"/>
      <c r="T1187" s="59"/>
      <c r="U1187" s="59"/>
      <c r="V1187" s="59"/>
      <c r="W1187" s="59"/>
      <c r="X1187" s="59"/>
      <c r="Y1187" s="59"/>
      <c r="Z1187" s="59"/>
      <c r="AA1187" s="59"/>
      <c r="AB1187" s="59"/>
      <c r="AC1187" s="59"/>
    </row>
    <row r="1188" spans="2:29" s="62" customFormat="1" ht="13.8" hidden="1" x14ac:dyDescent="0.25">
      <c r="B1188" s="59"/>
      <c r="C1188" s="59"/>
      <c r="D1188" s="59"/>
      <c r="E1188" s="59"/>
      <c r="F1188" s="59"/>
      <c r="G1188" s="59"/>
      <c r="H1188" s="59"/>
      <c r="I1188" s="59"/>
      <c r="J1188" s="59"/>
      <c r="K1188" s="59"/>
      <c r="L1188" s="59"/>
      <c r="M1188" s="59"/>
      <c r="N1188" s="59"/>
      <c r="O1188" s="59"/>
      <c r="P1188" s="59"/>
      <c r="Q1188" s="59"/>
      <c r="R1188" s="59"/>
      <c r="S1188" s="59"/>
      <c r="T1188" s="59"/>
      <c r="U1188" s="59"/>
      <c r="V1188" s="59"/>
      <c r="W1188" s="59"/>
      <c r="X1188" s="59"/>
      <c r="Y1188" s="59"/>
      <c r="Z1188" s="59"/>
      <c r="AA1188" s="59"/>
      <c r="AB1188" s="59"/>
      <c r="AC1188" s="59"/>
    </row>
    <row r="1189" spans="2:29" s="62" customFormat="1" ht="13.8" hidden="1" x14ac:dyDescent="0.25">
      <c r="B1189" s="59"/>
      <c r="C1189" s="59"/>
      <c r="D1189" s="59"/>
      <c r="E1189" s="59"/>
      <c r="F1189" s="59"/>
      <c r="G1189" s="59"/>
      <c r="H1189" s="59"/>
      <c r="I1189" s="59"/>
      <c r="J1189" s="59"/>
      <c r="K1189" s="59"/>
      <c r="L1189" s="59"/>
      <c r="M1189" s="59"/>
      <c r="N1189" s="59"/>
      <c r="O1189" s="59"/>
      <c r="P1189" s="59"/>
      <c r="Q1189" s="59"/>
      <c r="R1189" s="59"/>
      <c r="S1189" s="59"/>
      <c r="T1189" s="59"/>
      <c r="U1189" s="59"/>
      <c r="V1189" s="59"/>
      <c r="W1189" s="59"/>
      <c r="X1189" s="59"/>
      <c r="Y1189" s="59"/>
      <c r="Z1189" s="59"/>
      <c r="AA1189" s="59"/>
      <c r="AB1189" s="59"/>
      <c r="AC1189" s="59"/>
    </row>
    <row r="1190" spans="2:29" s="62" customFormat="1" ht="13.8" hidden="1" x14ac:dyDescent="0.25">
      <c r="B1190" s="59"/>
      <c r="C1190" s="59"/>
      <c r="D1190" s="59"/>
      <c r="E1190" s="59"/>
      <c r="F1190" s="59"/>
      <c r="G1190" s="59"/>
      <c r="H1190" s="59"/>
      <c r="I1190" s="59"/>
      <c r="J1190" s="59"/>
      <c r="K1190" s="59"/>
      <c r="L1190" s="59"/>
      <c r="M1190" s="59"/>
      <c r="N1190" s="59"/>
      <c r="O1190" s="59"/>
      <c r="P1190" s="59"/>
      <c r="Q1190" s="59"/>
      <c r="R1190" s="59"/>
      <c r="S1190" s="59"/>
      <c r="T1190" s="59"/>
      <c r="U1190" s="59"/>
      <c r="V1190" s="59"/>
      <c r="W1190" s="59"/>
      <c r="X1190" s="59"/>
      <c r="Y1190" s="59"/>
      <c r="Z1190" s="59"/>
      <c r="AA1190" s="59"/>
      <c r="AB1190" s="59"/>
      <c r="AC1190" s="59"/>
    </row>
    <row r="1191" spans="2:29" s="62" customFormat="1" ht="13.8" hidden="1" x14ac:dyDescent="0.25">
      <c r="B1191" s="59"/>
      <c r="C1191" s="59"/>
      <c r="D1191" s="59"/>
      <c r="E1191" s="59"/>
      <c r="F1191" s="59"/>
      <c r="G1191" s="59"/>
      <c r="H1191" s="59"/>
      <c r="I1191" s="59"/>
      <c r="J1191" s="59"/>
      <c r="K1191" s="59"/>
      <c r="L1191" s="59"/>
      <c r="M1191" s="59"/>
      <c r="N1191" s="59"/>
      <c r="O1191" s="59"/>
      <c r="P1191" s="59"/>
      <c r="Q1191" s="59"/>
      <c r="R1191" s="59"/>
      <c r="S1191" s="59"/>
      <c r="T1191" s="59"/>
      <c r="U1191" s="59"/>
      <c r="V1191" s="59"/>
      <c r="W1191" s="59"/>
      <c r="X1191" s="59"/>
      <c r="Y1191" s="59"/>
      <c r="Z1191" s="59"/>
      <c r="AA1191" s="59"/>
      <c r="AB1191" s="59"/>
      <c r="AC1191" s="59"/>
    </row>
    <row r="1192" spans="2:29" s="62" customFormat="1" ht="13.8" hidden="1" x14ac:dyDescent="0.25">
      <c r="B1192" s="59"/>
      <c r="C1192" s="59"/>
      <c r="D1192" s="59"/>
      <c r="E1192" s="59"/>
      <c r="F1192" s="59"/>
      <c r="G1192" s="59"/>
      <c r="H1192" s="59"/>
      <c r="I1192" s="59"/>
      <c r="J1192" s="59"/>
      <c r="K1192" s="59"/>
      <c r="L1192" s="59"/>
      <c r="M1192" s="59"/>
      <c r="N1192" s="59"/>
      <c r="O1192" s="59"/>
      <c r="P1192" s="59"/>
      <c r="Q1192" s="59"/>
      <c r="R1192" s="59"/>
      <c r="S1192" s="59"/>
      <c r="T1192" s="59"/>
      <c r="U1192" s="59"/>
      <c r="V1192" s="59"/>
      <c r="W1192" s="59"/>
      <c r="X1192" s="59"/>
      <c r="Y1192" s="59"/>
      <c r="Z1192" s="59"/>
      <c r="AA1192" s="59"/>
      <c r="AB1192" s="59"/>
      <c r="AC1192" s="59"/>
    </row>
    <row r="1193" spans="2:29" s="62" customFormat="1" ht="13.8" hidden="1" x14ac:dyDescent="0.25">
      <c r="B1193" s="59"/>
      <c r="C1193" s="59"/>
      <c r="D1193" s="59"/>
      <c r="E1193" s="59"/>
      <c r="F1193" s="59"/>
      <c r="G1193" s="59"/>
      <c r="H1193" s="59"/>
      <c r="I1193" s="59"/>
      <c r="J1193" s="59"/>
      <c r="K1193" s="59"/>
      <c r="L1193" s="59"/>
      <c r="M1193" s="59"/>
      <c r="N1193" s="59"/>
      <c r="O1193" s="59"/>
      <c r="P1193" s="59"/>
      <c r="Q1193" s="59"/>
      <c r="R1193" s="59"/>
      <c r="S1193" s="59"/>
      <c r="T1193" s="59"/>
      <c r="U1193" s="59"/>
      <c r="V1193" s="59"/>
      <c r="W1193" s="59"/>
      <c r="X1193" s="59"/>
      <c r="Y1193" s="59"/>
      <c r="Z1193" s="59"/>
      <c r="AA1193" s="59"/>
      <c r="AB1193" s="59"/>
      <c r="AC1193" s="59"/>
    </row>
    <row r="1194" spans="2:29" s="62" customFormat="1" ht="13.8" hidden="1" x14ac:dyDescent="0.25">
      <c r="B1194" s="59"/>
      <c r="C1194" s="59"/>
      <c r="D1194" s="59"/>
      <c r="E1194" s="59"/>
      <c r="F1194" s="59"/>
      <c r="G1194" s="59"/>
      <c r="H1194" s="59"/>
      <c r="I1194" s="59"/>
      <c r="J1194" s="59"/>
      <c r="K1194" s="59"/>
      <c r="L1194" s="59"/>
      <c r="M1194" s="59"/>
      <c r="N1194" s="59"/>
      <c r="O1194" s="59"/>
      <c r="P1194" s="59"/>
      <c r="Q1194" s="59"/>
      <c r="R1194" s="59"/>
      <c r="S1194" s="59"/>
      <c r="T1194" s="59"/>
      <c r="U1194" s="59"/>
      <c r="V1194" s="59"/>
      <c r="W1194" s="59"/>
      <c r="X1194" s="59"/>
      <c r="Y1194" s="59"/>
      <c r="Z1194" s="59"/>
      <c r="AA1194" s="59"/>
      <c r="AB1194" s="59"/>
      <c r="AC1194" s="59"/>
    </row>
    <row r="1195" spans="2:29" s="62" customFormat="1" ht="13.8" hidden="1" x14ac:dyDescent="0.25">
      <c r="B1195" s="59"/>
      <c r="C1195" s="59"/>
      <c r="D1195" s="59"/>
      <c r="E1195" s="59"/>
      <c r="F1195" s="59"/>
      <c r="G1195" s="59"/>
      <c r="H1195" s="59"/>
      <c r="I1195" s="59"/>
      <c r="J1195" s="59"/>
      <c r="K1195" s="59"/>
      <c r="L1195" s="59"/>
      <c r="M1195" s="59"/>
      <c r="N1195" s="59"/>
      <c r="O1195" s="59"/>
      <c r="P1195" s="59"/>
      <c r="Q1195" s="59"/>
      <c r="R1195" s="59"/>
      <c r="S1195" s="59"/>
      <c r="T1195" s="59"/>
      <c r="U1195" s="59"/>
      <c r="V1195" s="59"/>
      <c r="W1195" s="59"/>
      <c r="X1195" s="59"/>
      <c r="Y1195" s="59"/>
      <c r="Z1195" s="59"/>
      <c r="AA1195" s="59"/>
      <c r="AB1195" s="59"/>
      <c r="AC1195" s="59"/>
    </row>
    <row r="1196" spans="2:29" s="62" customFormat="1" ht="13.8" hidden="1" x14ac:dyDescent="0.25">
      <c r="B1196" s="59"/>
      <c r="C1196" s="59"/>
      <c r="D1196" s="59"/>
      <c r="E1196" s="59"/>
      <c r="F1196" s="59"/>
      <c r="G1196" s="59"/>
      <c r="H1196" s="59"/>
      <c r="I1196" s="59"/>
      <c r="J1196" s="59"/>
      <c r="K1196" s="59"/>
      <c r="L1196" s="59"/>
      <c r="M1196" s="59"/>
      <c r="N1196" s="59"/>
      <c r="O1196" s="59"/>
      <c r="P1196" s="59"/>
      <c r="Q1196" s="59"/>
      <c r="R1196" s="59"/>
      <c r="S1196" s="59"/>
      <c r="T1196" s="59"/>
      <c r="U1196" s="59"/>
      <c r="V1196" s="59"/>
      <c r="W1196" s="59"/>
      <c r="X1196" s="59"/>
      <c r="Y1196" s="59"/>
      <c r="Z1196" s="59"/>
      <c r="AA1196" s="59"/>
      <c r="AB1196" s="59"/>
      <c r="AC1196" s="59"/>
    </row>
    <row r="1197" spans="2:29" s="62" customFormat="1" ht="13.8" hidden="1" x14ac:dyDescent="0.25">
      <c r="B1197" s="59"/>
      <c r="C1197" s="59"/>
      <c r="D1197" s="59"/>
      <c r="E1197" s="59"/>
      <c r="F1197" s="59"/>
      <c r="G1197" s="59"/>
      <c r="H1197" s="59"/>
      <c r="I1197" s="59"/>
      <c r="J1197" s="59"/>
      <c r="K1197" s="59"/>
      <c r="L1197" s="59"/>
      <c r="M1197" s="59"/>
      <c r="N1197" s="59"/>
      <c r="O1197" s="59"/>
      <c r="P1197" s="59"/>
      <c r="Q1197" s="59"/>
      <c r="R1197" s="59"/>
      <c r="S1197" s="59"/>
      <c r="T1197" s="59"/>
      <c r="U1197" s="59"/>
      <c r="V1197" s="59"/>
      <c r="W1197" s="59"/>
      <c r="X1197" s="59"/>
      <c r="Y1197" s="59"/>
      <c r="Z1197" s="59"/>
      <c r="AA1197" s="59"/>
      <c r="AB1197" s="59"/>
      <c r="AC1197" s="59"/>
    </row>
    <row r="1198" spans="2:29" s="62" customFormat="1" ht="13.8" hidden="1" x14ac:dyDescent="0.25">
      <c r="B1198" s="59"/>
      <c r="C1198" s="59"/>
      <c r="D1198" s="59"/>
      <c r="E1198" s="59"/>
      <c r="F1198" s="59"/>
      <c r="G1198" s="59"/>
      <c r="H1198" s="59"/>
      <c r="I1198" s="59"/>
      <c r="J1198" s="59"/>
      <c r="K1198" s="59"/>
      <c r="L1198" s="59"/>
      <c r="M1198" s="59"/>
      <c r="N1198" s="59"/>
      <c r="O1198" s="59"/>
      <c r="P1198" s="59"/>
      <c r="Q1198" s="59"/>
      <c r="R1198" s="59"/>
      <c r="S1198" s="59"/>
      <c r="T1198" s="59"/>
      <c r="U1198" s="59"/>
      <c r="V1198" s="59"/>
      <c r="W1198" s="59"/>
      <c r="X1198" s="59"/>
      <c r="Y1198" s="59"/>
      <c r="Z1198" s="59"/>
      <c r="AA1198" s="59"/>
      <c r="AB1198" s="59"/>
      <c r="AC1198" s="59"/>
    </row>
    <row r="1199" spans="2:29" s="62" customFormat="1" ht="13.8" hidden="1" x14ac:dyDescent="0.25">
      <c r="B1199" s="59"/>
      <c r="C1199" s="59"/>
      <c r="D1199" s="59"/>
      <c r="E1199" s="59"/>
      <c r="F1199" s="59"/>
      <c r="G1199" s="59"/>
      <c r="H1199" s="59"/>
      <c r="I1199" s="59"/>
      <c r="J1199" s="59"/>
      <c r="K1199" s="59"/>
      <c r="L1199" s="59"/>
      <c r="M1199" s="59"/>
      <c r="N1199" s="59"/>
      <c r="O1199" s="59"/>
      <c r="P1199" s="59"/>
      <c r="Q1199" s="59"/>
      <c r="R1199" s="59"/>
      <c r="S1199" s="59"/>
      <c r="T1199" s="59"/>
      <c r="U1199" s="59"/>
      <c r="V1199" s="59"/>
      <c r="W1199" s="59"/>
      <c r="X1199" s="59"/>
      <c r="Y1199" s="59"/>
      <c r="Z1199" s="59"/>
      <c r="AA1199" s="59"/>
      <c r="AB1199" s="59"/>
      <c r="AC1199" s="59"/>
    </row>
    <row r="1200" spans="2:29" s="62" customFormat="1" ht="13.8" hidden="1" x14ac:dyDescent="0.25">
      <c r="B1200" s="59"/>
      <c r="C1200" s="59"/>
      <c r="D1200" s="59"/>
      <c r="E1200" s="59"/>
      <c r="F1200" s="59"/>
      <c r="G1200" s="59"/>
      <c r="H1200" s="59"/>
      <c r="I1200" s="59"/>
      <c r="J1200" s="59"/>
      <c r="K1200" s="59"/>
      <c r="L1200" s="59"/>
      <c r="M1200" s="59"/>
      <c r="N1200" s="59"/>
      <c r="O1200" s="59"/>
      <c r="P1200" s="59"/>
      <c r="Q1200" s="59"/>
      <c r="R1200" s="59"/>
      <c r="S1200" s="59"/>
      <c r="T1200" s="59"/>
      <c r="U1200" s="59"/>
      <c r="V1200" s="59"/>
      <c r="W1200" s="59"/>
      <c r="X1200" s="59"/>
      <c r="Y1200" s="59"/>
      <c r="Z1200" s="59"/>
      <c r="AA1200" s="59"/>
      <c r="AB1200" s="59"/>
      <c r="AC1200" s="59"/>
    </row>
    <row r="1201" spans="2:29" s="62" customFormat="1" ht="13.8" hidden="1" x14ac:dyDescent="0.25">
      <c r="B1201" s="59"/>
      <c r="C1201" s="59"/>
      <c r="D1201" s="59"/>
      <c r="E1201" s="59"/>
      <c r="F1201" s="59"/>
      <c r="G1201" s="59"/>
      <c r="H1201" s="59"/>
      <c r="I1201" s="59"/>
      <c r="J1201" s="59"/>
      <c r="K1201" s="59"/>
      <c r="L1201" s="59"/>
      <c r="M1201" s="59"/>
      <c r="N1201" s="59"/>
      <c r="O1201" s="59"/>
      <c r="P1201" s="59"/>
      <c r="Q1201" s="59"/>
      <c r="R1201" s="59"/>
      <c r="S1201" s="59"/>
      <c r="T1201" s="59"/>
      <c r="U1201" s="59"/>
      <c r="V1201" s="59"/>
      <c r="W1201" s="59"/>
      <c r="X1201" s="59"/>
      <c r="Y1201" s="59"/>
      <c r="Z1201" s="59"/>
      <c r="AA1201" s="59"/>
      <c r="AB1201" s="59"/>
      <c r="AC1201" s="59"/>
    </row>
    <row r="1202" spans="2:29" s="62" customFormat="1" ht="13.8" hidden="1" x14ac:dyDescent="0.25">
      <c r="B1202" s="59"/>
      <c r="C1202" s="59"/>
      <c r="D1202" s="59"/>
      <c r="E1202" s="59"/>
      <c r="F1202" s="59"/>
      <c r="G1202" s="59"/>
      <c r="H1202" s="59"/>
      <c r="I1202" s="59"/>
      <c r="J1202" s="59"/>
      <c r="K1202" s="59"/>
      <c r="L1202" s="59"/>
      <c r="M1202" s="59"/>
      <c r="N1202" s="59"/>
      <c r="O1202" s="59"/>
      <c r="P1202" s="59"/>
      <c r="Q1202" s="59"/>
      <c r="R1202" s="59"/>
      <c r="S1202" s="59"/>
      <c r="T1202" s="59"/>
      <c r="U1202" s="59"/>
      <c r="V1202" s="59"/>
      <c r="W1202" s="59"/>
      <c r="X1202" s="59"/>
      <c r="Y1202" s="59"/>
      <c r="Z1202" s="59"/>
      <c r="AA1202" s="59"/>
      <c r="AB1202" s="59"/>
      <c r="AC1202" s="59"/>
    </row>
    <row r="1203" spans="2:29" s="62" customFormat="1" ht="13.8" hidden="1" x14ac:dyDescent="0.25">
      <c r="B1203" s="59"/>
      <c r="C1203" s="59"/>
      <c r="D1203" s="59"/>
      <c r="E1203" s="59"/>
      <c r="F1203" s="59"/>
      <c r="G1203" s="59"/>
      <c r="H1203" s="59"/>
      <c r="I1203" s="59"/>
      <c r="J1203" s="59"/>
      <c r="K1203" s="59"/>
      <c r="L1203" s="59"/>
      <c r="M1203" s="59"/>
      <c r="N1203" s="59"/>
      <c r="O1203" s="59"/>
      <c r="P1203" s="59"/>
      <c r="Q1203" s="59"/>
      <c r="R1203" s="59"/>
      <c r="S1203" s="59"/>
      <c r="T1203" s="59"/>
      <c r="U1203" s="59"/>
      <c r="V1203" s="59"/>
      <c r="W1203" s="59"/>
      <c r="X1203" s="59"/>
      <c r="Y1203" s="59"/>
      <c r="Z1203" s="59"/>
      <c r="AA1203" s="59"/>
      <c r="AB1203" s="59"/>
      <c r="AC1203" s="59"/>
    </row>
    <row r="1204" spans="2:29" s="62" customFormat="1" ht="13.8" hidden="1" x14ac:dyDescent="0.25">
      <c r="B1204" s="59"/>
      <c r="C1204" s="59"/>
      <c r="D1204" s="59"/>
      <c r="E1204" s="59"/>
      <c r="F1204" s="59"/>
      <c r="G1204" s="59"/>
      <c r="H1204" s="59"/>
      <c r="I1204" s="59"/>
      <c r="J1204" s="59"/>
      <c r="K1204" s="59"/>
      <c r="L1204" s="59"/>
      <c r="M1204" s="59"/>
      <c r="N1204" s="59"/>
      <c r="O1204" s="59"/>
      <c r="P1204" s="59"/>
      <c r="Q1204" s="59"/>
      <c r="R1204" s="59"/>
      <c r="S1204" s="59"/>
      <c r="T1204" s="59"/>
      <c r="U1204" s="59"/>
      <c r="V1204" s="59"/>
      <c r="W1204" s="59"/>
      <c r="X1204" s="59"/>
      <c r="Y1204" s="59"/>
      <c r="Z1204" s="59"/>
      <c r="AA1204" s="59"/>
      <c r="AB1204" s="59"/>
      <c r="AC1204" s="59"/>
    </row>
    <row r="1205" spans="2:29" s="62" customFormat="1" ht="13.8" hidden="1" x14ac:dyDescent="0.25">
      <c r="B1205" s="59"/>
      <c r="C1205" s="59"/>
      <c r="D1205" s="59"/>
      <c r="E1205" s="59"/>
      <c r="F1205" s="59"/>
      <c r="G1205" s="59"/>
      <c r="H1205" s="59"/>
      <c r="I1205" s="59"/>
      <c r="J1205" s="59"/>
      <c r="K1205" s="59"/>
      <c r="L1205" s="59"/>
      <c r="M1205" s="59"/>
      <c r="N1205" s="59"/>
      <c r="O1205" s="59"/>
      <c r="P1205" s="59"/>
      <c r="Q1205" s="59"/>
      <c r="R1205" s="59"/>
      <c r="S1205" s="59"/>
      <c r="T1205" s="59"/>
      <c r="U1205" s="59"/>
      <c r="V1205" s="59"/>
      <c r="W1205" s="59"/>
      <c r="X1205" s="59"/>
      <c r="Y1205" s="59"/>
      <c r="Z1205" s="59"/>
      <c r="AA1205" s="59"/>
      <c r="AB1205" s="59"/>
      <c r="AC1205" s="59"/>
    </row>
    <row r="1206" spans="2:29" s="62" customFormat="1" ht="13.8" hidden="1" x14ac:dyDescent="0.25">
      <c r="B1206" s="59"/>
      <c r="C1206" s="59"/>
      <c r="D1206" s="59"/>
      <c r="E1206" s="59"/>
      <c r="F1206" s="59"/>
      <c r="G1206" s="59"/>
      <c r="H1206" s="59"/>
      <c r="I1206" s="59"/>
      <c r="J1206" s="59"/>
      <c r="K1206" s="59"/>
      <c r="L1206" s="59"/>
      <c r="M1206" s="59"/>
      <c r="N1206" s="59"/>
      <c r="O1206" s="59"/>
      <c r="P1206" s="59"/>
      <c r="Q1206" s="59"/>
      <c r="R1206" s="59"/>
      <c r="S1206" s="59"/>
      <c r="T1206" s="59"/>
      <c r="U1206" s="59"/>
      <c r="V1206" s="59"/>
      <c r="W1206" s="59"/>
      <c r="X1206" s="59"/>
      <c r="Y1206" s="59"/>
      <c r="Z1206" s="59"/>
      <c r="AA1206" s="59"/>
      <c r="AB1206" s="59"/>
      <c r="AC1206" s="59"/>
    </row>
    <row r="1207" spans="2:29" s="62" customFormat="1" ht="13.8" hidden="1" x14ac:dyDescent="0.25">
      <c r="B1207" s="59"/>
      <c r="C1207" s="59"/>
      <c r="D1207" s="59"/>
      <c r="E1207" s="59"/>
      <c r="F1207" s="59"/>
      <c r="G1207" s="59"/>
      <c r="H1207" s="59"/>
      <c r="I1207" s="59"/>
      <c r="J1207" s="59"/>
      <c r="K1207" s="59"/>
      <c r="L1207" s="59"/>
      <c r="M1207" s="59"/>
      <c r="N1207" s="59"/>
      <c r="O1207" s="59"/>
      <c r="P1207" s="59"/>
      <c r="Q1207" s="59"/>
      <c r="R1207" s="59"/>
      <c r="S1207" s="59"/>
      <c r="T1207" s="59"/>
      <c r="U1207" s="59"/>
      <c r="V1207" s="59"/>
      <c r="W1207" s="59"/>
      <c r="X1207" s="59"/>
      <c r="Y1207" s="59"/>
      <c r="Z1207" s="59"/>
      <c r="AA1207" s="59"/>
      <c r="AB1207" s="59"/>
      <c r="AC1207" s="59"/>
    </row>
    <row r="1208" spans="2:29" s="62" customFormat="1" ht="13.8" hidden="1" x14ac:dyDescent="0.25">
      <c r="B1208" s="59"/>
      <c r="C1208" s="59"/>
      <c r="D1208" s="59"/>
      <c r="E1208" s="59"/>
      <c r="F1208" s="59"/>
      <c r="G1208" s="59"/>
      <c r="H1208" s="59"/>
      <c r="I1208" s="59"/>
      <c r="J1208" s="59"/>
      <c r="K1208" s="59"/>
      <c r="L1208" s="59"/>
      <c r="M1208" s="59"/>
      <c r="N1208" s="59"/>
      <c r="O1208" s="59"/>
      <c r="P1208" s="59"/>
      <c r="Q1208" s="59"/>
      <c r="R1208" s="59"/>
      <c r="S1208" s="59"/>
      <c r="T1208" s="59"/>
      <c r="U1208" s="59"/>
      <c r="V1208" s="59"/>
      <c r="W1208" s="59"/>
      <c r="X1208" s="59"/>
      <c r="Y1208" s="59"/>
      <c r="Z1208" s="59"/>
      <c r="AA1208" s="59"/>
      <c r="AB1208" s="59"/>
      <c r="AC1208" s="59"/>
    </row>
    <row r="1209" spans="2:29" s="62" customFormat="1" ht="13.8" hidden="1" x14ac:dyDescent="0.25">
      <c r="B1209" s="59"/>
      <c r="C1209" s="59"/>
      <c r="D1209" s="59"/>
      <c r="E1209" s="59"/>
      <c r="F1209" s="59"/>
      <c r="G1209" s="59"/>
      <c r="H1209" s="59"/>
      <c r="I1209" s="59"/>
      <c r="J1209" s="59"/>
      <c r="K1209" s="59"/>
      <c r="L1209" s="59"/>
      <c r="M1209" s="59"/>
      <c r="N1209" s="59"/>
      <c r="O1209" s="59"/>
      <c r="P1209" s="59"/>
      <c r="Q1209" s="59"/>
      <c r="R1209" s="59"/>
      <c r="S1209" s="59"/>
      <c r="T1209" s="59"/>
      <c r="U1209" s="59"/>
      <c r="V1209" s="59"/>
      <c r="W1209" s="59"/>
      <c r="X1209" s="59"/>
      <c r="Y1209" s="59"/>
      <c r="Z1209" s="59"/>
      <c r="AA1209" s="59"/>
      <c r="AB1209" s="59"/>
      <c r="AC1209" s="59"/>
    </row>
    <row r="1210" spans="2:29" s="62" customFormat="1" ht="13.8" hidden="1" x14ac:dyDescent="0.25">
      <c r="B1210" s="59"/>
      <c r="C1210" s="59"/>
      <c r="D1210" s="59"/>
      <c r="E1210" s="59"/>
      <c r="F1210" s="59"/>
      <c r="G1210" s="59"/>
      <c r="H1210" s="59"/>
      <c r="I1210" s="59"/>
      <c r="J1210" s="59"/>
      <c r="K1210" s="59"/>
      <c r="L1210" s="59"/>
      <c r="M1210" s="59"/>
      <c r="N1210" s="59"/>
      <c r="O1210" s="59"/>
      <c r="P1210" s="59"/>
      <c r="Q1210" s="59"/>
      <c r="R1210" s="59"/>
      <c r="S1210" s="59"/>
      <c r="T1210" s="59"/>
      <c r="U1210" s="59"/>
      <c r="V1210" s="59"/>
      <c r="W1210" s="59"/>
      <c r="X1210" s="59"/>
      <c r="Y1210" s="59"/>
      <c r="Z1210" s="59"/>
      <c r="AA1210" s="59"/>
      <c r="AB1210" s="59"/>
      <c r="AC1210" s="59"/>
    </row>
    <row r="1211" spans="2:29" s="62" customFormat="1" ht="13.8" hidden="1" x14ac:dyDescent="0.25">
      <c r="B1211" s="59"/>
      <c r="C1211" s="59"/>
      <c r="D1211" s="59"/>
      <c r="E1211" s="59"/>
      <c r="F1211" s="59"/>
      <c r="G1211" s="59"/>
      <c r="H1211" s="59"/>
      <c r="I1211" s="59"/>
      <c r="J1211" s="59"/>
      <c r="K1211" s="59"/>
      <c r="L1211" s="59"/>
      <c r="M1211" s="59"/>
      <c r="N1211" s="59"/>
      <c r="O1211" s="59"/>
      <c r="P1211" s="59"/>
      <c r="Q1211" s="59"/>
      <c r="R1211" s="59"/>
      <c r="S1211" s="59"/>
      <c r="T1211" s="59"/>
      <c r="U1211" s="59"/>
      <c r="V1211" s="59"/>
      <c r="W1211" s="59"/>
      <c r="X1211" s="59"/>
      <c r="Y1211" s="59"/>
      <c r="Z1211" s="59"/>
      <c r="AA1211" s="59"/>
      <c r="AB1211" s="59"/>
      <c r="AC1211" s="59"/>
    </row>
    <row r="1212" spans="2:29" s="62" customFormat="1" ht="13.8" hidden="1" x14ac:dyDescent="0.25">
      <c r="B1212" s="59"/>
      <c r="C1212" s="59"/>
      <c r="D1212" s="59"/>
      <c r="E1212" s="59"/>
      <c r="F1212" s="59"/>
      <c r="G1212" s="59"/>
      <c r="H1212" s="59"/>
      <c r="I1212" s="59"/>
      <c r="J1212" s="59"/>
      <c r="K1212" s="59"/>
      <c r="L1212" s="59"/>
      <c r="M1212" s="59"/>
      <c r="N1212" s="59"/>
      <c r="O1212" s="59"/>
      <c r="P1212" s="59"/>
      <c r="Q1212" s="59"/>
      <c r="R1212" s="59"/>
      <c r="S1212" s="59"/>
      <c r="T1212" s="59"/>
      <c r="U1212" s="59"/>
      <c r="V1212" s="59"/>
      <c r="W1212" s="59"/>
      <c r="X1212" s="59"/>
      <c r="Y1212" s="59"/>
      <c r="Z1212" s="59"/>
      <c r="AA1212" s="59"/>
      <c r="AB1212" s="59"/>
      <c r="AC1212" s="59"/>
    </row>
    <row r="1213" spans="2:29" s="62" customFormat="1" ht="13.8" hidden="1" x14ac:dyDescent="0.25">
      <c r="B1213" s="59"/>
      <c r="C1213" s="59"/>
      <c r="D1213" s="59"/>
      <c r="E1213" s="59"/>
      <c r="F1213" s="59"/>
      <c r="G1213" s="59"/>
      <c r="H1213" s="59"/>
      <c r="I1213" s="59"/>
      <c r="J1213" s="59"/>
      <c r="K1213" s="59"/>
      <c r="L1213" s="59"/>
      <c r="M1213" s="59"/>
      <c r="N1213" s="59"/>
      <c r="O1213" s="59"/>
      <c r="P1213" s="59"/>
      <c r="Q1213" s="59"/>
      <c r="R1213" s="59"/>
      <c r="S1213" s="59"/>
      <c r="T1213" s="59"/>
      <c r="U1213" s="59"/>
      <c r="V1213" s="59"/>
      <c r="W1213" s="59"/>
      <c r="X1213" s="59"/>
      <c r="Y1213" s="59"/>
      <c r="Z1213" s="59"/>
      <c r="AA1213" s="59"/>
      <c r="AB1213" s="59"/>
      <c r="AC1213" s="59"/>
    </row>
    <row r="1214" spans="2:29" s="62" customFormat="1" ht="13.8" hidden="1" x14ac:dyDescent="0.25">
      <c r="B1214" s="59"/>
      <c r="C1214" s="59"/>
      <c r="D1214" s="59"/>
      <c r="E1214" s="59"/>
      <c r="F1214" s="59"/>
      <c r="G1214" s="59"/>
      <c r="H1214" s="59"/>
      <c r="I1214" s="59"/>
      <c r="J1214" s="59"/>
      <c r="K1214" s="59"/>
      <c r="L1214" s="59"/>
      <c r="M1214" s="59"/>
      <c r="N1214" s="59"/>
      <c r="O1214" s="59"/>
      <c r="P1214" s="59"/>
      <c r="Q1214" s="59"/>
      <c r="R1214" s="59"/>
      <c r="S1214" s="59"/>
      <c r="T1214" s="59"/>
      <c r="U1214" s="59"/>
      <c r="V1214" s="59"/>
      <c r="W1214" s="59"/>
      <c r="X1214" s="59"/>
      <c r="Y1214" s="59"/>
      <c r="Z1214" s="59"/>
      <c r="AA1214" s="59"/>
      <c r="AB1214" s="59"/>
      <c r="AC1214" s="59"/>
    </row>
    <row r="1215" spans="2:29" s="62" customFormat="1" ht="13.8" hidden="1" x14ac:dyDescent="0.25">
      <c r="B1215" s="59"/>
      <c r="C1215" s="59"/>
      <c r="D1215" s="59"/>
      <c r="E1215" s="59"/>
      <c r="F1215" s="59"/>
      <c r="G1215" s="59"/>
      <c r="H1215" s="59"/>
      <c r="I1215" s="59"/>
      <c r="J1215" s="59"/>
      <c r="K1215" s="59"/>
      <c r="L1215" s="59"/>
      <c r="M1215" s="59"/>
      <c r="N1215" s="59"/>
      <c r="O1215" s="59"/>
      <c r="P1215" s="59"/>
      <c r="Q1215" s="59"/>
      <c r="R1215" s="59"/>
      <c r="S1215" s="59"/>
      <c r="T1215" s="59"/>
      <c r="U1215" s="59"/>
      <c r="V1215" s="59"/>
      <c r="W1215" s="59"/>
      <c r="X1215" s="59"/>
      <c r="Y1215" s="59"/>
      <c r="Z1215" s="59"/>
      <c r="AA1215" s="59"/>
      <c r="AB1215" s="59"/>
      <c r="AC1215" s="59"/>
    </row>
    <row r="1216" spans="2:29" s="62" customFormat="1" ht="13.8" hidden="1" x14ac:dyDescent="0.25">
      <c r="B1216" s="59"/>
      <c r="C1216" s="59"/>
      <c r="D1216" s="59"/>
      <c r="E1216" s="59"/>
      <c r="F1216" s="59"/>
      <c r="G1216" s="59"/>
      <c r="H1216" s="59"/>
      <c r="I1216" s="59"/>
      <c r="J1216" s="59"/>
      <c r="K1216" s="59"/>
      <c r="L1216" s="59"/>
      <c r="M1216" s="59"/>
      <c r="N1216" s="59"/>
      <c r="O1216" s="59"/>
      <c r="P1216" s="59"/>
      <c r="Q1216" s="59"/>
      <c r="R1216" s="59"/>
      <c r="S1216" s="59"/>
      <c r="T1216" s="59"/>
      <c r="U1216" s="59"/>
      <c r="V1216" s="59"/>
      <c r="W1216" s="59"/>
      <c r="X1216" s="59"/>
      <c r="Y1216" s="59"/>
      <c r="Z1216" s="59"/>
      <c r="AA1216" s="59"/>
      <c r="AB1216" s="59"/>
      <c r="AC1216" s="59"/>
    </row>
    <row r="1217" spans="2:29" s="62" customFormat="1" ht="13.8" hidden="1" x14ac:dyDescent="0.25">
      <c r="B1217" s="59"/>
      <c r="C1217" s="59"/>
      <c r="D1217" s="59"/>
      <c r="E1217" s="59"/>
      <c r="F1217" s="59"/>
      <c r="G1217" s="59"/>
      <c r="H1217" s="59"/>
      <c r="I1217" s="59"/>
      <c r="J1217" s="59"/>
      <c r="K1217" s="59"/>
      <c r="L1217" s="59"/>
      <c r="M1217" s="59"/>
      <c r="N1217" s="59"/>
      <c r="O1217" s="59"/>
      <c r="P1217" s="59"/>
      <c r="Q1217" s="59"/>
      <c r="R1217" s="59"/>
      <c r="S1217" s="59"/>
      <c r="T1217" s="59"/>
      <c r="U1217" s="59"/>
      <c r="V1217" s="59"/>
      <c r="W1217" s="59"/>
      <c r="X1217" s="59"/>
      <c r="Y1217" s="59"/>
      <c r="Z1217" s="59"/>
      <c r="AA1217" s="59"/>
      <c r="AB1217" s="59"/>
      <c r="AC1217" s="59"/>
    </row>
    <row r="1218" spans="2:29" s="62" customFormat="1" ht="13.8" hidden="1" x14ac:dyDescent="0.25">
      <c r="B1218" s="59"/>
      <c r="C1218" s="59"/>
      <c r="D1218" s="59"/>
      <c r="E1218" s="59"/>
      <c r="F1218" s="59"/>
      <c r="G1218" s="59"/>
      <c r="H1218" s="59"/>
      <c r="I1218" s="59"/>
      <c r="J1218" s="59"/>
      <c r="K1218" s="59"/>
      <c r="L1218" s="59"/>
      <c r="M1218" s="59"/>
      <c r="N1218" s="59"/>
      <c r="O1218" s="59"/>
      <c r="P1218" s="59"/>
      <c r="Q1218" s="59"/>
      <c r="R1218" s="59"/>
      <c r="S1218" s="59"/>
      <c r="T1218" s="59"/>
      <c r="U1218" s="59"/>
      <c r="V1218" s="59"/>
      <c r="W1218" s="59"/>
      <c r="X1218" s="59"/>
      <c r="Y1218" s="59"/>
      <c r="Z1218" s="59"/>
      <c r="AA1218" s="59"/>
      <c r="AB1218" s="59"/>
      <c r="AC1218" s="59"/>
    </row>
    <row r="1219" spans="2:29" s="62" customFormat="1" ht="13.8" hidden="1" x14ac:dyDescent="0.25">
      <c r="B1219" s="59"/>
      <c r="C1219" s="59"/>
      <c r="D1219" s="59"/>
      <c r="E1219" s="59"/>
      <c r="F1219" s="59"/>
      <c r="G1219" s="59"/>
      <c r="H1219" s="59"/>
      <c r="I1219" s="59"/>
      <c r="J1219" s="59"/>
      <c r="K1219" s="59"/>
      <c r="L1219" s="59"/>
      <c r="M1219" s="59"/>
      <c r="N1219" s="59"/>
      <c r="O1219" s="59"/>
      <c r="P1219" s="59"/>
      <c r="Q1219" s="59"/>
      <c r="R1219" s="59"/>
      <c r="S1219" s="59"/>
      <c r="T1219" s="59"/>
      <c r="U1219" s="59"/>
      <c r="V1219" s="59"/>
      <c r="W1219" s="59"/>
      <c r="X1219" s="59"/>
      <c r="Y1219" s="59"/>
      <c r="Z1219" s="59"/>
      <c r="AA1219" s="59"/>
      <c r="AB1219" s="59"/>
      <c r="AC1219" s="59"/>
    </row>
    <row r="1220" spans="2:29" s="62" customFormat="1" ht="13.8" hidden="1" x14ac:dyDescent="0.25">
      <c r="B1220" s="59"/>
      <c r="C1220" s="59"/>
      <c r="D1220" s="59"/>
      <c r="E1220" s="59"/>
      <c r="F1220" s="59"/>
      <c r="G1220" s="59"/>
      <c r="H1220" s="59"/>
      <c r="I1220" s="59"/>
      <c r="J1220" s="59"/>
      <c r="K1220" s="59"/>
      <c r="L1220" s="59"/>
      <c r="M1220" s="59"/>
      <c r="N1220" s="59"/>
      <c r="O1220" s="59"/>
      <c r="P1220" s="59"/>
      <c r="Q1220" s="59"/>
      <c r="R1220" s="59"/>
      <c r="S1220" s="59"/>
      <c r="T1220" s="59"/>
      <c r="U1220" s="59"/>
      <c r="V1220" s="59"/>
      <c r="W1220" s="59"/>
      <c r="X1220" s="59"/>
      <c r="Y1220" s="59"/>
      <c r="Z1220" s="59"/>
      <c r="AA1220" s="59"/>
      <c r="AB1220" s="59"/>
      <c r="AC1220" s="59"/>
    </row>
    <row r="1221" spans="2:29" s="62" customFormat="1" ht="13.8" hidden="1" x14ac:dyDescent="0.25">
      <c r="B1221" s="59"/>
      <c r="C1221" s="59"/>
      <c r="D1221" s="59"/>
      <c r="E1221" s="59"/>
      <c r="F1221" s="59"/>
      <c r="G1221" s="59"/>
      <c r="H1221" s="59"/>
      <c r="I1221" s="59"/>
      <c r="J1221" s="59"/>
      <c r="K1221" s="59"/>
      <c r="L1221" s="59"/>
      <c r="M1221" s="59"/>
      <c r="N1221" s="59"/>
      <c r="O1221" s="59"/>
      <c r="P1221" s="59"/>
      <c r="Q1221" s="59"/>
      <c r="R1221" s="59"/>
      <c r="S1221" s="59"/>
      <c r="T1221" s="59"/>
      <c r="U1221" s="59"/>
      <c r="V1221" s="59"/>
      <c r="W1221" s="59"/>
      <c r="X1221" s="59"/>
      <c r="Y1221" s="59"/>
      <c r="Z1221" s="59"/>
      <c r="AA1221" s="59"/>
      <c r="AB1221" s="59"/>
      <c r="AC1221" s="59"/>
    </row>
    <row r="1222" spans="2:29" s="62" customFormat="1" ht="13.8" hidden="1" x14ac:dyDescent="0.25">
      <c r="B1222" s="59"/>
      <c r="C1222" s="59"/>
      <c r="D1222" s="59"/>
      <c r="E1222" s="59"/>
      <c r="F1222" s="59"/>
      <c r="G1222" s="59"/>
      <c r="H1222" s="59"/>
      <c r="I1222" s="59"/>
      <c r="J1222" s="59"/>
      <c r="K1222" s="59"/>
      <c r="L1222" s="59"/>
      <c r="M1222" s="59"/>
      <c r="N1222" s="59"/>
      <c r="O1222" s="59"/>
      <c r="P1222" s="59"/>
      <c r="Q1222" s="59"/>
      <c r="R1222" s="59"/>
      <c r="S1222" s="59"/>
      <c r="T1222" s="59"/>
      <c r="U1222" s="59"/>
      <c r="V1222" s="59"/>
      <c r="W1222" s="59"/>
      <c r="X1222" s="59"/>
      <c r="Y1222" s="59"/>
      <c r="Z1222" s="59"/>
      <c r="AA1222" s="59"/>
      <c r="AB1222" s="59"/>
      <c r="AC1222" s="59"/>
    </row>
    <row r="1223" spans="2:29" s="62" customFormat="1" ht="13.8" hidden="1" x14ac:dyDescent="0.25">
      <c r="B1223" s="59"/>
      <c r="C1223" s="59"/>
      <c r="D1223" s="59"/>
      <c r="E1223" s="59"/>
      <c r="F1223" s="59"/>
      <c r="G1223" s="59"/>
      <c r="H1223" s="59"/>
      <c r="I1223" s="59"/>
      <c r="J1223" s="59"/>
      <c r="K1223" s="59"/>
      <c r="L1223" s="59"/>
      <c r="M1223" s="59"/>
      <c r="N1223" s="59"/>
      <c r="O1223" s="59"/>
      <c r="P1223" s="59"/>
      <c r="Q1223" s="59"/>
      <c r="R1223" s="59"/>
      <c r="S1223" s="59"/>
      <c r="T1223" s="59"/>
      <c r="U1223" s="59"/>
      <c r="V1223" s="59"/>
      <c r="W1223" s="59"/>
      <c r="X1223" s="59"/>
      <c r="Y1223" s="59"/>
      <c r="Z1223" s="59"/>
      <c r="AA1223" s="59"/>
      <c r="AB1223" s="59"/>
      <c r="AC1223" s="59"/>
    </row>
    <row r="1224" spans="2:29" s="62" customFormat="1" ht="13.8" hidden="1" x14ac:dyDescent="0.25">
      <c r="B1224" s="59"/>
      <c r="C1224" s="59"/>
      <c r="D1224" s="59"/>
      <c r="E1224" s="59"/>
      <c r="F1224" s="59"/>
      <c r="G1224" s="59"/>
      <c r="H1224" s="59"/>
      <c r="I1224" s="59"/>
      <c r="J1224" s="59"/>
      <c r="K1224" s="59"/>
      <c r="L1224" s="59"/>
      <c r="M1224" s="59"/>
      <c r="N1224" s="59"/>
      <c r="O1224" s="59"/>
      <c r="P1224" s="59"/>
      <c r="Q1224" s="59"/>
      <c r="R1224" s="59"/>
      <c r="S1224" s="59"/>
      <c r="T1224" s="59"/>
      <c r="U1224" s="59"/>
      <c r="V1224" s="59"/>
      <c r="W1224" s="59"/>
      <c r="X1224" s="59"/>
      <c r="Y1224" s="59"/>
      <c r="Z1224" s="59"/>
      <c r="AA1224" s="59"/>
      <c r="AB1224" s="59"/>
      <c r="AC1224" s="59"/>
    </row>
    <row r="1225" spans="2:29" s="62" customFormat="1" ht="13.8" hidden="1" x14ac:dyDescent="0.25">
      <c r="B1225" s="59"/>
      <c r="C1225" s="59"/>
      <c r="D1225" s="59"/>
      <c r="E1225" s="59"/>
      <c r="F1225" s="59"/>
      <c r="G1225" s="59"/>
      <c r="H1225" s="59"/>
      <c r="I1225" s="59"/>
      <c r="J1225" s="59"/>
      <c r="K1225" s="59"/>
      <c r="L1225" s="59"/>
      <c r="M1225" s="59"/>
      <c r="N1225" s="59"/>
      <c r="O1225" s="59"/>
      <c r="P1225" s="59"/>
      <c r="Q1225" s="59"/>
      <c r="R1225" s="59"/>
      <c r="S1225" s="59"/>
      <c r="T1225" s="59"/>
      <c r="U1225" s="59"/>
      <c r="V1225" s="59"/>
      <c r="W1225" s="59"/>
      <c r="X1225" s="59"/>
      <c r="Y1225" s="59"/>
      <c r="Z1225" s="59"/>
      <c r="AA1225" s="59"/>
      <c r="AB1225" s="59"/>
      <c r="AC1225" s="59"/>
    </row>
    <row r="1226" spans="2:29" s="62" customFormat="1" ht="13.8" hidden="1" x14ac:dyDescent="0.25">
      <c r="B1226" s="59"/>
      <c r="C1226" s="59"/>
      <c r="D1226" s="59"/>
      <c r="E1226" s="59"/>
      <c r="F1226" s="59"/>
      <c r="G1226" s="59"/>
      <c r="H1226" s="59"/>
      <c r="I1226" s="59"/>
      <c r="J1226" s="59"/>
      <c r="K1226" s="59"/>
      <c r="L1226" s="59"/>
      <c r="M1226" s="59"/>
      <c r="N1226" s="59"/>
      <c r="O1226" s="59"/>
      <c r="P1226" s="59"/>
      <c r="Q1226" s="59"/>
      <c r="R1226" s="59"/>
      <c r="S1226" s="59"/>
      <c r="T1226" s="59"/>
      <c r="U1226" s="59"/>
      <c r="V1226" s="59"/>
      <c r="W1226" s="59"/>
      <c r="X1226" s="59"/>
      <c r="Y1226" s="59"/>
      <c r="Z1226" s="59"/>
      <c r="AA1226" s="59"/>
      <c r="AB1226" s="59"/>
      <c r="AC1226" s="59"/>
    </row>
    <row r="1227" spans="2:29" s="62" customFormat="1" ht="13.8" hidden="1" x14ac:dyDescent="0.25">
      <c r="B1227" s="59"/>
      <c r="C1227" s="59"/>
      <c r="D1227" s="59"/>
      <c r="E1227" s="59"/>
      <c r="F1227" s="59"/>
      <c r="G1227" s="59"/>
      <c r="H1227" s="59"/>
      <c r="I1227" s="59"/>
      <c r="J1227" s="59"/>
      <c r="K1227" s="59"/>
      <c r="L1227" s="59"/>
      <c r="M1227" s="59"/>
      <c r="N1227" s="59"/>
      <c r="O1227" s="59"/>
      <c r="P1227" s="59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  <c r="AA1227" s="59"/>
      <c r="AB1227" s="59"/>
      <c r="AC1227" s="59"/>
    </row>
    <row r="1228" spans="2:29" s="62" customFormat="1" ht="13.8" hidden="1" x14ac:dyDescent="0.25">
      <c r="B1228" s="59"/>
      <c r="C1228" s="59"/>
      <c r="D1228" s="59"/>
      <c r="E1228" s="59"/>
      <c r="F1228" s="59"/>
      <c r="G1228" s="59"/>
      <c r="H1228" s="59"/>
      <c r="I1228" s="59"/>
      <c r="J1228" s="59"/>
      <c r="K1228" s="59"/>
      <c r="L1228" s="59"/>
      <c r="M1228" s="59"/>
      <c r="N1228" s="59"/>
      <c r="O1228" s="59"/>
      <c r="P1228" s="59"/>
      <c r="Q1228" s="59"/>
      <c r="R1228" s="59"/>
      <c r="S1228" s="59"/>
      <c r="T1228" s="59"/>
      <c r="U1228" s="59"/>
      <c r="V1228" s="59"/>
      <c r="W1228" s="59"/>
      <c r="X1228" s="59"/>
      <c r="Y1228" s="59"/>
      <c r="Z1228" s="59"/>
      <c r="AA1228" s="59"/>
      <c r="AB1228" s="59"/>
      <c r="AC1228" s="59"/>
    </row>
    <row r="1229" spans="2:29" s="62" customFormat="1" ht="13.8" hidden="1" x14ac:dyDescent="0.25">
      <c r="B1229" s="59"/>
      <c r="C1229" s="59"/>
      <c r="D1229" s="59"/>
      <c r="E1229" s="59"/>
      <c r="F1229" s="59"/>
      <c r="G1229" s="59"/>
      <c r="H1229" s="59"/>
      <c r="I1229" s="59"/>
      <c r="J1229" s="59"/>
      <c r="K1229" s="59"/>
      <c r="L1229" s="59"/>
      <c r="M1229" s="59"/>
      <c r="N1229" s="59"/>
      <c r="O1229" s="59"/>
      <c r="P1229" s="59"/>
      <c r="Q1229" s="59"/>
      <c r="R1229" s="59"/>
      <c r="S1229" s="59"/>
      <c r="T1229" s="59"/>
      <c r="U1229" s="59"/>
      <c r="V1229" s="59"/>
      <c r="W1229" s="59"/>
      <c r="X1229" s="59"/>
      <c r="Y1229" s="59"/>
      <c r="Z1229" s="59"/>
      <c r="AA1229" s="59"/>
      <c r="AB1229" s="59"/>
      <c r="AC1229" s="59"/>
    </row>
    <row r="1230" spans="2:29" s="62" customFormat="1" ht="13.8" hidden="1" x14ac:dyDescent="0.25">
      <c r="B1230" s="59"/>
      <c r="C1230" s="59"/>
      <c r="D1230" s="59"/>
      <c r="E1230" s="59"/>
      <c r="F1230" s="59"/>
      <c r="G1230" s="59"/>
      <c r="H1230" s="59"/>
      <c r="I1230" s="59"/>
      <c r="J1230" s="59"/>
      <c r="K1230" s="59"/>
      <c r="L1230" s="59"/>
      <c r="M1230" s="59"/>
      <c r="N1230" s="59"/>
      <c r="O1230" s="59"/>
      <c r="P1230" s="59"/>
      <c r="Q1230" s="59"/>
      <c r="R1230" s="59"/>
      <c r="S1230" s="59"/>
      <c r="T1230" s="59"/>
      <c r="U1230" s="59"/>
      <c r="V1230" s="59"/>
      <c r="W1230" s="59"/>
      <c r="X1230" s="59"/>
      <c r="Y1230" s="59"/>
      <c r="Z1230" s="59"/>
      <c r="AA1230" s="59"/>
      <c r="AB1230" s="59"/>
      <c r="AC1230" s="59"/>
    </row>
    <row r="1231" spans="2:29" s="62" customFormat="1" ht="13.8" hidden="1" x14ac:dyDescent="0.25">
      <c r="B1231" s="59"/>
      <c r="C1231" s="59"/>
      <c r="D1231" s="59"/>
      <c r="E1231" s="59"/>
      <c r="F1231" s="59"/>
      <c r="G1231" s="59"/>
      <c r="H1231" s="59"/>
      <c r="I1231" s="59"/>
      <c r="J1231" s="59"/>
      <c r="K1231" s="59"/>
      <c r="L1231" s="59"/>
      <c r="M1231" s="59"/>
      <c r="N1231" s="59"/>
      <c r="O1231" s="59"/>
      <c r="P1231" s="59"/>
      <c r="Q1231" s="59"/>
      <c r="R1231" s="59"/>
      <c r="S1231" s="59"/>
      <c r="T1231" s="59"/>
      <c r="U1231" s="59"/>
      <c r="V1231" s="59"/>
      <c r="W1231" s="59"/>
      <c r="X1231" s="59"/>
      <c r="Y1231" s="59"/>
      <c r="Z1231" s="59"/>
      <c r="AA1231" s="59"/>
      <c r="AB1231" s="59"/>
      <c r="AC1231" s="59"/>
    </row>
    <row r="1232" spans="2:29" s="62" customFormat="1" ht="13.8" hidden="1" x14ac:dyDescent="0.25">
      <c r="B1232" s="59"/>
      <c r="C1232" s="59"/>
      <c r="D1232" s="59"/>
      <c r="E1232" s="59"/>
      <c r="F1232" s="59"/>
      <c r="G1232" s="59"/>
      <c r="H1232" s="59"/>
      <c r="I1232" s="59"/>
      <c r="J1232" s="59"/>
      <c r="K1232" s="59"/>
      <c r="L1232" s="59"/>
      <c r="M1232" s="59"/>
      <c r="N1232" s="59"/>
      <c r="O1232" s="59"/>
      <c r="P1232" s="59"/>
      <c r="Q1232" s="59"/>
      <c r="R1232" s="59"/>
      <c r="S1232" s="59"/>
      <c r="T1232" s="59"/>
      <c r="U1232" s="59"/>
      <c r="V1232" s="59"/>
      <c r="W1232" s="59"/>
      <c r="X1232" s="59"/>
      <c r="Y1232" s="59"/>
      <c r="Z1232" s="59"/>
      <c r="AA1232" s="59"/>
      <c r="AB1232" s="59"/>
      <c r="AC1232" s="59"/>
    </row>
    <row r="1233" spans="2:29" s="62" customFormat="1" ht="13.8" hidden="1" x14ac:dyDescent="0.25">
      <c r="B1233" s="59"/>
      <c r="C1233" s="59"/>
      <c r="D1233" s="59"/>
      <c r="E1233" s="59"/>
      <c r="F1233" s="59"/>
      <c r="G1233" s="59"/>
      <c r="H1233" s="59"/>
      <c r="I1233" s="59"/>
      <c r="J1233" s="59"/>
      <c r="K1233" s="59"/>
      <c r="L1233" s="59"/>
      <c r="M1233" s="59"/>
      <c r="N1233" s="59"/>
      <c r="O1233" s="59"/>
      <c r="P1233" s="59"/>
      <c r="Q1233" s="59"/>
      <c r="R1233" s="59"/>
      <c r="S1233" s="59"/>
      <c r="T1233" s="59"/>
      <c r="U1233" s="59"/>
      <c r="V1233" s="59"/>
      <c r="W1233" s="59"/>
      <c r="X1233" s="59"/>
      <c r="Y1233" s="59"/>
      <c r="Z1233" s="59"/>
      <c r="AA1233" s="59"/>
      <c r="AB1233" s="59"/>
      <c r="AC1233" s="59"/>
    </row>
    <row r="1234" spans="2:29" s="62" customFormat="1" ht="13.8" hidden="1" x14ac:dyDescent="0.25">
      <c r="B1234" s="59"/>
      <c r="C1234" s="59"/>
      <c r="D1234" s="59"/>
      <c r="E1234" s="59"/>
      <c r="F1234" s="59"/>
      <c r="G1234" s="59"/>
      <c r="H1234" s="59"/>
      <c r="I1234" s="59"/>
      <c r="J1234" s="59"/>
      <c r="K1234" s="59"/>
      <c r="L1234" s="59"/>
      <c r="M1234" s="59"/>
      <c r="N1234" s="59"/>
      <c r="O1234" s="59"/>
      <c r="P1234" s="59"/>
      <c r="Q1234" s="59"/>
      <c r="R1234" s="59"/>
      <c r="S1234" s="59"/>
      <c r="T1234" s="59"/>
      <c r="U1234" s="59"/>
      <c r="V1234" s="59"/>
      <c r="W1234" s="59"/>
      <c r="X1234" s="59"/>
      <c r="Y1234" s="59"/>
      <c r="Z1234" s="59"/>
      <c r="AA1234" s="59"/>
      <c r="AB1234" s="59"/>
      <c r="AC1234" s="59"/>
    </row>
    <row r="1235" spans="2:29" s="62" customFormat="1" ht="13.8" hidden="1" x14ac:dyDescent="0.25">
      <c r="B1235" s="59"/>
      <c r="C1235" s="59"/>
      <c r="D1235" s="59"/>
      <c r="E1235" s="59"/>
      <c r="F1235" s="59"/>
      <c r="G1235" s="59"/>
      <c r="H1235" s="59"/>
      <c r="I1235" s="59"/>
      <c r="J1235" s="59"/>
      <c r="K1235" s="59"/>
      <c r="L1235" s="59"/>
      <c r="M1235" s="59"/>
      <c r="N1235" s="59"/>
      <c r="O1235" s="59"/>
      <c r="P1235" s="59"/>
      <c r="Q1235" s="59"/>
      <c r="R1235" s="59"/>
      <c r="S1235" s="59"/>
      <c r="T1235" s="59"/>
      <c r="U1235" s="59"/>
      <c r="V1235" s="59"/>
      <c r="W1235" s="59"/>
      <c r="X1235" s="59"/>
      <c r="Y1235" s="59"/>
      <c r="Z1235" s="59"/>
      <c r="AA1235" s="59"/>
      <c r="AB1235" s="59"/>
      <c r="AC1235" s="59"/>
    </row>
    <row r="1236" spans="2:29" s="62" customFormat="1" ht="13.8" hidden="1" x14ac:dyDescent="0.25">
      <c r="B1236" s="59"/>
      <c r="C1236" s="59"/>
      <c r="D1236" s="59"/>
      <c r="E1236" s="59"/>
      <c r="F1236" s="59"/>
      <c r="G1236" s="59"/>
      <c r="H1236" s="59"/>
      <c r="I1236" s="59"/>
      <c r="J1236" s="59"/>
      <c r="K1236" s="59"/>
      <c r="L1236" s="59"/>
      <c r="M1236" s="59"/>
      <c r="N1236" s="59"/>
      <c r="O1236" s="59"/>
      <c r="P1236" s="59"/>
      <c r="Q1236" s="59"/>
      <c r="R1236" s="59"/>
      <c r="S1236" s="59"/>
      <c r="T1236" s="59"/>
      <c r="U1236" s="59"/>
      <c r="V1236" s="59"/>
      <c r="W1236" s="59"/>
      <c r="X1236" s="59"/>
      <c r="Y1236" s="59"/>
      <c r="Z1236" s="59"/>
      <c r="AA1236" s="59"/>
      <c r="AB1236" s="59"/>
      <c r="AC1236" s="59"/>
    </row>
    <row r="1237" spans="2:29" s="62" customFormat="1" ht="13.8" hidden="1" x14ac:dyDescent="0.25">
      <c r="B1237" s="59"/>
      <c r="C1237" s="59"/>
      <c r="D1237" s="59"/>
      <c r="E1237" s="59"/>
      <c r="F1237" s="59"/>
      <c r="G1237" s="59"/>
      <c r="H1237" s="59"/>
      <c r="I1237" s="59"/>
      <c r="J1237" s="59"/>
      <c r="K1237" s="59"/>
      <c r="L1237" s="59"/>
      <c r="M1237" s="59"/>
      <c r="N1237" s="59"/>
      <c r="O1237" s="59"/>
      <c r="P1237" s="59"/>
      <c r="Q1237" s="59"/>
      <c r="R1237" s="59"/>
      <c r="S1237" s="59"/>
      <c r="T1237" s="59"/>
      <c r="U1237" s="59"/>
      <c r="V1237" s="59"/>
      <c r="W1237" s="59"/>
      <c r="X1237" s="59"/>
      <c r="Y1237" s="59"/>
      <c r="Z1237" s="59"/>
      <c r="AA1237" s="59"/>
      <c r="AB1237" s="59"/>
      <c r="AC1237" s="59"/>
    </row>
    <row r="1238" spans="2:29" s="62" customFormat="1" ht="13.8" hidden="1" x14ac:dyDescent="0.25">
      <c r="B1238" s="59"/>
      <c r="C1238" s="59"/>
      <c r="D1238" s="59"/>
      <c r="E1238" s="59"/>
      <c r="F1238" s="59"/>
      <c r="G1238" s="59"/>
      <c r="H1238" s="59"/>
      <c r="I1238" s="59"/>
      <c r="J1238" s="59"/>
      <c r="K1238" s="59"/>
      <c r="L1238" s="59"/>
      <c r="M1238" s="59"/>
      <c r="N1238" s="59"/>
      <c r="O1238" s="59"/>
      <c r="P1238" s="59"/>
      <c r="Q1238" s="59"/>
      <c r="R1238" s="59"/>
      <c r="S1238" s="59"/>
      <c r="T1238" s="59"/>
      <c r="U1238" s="59"/>
      <c r="V1238" s="59"/>
      <c r="W1238" s="59"/>
      <c r="X1238" s="59"/>
      <c r="Y1238" s="59"/>
      <c r="Z1238" s="59"/>
      <c r="AA1238" s="59"/>
      <c r="AB1238" s="59"/>
      <c r="AC1238" s="59"/>
    </row>
    <row r="1239" spans="2:29" s="62" customFormat="1" ht="13.8" hidden="1" x14ac:dyDescent="0.25">
      <c r="B1239" s="59"/>
      <c r="C1239" s="59"/>
      <c r="D1239" s="59"/>
      <c r="E1239" s="59"/>
      <c r="F1239" s="59"/>
      <c r="G1239" s="59"/>
      <c r="H1239" s="59"/>
      <c r="I1239" s="59"/>
      <c r="J1239" s="59"/>
      <c r="K1239" s="59"/>
      <c r="L1239" s="59"/>
      <c r="M1239" s="59"/>
      <c r="N1239" s="59"/>
      <c r="O1239" s="59"/>
      <c r="P1239" s="59"/>
      <c r="Q1239" s="59"/>
      <c r="R1239" s="59"/>
      <c r="S1239" s="59"/>
      <c r="T1239" s="59"/>
      <c r="U1239" s="59"/>
      <c r="V1239" s="59"/>
      <c r="W1239" s="59"/>
      <c r="X1239" s="59"/>
      <c r="Y1239" s="59"/>
      <c r="Z1239" s="59"/>
      <c r="AA1239" s="59"/>
      <c r="AB1239" s="59"/>
      <c r="AC1239" s="59"/>
    </row>
    <row r="1240" spans="2:29" s="62" customFormat="1" ht="13.8" hidden="1" x14ac:dyDescent="0.25">
      <c r="B1240" s="59"/>
      <c r="C1240" s="59"/>
      <c r="D1240" s="59"/>
      <c r="E1240" s="59"/>
      <c r="F1240" s="59"/>
      <c r="G1240" s="59"/>
      <c r="H1240" s="59"/>
      <c r="I1240" s="59"/>
      <c r="J1240" s="59"/>
      <c r="K1240" s="59"/>
      <c r="L1240" s="59"/>
      <c r="M1240" s="59"/>
      <c r="N1240" s="59"/>
      <c r="O1240" s="59"/>
      <c r="P1240" s="59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  <c r="AA1240" s="59"/>
      <c r="AB1240" s="59"/>
      <c r="AC1240" s="59"/>
    </row>
    <row r="1241" spans="2:29" s="62" customFormat="1" ht="13.8" hidden="1" x14ac:dyDescent="0.25">
      <c r="B1241" s="59"/>
      <c r="C1241" s="59"/>
      <c r="D1241" s="59"/>
      <c r="E1241" s="59"/>
      <c r="F1241" s="59"/>
      <c r="G1241" s="59"/>
      <c r="H1241" s="59"/>
      <c r="I1241" s="59"/>
      <c r="J1241" s="59"/>
      <c r="K1241" s="59"/>
      <c r="L1241" s="59"/>
      <c r="M1241" s="59"/>
      <c r="N1241" s="59"/>
      <c r="O1241" s="59"/>
      <c r="P1241" s="59"/>
      <c r="Q1241" s="59"/>
      <c r="R1241" s="59"/>
      <c r="S1241" s="59"/>
      <c r="T1241" s="59"/>
      <c r="U1241" s="59"/>
      <c r="V1241" s="59"/>
      <c r="W1241" s="59"/>
      <c r="X1241" s="59"/>
      <c r="Y1241" s="59"/>
      <c r="Z1241" s="59"/>
      <c r="AA1241" s="59"/>
      <c r="AB1241" s="59"/>
      <c r="AC1241" s="59"/>
    </row>
    <row r="1242" spans="2:29" s="62" customFormat="1" ht="13.8" hidden="1" x14ac:dyDescent="0.25">
      <c r="B1242" s="59"/>
      <c r="C1242" s="59"/>
      <c r="D1242" s="59"/>
      <c r="E1242" s="59"/>
      <c r="F1242" s="59"/>
      <c r="G1242" s="59"/>
      <c r="H1242" s="59"/>
      <c r="I1242" s="59"/>
      <c r="J1242" s="59"/>
      <c r="K1242" s="59"/>
      <c r="L1242" s="59"/>
      <c r="M1242" s="59"/>
      <c r="N1242" s="59"/>
      <c r="O1242" s="59"/>
      <c r="P1242" s="59"/>
      <c r="Q1242" s="59"/>
      <c r="R1242" s="59"/>
      <c r="S1242" s="59"/>
      <c r="T1242" s="59"/>
      <c r="U1242" s="59"/>
      <c r="V1242" s="59"/>
      <c r="W1242" s="59"/>
      <c r="X1242" s="59"/>
      <c r="Y1242" s="59"/>
      <c r="Z1242" s="59"/>
      <c r="AA1242" s="59"/>
      <c r="AB1242" s="59"/>
      <c r="AC1242" s="59"/>
    </row>
    <row r="1243" spans="2:29" s="62" customFormat="1" ht="13.8" hidden="1" x14ac:dyDescent="0.25">
      <c r="B1243" s="59"/>
      <c r="C1243" s="59"/>
      <c r="D1243" s="59"/>
      <c r="E1243" s="59"/>
      <c r="F1243" s="59"/>
      <c r="G1243" s="59"/>
      <c r="H1243" s="59"/>
      <c r="I1243" s="59"/>
      <c r="J1243" s="59"/>
      <c r="K1243" s="59"/>
      <c r="L1243" s="59"/>
      <c r="M1243" s="59"/>
      <c r="N1243" s="59"/>
      <c r="O1243" s="59"/>
      <c r="P1243" s="59"/>
      <c r="Q1243" s="59"/>
      <c r="R1243" s="59"/>
      <c r="S1243" s="59"/>
      <c r="T1243" s="59"/>
      <c r="U1243" s="59"/>
      <c r="V1243" s="59"/>
      <c r="W1243" s="59"/>
      <c r="X1243" s="59"/>
      <c r="Y1243" s="59"/>
      <c r="Z1243" s="59"/>
      <c r="AA1243" s="59"/>
      <c r="AB1243" s="59"/>
      <c r="AC1243" s="59"/>
    </row>
    <row r="1244" spans="2:29" s="62" customFormat="1" ht="13.8" hidden="1" x14ac:dyDescent="0.25">
      <c r="B1244" s="59"/>
      <c r="C1244" s="59"/>
      <c r="D1244" s="59"/>
      <c r="E1244" s="59"/>
      <c r="F1244" s="59"/>
      <c r="G1244" s="59"/>
      <c r="H1244" s="59"/>
      <c r="I1244" s="59"/>
      <c r="J1244" s="59"/>
      <c r="K1244" s="59"/>
      <c r="L1244" s="59"/>
      <c r="M1244" s="59"/>
      <c r="N1244" s="59"/>
      <c r="O1244" s="59"/>
      <c r="P1244" s="59"/>
      <c r="Q1244" s="59"/>
      <c r="R1244" s="59"/>
      <c r="S1244" s="59"/>
      <c r="T1244" s="59"/>
      <c r="U1244" s="59"/>
      <c r="V1244" s="59"/>
      <c r="W1244" s="59"/>
      <c r="X1244" s="59"/>
      <c r="Y1244" s="59"/>
      <c r="Z1244" s="59"/>
      <c r="AA1244" s="59"/>
      <c r="AB1244" s="59"/>
      <c r="AC1244" s="59"/>
    </row>
    <row r="1245" spans="2:29" s="62" customFormat="1" ht="13.8" hidden="1" x14ac:dyDescent="0.25">
      <c r="B1245" s="59"/>
      <c r="C1245" s="59"/>
      <c r="D1245" s="59"/>
      <c r="E1245" s="59"/>
      <c r="F1245" s="59"/>
      <c r="G1245" s="59"/>
      <c r="H1245" s="59"/>
      <c r="I1245" s="59"/>
      <c r="J1245" s="59"/>
      <c r="K1245" s="59"/>
      <c r="L1245" s="59"/>
      <c r="M1245" s="59"/>
      <c r="N1245" s="59"/>
      <c r="O1245" s="59"/>
      <c r="P1245" s="59"/>
      <c r="Q1245" s="59"/>
      <c r="R1245" s="59"/>
      <c r="S1245" s="59"/>
      <c r="T1245" s="59"/>
      <c r="U1245" s="59"/>
      <c r="V1245" s="59"/>
      <c r="W1245" s="59"/>
      <c r="X1245" s="59"/>
      <c r="Y1245" s="59"/>
      <c r="Z1245" s="59"/>
      <c r="AA1245" s="59"/>
      <c r="AB1245" s="59"/>
      <c r="AC1245" s="59"/>
    </row>
    <row r="1246" spans="2:29" s="62" customFormat="1" ht="13.8" hidden="1" x14ac:dyDescent="0.25">
      <c r="B1246" s="59"/>
      <c r="C1246" s="59"/>
      <c r="D1246" s="59"/>
      <c r="E1246" s="59"/>
      <c r="F1246" s="59"/>
      <c r="G1246" s="59"/>
      <c r="H1246" s="59"/>
      <c r="I1246" s="59"/>
      <c r="J1246" s="59"/>
      <c r="K1246" s="59"/>
      <c r="L1246" s="59"/>
      <c r="M1246" s="59"/>
      <c r="N1246" s="59"/>
      <c r="O1246" s="59"/>
      <c r="P1246" s="59"/>
      <c r="Q1246" s="59"/>
      <c r="R1246" s="59"/>
      <c r="S1246" s="59"/>
      <c r="T1246" s="59"/>
      <c r="U1246" s="59"/>
      <c r="V1246" s="59"/>
      <c r="W1246" s="59"/>
      <c r="X1246" s="59"/>
      <c r="Y1246" s="59"/>
      <c r="Z1246" s="59"/>
      <c r="AA1246" s="59"/>
      <c r="AB1246" s="59"/>
      <c r="AC1246" s="59"/>
    </row>
    <row r="1247" spans="2:29" s="62" customFormat="1" ht="13.8" hidden="1" x14ac:dyDescent="0.25">
      <c r="B1247" s="59"/>
      <c r="C1247" s="59"/>
      <c r="D1247" s="59"/>
      <c r="E1247" s="59"/>
      <c r="F1247" s="59"/>
      <c r="G1247" s="59"/>
      <c r="H1247" s="59"/>
      <c r="I1247" s="59"/>
      <c r="J1247" s="59"/>
      <c r="K1247" s="59"/>
      <c r="L1247" s="59"/>
      <c r="M1247" s="59"/>
      <c r="N1247" s="59"/>
      <c r="O1247" s="59"/>
      <c r="P1247" s="59"/>
      <c r="Q1247" s="59"/>
      <c r="R1247" s="59"/>
      <c r="S1247" s="59"/>
      <c r="T1247" s="59"/>
      <c r="U1247" s="59"/>
      <c r="V1247" s="59"/>
      <c r="W1247" s="59"/>
      <c r="X1247" s="59"/>
      <c r="Y1247" s="59"/>
      <c r="Z1247" s="59"/>
      <c r="AA1247" s="59"/>
      <c r="AB1247" s="59"/>
      <c r="AC1247" s="59"/>
    </row>
    <row r="1248" spans="2:29" s="62" customFormat="1" ht="13.8" hidden="1" x14ac:dyDescent="0.25">
      <c r="B1248" s="59"/>
      <c r="C1248" s="59"/>
      <c r="D1248" s="59"/>
      <c r="E1248" s="59"/>
      <c r="F1248" s="59"/>
      <c r="G1248" s="59"/>
      <c r="H1248" s="59"/>
      <c r="I1248" s="59"/>
      <c r="J1248" s="59"/>
      <c r="K1248" s="59"/>
      <c r="L1248" s="59"/>
      <c r="M1248" s="59"/>
      <c r="N1248" s="59"/>
      <c r="O1248" s="59"/>
      <c r="P1248" s="59"/>
      <c r="Q1248" s="59"/>
      <c r="R1248" s="59"/>
      <c r="S1248" s="59"/>
      <c r="T1248" s="59"/>
      <c r="U1248" s="59"/>
      <c r="V1248" s="59"/>
      <c r="W1248" s="59"/>
      <c r="X1248" s="59"/>
      <c r="Y1248" s="59"/>
      <c r="Z1248" s="59"/>
      <c r="AA1248" s="59"/>
      <c r="AB1248" s="59"/>
      <c r="AC1248" s="59"/>
    </row>
    <row r="1249" spans="2:29" s="62" customFormat="1" ht="13.8" hidden="1" x14ac:dyDescent="0.25">
      <c r="B1249" s="59"/>
      <c r="C1249" s="59"/>
      <c r="D1249" s="59"/>
      <c r="E1249" s="59"/>
      <c r="F1249" s="59"/>
      <c r="G1249" s="59"/>
      <c r="H1249" s="59"/>
      <c r="I1249" s="59"/>
      <c r="J1249" s="59"/>
      <c r="K1249" s="59"/>
      <c r="L1249" s="59"/>
      <c r="M1249" s="59"/>
      <c r="N1249" s="59"/>
      <c r="O1249" s="59"/>
      <c r="P1249" s="59"/>
      <c r="Q1249" s="59"/>
      <c r="R1249" s="59"/>
      <c r="S1249" s="59"/>
      <c r="T1249" s="59"/>
      <c r="U1249" s="59"/>
      <c r="V1249" s="59"/>
      <c r="W1249" s="59"/>
      <c r="X1249" s="59"/>
      <c r="Y1249" s="59"/>
      <c r="Z1249" s="59"/>
      <c r="AA1249" s="59"/>
      <c r="AB1249" s="59"/>
      <c r="AC1249" s="59"/>
    </row>
    <row r="1250" spans="2:29" s="62" customFormat="1" ht="13.8" hidden="1" x14ac:dyDescent="0.25">
      <c r="B1250" s="59"/>
      <c r="C1250" s="59"/>
      <c r="D1250" s="59"/>
      <c r="E1250" s="59"/>
      <c r="F1250" s="59"/>
      <c r="G1250" s="59"/>
      <c r="H1250" s="59"/>
      <c r="I1250" s="59"/>
      <c r="J1250" s="59"/>
      <c r="K1250" s="59"/>
      <c r="L1250" s="59"/>
      <c r="M1250" s="59"/>
      <c r="N1250" s="59"/>
      <c r="O1250" s="59"/>
      <c r="P1250" s="59"/>
      <c r="Q1250" s="59"/>
      <c r="R1250" s="59"/>
      <c r="S1250" s="59"/>
      <c r="T1250" s="59"/>
      <c r="U1250" s="59"/>
      <c r="V1250" s="59"/>
      <c r="W1250" s="59"/>
      <c r="X1250" s="59"/>
      <c r="Y1250" s="59"/>
      <c r="Z1250" s="59"/>
      <c r="AA1250" s="59"/>
      <c r="AB1250" s="59"/>
      <c r="AC1250" s="59"/>
    </row>
    <row r="1251" spans="2:29" s="62" customFormat="1" ht="13.8" hidden="1" x14ac:dyDescent="0.25">
      <c r="B1251" s="59"/>
      <c r="C1251" s="59"/>
      <c r="D1251" s="59"/>
      <c r="E1251" s="59"/>
      <c r="F1251" s="59"/>
      <c r="G1251" s="59"/>
      <c r="H1251" s="59"/>
      <c r="I1251" s="59"/>
      <c r="J1251" s="59"/>
      <c r="K1251" s="59"/>
      <c r="L1251" s="59"/>
      <c r="M1251" s="59"/>
      <c r="N1251" s="59"/>
      <c r="O1251" s="59"/>
      <c r="P1251" s="59"/>
      <c r="Q1251" s="59"/>
      <c r="R1251" s="59"/>
      <c r="S1251" s="59"/>
      <c r="T1251" s="59"/>
      <c r="U1251" s="59"/>
      <c r="V1251" s="59"/>
      <c r="W1251" s="59"/>
      <c r="X1251" s="59"/>
      <c r="Y1251" s="59"/>
      <c r="Z1251" s="59"/>
      <c r="AA1251" s="59"/>
      <c r="AB1251" s="59"/>
      <c r="AC1251" s="59"/>
    </row>
    <row r="1252" spans="2:29" s="62" customFormat="1" ht="13.8" hidden="1" x14ac:dyDescent="0.25">
      <c r="B1252" s="59"/>
      <c r="C1252" s="59"/>
      <c r="D1252" s="59"/>
      <c r="E1252" s="59"/>
      <c r="F1252" s="59"/>
      <c r="G1252" s="59"/>
      <c r="H1252" s="59"/>
      <c r="I1252" s="59"/>
      <c r="J1252" s="59"/>
      <c r="K1252" s="59"/>
      <c r="L1252" s="59"/>
      <c r="M1252" s="59"/>
      <c r="N1252" s="59"/>
      <c r="O1252" s="59"/>
      <c r="P1252" s="59"/>
      <c r="Q1252" s="59"/>
      <c r="R1252" s="59"/>
      <c r="S1252" s="59"/>
      <c r="T1252" s="59"/>
      <c r="U1252" s="59"/>
      <c r="V1252" s="59"/>
      <c r="W1252" s="59"/>
      <c r="X1252" s="59"/>
      <c r="Y1252" s="59"/>
      <c r="Z1252" s="59"/>
      <c r="AA1252" s="59"/>
      <c r="AB1252" s="59"/>
      <c r="AC1252" s="59"/>
    </row>
    <row r="1253" spans="2:29" s="62" customFormat="1" ht="13.8" hidden="1" x14ac:dyDescent="0.25">
      <c r="B1253" s="59"/>
      <c r="C1253" s="59"/>
      <c r="D1253" s="59"/>
      <c r="E1253" s="59"/>
      <c r="F1253" s="59"/>
      <c r="G1253" s="59"/>
      <c r="H1253" s="59"/>
      <c r="I1253" s="59"/>
      <c r="J1253" s="59"/>
      <c r="K1253" s="59"/>
      <c r="L1253" s="59"/>
      <c r="M1253" s="59"/>
      <c r="N1253" s="59"/>
      <c r="O1253" s="59"/>
      <c r="P1253" s="59"/>
      <c r="Q1253" s="59"/>
      <c r="R1253" s="59"/>
      <c r="S1253" s="59"/>
      <c r="T1253" s="59"/>
      <c r="U1253" s="59"/>
      <c r="V1253" s="59"/>
      <c r="W1253" s="59"/>
      <c r="X1253" s="59"/>
      <c r="Y1253" s="59"/>
      <c r="Z1253" s="59"/>
      <c r="AA1253" s="59"/>
      <c r="AB1253" s="59"/>
      <c r="AC1253" s="59"/>
    </row>
    <row r="1254" spans="2:29" s="62" customFormat="1" ht="13.8" hidden="1" x14ac:dyDescent="0.25">
      <c r="B1254" s="59"/>
      <c r="C1254" s="59"/>
      <c r="D1254" s="59"/>
      <c r="E1254" s="59"/>
      <c r="F1254" s="59"/>
      <c r="G1254" s="59"/>
      <c r="H1254" s="59"/>
      <c r="I1254" s="59"/>
      <c r="J1254" s="59"/>
      <c r="K1254" s="59"/>
      <c r="L1254" s="59"/>
      <c r="M1254" s="59"/>
      <c r="N1254" s="59"/>
      <c r="O1254" s="59"/>
      <c r="P1254" s="59"/>
      <c r="Q1254" s="59"/>
      <c r="R1254" s="59"/>
      <c r="S1254" s="59"/>
      <c r="T1254" s="59"/>
      <c r="U1254" s="59"/>
      <c r="V1254" s="59"/>
      <c r="W1254" s="59"/>
      <c r="X1254" s="59"/>
      <c r="Y1254" s="59"/>
      <c r="Z1254" s="59"/>
      <c r="AA1254" s="59"/>
      <c r="AB1254" s="59"/>
      <c r="AC1254" s="59"/>
    </row>
    <row r="1255" spans="2:29" s="62" customFormat="1" ht="13.8" hidden="1" x14ac:dyDescent="0.25">
      <c r="B1255" s="59"/>
      <c r="C1255" s="59"/>
      <c r="D1255" s="59"/>
      <c r="E1255" s="59"/>
      <c r="F1255" s="59"/>
      <c r="G1255" s="59"/>
      <c r="H1255" s="59"/>
      <c r="I1255" s="59"/>
      <c r="J1255" s="59"/>
      <c r="K1255" s="59"/>
      <c r="L1255" s="59"/>
      <c r="M1255" s="59"/>
      <c r="N1255" s="59"/>
      <c r="O1255" s="59"/>
      <c r="P1255" s="59"/>
      <c r="Q1255" s="59"/>
      <c r="R1255" s="59"/>
      <c r="S1255" s="59"/>
      <c r="T1255" s="59"/>
      <c r="U1255" s="59"/>
      <c r="V1255" s="59"/>
      <c r="W1255" s="59"/>
      <c r="X1255" s="59"/>
      <c r="Y1255" s="59"/>
      <c r="Z1255" s="59"/>
      <c r="AA1255" s="59"/>
      <c r="AB1255" s="59"/>
      <c r="AC1255" s="59"/>
    </row>
    <row r="1256" spans="2:29" s="62" customFormat="1" ht="13.8" hidden="1" x14ac:dyDescent="0.25">
      <c r="B1256" s="59"/>
      <c r="C1256" s="59"/>
      <c r="D1256" s="59"/>
      <c r="E1256" s="59"/>
      <c r="F1256" s="59"/>
      <c r="G1256" s="59"/>
      <c r="H1256" s="59"/>
      <c r="I1256" s="59"/>
      <c r="J1256" s="59"/>
      <c r="K1256" s="59"/>
      <c r="L1256" s="59"/>
      <c r="M1256" s="59"/>
      <c r="N1256" s="59"/>
      <c r="O1256" s="59"/>
      <c r="P1256" s="59"/>
      <c r="Q1256" s="59"/>
      <c r="R1256" s="59"/>
      <c r="S1256" s="59"/>
      <c r="T1256" s="59"/>
      <c r="U1256" s="59"/>
      <c r="V1256" s="59"/>
      <c r="W1256" s="59"/>
      <c r="X1256" s="59"/>
      <c r="Y1256" s="59"/>
      <c r="Z1256" s="59"/>
      <c r="AA1256" s="59"/>
      <c r="AB1256" s="59"/>
      <c r="AC1256" s="59"/>
    </row>
    <row r="1257" spans="2:29" s="62" customFormat="1" ht="13.8" hidden="1" x14ac:dyDescent="0.25">
      <c r="B1257" s="59"/>
      <c r="C1257" s="59"/>
      <c r="D1257" s="59"/>
      <c r="E1257" s="59"/>
      <c r="F1257" s="59"/>
      <c r="G1257" s="59"/>
      <c r="H1257" s="59"/>
      <c r="I1257" s="59"/>
      <c r="J1257" s="59"/>
      <c r="K1257" s="59"/>
      <c r="L1257" s="59"/>
      <c r="M1257" s="59"/>
      <c r="N1257" s="59"/>
      <c r="O1257" s="59"/>
      <c r="P1257" s="59"/>
      <c r="Q1257" s="59"/>
      <c r="R1257" s="59"/>
      <c r="S1257" s="59"/>
      <c r="T1257" s="59"/>
      <c r="U1257" s="59"/>
      <c r="V1257" s="59"/>
      <c r="W1257" s="59"/>
      <c r="X1257" s="59"/>
      <c r="Y1257" s="59"/>
      <c r="Z1257" s="59"/>
      <c r="AA1257" s="59"/>
      <c r="AB1257" s="59"/>
      <c r="AC1257" s="59"/>
    </row>
    <row r="1258" spans="2:29" s="62" customFormat="1" ht="13.8" hidden="1" x14ac:dyDescent="0.25">
      <c r="B1258" s="59"/>
      <c r="C1258" s="59"/>
      <c r="D1258" s="59"/>
      <c r="E1258" s="59"/>
      <c r="F1258" s="59"/>
      <c r="G1258" s="59"/>
      <c r="H1258" s="59"/>
      <c r="I1258" s="59"/>
      <c r="J1258" s="59"/>
      <c r="K1258" s="59"/>
      <c r="L1258" s="59"/>
      <c r="M1258" s="59"/>
      <c r="N1258" s="59"/>
      <c r="O1258" s="59"/>
      <c r="P1258" s="59"/>
      <c r="Q1258" s="59"/>
      <c r="R1258" s="59"/>
      <c r="S1258" s="59"/>
      <c r="T1258" s="59"/>
      <c r="U1258" s="59"/>
      <c r="V1258" s="59"/>
      <c r="W1258" s="59"/>
      <c r="X1258" s="59"/>
      <c r="Y1258" s="59"/>
      <c r="Z1258" s="59"/>
      <c r="AA1258" s="59"/>
      <c r="AB1258" s="59"/>
      <c r="AC1258" s="59"/>
    </row>
    <row r="1259" spans="2:29" s="62" customFormat="1" ht="13.8" hidden="1" x14ac:dyDescent="0.25">
      <c r="B1259" s="59"/>
      <c r="C1259" s="59"/>
      <c r="D1259" s="59"/>
      <c r="E1259" s="59"/>
      <c r="F1259" s="59"/>
      <c r="G1259" s="59"/>
      <c r="H1259" s="59"/>
      <c r="I1259" s="59"/>
      <c r="J1259" s="59"/>
      <c r="K1259" s="59"/>
      <c r="L1259" s="59"/>
      <c r="M1259" s="59"/>
      <c r="N1259" s="59"/>
      <c r="O1259" s="59"/>
      <c r="P1259" s="59"/>
      <c r="Q1259" s="59"/>
      <c r="R1259" s="59"/>
      <c r="S1259" s="59"/>
      <c r="T1259" s="59"/>
      <c r="U1259" s="59"/>
      <c r="V1259" s="59"/>
      <c r="W1259" s="59"/>
      <c r="X1259" s="59"/>
      <c r="Y1259" s="59"/>
      <c r="Z1259" s="59"/>
      <c r="AA1259" s="59"/>
      <c r="AB1259" s="59"/>
      <c r="AC1259" s="59"/>
    </row>
    <row r="1260" spans="2:29" s="62" customFormat="1" ht="13.8" hidden="1" x14ac:dyDescent="0.25">
      <c r="B1260" s="59"/>
      <c r="C1260" s="59"/>
      <c r="D1260" s="59"/>
      <c r="E1260" s="59"/>
      <c r="F1260" s="59"/>
      <c r="G1260" s="59"/>
      <c r="H1260" s="59"/>
      <c r="I1260" s="59"/>
      <c r="J1260" s="59"/>
      <c r="K1260" s="59"/>
      <c r="L1260" s="59"/>
      <c r="M1260" s="59"/>
      <c r="N1260" s="59"/>
      <c r="O1260" s="59"/>
      <c r="P1260" s="59"/>
      <c r="Q1260" s="59"/>
      <c r="R1260" s="59"/>
      <c r="S1260" s="59"/>
      <c r="T1260" s="59"/>
      <c r="U1260" s="59"/>
      <c r="V1260" s="59"/>
      <c r="W1260" s="59"/>
      <c r="X1260" s="59"/>
      <c r="Y1260" s="59"/>
      <c r="Z1260" s="59"/>
      <c r="AA1260" s="59"/>
      <c r="AB1260" s="59"/>
      <c r="AC1260" s="59"/>
    </row>
    <row r="1261" spans="2:29" s="62" customFormat="1" ht="13.8" hidden="1" x14ac:dyDescent="0.25">
      <c r="B1261" s="59"/>
      <c r="C1261" s="59"/>
      <c r="D1261" s="59"/>
      <c r="E1261" s="59"/>
      <c r="F1261" s="59"/>
      <c r="G1261" s="59"/>
      <c r="H1261" s="59"/>
      <c r="I1261" s="59"/>
      <c r="J1261" s="59"/>
      <c r="K1261" s="59"/>
      <c r="L1261" s="59"/>
      <c r="M1261" s="59"/>
      <c r="N1261" s="59"/>
      <c r="O1261" s="59"/>
      <c r="P1261" s="59"/>
      <c r="Q1261" s="59"/>
      <c r="R1261" s="59"/>
      <c r="S1261" s="59"/>
      <c r="T1261" s="59"/>
      <c r="U1261" s="59"/>
      <c r="V1261" s="59"/>
      <c r="W1261" s="59"/>
      <c r="X1261" s="59"/>
      <c r="Y1261" s="59"/>
      <c r="Z1261" s="59"/>
      <c r="AA1261" s="59"/>
      <c r="AB1261" s="59"/>
      <c r="AC1261" s="59"/>
    </row>
    <row r="1262" spans="2:29" s="62" customFormat="1" ht="13.8" hidden="1" x14ac:dyDescent="0.25">
      <c r="B1262" s="59"/>
      <c r="C1262" s="59"/>
      <c r="D1262" s="59"/>
      <c r="E1262" s="59"/>
      <c r="F1262" s="59"/>
      <c r="G1262" s="59"/>
      <c r="H1262" s="59"/>
      <c r="I1262" s="59"/>
      <c r="J1262" s="59"/>
      <c r="K1262" s="59"/>
      <c r="L1262" s="59"/>
      <c r="M1262" s="59"/>
      <c r="N1262" s="59"/>
      <c r="O1262" s="59"/>
      <c r="P1262" s="59"/>
      <c r="Q1262" s="59"/>
      <c r="R1262" s="59"/>
      <c r="S1262" s="59"/>
      <c r="T1262" s="59"/>
      <c r="U1262" s="59"/>
      <c r="V1262" s="59"/>
      <c r="W1262" s="59"/>
      <c r="X1262" s="59"/>
      <c r="Y1262" s="59"/>
      <c r="Z1262" s="59"/>
      <c r="AA1262" s="59"/>
      <c r="AB1262" s="59"/>
      <c r="AC1262" s="59"/>
    </row>
    <row r="1263" spans="2:29" s="62" customFormat="1" ht="13.8" hidden="1" x14ac:dyDescent="0.25">
      <c r="B1263" s="59"/>
      <c r="C1263" s="59"/>
      <c r="D1263" s="59"/>
      <c r="E1263" s="59"/>
      <c r="F1263" s="59"/>
      <c r="G1263" s="59"/>
      <c r="H1263" s="59"/>
      <c r="I1263" s="59"/>
      <c r="J1263" s="59"/>
      <c r="K1263" s="59"/>
      <c r="L1263" s="59"/>
      <c r="M1263" s="59"/>
      <c r="N1263" s="59"/>
      <c r="O1263" s="59"/>
      <c r="P1263" s="59"/>
      <c r="Q1263" s="59"/>
      <c r="R1263" s="59"/>
      <c r="S1263" s="59"/>
      <c r="T1263" s="59"/>
      <c r="U1263" s="59"/>
      <c r="V1263" s="59"/>
      <c r="W1263" s="59"/>
      <c r="X1263" s="59"/>
      <c r="Y1263" s="59"/>
      <c r="Z1263" s="59"/>
      <c r="AA1263" s="59"/>
      <c r="AB1263" s="59"/>
      <c r="AC1263" s="59"/>
    </row>
    <row r="1264" spans="2:29" s="62" customFormat="1" ht="13.8" hidden="1" x14ac:dyDescent="0.25">
      <c r="B1264" s="59"/>
      <c r="C1264" s="59"/>
      <c r="D1264" s="59"/>
      <c r="E1264" s="59"/>
      <c r="F1264" s="59"/>
      <c r="G1264" s="59"/>
      <c r="H1264" s="59"/>
      <c r="I1264" s="59"/>
      <c r="J1264" s="59"/>
      <c r="K1264" s="59"/>
      <c r="L1264" s="59"/>
      <c r="M1264" s="59"/>
      <c r="N1264" s="59"/>
      <c r="O1264" s="59"/>
      <c r="P1264" s="59"/>
      <c r="Q1264" s="59"/>
      <c r="R1264" s="59"/>
      <c r="S1264" s="59"/>
      <c r="T1264" s="59"/>
      <c r="U1264" s="59"/>
      <c r="V1264" s="59"/>
      <c r="W1264" s="59"/>
      <c r="X1264" s="59"/>
      <c r="Y1264" s="59"/>
      <c r="Z1264" s="59"/>
      <c r="AA1264" s="59"/>
      <c r="AB1264" s="59"/>
      <c r="AC1264" s="59"/>
    </row>
    <row r="1265" spans="2:29" s="62" customFormat="1" ht="13.8" hidden="1" x14ac:dyDescent="0.25">
      <c r="B1265" s="59"/>
      <c r="C1265" s="59"/>
      <c r="D1265" s="59"/>
      <c r="E1265" s="59"/>
      <c r="F1265" s="59"/>
      <c r="G1265" s="59"/>
      <c r="H1265" s="59"/>
      <c r="I1265" s="59"/>
      <c r="J1265" s="59"/>
      <c r="K1265" s="59"/>
      <c r="L1265" s="59"/>
      <c r="M1265" s="59"/>
      <c r="N1265" s="59"/>
      <c r="O1265" s="59"/>
      <c r="P1265" s="59"/>
      <c r="Q1265" s="59"/>
      <c r="R1265" s="59"/>
      <c r="S1265" s="59"/>
      <c r="T1265" s="59"/>
      <c r="U1265" s="59"/>
      <c r="V1265" s="59"/>
      <c r="W1265" s="59"/>
      <c r="X1265" s="59"/>
      <c r="Y1265" s="59"/>
      <c r="Z1265" s="59"/>
      <c r="AA1265" s="59"/>
      <c r="AB1265" s="59"/>
      <c r="AC1265" s="59"/>
    </row>
    <row r="1266" spans="2:29" s="62" customFormat="1" ht="13.8" hidden="1" x14ac:dyDescent="0.25">
      <c r="B1266" s="59"/>
      <c r="C1266" s="59"/>
      <c r="D1266" s="59"/>
      <c r="E1266" s="59"/>
      <c r="F1266" s="59"/>
      <c r="G1266" s="59"/>
      <c r="H1266" s="59"/>
      <c r="I1266" s="59"/>
      <c r="J1266" s="59"/>
      <c r="K1266" s="59"/>
      <c r="L1266" s="59"/>
      <c r="M1266" s="59"/>
      <c r="N1266" s="59"/>
      <c r="O1266" s="59"/>
      <c r="P1266" s="59"/>
      <c r="Q1266" s="59"/>
      <c r="R1266" s="59"/>
      <c r="S1266" s="59"/>
      <c r="T1266" s="59"/>
      <c r="U1266" s="59"/>
      <c r="V1266" s="59"/>
      <c r="W1266" s="59"/>
      <c r="X1266" s="59"/>
      <c r="Y1266" s="59"/>
      <c r="Z1266" s="59"/>
      <c r="AA1266" s="59"/>
      <c r="AB1266" s="59"/>
      <c r="AC1266" s="59"/>
    </row>
    <row r="1267" spans="2:29" s="62" customFormat="1" ht="13.8" hidden="1" x14ac:dyDescent="0.25">
      <c r="B1267" s="59"/>
      <c r="C1267" s="59"/>
      <c r="D1267" s="59"/>
      <c r="E1267" s="59"/>
      <c r="F1267" s="59"/>
      <c r="G1267" s="59"/>
      <c r="H1267" s="59"/>
      <c r="I1267" s="59"/>
      <c r="J1267" s="59"/>
      <c r="K1267" s="59"/>
      <c r="L1267" s="59"/>
      <c r="M1267" s="59"/>
      <c r="N1267" s="59"/>
      <c r="O1267" s="59"/>
      <c r="P1267" s="59"/>
      <c r="Q1267" s="59"/>
      <c r="R1267" s="59"/>
      <c r="S1267" s="59"/>
      <c r="T1267" s="59"/>
      <c r="U1267" s="59"/>
      <c r="V1267" s="59"/>
      <c r="W1267" s="59"/>
      <c r="X1267" s="59"/>
      <c r="Y1267" s="59"/>
      <c r="Z1267" s="59"/>
      <c r="AA1267" s="59"/>
      <c r="AB1267" s="59"/>
      <c r="AC1267" s="59"/>
    </row>
    <row r="1268" spans="2:29" s="62" customFormat="1" ht="13.8" hidden="1" x14ac:dyDescent="0.25">
      <c r="B1268" s="59"/>
      <c r="C1268" s="59"/>
      <c r="D1268" s="59"/>
      <c r="E1268" s="59"/>
      <c r="F1268" s="59"/>
      <c r="G1268" s="59"/>
      <c r="H1268" s="59"/>
      <c r="I1268" s="59"/>
      <c r="J1268" s="59"/>
      <c r="K1268" s="59"/>
      <c r="L1268" s="59"/>
      <c r="M1268" s="59"/>
      <c r="N1268" s="59"/>
      <c r="O1268" s="59"/>
      <c r="P1268" s="59"/>
      <c r="Q1268" s="59"/>
      <c r="R1268" s="59"/>
      <c r="S1268" s="59"/>
      <c r="T1268" s="59"/>
      <c r="U1268" s="59"/>
      <c r="V1268" s="59"/>
      <c r="W1268" s="59"/>
      <c r="X1268" s="59"/>
      <c r="Y1268" s="59"/>
      <c r="Z1268" s="59"/>
      <c r="AA1268" s="59"/>
      <c r="AB1268" s="59"/>
      <c r="AC1268" s="59"/>
    </row>
    <row r="1269" spans="2:29" s="62" customFormat="1" ht="13.8" hidden="1" x14ac:dyDescent="0.25">
      <c r="B1269" s="59"/>
      <c r="C1269" s="59"/>
      <c r="D1269" s="59"/>
      <c r="E1269" s="59"/>
      <c r="F1269" s="59"/>
      <c r="G1269" s="59"/>
      <c r="H1269" s="59"/>
      <c r="I1269" s="59"/>
      <c r="J1269" s="59"/>
      <c r="K1269" s="59"/>
      <c r="L1269" s="59"/>
      <c r="M1269" s="59"/>
      <c r="N1269" s="59"/>
      <c r="O1269" s="59"/>
      <c r="P1269" s="59"/>
      <c r="Q1269" s="59"/>
      <c r="R1269" s="59"/>
      <c r="S1269" s="59"/>
      <c r="T1269" s="59"/>
      <c r="U1269" s="59"/>
      <c r="V1269" s="59"/>
      <c r="W1269" s="59"/>
      <c r="X1269" s="59"/>
      <c r="Y1269" s="59"/>
      <c r="Z1269" s="59"/>
      <c r="AA1269" s="59"/>
      <c r="AB1269" s="59"/>
      <c r="AC1269" s="59"/>
    </row>
    <row r="1270" spans="2:29" s="62" customFormat="1" ht="13.8" hidden="1" x14ac:dyDescent="0.25">
      <c r="B1270" s="59"/>
      <c r="C1270" s="59"/>
      <c r="D1270" s="59"/>
      <c r="E1270" s="59"/>
      <c r="F1270" s="59"/>
      <c r="G1270" s="59"/>
      <c r="H1270" s="59"/>
      <c r="I1270" s="59"/>
      <c r="J1270" s="59"/>
      <c r="K1270" s="59"/>
      <c r="L1270" s="59"/>
      <c r="M1270" s="59"/>
      <c r="N1270" s="59"/>
      <c r="O1270" s="59"/>
      <c r="P1270" s="59"/>
      <c r="Q1270" s="59"/>
      <c r="R1270" s="59"/>
      <c r="S1270" s="59"/>
      <c r="T1270" s="59"/>
      <c r="U1270" s="59"/>
      <c r="V1270" s="59"/>
      <c r="W1270" s="59"/>
      <c r="X1270" s="59"/>
      <c r="Y1270" s="59"/>
      <c r="Z1270" s="59"/>
      <c r="AA1270" s="59"/>
      <c r="AB1270" s="59"/>
      <c r="AC1270" s="59"/>
    </row>
    <row r="1271" spans="2:29" s="62" customFormat="1" ht="13.8" hidden="1" x14ac:dyDescent="0.25">
      <c r="B1271" s="59"/>
      <c r="C1271" s="59"/>
      <c r="D1271" s="59"/>
      <c r="E1271" s="59"/>
      <c r="F1271" s="59"/>
      <c r="G1271" s="59"/>
      <c r="H1271" s="59"/>
      <c r="I1271" s="59"/>
      <c r="J1271" s="59"/>
      <c r="K1271" s="59"/>
      <c r="L1271" s="59"/>
      <c r="M1271" s="59"/>
      <c r="N1271" s="59"/>
      <c r="O1271" s="59"/>
      <c r="P1271" s="59"/>
      <c r="Q1271" s="59"/>
      <c r="R1271" s="59"/>
      <c r="S1271" s="59"/>
      <c r="T1271" s="59"/>
      <c r="U1271" s="59"/>
      <c r="V1271" s="59"/>
      <c r="W1271" s="59"/>
      <c r="X1271" s="59"/>
      <c r="Y1271" s="59"/>
      <c r="Z1271" s="59"/>
      <c r="AA1271" s="59"/>
      <c r="AB1271" s="59"/>
      <c r="AC1271" s="59"/>
    </row>
    <row r="1272" spans="2:29" s="62" customFormat="1" ht="13.8" hidden="1" x14ac:dyDescent="0.25">
      <c r="B1272" s="59"/>
      <c r="C1272" s="59"/>
      <c r="D1272" s="59"/>
      <c r="E1272" s="59"/>
      <c r="F1272" s="59"/>
      <c r="G1272" s="59"/>
      <c r="H1272" s="59"/>
      <c r="I1272" s="59"/>
      <c r="J1272" s="59"/>
      <c r="K1272" s="59"/>
      <c r="L1272" s="59"/>
      <c r="M1272" s="59"/>
      <c r="N1272" s="59"/>
      <c r="O1272" s="59"/>
      <c r="P1272" s="59"/>
      <c r="Q1272" s="59"/>
      <c r="R1272" s="59"/>
      <c r="S1272" s="59"/>
      <c r="T1272" s="59"/>
      <c r="U1272" s="59"/>
      <c r="V1272" s="59"/>
      <c r="W1272" s="59"/>
      <c r="X1272" s="59"/>
      <c r="Y1272" s="59"/>
      <c r="Z1272" s="59"/>
      <c r="AA1272" s="59"/>
      <c r="AB1272" s="59"/>
      <c r="AC1272" s="59"/>
    </row>
    <row r="1273" spans="2:29" s="62" customFormat="1" ht="13.8" hidden="1" x14ac:dyDescent="0.25">
      <c r="B1273" s="59"/>
      <c r="C1273" s="59"/>
      <c r="D1273" s="59"/>
      <c r="E1273" s="59"/>
      <c r="F1273" s="59"/>
      <c r="G1273" s="59"/>
      <c r="H1273" s="59"/>
      <c r="I1273" s="59"/>
      <c r="J1273" s="59"/>
      <c r="K1273" s="59"/>
      <c r="L1273" s="59"/>
      <c r="M1273" s="59"/>
      <c r="N1273" s="59"/>
      <c r="O1273" s="59"/>
      <c r="P1273" s="59"/>
      <c r="Q1273" s="59"/>
      <c r="R1273" s="59"/>
      <c r="S1273" s="59"/>
      <c r="T1273" s="59"/>
      <c r="U1273" s="59"/>
      <c r="V1273" s="59"/>
      <c r="W1273" s="59"/>
      <c r="X1273" s="59"/>
      <c r="Y1273" s="59"/>
      <c r="Z1273" s="59"/>
      <c r="AA1273" s="59"/>
      <c r="AB1273" s="59"/>
      <c r="AC1273" s="59"/>
    </row>
    <row r="1274" spans="2:29" s="62" customFormat="1" ht="13.8" hidden="1" x14ac:dyDescent="0.25">
      <c r="B1274" s="59"/>
      <c r="C1274" s="59"/>
      <c r="D1274" s="59"/>
      <c r="E1274" s="59"/>
      <c r="F1274" s="59"/>
      <c r="G1274" s="59"/>
      <c r="H1274" s="59"/>
      <c r="I1274" s="59"/>
      <c r="J1274" s="59"/>
      <c r="K1274" s="59"/>
      <c r="L1274" s="59"/>
      <c r="M1274" s="59"/>
      <c r="N1274" s="59"/>
      <c r="O1274" s="59"/>
      <c r="P1274" s="59"/>
      <c r="Q1274" s="59"/>
      <c r="R1274" s="59"/>
      <c r="S1274" s="59"/>
      <c r="T1274" s="59"/>
      <c r="U1274" s="59"/>
      <c r="V1274" s="59"/>
      <c r="W1274" s="59"/>
      <c r="X1274" s="59"/>
      <c r="Y1274" s="59"/>
      <c r="Z1274" s="59"/>
      <c r="AA1274" s="59"/>
      <c r="AB1274" s="59"/>
      <c r="AC1274" s="59"/>
    </row>
    <row r="1275" spans="2:29" s="62" customFormat="1" ht="13.8" hidden="1" x14ac:dyDescent="0.25">
      <c r="B1275" s="59"/>
      <c r="C1275" s="59"/>
      <c r="D1275" s="59"/>
      <c r="E1275" s="59"/>
      <c r="F1275" s="59"/>
      <c r="G1275" s="59"/>
      <c r="H1275" s="59"/>
      <c r="I1275" s="59"/>
      <c r="J1275" s="59"/>
      <c r="K1275" s="59"/>
      <c r="L1275" s="59"/>
      <c r="M1275" s="59"/>
      <c r="N1275" s="59"/>
      <c r="O1275" s="59"/>
      <c r="P1275" s="59"/>
      <c r="Q1275" s="59"/>
      <c r="R1275" s="59"/>
      <c r="S1275" s="59"/>
      <c r="T1275" s="59"/>
      <c r="U1275" s="59"/>
      <c r="V1275" s="59"/>
      <c r="W1275" s="59"/>
      <c r="X1275" s="59"/>
      <c r="Y1275" s="59"/>
      <c r="Z1275" s="59"/>
      <c r="AA1275" s="59"/>
      <c r="AB1275" s="59"/>
      <c r="AC1275" s="59"/>
    </row>
    <row r="1276" spans="2:29" s="62" customFormat="1" ht="13.8" hidden="1" x14ac:dyDescent="0.25">
      <c r="B1276" s="59"/>
      <c r="C1276" s="59"/>
      <c r="D1276" s="59"/>
      <c r="E1276" s="59"/>
      <c r="F1276" s="59"/>
      <c r="G1276" s="59"/>
      <c r="H1276" s="59"/>
      <c r="I1276" s="59"/>
      <c r="J1276" s="59"/>
      <c r="K1276" s="59"/>
      <c r="L1276" s="59"/>
      <c r="M1276" s="59"/>
      <c r="N1276" s="59"/>
      <c r="O1276" s="59"/>
      <c r="P1276" s="59"/>
      <c r="Q1276" s="59"/>
      <c r="R1276" s="59"/>
      <c r="S1276" s="59"/>
      <c r="T1276" s="59"/>
      <c r="U1276" s="59"/>
      <c r="V1276" s="59"/>
      <c r="W1276" s="59"/>
      <c r="X1276" s="59"/>
      <c r="Y1276" s="59"/>
      <c r="Z1276" s="59"/>
      <c r="AA1276" s="59"/>
      <c r="AB1276" s="59"/>
      <c r="AC1276" s="59"/>
    </row>
    <row r="1277" spans="2:29" s="62" customFormat="1" ht="13.8" hidden="1" x14ac:dyDescent="0.25">
      <c r="B1277" s="59"/>
      <c r="C1277" s="59"/>
      <c r="D1277" s="59"/>
      <c r="E1277" s="59"/>
      <c r="F1277" s="59"/>
      <c r="G1277" s="59"/>
      <c r="H1277" s="59"/>
      <c r="I1277" s="59"/>
      <c r="J1277" s="59"/>
      <c r="K1277" s="59"/>
      <c r="L1277" s="59"/>
      <c r="M1277" s="59"/>
      <c r="N1277" s="59"/>
      <c r="O1277" s="59"/>
      <c r="P1277" s="59"/>
      <c r="Q1277" s="59"/>
      <c r="R1277" s="59"/>
      <c r="S1277" s="59"/>
      <c r="T1277" s="59"/>
      <c r="U1277" s="59"/>
      <c r="V1277" s="59"/>
      <c r="W1277" s="59"/>
      <c r="X1277" s="59"/>
      <c r="Y1277" s="59"/>
      <c r="Z1277" s="59"/>
      <c r="AA1277" s="59"/>
      <c r="AB1277" s="59"/>
      <c r="AC1277" s="59"/>
    </row>
    <row r="1278" spans="2:29" s="62" customFormat="1" ht="13.8" hidden="1" x14ac:dyDescent="0.25">
      <c r="B1278" s="59"/>
      <c r="C1278" s="59"/>
      <c r="D1278" s="59"/>
      <c r="E1278" s="59"/>
      <c r="F1278" s="59"/>
      <c r="G1278" s="59"/>
      <c r="H1278" s="59"/>
      <c r="I1278" s="59"/>
      <c r="J1278" s="59"/>
      <c r="K1278" s="59"/>
      <c r="L1278" s="59"/>
      <c r="M1278" s="59"/>
      <c r="N1278" s="59"/>
      <c r="O1278" s="59"/>
      <c r="P1278" s="59"/>
      <c r="Q1278" s="59"/>
      <c r="R1278" s="59"/>
      <c r="S1278" s="59"/>
      <c r="T1278" s="59"/>
      <c r="U1278" s="59"/>
      <c r="V1278" s="59"/>
      <c r="W1278" s="59"/>
      <c r="X1278" s="59"/>
      <c r="Y1278" s="59"/>
      <c r="Z1278" s="59"/>
      <c r="AA1278" s="59"/>
      <c r="AB1278" s="59"/>
      <c r="AC1278" s="59"/>
    </row>
    <row r="1279" spans="2:29" s="62" customFormat="1" ht="13.8" hidden="1" x14ac:dyDescent="0.25">
      <c r="B1279" s="59"/>
      <c r="C1279" s="59"/>
      <c r="D1279" s="59"/>
      <c r="E1279" s="59"/>
      <c r="F1279" s="59"/>
      <c r="G1279" s="59"/>
      <c r="H1279" s="59"/>
      <c r="I1279" s="59"/>
      <c r="J1279" s="59"/>
      <c r="K1279" s="59"/>
      <c r="L1279" s="59"/>
      <c r="M1279" s="59"/>
      <c r="N1279" s="59"/>
      <c r="O1279" s="59"/>
      <c r="P1279" s="59"/>
      <c r="Q1279" s="59"/>
      <c r="R1279" s="59"/>
      <c r="S1279" s="59"/>
      <c r="T1279" s="59"/>
      <c r="U1279" s="59"/>
      <c r="V1279" s="59"/>
      <c r="W1279" s="59"/>
      <c r="X1279" s="59"/>
      <c r="Y1279" s="59"/>
      <c r="Z1279" s="59"/>
      <c r="AA1279" s="59"/>
      <c r="AB1279" s="59"/>
      <c r="AC1279" s="59"/>
    </row>
    <row r="1280" spans="2:29" s="62" customFormat="1" ht="13.8" hidden="1" x14ac:dyDescent="0.25">
      <c r="B1280" s="59"/>
      <c r="C1280" s="59"/>
      <c r="D1280" s="59"/>
      <c r="E1280" s="59"/>
      <c r="F1280" s="59"/>
      <c r="G1280" s="59"/>
      <c r="H1280" s="59"/>
      <c r="I1280" s="59"/>
      <c r="J1280" s="59"/>
      <c r="K1280" s="59"/>
      <c r="L1280" s="59"/>
      <c r="M1280" s="59"/>
      <c r="N1280" s="59"/>
      <c r="O1280" s="59"/>
      <c r="P1280" s="59"/>
      <c r="Q1280" s="59"/>
      <c r="R1280" s="59"/>
      <c r="S1280" s="59"/>
      <c r="T1280" s="59"/>
      <c r="U1280" s="59"/>
      <c r="V1280" s="59"/>
      <c r="W1280" s="59"/>
      <c r="X1280" s="59"/>
      <c r="Y1280" s="59"/>
      <c r="Z1280" s="59"/>
      <c r="AA1280" s="59"/>
      <c r="AB1280" s="59"/>
      <c r="AC1280" s="59"/>
    </row>
    <row r="1281" spans="2:29" s="62" customFormat="1" ht="13.8" hidden="1" x14ac:dyDescent="0.25">
      <c r="B1281" s="59"/>
      <c r="C1281" s="59"/>
      <c r="D1281" s="59"/>
      <c r="E1281" s="59"/>
      <c r="F1281" s="59"/>
      <c r="G1281" s="59"/>
      <c r="H1281" s="59"/>
      <c r="I1281" s="59"/>
      <c r="J1281" s="59"/>
      <c r="K1281" s="59"/>
      <c r="L1281" s="59"/>
      <c r="M1281" s="59"/>
      <c r="N1281" s="59"/>
      <c r="O1281" s="59"/>
      <c r="P1281" s="59"/>
      <c r="Q1281" s="59"/>
      <c r="R1281" s="59"/>
      <c r="S1281" s="59"/>
      <c r="T1281" s="59"/>
      <c r="U1281" s="59"/>
      <c r="V1281" s="59"/>
      <c r="W1281" s="59"/>
      <c r="X1281" s="59"/>
      <c r="Y1281" s="59"/>
      <c r="Z1281" s="59"/>
      <c r="AA1281" s="59"/>
      <c r="AB1281" s="59"/>
      <c r="AC1281" s="59"/>
    </row>
    <row r="1282" spans="2:29" s="62" customFormat="1" ht="13.8" hidden="1" x14ac:dyDescent="0.25">
      <c r="B1282" s="59"/>
      <c r="C1282" s="59"/>
      <c r="D1282" s="59"/>
      <c r="E1282" s="59"/>
      <c r="F1282" s="59"/>
      <c r="G1282" s="59"/>
      <c r="H1282" s="59"/>
      <c r="I1282" s="59"/>
      <c r="J1282" s="59"/>
      <c r="K1282" s="59"/>
      <c r="L1282" s="59"/>
      <c r="M1282" s="59"/>
      <c r="N1282" s="59"/>
      <c r="O1282" s="59"/>
      <c r="P1282" s="59"/>
      <c r="Q1282" s="59"/>
      <c r="R1282" s="59"/>
      <c r="S1282" s="59"/>
      <c r="T1282" s="59"/>
      <c r="U1282" s="59"/>
      <c r="V1282" s="59"/>
      <c r="W1282" s="59"/>
      <c r="X1282" s="59"/>
      <c r="Y1282" s="59"/>
      <c r="Z1282" s="59"/>
      <c r="AA1282" s="59"/>
      <c r="AB1282" s="59"/>
      <c r="AC1282" s="59"/>
    </row>
    <row r="1283" spans="2:29" s="62" customFormat="1" ht="13.8" hidden="1" x14ac:dyDescent="0.25">
      <c r="B1283" s="59"/>
      <c r="C1283" s="59"/>
      <c r="D1283" s="59"/>
      <c r="E1283" s="59"/>
      <c r="F1283" s="59"/>
      <c r="G1283" s="59"/>
      <c r="H1283" s="59"/>
      <c r="I1283" s="59"/>
      <c r="J1283" s="59"/>
      <c r="K1283" s="59"/>
      <c r="L1283" s="59"/>
      <c r="M1283" s="59"/>
      <c r="N1283" s="59"/>
      <c r="O1283" s="59"/>
      <c r="P1283" s="59"/>
      <c r="Q1283" s="59"/>
      <c r="R1283" s="59"/>
      <c r="S1283" s="59"/>
      <c r="T1283" s="59"/>
      <c r="U1283" s="59"/>
      <c r="V1283" s="59"/>
      <c r="W1283" s="59"/>
      <c r="X1283" s="59"/>
      <c r="Y1283" s="59"/>
      <c r="Z1283" s="59"/>
      <c r="AA1283" s="59"/>
      <c r="AB1283" s="59"/>
      <c r="AC1283" s="59"/>
    </row>
    <row r="1284" spans="2:29" s="62" customFormat="1" ht="13.8" hidden="1" x14ac:dyDescent="0.25">
      <c r="B1284" s="59"/>
      <c r="C1284" s="59"/>
      <c r="D1284" s="59"/>
      <c r="E1284" s="59"/>
      <c r="F1284" s="59"/>
      <c r="G1284" s="59"/>
      <c r="H1284" s="59"/>
      <c r="I1284" s="59"/>
      <c r="J1284" s="59"/>
      <c r="K1284" s="59"/>
      <c r="L1284" s="59"/>
      <c r="M1284" s="59"/>
      <c r="N1284" s="59"/>
      <c r="O1284" s="59"/>
      <c r="P1284" s="59"/>
      <c r="Q1284" s="59"/>
      <c r="R1284" s="59"/>
      <c r="S1284" s="59"/>
      <c r="T1284" s="59"/>
      <c r="U1284" s="59"/>
      <c r="V1284" s="59"/>
      <c r="W1284" s="59"/>
      <c r="X1284" s="59"/>
      <c r="Y1284" s="59"/>
      <c r="Z1284" s="59"/>
      <c r="AA1284" s="59"/>
      <c r="AB1284" s="59"/>
      <c r="AC1284" s="59"/>
    </row>
    <row r="1285" spans="2:29" s="62" customFormat="1" ht="13.8" hidden="1" x14ac:dyDescent="0.25">
      <c r="B1285" s="59"/>
      <c r="C1285" s="59"/>
      <c r="D1285" s="59"/>
      <c r="E1285" s="59"/>
      <c r="F1285" s="59"/>
      <c r="G1285" s="59"/>
      <c r="H1285" s="59"/>
      <c r="I1285" s="59"/>
      <c r="J1285" s="59"/>
      <c r="K1285" s="59"/>
      <c r="L1285" s="59"/>
      <c r="M1285" s="59"/>
      <c r="N1285" s="59"/>
      <c r="O1285" s="59"/>
      <c r="P1285" s="59"/>
      <c r="Q1285" s="59"/>
      <c r="R1285" s="59"/>
      <c r="S1285" s="59"/>
      <c r="T1285" s="59"/>
      <c r="U1285" s="59"/>
      <c r="V1285" s="59"/>
      <c r="W1285" s="59"/>
      <c r="X1285" s="59"/>
      <c r="Y1285" s="59"/>
      <c r="Z1285" s="59"/>
      <c r="AA1285" s="59"/>
      <c r="AB1285" s="59"/>
      <c r="AC1285" s="59"/>
    </row>
    <row r="1286" spans="2:29" s="62" customFormat="1" ht="13.8" hidden="1" x14ac:dyDescent="0.25">
      <c r="B1286" s="59"/>
      <c r="C1286" s="59"/>
      <c r="D1286" s="59"/>
      <c r="E1286" s="59"/>
      <c r="F1286" s="59"/>
      <c r="G1286" s="59"/>
      <c r="H1286" s="59"/>
      <c r="I1286" s="59"/>
      <c r="J1286" s="59"/>
      <c r="K1286" s="59"/>
      <c r="L1286" s="59"/>
      <c r="M1286" s="59"/>
      <c r="N1286" s="59"/>
      <c r="O1286" s="59"/>
      <c r="P1286" s="59"/>
      <c r="Q1286" s="59"/>
      <c r="R1286" s="59"/>
      <c r="S1286" s="59"/>
      <c r="T1286" s="59"/>
      <c r="U1286" s="59"/>
      <c r="V1286" s="59"/>
      <c r="W1286" s="59"/>
      <c r="X1286" s="59"/>
      <c r="Y1286" s="59"/>
      <c r="Z1286" s="59"/>
      <c r="AA1286" s="59"/>
      <c r="AB1286" s="59"/>
      <c r="AC1286" s="59"/>
    </row>
    <row r="1287" spans="2:29" s="62" customFormat="1" ht="13.8" hidden="1" x14ac:dyDescent="0.25">
      <c r="B1287" s="59"/>
      <c r="C1287" s="59"/>
      <c r="D1287" s="59"/>
      <c r="E1287" s="59"/>
      <c r="F1287" s="59"/>
      <c r="G1287" s="59"/>
      <c r="H1287" s="59"/>
      <c r="I1287" s="59"/>
      <c r="J1287" s="59"/>
      <c r="K1287" s="59"/>
      <c r="L1287" s="59"/>
      <c r="M1287" s="59"/>
      <c r="N1287" s="59"/>
      <c r="O1287" s="59"/>
      <c r="P1287" s="59"/>
      <c r="Q1287" s="59"/>
      <c r="R1287" s="59"/>
      <c r="S1287" s="59"/>
      <c r="T1287" s="59"/>
      <c r="U1287" s="59"/>
      <c r="V1287" s="59"/>
      <c r="W1287" s="59"/>
      <c r="X1287" s="59"/>
      <c r="Y1287" s="59"/>
      <c r="Z1287" s="59"/>
      <c r="AA1287" s="59"/>
      <c r="AB1287" s="59"/>
      <c r="AC1287" s="59"/>
    </row>
    <row r="1288" spans="2:29" s="62" customFormat="1" ht="13.8" hidden="1" x14ac:dyDescent="0.25">
      <c r="B1288" s="59"/>
      <c r="C1288" s="59"/>
      <c r="D1288" s="59"/>
      <c r="E1288" s="59"/>
      <c r="F1288" s="59"/>
      <c r="G1288" s="59"/>
      <c r="H1288" s="59"/>
      <c r="I1288" s="59"/>
      <c r="J1288" s="59"/>
      <c r="K1288" s="59"/>
      <c r="L1288" s="59"/>
      <c r="M1288" s="59"/>
      <c r="N1288" s="59"/>
      <c r="O1288" s="59"/>
      <c r="P1288" s="59"/>
      <c r="Q1288" s="59"/>
      <c r="R1288" s="59"/>
      <c r="S1288" s="59"/>
      <c r="T1288" s="59"/>
      <c r="U1288" s="59"/>
      <c r="V1288" s="59"/>
      <c r="W1288" s="59"/>
      <c r="X1288" s="59"/>
      <c r="Y1288" s="59"/>
      <c r="Z1288" s="59"/>
      <c r="AA1288" s="59"/>
      <c r="AB1288" s="59"/>
      <c r="AC1288" s="59"/>
    </row>
    <row r="1289" spans="2:29" s="62" customFormat="1" ht="13.8" hidden="1" x14ac:dyDescent="0.25">
      <c r="B1289" s="59"/>
      <c r="C1289" s="59"/>
      <c r="D1289" s="59"/>
      <c r="E1289" s="59"/>
      <c r="F1289" s="59"/>
      <c r="G1289" s="59"/>
      <c r="H1289" s="59"/>
      <c r="I1289" s="59"/>
      <c r="J1289" s="59"/>
      <c r="K1289" s="59"/>
      <c r="L1289" s="59"/>
      <c r="M1289" s="59"/>
      <c r="N1289" s="59"/>
      <c r="O1289" s="59"/>
      <c r="P1289" s="59"/>
      <c r="Q1289" s="59"/>
      <c r="R1289" s="59"/>
      <c r="S1289" s="59"/>
      <c r="T1289" s="59"/>
      <c r="U1289" s="59"/>
      <c r="V1289" s="59"/>
      <c r="W1289" s="59"/>
      <c r="X1289" s="59"/>
      <c r="Y1289" s="59"/>
      <c r="Z1289" s="59"/>
      <c r="AA1289" s="59"/>
      <c r="AB1289" s="59"/>
      <c r="AC1289" s="59"/>
    </row>
    <row r="1290" spans="2:29" s="62" customFormat="1" ht="13.8" hidden="1" x14ac:dyDescent="0.25">
      <c r="B1290" s="59"/>
      <c r="C1290" s="59"/>
      <c r="D1290" s="59"/>
      <c r="E1290" s="59"/>
      <c r="F1290" s="59"/>
      <c r="G1290" s="59"/>
      <c r="H1290" s="59"/>
      <c r="I1290" s="59"/>
      <c r="J1290" s="59"/>
      <c r="K1290" s="59"/>
      <c r="L1290" s="59"/>
      <c r="M1290" s="59"/>
      <c r="N1290" s="59"/>
      <c r="O1290" s="59"/>
      <c r="P1290" s="59"/>
      <c r="Q1290" s="59"/>
      <c r="R1290" s="59"/>
      <c r="S1290" s="59"/>
      <c r="T1290" s="59"/>
      <c r="U1290" s="59"/>
      <c r="V1290" s="59"/>
      <c r="W1290" s="59"/>
      <c r="X1290" s="59"/>
      <c r="Y1290" s="59"/>
      <c r="Z1290" s="59"/>
      <c r="AA1290" s="59"/>
      <c r="AB1290" s="59"/>
      <c r="AC1290" s="59"/>
    </row>
    <row r="1291" spans="2:29" s="62" customFormat="1" ht="13.8" hidden="1" x14ac:dyDescent="0.25">
      <c r="B1291" s="59"/>
      <c r="C1291" s="59"/>
      <c r="D1291" s="59"/>
      <c r="E1291" s="59"/>
      <c r="F1291" s="59"/>
      <c r="G1291" s="59"/>
      <c r="H1291" s="59"/>
      <c r="I1291" s="59"/>
      <c r="J1291" s="59"/>
      <c r="K1291" s="59"/>
      <c r="L1291" s="59"/>
      <c r="M1291" s="59"/>
      <c r="N1291" s="59"/>
      <c r="O1291" s="59"/>
      <c r="P1291" s="59"/>
      <c r="Q1291" s="59"/>
      <c r="R1291" s="59"/>
      <c r="S1291" s="59"/>
      <c r="T1291" s="59"/>
      <c r="U1291" s="59"/>
      <c r="V1291" s="59"/>
      <c r="W1291" s="59"/>
      <c r="X1291" s="59"/>
      <c r="Y1291" s="59"/>
      <c r="Z1291" s="59"/>
      <c r="AA1291" s="59"/>
      <c r="AB1291" s="59"/>
      <c r="AC1291" s="59"/>
    </row>
    <row r="1292" spans="2:29" s="62" customFormat="1" ht="13.8" hidden="1" x14ac:dyDescent="0.25">
      <c r="B1292" s="59"/>
      <c r="C1292" s="59"/>
      <c r="D1292" s="59"/>
      <c r="E1292" s="59"/>
      <c r="F1292" s="59"/>
      <c r="G1292" s="59"/>
      <c r="H1292" s="59"/>
      <c r="I1292" s="59"/>
      <c r="J1292" s="59"/>
      <c r="K1292" s="59"/>
      <c r="L1292" s="59"/>
      <c r="M1292" s="59"/>
      <c r="N1292" s="59"/>
      <c r="O1292" s="59"/>
      <c r="P1292" s="59"/>
      <c r="Q1292" s="59"/>
      <c r="R1292" s="59"/>
      <c r="S1292" s="59"/>
      <c r="T1292" s="59"/>
      <c r="U1292" s="59"/>
      <c r="V1292" s="59"/>
      <c r="W1292" s="59"/>
      <c r="X1292" s="59"/>
      <c r="Y1292" s="59"/>
      <c r="Z1292" s="59"/>
      <c r="AA1292" s="59"/>
      <c r="AB1292" s="59"/>
      <c r="AC1292" s="59"/>
    </row>
    <row r="1293" spans="2:29" s="62" customFormat="1" ht="13.8" hidden="1" x14ac:dyDescent="0.25">
      <c r="B1293" s="59"/>
      <c r="C1293" s="59"/>
      <c r="D1293" s="59"/>
      <c r="E1293" s="59"/>
      <c r="F1293" s="59"/>
      <c r="G1293" s="59"/>
      <c r="H1293" s="59"/>
      <c r="I1293" s="59"/>
      <c r="J1293" s="59"/>
      <c r="K1293" s="59"/>
      <c r="L1293" s="59"/>
      <c r="M1293" s="59"/>
      <c r="N1293" s="59"/>
      <c r="O1293" s="59"/>
      <c r="P1293" s="59"/>
      <c r="Q1293" s="59"/>
      <c r="R1293" s="59"/>
      <c r="S1293" s="59"/>
      <c r="T1293" s="59"/>
      <c r="U1293" s="59"/>
      <c r="V1293" s="59"/>
      <c r="W1293" s="59"/>
      <c r="X1293" s="59"/>
      <c r="Y1293" s="59"/>
      <c r="Z1293" s="59"/>
      <c r="AA1293" s="59"/>
      <c r="AB1293" s="59"/>
      <c r="AC1293" s="59"/>
    </row>
    <row r="1294" spans="2:29" s="62" customFormat="1" ht="13.8" hidden="1" x14ac:dyDescent="0.25">
      <c r="B1294" s="59"/>
      <c r="C1294" s="59"/>
      <c r="D1294" s="59"/>
      <c r="E1294" s="59"/>
      <c r="F1294" s="59"/>
      <c r="G1294" s="59"/>
      <c r="H1294" s="59"/>
      <c r="I1294" s="59"/>
      <c r="J1294" s="59"/>
      <c r="K1294" s="59"/>
      <c r="L1294" s="59"/>
      <c r="M1294" s="59"/>
      <c r="N1294" s="59"/>
      <c r="O1294" s="59"/>
      <c r="P1294" s="59"/>
      <c r="Q1294" s="59"/>
      <c r="R1294" s="59"/>
      <c r="S1294" s="59"/>
      <c r="T1294" s="59"/>
      <c r="U1294" s="59"/>
      <c r="V1294" s="59"/>
      <c r="W1294" s="59"/>
      <c r="X1294" s="59"/>
      <c r="Y1294" s="59"/>
      <c r="Z1294" s="59"/>
      <c r="AA1294" s="59"/>
      <c r="AB1294" s="59"/>
      <c r="AC1294" s="59"/>
    </row>
    <row r="1295" spans="2:29" s="62" customFormat="1" ht="13.8" hidden="1" x14ac:dyDescent="0.25">
      <c r="B1295" s="59"/>
      <c r="C1295" s="59"/>
      <c r="D1295" s="59"/>
      <c r="E1295" s="59"/>
      <c r="F1295" s="59"/>
      <c r="G1295" s="59"/>
      <c r="H1295" s="59"/>
      <c r="I1295" s="59"/>
      <c r="J1295" s="59"/>
      <c r="K1295" s="59"/>
      <c r="L1295" s="59"/>
      <c r="M1295" s="59"/>
      <c r="N1295" s="59"/>
      <c r="O1295" s="59"/>
      <c r="P1295" s="59"/>
      <c r="Q1295" s="59"/>
      <c r="R1295" s="59"/>
      <c r="S1295" s="59"/>
      <c r="T1295" s="59"/>
      <c r="U1295" s="59"/>
      <c r="V1295" s="59"/>
      <c r="W1295" s="59"/>
      <c r="X1295" s="59"/>
      <c r="Y1295" s="59"/>
      <c r="Z1295" s="59"/>
      <c r="AA1295" s="59"/>
      <c r="AB1295" s="59"/>
      <c r="AC1295" s="59"/>
    </row>
    <row r="1296" spans="2:29" s="62" customFormat="1" ht="13.8" hidden="1" x14ac:dyDescent="0.25">
      <c r="B1296" s="59"/>
      <c r="C1296" s="59"/>
      <c r="D1296" s="59"/>
      <c r="E1296" s="59"/>
      <c r="F1296" s="59"/>
      <c r="G1296" s="59"/>
      <c r="H1296" s="59"/>
      <c r="I1296" s="59"/>
      <c r="J1296" s="59"/>
      <c r="K1296" s="59"/>
      <c r="L1296" s="59"/>
      <c r="M1296" s="59"/>
      <c r="N1296" s="59"/>
      <c r="O1296" s="59"/>
      <c r="P1296" s="59"/>
      <c r="Q1296" s="59"/>
      <c r="R1296" s="59"/>
      <c r="S1296" s="59"/>
      <c r="T1296" s="59"/>
      <c r="U1296" s="59"/>
      <c r="V1296" s="59"/>
      <c r="W1296" s="59"/>
      <c r="X1296" s="59"/>
      <c r="Y1296" s="59"/>
      <c r="Z1296" s="59"/>
      <c r="AA1296" s="59"/>
      <c r="AB1296" s="59"/>
      <c r="AC1296" s="59"/>
    </row>
    <row r="1297" spans="2:29" s="62" customFormat="1" ht="13.8" hidden="1" x14ac:dyDescent="0.25">
      <c r="B1297" s="59"/>
      <c r="C1297" s="59"/>
      <c r="D1297" s="59"/>
      <c r="E1297" s="59"/>
      <c r="F1297" s="59"/>
      <c r="G1297" s="59"/>
      <c r="H1297" s="59"/>
      <c r="I1297" s="59"/>
      <c r="J1297" s="59"/>
      <c r="K1297" s="59"/>
      <c r="L1297" s="59"/>
      <c r="M1297" s="59"/>
      <c r="N1297" s="59"/>
      <c r="O1297" s="59"/>
      <c r="P1297" s="59"/>
      <c r="Q1297" s="59"/>
      <c r="R1297" s="59"/>
      <c r="S1297" s="59"/>
      <c r="T1297" s="59"/>
      <c r="U1297" s="59"/>
      <c r="V1297" s="59"/>
      <c r="W1297" s="59"/>
      <c r="X1297" s="59"/>
      <c r="Y1297" s="59"/>
      <c r="Z1297" s="59"/>
      <c r="AA1297" s="59"/>
      <c r="AB1297" s="59"/>
      <c r="AC1297" s="59"/>
    </row>
    <row r="1298" spans="2:29" s="62" customFormat="1" ht="13.8" hidden="1" x14ac:dyDescent="0.25">
      <c r="B1298" s="59"/>
      <c r="C1298" s="59"/>
      <c r="D1298" s="59"/>
      <c r="E1298" s="59"/>
      <c r="F1298" s="59"/>
      <c r="G1298" s="59"/>
      <c r="H1298" s="59"/>
      <c r="I1298" s="59"/>
      <c r="J1298" s="59"/>
      <c r="K1298" s="59"/>
      <c r="L1298" s="59"/>
      <c r="M1298" s="59"/>
      <c r="N1298" s="59"/>
      <c r="O1298" s="59"/>
      <c r="P1298" s="59"/>
      <c r="Q1298" s="59"/>
      <c r="R1298" s="59"/>
      <c r="S1298" s="59"/>
      <c r="T1298" s="59"/>
      <c r="U1298" s="59"/>
      <c r="V1298" s="59"/>
      <c r="W1298" s="59"/>
      <c r="X1298" s="59"/>
      <c r="Y1298" s="59"/>
      <c r="Z1298" s="59"/>
      <c r="AA1298" s="59"/>
      <c r="AB1298" s="59"/>
      <c r="AC1298" s="59"/>
    </row>
    <row r="1299" spans="2:29" s="62" customFormat="1" ht="13.8" hidden="1" x14ac:dyDescent="0.25">
      <c r="B1299" s="59"/>
      <c r="C1299" s="59"/>
      <c r="D1299" s="59"/>
      <c r="E1299" s="59"/>
      <c r="F1299" s="59"/>
      <c r="G1299" s="59"/>
      <c r="H1299" s="59"/>
      <c r="I1299" s="59"/>
      <c r="J1299" s="59"/>
      <c r="K1299" s="59"/>
      <c r="L1299" s="59"/>
      <c r="M1299" s="59"/>
      <c r="N1299" s="59"/>
      <c r="O1299" s="59"/>
      <c r="P1299" s="59"/>
      <c r="Q1299" s="59"/>
      <c r="R1299" s="59"/>
      <c r="S1299" s="59"/>
      <c r="T1299" s="59"/>
      <c r="U1299" s="59"/>
      <c r="V1299" s="59"/>
      <c r="W1299" s="59"/>
      <c r="X1299" s="59"/>
      <c r="Y1299" s="59"/>
      <c r="Z1299" s="59"/>
      <c r="AA1299" s="59"/>
      <c r="AB1299" s="59"/>
      <c r="AC1299" s="59"/>
    </row>
    <row r="1300" spans="2:29" s="62" customFormat="1" ht="13.8" hidden="1" x14ac:dyDescent="0.25">
      <c r="B1300" s="59"/>
      <c r="C1300" s="59"/>
      <c r="D1300" s="59"/>
      <c r="E1300" s="59"/>
      <c r="F1300" s="59"/>
      <c r="G1300" s="59"/>
      <c r="H1300" s="59"/>
      <c r="I1300" s="59"/>
      <c r="J1300" s="59"/>
      <c r="K1300" s="59"/>
      <c r="L1300" s="59"/>
      <c r="M1300" s="59"/>
      <c r="N1300" s="59"/>
      <c r="O1300" s="59"/>
      <c r="P1300" s="59"/>
      <c r="Q1300" s="59"/>
      <c r="R1300" s="59"/>
      <c r="S1300" s="59"/>
      <c r="T1300" s="59"/>
      <c r="U1300" s="59"/>
      <c r="V1300" s="59"/>
      <c r="W1300" s="59"/>
      <c r="X1300" s="59"/>
      <c r="Y1300" s="59"/>
      <c r="Z1300" s="59"/>
      <c r="AA1300" s="59"/>
      <c r="AB1300" s="59"/>
      <c r="AC1300" s="59"/>
    </row>
    <row r="1301" spans="2:29" s="62" customFormat="1" ht="13.8" hidden="1" x14ac:dyDescent="0.25">
      <c r="B1301" s="59"/>
      <c r="C1301" s="59"/>
      <c r="D1301" s="59"/>
      <c r="E1301" s="59"/>
      <c r="F1301" s="59"/>
      <c r="G1301" s="59"/>
      <c r="H1301" s="59"/>
      <c r="I1301" s="59"/>
      <c r="J1301" s="59"/>
      <c r="K1301" s="59"/>
      <c r="L1301" s="59"/>
      <c r="M1301" s="59"/>
      <c r="N1301" s="59"/>
      <c r="O1301" s="59"/>
      <c r="P1301" s="59"/>
      <c r="Q1301" s="59"/>
      <c r="R1301" s="59"/>
      <c r="S1301" s="59"/>
      <c r="T1301" s="59"/>
      <c r="U1301" s="59"/>
      <c r="V1301" s="59"/>
      <c r="W1301" s="59"/>
      <c r="X1301" s="59"/>
      <c r="Y1301" s="59"/>
      <c r="Z1301" s="59"/>
      <c r="AA1301" s="59"/>
      <c r="AB1301" s="59"/>
      <c r="AC1301" s="59"/>
    </row>
    <row r="1302" spans="2:29" s="62" customFormat="1" ht="13.8" hidden="1" x14ac:dyDescent="0.25">
      <c r="B1302" s="59"/>
      <c r="C1302" s="59"/>
      <c r="D1302" s="59"/>
      <c r="E1302" s="59"/>
      <c r="F1302" s="59"/>
      <c r="G1302" s="59"/>
      <c r="H1302" s="59"/>
      <c r="I1302" s="59"/>
      <c r="J1302" s="59"/>
      <c r="K1302" s="59"/>
      <c r="L1302" s="59"/>
      <c r="M1302" s="59"/>
      <c r="N1302" s="59"/>
      <c r="O1302" s="59"/>
      <c r="P1302" s="59"/>
      <c r="Q1302" s="59"/>
      <c r="R1302" s="59"/>
      <c r="S1302" s="59"/>
      <c r="T1302" s="59"/>
      <c r="U1302" s="59"/>
      <c r="V1302" s="59"/>
      <c r="W1302" s="59"/>
      <c r="X1302" s="59"/>
      <c r="Y1302" s="59"/>
      <c r="Z1302" s="59"/>
      <c r="AA1302" s="59"/>
      <c r="AB1302" s="59"/>
      <c r="AC1302" s="59"/>
    </row>
    <row r="1303" spans="2:29" s="62" customFormat="1" ht="13.8" hidden="1" x14ac:dyDescent="0.25">
      <c r="B1303" s="59"/>
      <c r="C1303" s="59"/>
      <c r="D1303" s="59"/>
      <c r="E1303" s="59"/>
      <c r="F1303" s="59"/>
      <c r="G1303" s="59"/>
      <c r="H1303" s="59"/>
      <c r="I1303" s="59"/>
      <c r="J1303" s="59"/>
      <c r="K1303" s="59"/>
      <c r="L1303" s="59"/>
      <c r="M1303" s="59"/>
      <c r="N1303" s="59"/>
      <c r="O1303" s="59"/>
      <c r="P1303" s="59"/>
      <c r="Q1303" s="59"/>
      <c r="R1303" s="59"/>
      <c r="S1303" s="59"/>
      <c r="T1303" s="59"/>
      <c r="U1303" s="59"/>
      <c r="V1303" s="59"/>
      <c r="W1303" s="59"/>
      <c r="X1303" s="59"/>
      <c r="Y1303" s="59"/>
      <c r="Z1303" s="59"/>
      <c r="AA1303" s="59"/>
      <c r="AB1303" s="59"/>
      <c r="AC1303" s="59"/>
    </row>
    <row r="1304" spans="2:29" s="62" customFormat="1" ht="13.8" hidden="1" x14ac:dyDescent="0.25">
      <c r="B1304" s="59"/>
      <c r="C1304" s="59"/>
      <c r="D1304" s="59"/>
      <c r="E1304" s="59"/>
      <c r="F1304" s="59"/>
      <c r="G1304" s="59"/>
      <c r="H1304" s="59"/>
      <c r="I1304" s="59"/>
      <c r="J1304" s="59"/>
      <c r="K1304" s="59"/>
      <c r="L1304" s="59"/>
      <c r="M1304" s="59"/>
      <c r="N1304" s="59"/>
      <c r="O1304" s="59"/>
      <c r="P1304" s="59"/>
      <c r="Q1304" s="59"/>
      <c r="R1304" s="59"/>
      <c r="S1304" s="59"/>
      <c r="T1304" s="59"/>
      <c r="U1304" s="59"/>
      <c r="V1304" s="59"/>
      <c r="W1304" s="59"/>
      <c r="X1304" s="59"/>
      <c r="Y1304" s="59"/>
      <c r="Z1304" s="59"/>
      <c r="AA1304" s="59"/>
      <c r="AB1304" s="59"/>
      <c r="AC1304" s="59"/>
    </row>
    <row r="1305" spans="2:29" s="62" customFormat="1" ht="13.8" hidden="1" x14ac:dyDescent="0.25">
      <c r="B1305" s="59"/>
      <c r="C1305" s="59"/>
      <c r="D1305" s="59"/>
      <c r="E1305" s="59"/>
      <c r="F1305" s="59"/>
      <c r="G1305" s="59"/>
      <c r="H1305" s="59"/>
      <c r="I1305" s="59"/>
      <c r="J1305" s="59"/>
      <c r="K1305" s="59"/>
      <c r="L1305" s="59"/>
      <c r="M1305" s="59"/>
      <c r="N1305" s="59"/>
      <c r="O1305" s="59"/>
      <c r="P1305" s="59"/>
      <c r="Q1305" s="59"/>
      <c r="R1305" s="59"/>
      <c r="S1305" s="59"/>
      <c r="T1305" s="59"/>
      <c r="U1305" s="59"/>
      <c r="V1305" s="59"/>
      <c r="W1305" s="59"/>
      <c r="X1305" s="59"/>
      <c r="Y1305" s="59"/>
      <c r="Z1305" s="59"/>
      <c r="AA1305" s="59"/>
      <c r="AB1305" s="59"/>
      <c r="AC1305" s="59"/>
    </row>
    <row r="1306" spans="2:29" s="62" customFormat="1" ht="13.8" hidden="1" x14ac:dyDescent="0.25">
      <c r="B1306" s="59"/>
      <c r="C1306" s="59"/>
      <c r="D1306" s="59"/>
      <c r="E1306" s="59"/>
      <c r="F1306" s="59"/>
      <c r="G1306" s="59"/>
      <c r="H1306" s="59"/>
      <c r="I1306" s="59"/>
      <c r="J1306" s="59"/>
      <c r="K1306" s="59"/>
      <c r="L1306" s="59"/>
      <c r="M1306" s="59"/>
      <c r="N1306" s="59"/>
      <c r="O1306" s="59"/>
      <c r="P1306" s="59"/>
      <c r="Q1306" s="59"/>
      <c r="R1306" s="59"/>
      <c r="S1306" s="59"/>
      <c r="T1306" s="59"/>
      <c r="U1306" s="59"/>
      <c r="V1306" s="59"/>
      <c r="W1306" s="59"/>
      <c r="X1306" s="59"/>
      <c r="Y1306" s="59"/>
      <c r="Z1306" s="59"/>
      <c r="AA1306" s="59"/>
      <c r="AB1306" s="59"/>
      <c r="AC1306" s="59"/>
    </row>
    <row r="1307" spans="2:29" s="62" customFormat="1" ht="13.8" hidden="1" x14ac:dyDescent="0.25">
      <c r="B1307" s="59"/>
      <c r="C1307" s="59"/>
      <c r="D1307" s="59"/>
      <c r="E1307" s="59"/>
      <c r="F1307" s="59"/>
      <c r="G1307" s="59"/>
      <c r="H1307" s="59"/>
      <c r="I1307" s="59"/>
      <c r="J1307" s="59"/>
      <c r="K1307" s="59"/>
      <c r="L1307" s="59"/>
      <c r="M1307" s="59"/>
      <c r="N1307" s="59"/>
      <c r="O1307" s="59"/>
      <c r="P1307" s="59"/>
      <c r="Q1307" s="59"/>
      <c r="R1307" s="59"/>
      <c r="S1307" s="59"/>
      <c r="T1307" s="59"/>
      <c r="U1307" s="59"/>
      <c r="V1307" s="59"/>
      <c r="W1307" s="59"/>
      <c r="X1307" s="59"/>
      <c r="Y1307" s="59"/>
      <c r="Z1307" s="59"/>
      <c r="AA1307" s="59"/>
      <c r="AB1307" s="59"/>
      <c r="AC1307" s="59"/>
    </row>
    <row r="1308" spans="2:29" s="62" customFormat="1" ht="13.8" hidden="1" x14ac:dyDescent="0.25">
      <c r="B1308" s="59"/>
      <c r="C1308" s="59"/>
      <c r="D1308" s="59"/>
      <c r="E1308" s="59"/>
      <c r="F1308" s="59"/>
      <c r="G1308" s="59"/>
      <c r="H1308" s="59"/>
      <c r="I1308" s="59"/>
      <c r="J1308" s="59"/>
      <c r="K1308" s="59"/>
      <c r="L1308" s="59"/>
      <c r="M1308" s="59"/>
      <c r="N1308" s="59"/>
      <c r="O1308" s="59"/>
      <c r="P1308" s="59"/>
      <c r="Q1308" s="59"/>
      <c r="R1308" s="59"/>
      <c r="S1308" s="59"/>
      <c r="T1308" s="59"/>
      <c r="U1308" s="59"/>
      <c r="V1308" s="59"/>
      <c r="W1308" s="59"/>
      <c r="X1308" s="59"/>
      <c r="Y1308" s="59"/>
      <c r="Z1308" s="59"/>
      <c r="AA1308" s="59"/>
      <c r="AB1308" s="59"/>
      <c r="AC1308" s="59"/>
    </row>
    <row r="1309" spans="2:29" s="62" customFormat="1" ht="13.8" hidden="1" x14ac:dyDescent="0.25">
      <c r="B1309" s="59"/>
      <c r="C1309" s="59"/>
      <c r="D1309" s="59"/>
      <c r="E1309" s="59"/>
      <c r="F1309" s="59"/>
      <c r="G1309" s="59"/>
      <c r="H1309" s="59"/>
      <c r="I1309" s="59"/>
      <c r="J1309" s="59"/>
      <c r="K1309" s="59"/>
      <c r="L1309" s="59"/>
      <c r="M1309" s="59"/>
      <c r="N1309" s="59"/>
      <c r="O1309" s="59"/>
      <c r="P1309" s="59"/>
      <c r="Q1309" s="59"/>
      <c r="R1309" s="59"/>
      <c r="S1309" s="59"/>
      <c r="T1309" s="59"/>
      <c r="U1309" s="59"/>
      <c r="V1309" s="59"/>
      <c r="W1309" s="59"/>
      <c r="X1309" s="59"/>
      <c r="Y1309" s="59"/>
      <c r="Z1309" s="59"/>
      <c r="AA1309" s="59"/>
      <c r="AB1309" s="59"/>
      <c r="AC1309" s="59"/>
    </row>
    <row r="1310" spans="2:29" s="62" customFormat="1" ht="13.8" hidden="1" x14ac:dyDescent="0.25">
      <c r="B1310" s="59"/>
      <c r="C1310" s="59"/>
      <c r="D1310" s="59"/>
      <c r="E1310" s="59"/>
      <c r="F1310" s="59"/>
      <c r="G1310" s="59"/>
      <c r="H1310" s="59"/>
      <c r="I1310" s="59"/>
      <c r="J1310" s="59"/>
      <c r="K1310" s="59"/>
      <c r="L1310" s="59"/>
      <c r="M1310" s="59"/>
      <c r="N1310" s="59"/>
      <c r="O1310" s="59"/>
      <c r="P1310" s="59"/>
      <c r="Q1310" s="59"/>
      <c r="R1310" s="59"/>
      <c r="S1310" s="59"/>
      <c r="T1310" s="59"/>
      <c r="U1310" s="59"/>
      <c r="V1310" s="59"/>
      <c r="W1310" s="59"/>
      <c r="X1310" s="59"/>
      <c r="Y1310" s="59"/>
      <c r="Z1310" s="59"/>
      <c r="AA1310" s="59"/>
      <c r="AB1310" s="59"/>
      <c r="AC1310" s="59"/>
    </row>
    <row r="1311" spans="2:29" s="62" customFormat="1" ht="13.8" hidden="1" x14ac:dyDescent="0.25">
      <c r="B1311" s="59"/>
      <c r="C1311" s="59"/>
      <c r="D1311" s="59"/>
      <c r="E1311" s="59"/>
      <c r="F1311" s="59"/>
      <c r="G1311" s="59"/>
      <c r="H1311" s="59"/>
      <c r="I1311" s="59"/>
      <c r="J1311" s="59"/>
      <c r="K1311" s="59"/>
      <c r="L1311" s="59"/>
      <c r="M1311" s="59"/>
      <c r="N1311" s="59"/>
      <c r="O1311" s="59"/>
      <c r="P1311" s="59"/>
      <c r="Q1311" s="59"/>
      <c r="R1311" s="59"/>
      <c r="S1311" s="59"/>
      <c r="T1311" s="59"/>
      <c r="U1311" s="59"/>
      <c r="V1311" s="59"/>
      <c r="W1311" s="59"/>
      <c r="X1311" s="59"/>
      <c r="Y1311" s="59"/>
      <c r="Z1311" s="59"/>
      <c r="AA1311" s="59"/>
      <c r="AB1311" s="59"/>
      <c r="AC1311" s="59"/>
    </row>
    <row r="1312" spans="2:29" s="62" customFormat="1" ht="13.8" hidden="1" x14ac:dyDescent="0.25">
      <c r="B1312" s="59"/>
      <c r="C1312" s="59"/>
      <c r="D1312" s="59"/>
      <c r="E1312" s="59"/>
      <c r="F1312" s="59"/>
      <c r="G1312" s="59"/>
      <c r="H1312" s="59"/>
      <c r="I1312" s="59"/>
      <c r="J1312" s="59"/>
      <c r="K1312" s="59"/>
      <c r="L1312" s="59"/>
      <c r="M1312" s="59"/>
      <c r="N1312" s="59"/>
      <c r="O1312" s="59"/>
      <c r="P1312" s="59"/>
      <c r="Q1312" s="59"/>
      <c r="R1312" s="59"/>
      <c r="S1312" s="59"/>
      <c r="T1312" s="59"/>
      <c r="U1312" s="59"/>
      <c r="V1312" s="59"/>
      <c r="W1312" s="59"/>
      <c r="X1312" s="59"/>
      <c r="Y1312" s="59"/>
      <c r="Z1312" s="59"/>
      <c r="AA1312" s="59"/>
      <c r="AB1312" s="59"/>
      <c r="AC1312" s="59"/>
    </row>
    <row r="1313" spans="2:29" s="62" customFormat="1" ht="13.8" hidden="1" x14ac:dyDescent="0.25">
      <c r="B1313" s="59"/>
      <c r="C1313" s="59"/>
      <c r="D1313" s="59"/>
      <c r="E1313" s="59"/>
      <c r="F1313" s="59"/>
      <c r="G1313" s="59"/>
      <c r="H1313" s="59"/>
      <c r="I1313" s="59"/>
      <c r="J1313" s="59"/>
      <c r="K1313" s="59"/>
      <c r="L1313" s="59"/>
      <c r="M1313" s="59"/>
      <c r="N1313" s="59"/>
      <c r="O1313" s="59"/>
      <c r="P1313" s="59"/>
      <c r="Q1313" s="59"/>
      <c r="R1313" s="59"/>
      <c r="S1313" s="59"/>
      <c r="T1313" s="59"/>
      <c r="U1313" s="59"/>
      <c r="V1313" s="59"/>
      <c r="W1313" s="59"/>
      <c r="X1313" s="59"/>
      <c r="Y1313" s="59"/>
      <c r="Z1313" s="59"/>
      <c r="AA1313" s="59"/>
      <c r="AB1313" s="59"/>
      <c r="AC1313" s="59"/>
    </row>
    <row r="1314" spans="2:29" s="62" customFormat="1" ht="13.8" hidden="1" x14ac:dyDescent="0.25">
      <c r="B1314" s="59"/>
      <c r="C1314" s="59"/>
      <c r="D1314" s="59"/>
      <c r="E1314" s="59"/>
      <c r="F1314" s="59"/>
      <c r="G1314" s="59"/>
      <c r="H1314" s="59"/>
      <c r="I1314" s="59"/>
      <c r="J1314" s="59"/>
      <c r="K1314" s="59"/>
      <c r="L1314" s="59"/>
      <c r="M1314" s="59"/>
      <c r="N1314" s="59"/>
      <c r="O1314" s="59"/>
      <c r="P1314" s="59"/>
      <c r="Q1314" s="59"/>
      <c r="R1314" s="59"/>
      <c r="S1314" s="59"/>
      <c r="T1314" s="59"/>
      <c r="U1314" s="59"/>
      <c r="V1314" s="59"/>
      <c r="W1314" s="59"/>
      <c r="X1314" s="59"/>
      <c r="Y1314" s="59"/>
      <c r="Z1314" s="59"/>
      <c r="AA1314" s="59"/>
      <c r="AB1314" s="59"/>
      <c r="AC1314" s="59"/>
    </row>
    <row r="1315" spans="2:29" s="62" customFormat="1" ht="13.8" hidden="1" x14ac:dyDescent="0.25">
      <c r="B1315" s="59"/>
      <c r="C1315" s="59"/>
      <c r="D1315" s="59"/>
      <c r="E1315" s="59"/>
      <c r="F1315" s="59"/>
      <c r="G1315" s="59"/>
      <c r="H1315" s="59"/>
      <c r="I1315" s="59"/>
      <c r="J1315" s="59"/>
      <c r="K1315" s="59"/>
      <c r="L1315" s="59"/>
      <c r="M1315" s="59"/>
      <c r="N1315" s="59"/>
      <c r="O1315" s="59"/>
      <c r="P1315" s="59"/>
      <c r="Q1315" s="59"/>
      <c r="R1315" s="59"/>
      <c r="S1315" s="59"/>
      <c r="T1315" s="59"/>
      <c r="U1315" s="59"/>
      <c r="V1315" s="59"/>
      <c r="W1315" s="59"/>
      <c r="X1315" s="59"/>
      <c r="Y1315" s="59"/>
      <c r="Z1315" s="59"/>
      <c r="AA1315" s="59"/>
      <c r="AB1315" s="59"/>
      <c r="AC1315" s="59"/>
    </row>
    <row r="1316" spans="2:29" s="62" customFormat="1" ht="13.8" hidden="1" x14ac:dyDescent="0.25">
      <c r="B1316" s="59"/>
      <c r="C1316" s="59"/>
      <c r="D1316" s="59"/>
      <c r="E1316" s="59"/>
      <c r="F1316" s="59"/>
      <c r="G1316" s="59"/>
      <c r="H1316" s="59"/>
      <c r="I1316" s="59"/>
      <c r="J1316" s="59"/>
      <c r="K1316" s="59"/>
      <c r="L1316" s="59"/>
      <c r="M1316" s="59"/>
      <c r="N1316" s="59"/>
      <c r="O1316" s="59"/>
      <c r="P1316" s="59"/>
      <c r="Q1316" s="59"/>
      <c r="R1316" s="59"/>
      <c r="S1316" s="59"/>
      <c r="T1316" s="59"/>
      <c r="U1316" s="59"/>
      <c r="V1316" s="59"/>
      <c r="W1316" s="59"/>
      <c r="X1316" s="59"/>
      <c r="Y1316" s="59"/>
      <c r="Z1316" s="59"/>
      <c r="AA1316" s="59"/>
      <c r="AB1316" s="59"/>
      <c r="AC1316" s="59"/>
    </row>
    <row r="1317" spans="2:29" s="62" customFormat="1" ht="13.8" hidden="1" x14ac:dyDescent="0.25">
      <c r="B1317" s="59"/>
      <c r="C1317" s="59"/>
      <c r="D1317" s="59"/>
      <c r="E1317" s="59"/>
      <c r="F1317" s="59"/>
      <c r="G1317" s="59"/>
      <c r="H1317" s="59"/>
      <c r="I1317" s="59"/>
      <c r="J1317" s="59"/>
      <c r="K1317" s="59"/>
      <c r="L1317" s="59"/>
      <c r="M1317" s="59"/>
      <c r="N1317" s="59"/>
      <c r="O1317" s="59"/>
      <c r="P1317" s="59"/>
      <c r="Q1317" s="59"/>
      <c r="R1317" s="59"/>
      <c r="S1317" s="59"/>
      <c r="T1317" s="59"/>
      <c r="U1317" s="59"/>
      <c r="V1317" s="59"/>
      <c r="W1317" s="59"/>
      <c r="X1317" s="59"/>
      <c r="Y1317" s="59"/>
      <c r="Z1317" s="59"/>
      <c r="AA1317" s="59"/>
      <c r="AB1317" s="59"/>
      <c r="AC1317" s="59"/>
    </row>
    <row r="1318" spans="2:29" s="62" customFormat="1" ht="13.8" hidden="1" x14ac:dyDescent="0.25">
      <c r="B1318" s="59"/>
      <c r="C1318" s="59"/>
      <c r="D1318" s="59"/>
      <c r="E1318" s="59"/>
      <c r="F1318" s="59"/>
      <c r="G1318" s="59"/>
      <c r="H1318" s="59"/>
      <c r="I1318" s="59"/>
      <c r="J1318" s="59"/>
      <c r="K1318" s="59"/>
      <c r="L1318" s="59"/>
      <c r="M1318" s="59"/>
      <c r="N1318" s="59"/>
      <c r="O1318" s="59"/>
      <c r="P1318" s="59"/>
      <c r="Q1318" s="59"/>
      <c r="R1318" s="59"/>
      <c r="S1318" s="59"/>
      <c r="T1318" s="59"/>
      <c r="U1318" s="59"/>
      <c r="V1318" s="59"/>
      <c r="W1318" s="59"/>
      <c r="X1318" s="59"/>
      <c r="Y1318" s="59"/>
      <c r="Z1318" s="59"/>
      <c r="AA1318" s="59"/>
      <c r="AB1318" s="59"/>
      <c r="AC1318" s="59"/>
    </row>
    <row r="1319" spans="2:29" s="62" customFormat="1" ht="13.8" hidden="1" x14ac:dyDescent="0.25">
      <c r="B1319" s="59"/>
      <c r="C1319" s="59"/>
      <c r="D1319" s="59"/>
      <c r="E1319" s="59"/>
      <c r="F1319" s="59"/>
      <c r="G1319" s="59"/>
      <c r="H1319" s="59"/>
      <c r="I1319" s="59"/>
      <c r="J1319" s="59"/>
      <c r="K1319" s="59"/>
      <c r="L1319" s="59"/>
      <c r="M1319" s="59"/>
      <c r="N1319" s="59"/>
      <c r="O1319" s="59"/>
      <c r="P1319" s="59"/>
      <c r="Q1319" s="59"/>
      <c r="R1319" s="59"/>
      <c r="S1319" s="59"/>
      <c r="T1319" s="59"/>
      <c r="U1319" s="59"/>
      <c r="V1319" s="59"/>
      <c r="W1319" s="59"/>
      <c r="X1319" s="59"/>
      <c r="Y1319" s="59"/>
      <c r="Z1319" s="59"/>
      <c r="AA1319" s="59"/>
      <c r="AB1319" s="59"/>
      <c r="AC1319" s="59"/>
    </row>
    <row r="1320" spans="2:29" s="62" customFormat="1" ht="13.8" hidden="1" x14ac:dyDescent="0.25">
      <c r="B1320" s="59"/>
      <c r="C1320" s="59"/>
      <c r="D1320" s="59"/>
      <c r="E1320" s="59"/>
      <c r="F1320" s="59"/>
      <c r="G1320" s="59"/>
      <c r="H1320" s="59"/>
      <c r="I1320" s="59"/>
      <c r="J1320" s="59"/>
      <c r="K1320" s="59"/>
      <c r="L1320" s="59"/>
      <c r="M1320" s="59"/>
      <c r="N1320" s="59"/>
      <c r="O1320" s="59"/>
      <c r="P1320" s="59"/>
      <c r="Q1320" s="59"/>
      <c r="R1320" s="59"/>
      <c r="S1320" s="59"/>
      <c r="T1320" s="59"/>
      <c r="U1320" s="59"/>
      <c r="V1320" s="59"/>
      <c r="W1320" s="59"/>
      <c r="X1320" s="59"/>
      <c r="Y1320" s="59"/>
      <c r="Z1320" s="59"/>
      <c r="AA1320" s="59"/>
      <c r="AB1320" s="59"/>
      <c r="AC1320" s="59"/>
    </row>
    <row r="1321" spans="2:29" s="62" customFormat="1" ht="13.8" hidden="1" x14ac:dyDescent="0.25">
      <c r="B1321" s="59"/>
      <c r="C1321" s="59"/>
      <c r="D1321" s="59"/>
      <c r="E1321" s="59"/>
      <c r="F1321" s="59"/>
      <c r="G1321" s="59"/>
      <c r="H1321" s="59"/>
      <c r="I1321" s="59"/>
      <c r="J1321" s="59"/>
      <c r="K1321" s="59"/>
      <c r="L1321" s="59"/>
      <c r="M1321" s="59"/>
      <c r="N1321" s="59"/>
      <c r="O1321" s="59"/>
      <c r="P1321" s="59"/>
      <c r="Q1321" s="59"/>
      <c r="R1321" s="59"/>
      <c r="S1321" s="59"/>
      <c r="T1321" s="59"/>
      <c r="U1321" s="59"/>
      <c r="V1321" s="59"/>
      <c r="W1321" s="59"/>
      <c r="X1321" s="59"/>
      <c r="Y1321" s="59"/>
      <c r="Z1321" s="59"/>
      <c r="AA1321" s="59"/>
      <c r="AB1321" s="59"/>
      <c r="AC1321" s="59"/>
    </row>
    <row r="1322" spans="2:29" s="62" customFormat="1" ht="13.8" hidden="1" x14ac:dyDescent="0.25">
      <c r="B1322" s="59"/>
      <c r="C1322" s="59"/>
      <c r="D1322" s="59"/>
      <c r="E1322" s="59"/>
      <c r="F1322" s="59"/>
      <c r="G1322" s="59"/>
      <c r="H1322" s="59"/>
      <c r="I1322" s="59"/>
      <c r="J1322" s="59"/>
      <c r="K1322" s="59"/>
      <c r="L1322" s="59"/>
      <c r="M1322" s="59"/>
      <c r="N1322" s="59"/>
      <c r="O1322" s="59"/>
      <c r="P1322" s="59"/>
      <c r="Q1322" s="59"/>
      <c r="R1322" s="59"/>
      <c r="S1322" s="59"/>
      <c r="T1322" s="59"/>
      <c r="U1322" s="59"/>
      <c r="V1322" s="59"/>
      <c r="W1322" s="59"/>
      <c r="X1322" s="59"/>
      <c r="Y1322" s="59"/>
      <c r="Z1322" s="59"/>
      <c r="AA1322" s="59"/>
      <c r="AB1322" s="59"/>
      <c r="AC1322" s="59"/>
    </row>
    <row r="1323" spans="2:29" s="62" customFormat="1" ht="13.8" hidden="1" x14ac:dyDescent="0.25">
      <c r="B1323" s="59"/>
      <c r="C1323" s="59"/>
      <c r="D1323" s="59"/>
      <c r="E1323" s="59"/>
      <c r="F1323" s="59"/>
      <c r="G1323" s="59"/>
      <c r="H1323" s="59"/>
      <c r="I1323" s="59"/>
      <c r="J1323" s="59"/>
      <c r="K1323" s="59"/>
      <c r="L1323" s="59"/>
      <c r="M1323" s="59"/>
      <c r="N1323" s="59"/>
      <c r="O1323" s="59"/>
      <c r="P1323" s="59"/>
      <c r="Q1323" s="59"/>
      <c r="R1323" s="59"/>
      <c r="S1323" s="59"/>
      <c r="T1323" s="59"/>
      <c r="U1323" s="59"/>
      <c r="V1323" s="59"/>
      <c r="W1323" s="59"/>
      <c r="X1323" s="59"/>
      <c r="Y1323" s="59"/>
      <c r="Z1323" s="59"/>
      <c r="AA1323" s="59"/>
      <c r="AB1323" s="59"/>
      <c r="AC1323" s="59"/>
    </row>
    <row r="1324" spans="2:29" s="62" customFormat="1" ht="13.8" hidden="1" x14ac:dyDescent="0.25">
      <c r="B1324" s="59"/>
      <c r="C1324" s="59"/>
      <c r="D1324" s="59"/>
      <c r="E1324" s="59"/>
      <c r="F1324" s="59"/>
      <c r="G1324" s="59"/>
      <c r="H1324" s="59"/>
      <c r="I1324" s="59"/>
      <c r="J1324" s="59"/>
      <c r="K1324" s="59"/>
      <c r="L1324" s="59"/>
      <c r="M1324" s="59"/>
      <c r="N1324" s="59"/>
      <c r="O1324" s="59"/>
      <c r="P1324" s="59"/>
      <c r="Q1324" s="59"/>
      <c r="R1324" s="59"/>
      <c r="S1324" s="59"/>
      <c r="T1324" s="59"/>
      <c r="U1324" s="59"/>
      <c r="V1324" s="59"/>
      <c r="W1324" s="59"/>
      <c r="X1324" s="59"/>
      <c r="Y1324" s="59"/>
      <c r="Z1324" s="59"/>
      <c r="AA1324" s="59"/>
      <c r="AB1324" s="59"/>
      <c r="AC1324" s="59"/>
    </row>
    <row r="1325" spans="2:29" s="62" customFormat="1" ht="13.8" hidden="1" x14ac:dyDescent="0.25">
      <c r="B1325" s="59"/>
      <c r="C1325" s="59"/>
      <c r="D1325" s="59"/>
      <c r="E1325" s="59"/>
      <c r="F1325" s="59"/>
      <c r="G1325" s="59"/>
      <c r="H1325" s="59"/>
      <c r="I1325" s="59"/>
      <c r="J1325" s="59"/>
      <c r="K1325" s="59"/>
      <c r="L1325" s="59"/>
      <c r="M1325" s="59"/>
      <c r="N1325" s="59"/>
      <c r="O1325" s="59"/>
      <c r="P1325" s="59"/>
      <c r="Q1325" s="59"/>
      <c r="R1325" s="59"/>
      <c r="S1325" s="59"/>
      <c r="T1325" s="59"/>
      <c r="U1325" s="59"/>
      <c r="V1325" s="59"/>
      <c r="W1325" s="59"/>
      <c r="X1325" s="59"/>
      <c r="Y1325" s="59"/>
      <c r="Z1325" s="59"/>
      <c r="AA1325" s="59"/>
      <c r="AB1325" s="59"/>
      <c r="AC1325" s="59"/>
    </row>
    <row r="1326" spans="2:29" s="62" customFormat="1" ht="13.8" hidden="1" x14ac:dyDescent="0.25">
      <c r="B1326" s="59"/>
      <c r="C1326" s="59"/>
      <c r="D1326" s="59"/>
      <c r="E1326" s="59"/>
      <c r="F1326" s="59"/>
      <c r="G1326" s="59"/>
      <c r="H1326" s="59"/>
      <c r="I1326" s="59"/>
      <c r="J1326" s="59"/>
      <c r="K1326" s="59"/>
      <c r="L1326" s="59"/>
      <c r="M1326" s="59"/>
      <c r="N1326" s="59"/>
      <c r="O1326" s="59"/>
      <c r="P1326" s="59"/>
      <c r="Q1326" s="59"/>
      <c r="R1326" s="59"/>
      <c r="S1326" s="59"/>
      <c r="T1326" s="59"/>
      <c r="U1326" s="59"/>
      <c r="V1326" s="59"/>
      <c r="W1326" s="59"/>
      <c r="X1326" s="59"/>
      <c r="Y1326" s="59"/>
      <c r="Z1326" s="59"/>
      <c r="AA1326" s="59"/>
      <c r="AB1326" s="59"/>
      <c r="AC1326" s="59"/>
    </row>
    <row r="1327" spans="2:29" s="62" customFormat="1" ht="13.8" hidden="1" x14ac:dyDescent="0.25">
      <c r="B1327" s="59"/>
      <c r="C1327" s="59"/>
      <c r="D1327" s="59"/>
      <c r="E1327" s="59"/>
      <c r="F1327" s="59"/>
      <c r="G1327" s="59"/>
      <c r="H1327" s="59"/>
      <c r="I1327" s="59"/>
      <c r="J1327" s="59"/>
      <c r="K1327" s="59"/>
      <c r="L1327" s="59"/>
      <c r="M1327" s="59"/>
      <c r="N1327" s="59"/>
      <c r="O1327" s="59"/>
      <c r="P1327" s="59"/>
      <c r="Q1327" s="59"/>
      <c r="R1327" s="59"/>
      <c r="S1327" s="59"/>
      <c r="T1327" s="59"/>
      <c r="U1327" s="59"/>
      <c r="V1327" s="59"/>
      <c r="W1327" s="59"/>
      <c r="X1327" s="59"/>
      <c r="Y1327" s="59"/>
      <c r="Z1327" s="59"/>
      <c r="AA1327" s="59"/>
      <c r="AB1327" s="59"/>
      <c r="AC1327" s="59"/>
    </row>
    <row r="1328" spans="2:29" s="62" customFormat="1" ht="13.8" hidden="1" x14ac:dyDescent="0.25">
      <c r="B1328" s="59"/>
      <c r="C1328" s="59"/>
      <c r="D1328" s="59"/>
      <c r="E1328" s="59"/>
      <c r="F1328" s="59"/>
      <c r="G1328" s="59"/>
      <c r="H1328" s="59"/>
      <c r="I1328" s="59"/>
      <c r="J1328" s="59"/>
      <c r="K1328" s="59"/>
      <c r="L1328" s="59"/>
      <c r="M1328" s="59"/>
      <c r="N1328" s="59"/>
      <c r="O1328" s="59"/>
      <c r="P1328" s="59"/>
      <c r="Q1328" s="59"/>
      <c r="R1328" s="59"/>
      <c r="S1328" s="59"/>
      <c r="T1328" s="59"/>
      <c r="U1328" s="59"/>
      <c r="V1328" s="59"/>
      <c r="W1328" s="59"/>
      <c r="X1328" s="59"/>
      <c r="Y1328" s="59"/>
      <c r="Z1328" s="59"/>
      <c r="AA1328" s="59"/>
      <c r="AB1328" s="59"/>
      <c r="AC1328" s="59"/>
    </row>
    <row r="1329" spans="2:29" s="62" customFormat="1" ht="13.8" hidden="1" x14ac:dyDescent="0.25">
      <c r="B1329" s="59"/>
      <c r="C1329" s="59"/>
      <c r="D1329" s="59"/>
      <c r="E1329" s="59"/>
      <c r="F1329" s="59"/>
      <c r="G1329" s="59"/>
      <c r="H1329" s="59"/>
      <c r="I1329" s="59"/>
      <c r="J1329" s="59"/>
      <c r="K1329" s="59"/>
      <c r="L1329" s="59"/>
      <c r="M1329" s="59"/>
      <c r="N1329" s="59"/>
      <c r="O1329" s="59"/>
      <c r="P1329" s="59"/>
      <c r="Q1329" s="59"/>
      <c r="R1329" s="59"/>
      <c r="S1329" s="59"/>
      <c r="T1329" s="59"/>
      <c r="U1329" s="59"/>
      <c r="V1329" s="59"/>
      <c r="W1329" s="59"/>
      <c r="X1329" s="59"/>
      <c r="Y1329" s="59"/>
      <c r="Z1329" s="59"/>
      <c r="AA1329" s="59"/>
      <c r="AB1329" s="59"/>
      <c r="AC1329" s="59"/>
    </row>
    <row r="1330" spans="2:29" s="62" customFormat="1" ht="13.8" hidden="1" x14ac:dyDescent="0.25">
      <c r="B1330" s="59"/>
      <c r="C1330" s="59"/>
      <c r="D1330" s="59"/>
      <c r="E1330" s="59"/>
      <c r="F1330" s="59"/>
      <c r="G1330" s="59"/>
      <c r="H1330" s="59"/>
      <c r="I1330" s="59"/>
      <c r="J1330" s="59"/>
      <c r="K1330" s="59"/>
      <c r="L1330" s="59"/>
      <c r="M1330" s="59"/>
      <c r="N1330" s="59"/>
      <c r="O1330" s="59"/>
      <c r="P1330" s="59"/>
      <c r="Q1330" s="59"/>
      <c r="R1330" s="59"/>
      <c r="S1330" s="59"/>
      <c r="T1330" s="59"/>
      <c r="U1330" s="59"/>
      <c r="V1330" s="59"/>
      <c r="W1330" s="59"/>
      <c r="X1330" s="59"/>
      <c r="Y1330" s="59"/>
      <c r="Z1330" s="59"/>
      <c r="AA1330" s="59"/>
      <c r="AB1330" s="59"/>
      <c r="AC1330" s="59"/>
    </row>
    <row r="1331" spans="2:29" s="62" customFormat="1" ht="13.8" hidden="1" x14ac:dyDescent="0.25">
      <c r="B1331" s="59"/>
      <c r="C1331" s="59"/>
      <c r="D1331" s="59"/>
      <c r="E1331" s="59"/>
      <c r="F1331" s="59"/>
      <c r="G1331" s="59"/>
      <c r="H1331" s="59"/>
      <c r="I1331" s="59"/>
      <c r="J1331" s="59"/>
      <c r="K1331" s="59"/>
      <c r="L1331" s="59"/>
      <c r="M1331" s="59"/>
      <c r="N1331" s="59"/>
      <c r="O1331" s="59"/>
      <c r="P1331" s="59"/>
      <c r="Q1331" s="59"/>
      <c r="R1331" s="59"/>
      <c r="S1331" s="59"/>
      <c r="T1331" s="59"/>
      <c r="U1331" s="59"/>
      <c r="V1331" s="59"/>
      <c r="W1331" s="59"/>
      <c r="X1331" s="59"/>
      <c r="Y1331" s="59"/>
      <c r="Z1331" s="59"/>
      <c r="AA1331" s="59"/>
      <c r="AB1331" s="59"/>
      <c r="AC1331" s="59"/>
    </row>
    <row r="1332" spans="2:29" s="62" customFormat="1" ht="13.8" hidden="1" x14ac:dyDescent="0.25">
      <c r="B1332" s="59"/>
      <c r="C1332" s="59"/>
      <c r="D1332" s="59"/>
      <c r="E1332" s="59"/>
      <c r="F1332" s="59"/>
      <c r="G1332" s="59"/>
      <c r="H1332" s="59"/>
      <c r="I1332" s="59"/>
      <c r="J1332" s="59"/>
      <c r="K1332" s="59"/>
      <c r="L1332" s="59"/>
      <c r="M1332" s="59"/>
      <c r="N1332" s="59"/>
      <c r="O1332" s="59"/>
      <c r="P1332" s="59"/>
      <c r="Q1332" s="59"/>
      <c r="R1332" s="59"/>
      <c r="S1332" s="59"/>
      <c r="T1332" s="59"/>
      <c r="U1332" s="59"/>
      <c r="V1332" s="59"/>
      <c r="W1332" s="59"/>
      <c r="X1332" s="59"/>
      <c r="Y1332" s="59"/>
      <c r="Z1332" s="59"/>
      <c r="AA1332" s="59"/>
      <c r="AB1332" s="59"/>
      <c r="AC1332" s="59"/>
    </row>
    <row r="1333" spans="2:29" s="62" customFormat="1" ht="13.8" hidden="1" x14ac:dyDescent="0.25">
      <c r="B1333" s="59"/>
      <c r="C1333" s="59"/>
      <c r="D1333" s="59"/>
      <c r="E1333" s="59"/>
      <c r="F1333" s="59"/>
      <c r="G1333" s="59"/>
      <c r="H1333" s="59"/>
      <c r="I1333" s="59"/>
      <c r="J1333" s="59"/>
      <c r="K1333" s="59"/>
      <c r="L1333" s="59"/>
      <c r="M1333" s="59"/>
      <c r="N1333" s="59"/>
      <c r="O1333" s="59"/>
      <c r="P1333" s="59"/>
      <c r="Q1333" s="59"/>
      <c r="R1333" s="59"/>
      <c r="S1333" s="59"/>
      <c r="T1333" s="59"/>
      <c r="U1333" s="59"/>
      <c r="V1333" s="59"/>
      <c r="W1333" s="59"/>
      <c r="X1333" s="59"/>
      <c r="Y1333" s="59"/>
      <c r="Z1333" s="59"/>
      <c r="AA1333" s="59"/>
      <c r="AB1333" s="59"/>
      <c r="AC1333" s="59"/>
    </row>
    <row r="1334" spans="2:29" s="62" customFormat="1" ht="13.8" hidden="1" x14ac:dyDescent="0.25">
      <c r="B1334" s="59"/>
      <c r="C1334" s="59"/>
      <c r="D1334" s="59"/>
      <c r="E1334" s="59"/>
      <c r="F1334" s="59"/>
      <c r="G1334" s="59"/>
      <c r="H1334" s="59"/>
      <c r="I1334" s="59"/>
      <c r="J1334" s="59"/>
      <c r="K1334" s="59"/>
      <c r="L1334" s="59"/>
      <c r="M1334" s="59"/>
      <c r="N1334" s="59"/>
      <c r="O1334" s="59"/>
      <c r="P1334" s="59"/>
      <c r="Q1334" s="59"/>
      <c r="R1334" s="59"/>
      <c r="S1334" s="59"/>
      <c r="T1334" s="59"/>
      <c r="U1334" s="59"/>
      <c r="V1334" s="59"/>
      <c r="W1334" s="59"/>
      <c r="X1334" s="59"/>
      <c r="Y1334" s="59"/>
      <c r="Z1334" s="59"/>
      <c r="AA1334" s="59"/>
      <c r="AB1334" s="59"/>
      <c r="AC1334" s="59"/>
    </row>
    <row r="1335" spans="2:29" s="62" customFormat="1" ht="13.8" hidden="1" x14ac:dyDescent="0.25">
      <c r="B1335" s="59"/>
      <c r="C1335" s="59"/>
      <c r="D1335" s="59"/>
      <c r="E1335" s="59"/>
      <c r="F1335" s="59"/>
      <c r="G1335" s="59"/>
      <c r="H1335" s="59"/>
      <c r="I1335" s="59"/>
      <c r="J1335" s="59"/>
      <c r="K1335" s="59"/>
      <c r="L1335" s="59"/>
      <c r="M1335" s="59"/>
      <c r="N1335" s="59"/>
      <c r="O1335" s="59"/>
      <c r="P1335" s="59"/>
      <c r="Q1335" s="59"/>
      <c r="R1335" s="59"/>
      <c r="S1335" s="59"/>
      <c r="T1335" s="59"/>
      <c r="U1335" s="59"/>
      <c r="V1335" s="59"/>
      <c r="W1335" s="59"/>
      <c r="X1335" s="59"/>
      <c r="Y1335" s="59"/>
      <c r="Z1335" s="59"/>
      <c r="AA1335" s="59"/>
      <c r="AB1335" s="59"/>
      <c r="AC1335" s="59"/>
    </row>
    <row r="1336" spans="2:29" s="62" customFormat="1" ht="13.8" hidden="1" x14ac:dyDescent="0.25">
      <c r="B1336" s="59"/>
      <c r="C1336" s="59"/>
      <c r="D1336" s="59"/>
      <c r="E1336" s="59"/>
      <c r="F1336" s="59"/>
      <c r="G1336" s="59"/>
      <c r="H1336" s="59"/>
      <c r="I1336" s="59"/>
      <c r="J1336" s="59"/>
      <c r="K1336" s="59"/>
      <c r="L1336" s="59"/>
      <c r="M1336" s="59"/>
      <c r="N1336" s="59"/>
      <c r="O1336" s="59"/>
      <c r="P1336" s="59"/>
      <c r="Q1336" s="59"/>
      <c r="R1336" s="59"/>
      <c r="S1336" s="59"/>
      <c r="T1336" s="59"/>
      <c r="U1336" s="59"/>
      <c r="V1336" s="59"/>
      <c r="W1336" s="59"/>
      <c r="X1336" s="59"/>
      <c r="Y1336" s="59"/>
      <c r="Z1336" s="59"/>
      <c r="AA1336" s="59"/>
      <c r="AB1336" s="59"/>
      <c r="AC1336" s="59"/>
    </row>
    <row r="1337" spans="2:29" s="62" customFormat="1" ht="13.8" hidden="1" x14ac:dyDescent="0.25">
      <c r="B1337" s="59"/>
      <c r="C1337" s="59"/>
      <c r="D1337" s="59"/>
      <c r="E1337" s="59"/>
      <c r="F1337" s="59"/>
      <c r="G1337" s="59"/>
      <c r="H1337" s="59"/>
      <c r="I1337" s="59"/>
      <c r="J1337" s="59"/>
      <c r="K1337" s="59"/>
      <c r="L1337" s="59"/>
      <c r="M1337" s="59"/>
      <c r="N1337" s="59"/>
      <c r="O1337" s="59"/>
      <c r="P1337" s="59"/>
      <c r="Q1337" s="59"/>
      <c r="R1337" s="59"/>
      <c r="S1337" s="59"/>
      <c r="T1337" s="59"/>
      <c r="U1337" s="59"/>
      <c r="V1337" s="59"/>
      <c r="W1337" s="59"/>
      <c r="X1337" s="59"/>
      <c r="Y1337" s="59"/>
      <c r="Z1337" s="59"/>
      <c r="AA1337" s="59"/>
      <c r="AB1337" s="59"/>
      <c r="AC1337" s="59"/>
    </row>
    <row r="1338" spans="2:29" s="62" customFormat="1" ht="13.8" hidden="1" x14ac:dyDescent="0.25">
      <c r="B1338" s="59"/>
      <c r="C1338" s="59"/>
      <c r="D1338" s="59"/>
      <c r="E1338" s="59"/>
      <c r="F1338" s="59"/>
      <c r="G1338" s="59"/>
      <c r="H1338" s="59"/>
      <c r="I1338" s="59"/>
      <c r="J1338" s="59"/>
      <c r="K1338" s="59"/>
      <c r="L1338" s="59"/>
      <c r="M1338" s="59"/>
      <c r="N1338" s="59"/>
      <c r="O1338" s="59"/>
      <c r="P1338" s="59"/>
      <c r="Q1338" s="59"/>
      <c r="R1338" s="59"/>
      <c r="S1338" s="59"/>
      <c r="T1338" s="59"/>
      <c r="U1338" s="59"/>
      <c r="V1338" s="59"/>
      <c r="W1338" s="59"/>
      <c r="X1338" s="59"/>
      <c r="Y1338" s="59"/>
      <c r="Z1338" s="59"/>
      <c r="AA1338" s="59"/>
      <c r="AB1338" s="59"/>
      <c r="AC1338" s="59"/>
    </row>
    <row r="1339" spans="2:29" s="62" customFormat="1" ht="13.8" hidden="1" x14ac:dyDescent="0.25">
      <c r="B1339" s="59"/>
      <c r="C1339" s="59"/>
      <c r="D1339" s="59"/>
      <c r="E1339" s="59"/>
      <c r="F1339" s="59"/>
      <c r="G1339" s="59"/>
      <c r="H1339" s="59"/>
      <c r="I1339" s="59"/>
      <c r="J1339" s="59"/>
      <c r="K1339" s="59"/>
      <c r="L1339" s="59"/>
      <c r="M1339" s="59"/>
      <c r="N1339" s="59"/>
      <c r="O1339" s="59"/>
      <c r="P1339" s="59"/>
      <c r="Q1339" s="59"/>
      <c r="R1339" s="59"/>
      <c r="S1339" s="59"/>
      <c r="T1339" s="59"/>
      <c r="U1339" s="59"/>
      <c r="V1339" s="59"/>
      <c r="W1339" s="59"/>
      <c r="X1339" s="59"/>
      <c r="Y1339" s="59"/>
      <c r="Z1339" s="59"/>
      <c r="AA1339" s="59"/>
      <c r="AB1339" s="59"/>
      <c r="AC1339" s="59"/>
    </row>
    <row r="1340" spans="2:29" s="62" customFormat="1" ht="13.8" hidden="1" x14ac:dyDescent="0.25">
      <c r="B1340" s="59"/>
      <c r="C1340" s="59"/>
      <c r="D1340" s="59"/>
      <c r="E1340" s="59"/>
      <c r="F1340" s="59"/>
      <c r="G1340" s="59"/>
      <c r="H1340" s="59"/>
      <c r="I1340" s="59"/>
      <c r="J1340" s="59"/>
      <c r="K1340" s="59"/>
      <c r="L1340" s="59"/>
      <c r="M1340" s="59"/>
      <c r="N1340" s="59"/>
      <c r="O1340" s="59"/>
      <c r="P1340" s="59"/>
      <c r="Q1340" s="59"/>
      <c r="R1340" s="59"/>
      <c r="S1340" s="59"/>
      <c r="T1340" s="59"/>
      <c r="U1340" s="59"/>
      <c r="V1340" s="59"/>
      <c r="W1340" s="59"/>
      <c r="X1340" s="59"/>
      <c r="Y1340" s="59"/>
      <c r="Z1340" s="59"/>
      <c r="AA1340" s="59"/>
      <c r="AB1340" s="59"/>
      <c r="AC1340" s="59"/>
    </row>
    <row r="1341" spans="2:29" s="62" customFormat="1" ht="13.8" hidden="1" x14ac:dyDescent="0.25">
      <c r="B1341" s="59"/>
      <c r="C1341" s="59"/>
      <c r="D1341" s="59"/>
      <c r="E1341" s="59"/>
      <c r="F1341" s="59"/>
      <c r="G1341" s="59"/>
      <c r="H1341" s="59"/>
      <c r="I1341" s="59"/>
      <c r="J1341" s="59"/>
      <c r="K1341" s="59"/>
      <c r="L1341" s="59"/>
      <c r="M1341" s="59"/>
      <c r="N1341" s="59"/>
      <c r="O1341" s="59"/>
      <c r="P1341" s="59"/>
      <c r="Q1341" s="59"/>
      <c r="R1341" s="59"/>
      <c r="S1341" s="59"/>
      <c r="T1341" s="59"/>
      <c r="U1341" s="59"/>
      <c r="V1341" s="59"/>
      <c r="W1341" s="59"/>
      <c r="X1341" s="59"/>
      <c r="Y1341" s="59"/>
      <c r="Z1341" s="59"/>
      <c r="AA1341" s="59"/>
      <c r="AB1341" s="59"/>
      <c r="AC1341" s="59"/>
    </row>
    <row r="1342" spans="2:29" s="62" customFormat="1" ht="13.8" hidden="1" x14ac:dyDescent="0.25">
      <c r="B1342" s="59"/>
      <c r="C1342" s="59"/>
      <c r="D1342" s="59"/>
      <c r="E1342" s="59"/>
      <c r="F1342" s="59"/>
      <c r="G1342" s="59"/>
      <c r="H1342" s="59"/>
      <c r="I1342" s="59"/>
      <c r="J1342" s="59"/>
      <c r="K1342" s="59"/>
      <c r="L1342" s="59"/>
      <c r="M1342" s="59"/>
      <c r="N1342" s="59"/>
      <c r="O1342" s="59"/>
      <c r="P1342" s="59"/>
      <c r="Q1342" s="59"/>
      <c r="R1342" s="59"/>
      <c r="S1342" s="59"/>
      <c r="T1342" s="59"/>
      <c r="U1342" s="59"/>
      <c r="V1342" s="59"/>
      <c r="W1342" s="59"/>
      <c r="X1342" s="59"/>
      <c r="Y1342" s="59"/>
      <c r="Z1342" s="59"/>
      <c r="AA1342" s="59"/>
      <c r="AB1342" s="59"/>
      <c r="AC1342" s="59"/>
    </row>
    <row r="1343" spans="2:29" s="62" customFormat="1" ht="13.8" hidden="1" x14ac:dyDescent="0.25">
      <c r="B1343" s="59"/>
      <c r="C1343" s="59"/>
      <c r="D1343" s="59"/>
      <c r="E1343" s="59"/>
      <c r="F1343" s="59"/>
      <c r="G1343" s="59"/>
      <c r="H1343" s="59"/>
      <c r="I1343" s="59"/>
      <c r="J1343" s="59"/>
      <c r="K1343" s="59"/>
      <c r="L1343" s="59"/>
      <c r="M1343" s="59"/>
      <c r="N1343" s="59"/>
      <c r="O1343" s="59"/>
      <c r="P1343" s="59"/>
      <c r="Q1343" s="59"/>
      <c r="R1343" s="59"/>
      <c r="S1343" s="59"/>
      <c r="T1343" s="59"/>
      <c r="U1343" s="59"/>
      <c r="V1343" s="59"/>
      <c r="W1343" s="59"/>
      <c r="X1343" s="59"/>
      <c r="Y1343" s="59"/>
      <c r="Z1343" s="59"/>
      <c r="AA1343" s="59"/>
      <c r="AB1343" s="59"/>
      <c r="AC1343" s="59"/>
    </row>
    <row r="1344" spans="2:29" s="62" customFormat="1" ht="13.8" hidden="1" x14ac:dyDescent="0.25">
      <c r="B1344" s="59"/>
      <c r="C1344" s="59"/>
      <c r="D1344" s="59"/>
      <c r="E1344" s="59"/>
      <c r="F1344" s="59"/>
      <c r="G1344" s="59"/>
      <c r="H1344" s="59"/>
      <c r="I1344" s="59"/>
      <c r="J1344" s="59"/>
      <c r="K1344" s="59"/>
      <c r="L1344" s="59"/>
      <c r="M1344" s="59"/>
      <c r="N1344" s="59"/>
      <c r="O1344" s="59"/>
      <c r="P1344" s="59"/>
      <c r="Q1344" s="59"/>
      <c r="R1344" s="59"/>
      <c r="S1344" s="59"/>
      <c r="T1344" s="59"/>
      <c r="U1344" s="59"/>
      <c r="V1344" s="59"/>
      <c r="W1344" s="59"/>
      <c r="X1344" s="59"/>
      <c r="Y1344" s="59"/>
      <c r="Z1344" s="59"/>
      <c r="AA1344" s="59"/>
      <c r="AB1344" s="59"/>
      <c r="AC1344" s="59"/>
    </row>
    <row r="1345" spans="2:29" s="62" customFormat="1" ht="13.8" hidden="1" x14ac:dyDescent="0.25">
      <c r="B1345" s="59"/>
      <c r="C1345" s="59"/>
      <c r="D1345" s="59"/>
      <c r="E1345" s="59"/>
      <c r="F1345" s="59"/>
      <c r="G1345" s="59"/>
      <c r="H1345" s="59"/>
      <c r="I1345" s="59"/>
      <c r="J1345" s="59"/>
      <c r="K1345" s="59"/>
      <c r="L1345" s="59"/>
      <c r="M1345" s="59"/>
      <c r="N1345" s="59"/>
      <c r="O1345" s="59"/>
      <c r="P1345" s="59"/>
      <c r="Q1345" s="59"/>
      <c r="R1345" s="59"/>
      <c r="S1345" s="59"/>
      <c r="T1345" s="59"/>
      <c r="U1345" s="59"/>
      <c r="V1345" s="59"/>
      <c r="W1345" s="59"/>
      <c r="X1345" s="59"/>
      <c r="Y1345" s="59"/>
      <c r="Z1345" s="59"/>
      <c r="AA1345" s="59"/>
      <c r="AB1345" s="59"/>
      <c r="AC1345" s="59"/>
    </row>
    <row r="1346" spans="2:29" s="62" customFormat="1" ht="13.8" hidden="1" x14ac:dyDescent="0.25">
      <c r="B1346" s="59"/>
      <c r="C1346" s="59"/>
      <c r="D1346" s="59"/>
      <c r="E1346" s="59"/>
      <c r="F1346" s="59"/>
      <c r="G1346" s="59"/>
      <c r="H1346" s="59"/>
      <c r="I1346" s="59"/>
      <c r="J1346" s="59"/>
      <c r="K1346" s="59"/>
      <c r="L1346" s="59"/>
      <c r="M1346" s="59"/>
      <c r="N1346" s="59"/>
      <c r="O1346" s="59"/>
      <c r="P1346" s="59"/>
      <c r="Q1346" s="59"/>
      <c r="R1346" s="59"/>
      <c r="S1346" s="59"/>
      <c r="T1346" s="59"/>
      <c r="U1346" s="59"/>
      <c r="V1346" s="59"/>
      <c r="W1346" s="59"/>
      <c r="X1346" s="59"/>
      <c r="Y1346" s="59"/>
      <c r="Z1346" s="59"/>
      <c r="AA1346" s="59"/>
      <c r="AB1346" s="59"/>
      <c r="AC1346" s="59"/>
    </row>
    <row r="1347" spans="2:29" s="62" customFormat="1" ht="13.8" hidden="1" x14ac:dyDescent="0.25">
      <c r="B1347" s="59"/>
      <c r="C1347" s="59"/>
      <c r="D1347" s="59"/>
      <c r="E1347" s="59"/>
      <c r="F1347" s="59"/>
      <c r="G1347" s="59"/>
      <c r="H1347" s="59"/>
      <c r="I1347" s="59"/>
      <c r="J1347" s="59"/>
      <c r="K1347" s="59"/>
      <c r="L1347" s="59"/>
      <c r="M1347" s="59"/>
      <c r="N1347" s="59"/>
      <c r="O1347" s="59"/>
      <c r="P1347" s="59"/>
      <c r="Q1347" s="59"/>
      <c r="R1347" s="59"/>
      <c r="S1347" s="59"/>
      <c r="T1347" s="59"/>
      <c r="U1347" s="59"/>
      <c r="V1347" s="59"/>
      <c r="W1347" s="59"/>
      <c r="X1347" s="59"/>
      <c r="Y1347" s="59"/>
      <c r="Z1347" s="59"/>
      <c r="AA1347" s="59"/>
      <c r="AB1347" s="59"/>
      <c r="AC1347" s="59"/>
    </row>
    <row r="1348" spans="2:29" s="62" customFormat="1" ht="13.8" hidden="1" x14ac:dyDescent="0.25">
      <c r="B1348" s="59"/>
      <c r="C1348" s="59"/>
      <c r="D1348" s="59"/>
      <c r="E1348" s="59"/>
      <c r="F1348" s="59"/>
      <c r="G1348" s="59"/>
      <c r="H1348" s="59"/>
      <c r="I1348" s="59"/>
      <c r="J1348" s="59"/>
      <c r="K1348" s="59"/>
      <c r="L1348" s="59"/>
      <c r="M1348" s="59"/>
      <c r="N1348" s="59"/>
      <c r="O1348" s="59"/>
      <c r="P1348" s="59"/>
      <c r="Q1348" s="59"/>
      <c r="R1348" s="59"/>
      <c r="S1348" s="59"/>
      <c r="T1348" s="59"/>
      <c r="U1348" s="59"/>
      <c r="V1348" s="59"/>
      <c r="W1348" s="59"/>
      <c r="X1348" s="59"/>
      <c r="Y1348" s="59"/>
      <c r="Z1348" s="59"/>
      <c r="AA1348" s="59"/>
      <c r="AB1348" s="59"/>
      <c r="AC1348" s="59"/>
    </row>
    <row r="1349" spans="2:29" s="62" customFormat="1" ht="13.8" hidden="1" x14ac:dyDescent="0.25">
      <c r="B1349" s="59"/>
      <c r="C1349" s="59"/>
      <c r="D1349" s="59"/>
      <c r="E1349" s="59"/>
      <c r="F1349" s="59"/>
      <c r="G1349" s="59"/>
      <c r="H1349" s="59"/>
      <c r="I1349" s="59"/>
      <c r="J1349" s="59"/>
      <c r="K1349" s="59"/>
      <c r="L1349" s="59"/>
      <c r="M1349" s="59"/>
      <c r="N1349" s="59"/>
      <c r="O1349" s="59"/>
      <c r="P1349" s="59"/>
      <c r="Q1349" s="59"/>
      <c r="R1349" s="59"/>
      <c r="S1349" s="59"/>
      <c r="T1349" s="59"/>
      <c r="U1349" s="59"/>
      <c r="V1349" s="59"/>
      <c r="W1349" s="59"/>
      <c r="X1349" s="59"/>
      <c r="Y1349" s="59"/>
      <c r="Z1349" s="59"/>
      <c r="AA1349" s="59"/>
      <c r="AB1349" s="59"/>
      <c r="AC1349" s="59"/>
    </row>
    <row r="1350" spans="2:29" s="62" customFormat="1" ht="13.8" hidden="1" x14ac:dyDescent="0.25">
      <c r="B1350" s="59"/>
      <c r="C1350" s="59"/>
      <c r="D1350" s="59"/>
      <c r="E1350" s="59"/>
      <c r="F1350" s="59"/>
      <c r="G1350" s="59"/>
      <c r="H1350" s="59"/>
      <c r="I1350" s="59"/>
      <c r="J1350" s="59"/>
      <c r="K1350" s="59"/>
      <c r="L1350" s="59"/>
      <c r="M1350" s="59"/>
      <c r="N1350" s="59"/>
      <c r="O1350" s="59"/>
      <c r="P1350" s="59"/>
      <c r="Q1350" s="59"/>
      <c r="R1350" s="59"/>
      <c r="S1350" s="59"/>
      <c r="T1350" s="59"/>
      <c r="U1350" s="59"/>
      <c r="V1350" s="59"/>
      <c r="W1350" s="59"/>
      <c r="X1350" s="59"/>
      <c r="Y1350" s="59"/>
      <c r="Z1350" s="59"/>
      <c r="AA1350" s="59"/>
      <c r="AB1350" s="59"/>
      <c r="AC1350" s="59"/>
    </row>
    <row r="1351" spans="2:29" s="62" customFormat="1" ht="13.8" hidden="1" x14ac:dyDescent="0.25">
      <c r="B1351" s="59"/>
      <c r="C1351" s="59"/>
      <c r="D1351" s="59"/>
      <c r="E1351" s="59"/>
      <c r="F1351" s="59"/>
      <c r="G1351" s="59"/>
      <c r="H1351" s="59"/>
      <c r="I1351" s="59"/>
      <c r="J1351" s="59"/>
      <c r="K1351" s="59"/>
      <c r="L1351" s="59"/>
      <c r="M1351" s="59"/>
      <c r="N1351" s="59"/>
      <c r="O1351" s="59"/>
      <c r="P1351" s="59"/>
      <c r="Q1351" s="59"/>
      <c r="R1351" s="59"/>
      <c r="S1351" s="59"/>
      <c r="T1351" s="59"/>
      <c r="U1351" s="59"/>
      <c r="V1351" s="59"/>
      <c r="W1351" s="59"/>
      <c r="X1351" s="59"/>
      <c r="Y1351" s="59"/>
      <c r="Z1351" s="59"/>
      <c r="AA1351" s="59"/>
      <c r="AB1351" s="59"/>
      <c r="AC1351" s="59"/>
    </row>
    <row r="1352" spans="2:29" s="62" customFormat="1" ht="13.8" hidden="1" x14ac:dyDescent="0.25">
      <c r="B1352" s="59"/>
      <c r="C1352" s="59"/>
      <c r="D1352" s="59"/>
      <c r="E1352" s="59"/>
      <c r="F1352" s="59"/>
      <c r="G1352" s="59"/>
      <c r="H1352" s="59"/>
      <c r="I1352" s="59"/>
      <c r="J1352" s="59"/>
      <c r="K1352" s="59"/>
      <c r="L1352" s="59"/>
      <c r="M1352" s="59"/>
      <c r="N1352" s="59"/>
      <c r="O1352" s="59"/>
      <c r="P1352" s="59"/>
      <c r="Q1352" s="59"/>
      <c r="R1352" s="59"/>
      <c r="S1352" s="59"/>
      <c r="T1352" s="59"/>
      <c r="U1352" s="59"/>
      <c r="V1352" s="59"/>
      <c r="W1352" s="59"/>
      <c r="X1352" s="59"/>
      <c r="Y1352" s="59"/>
      <c r="Z1352" s="59"/>
      <c r="AA1352" s="59"/>
      <c r="AB1352" s="59"/>
      <c r="AC1352" s="59"/>
    </row>
    <row r="1353" spans="2:29" s="62" customFormat="1" ht="13.8" hidden="1" x14ac:dyDescent="0.25">
      <c r="B1353" s="59"/>
      <c r="C1353" s="59"/>
      <c r="D1353" s="59"/>
      <c r="E1353" s="59"/>
      <c r="F1353" s="59"/>
      <c r="G1353" s="59"/>
      <c r="H1353" s="59"/>
      <c r="I1353" s="59"/>
      <c r="J1353" s="59"/>
      <c r="K1353" s="59"/>
      <c r="L1353" s="59"/>
      <c r="M1353" s="59"/>
      <c r="N1353" s="59"/>
      <c r="O1353" s="59"/>
      <c r="P1353" s="59"/>
      <c r="Q1353" s="59"/>
      <c r="R1353" s="59"/>
      <c r="S1353" s="59"/>
      <c r="T1353" s="59"/>
      <c r="U1353" s="59"/>
      <c r="V1353" s="59"/>
      <c r="W1353" s="59"/>
      <c r="X1353" s="59"/>
      <c r="Y1353" s="59"/>
      <c r="Z1353" s="59"/>
      <c r="AA1353" s="59"/>
      <c r="AB1353" s="59"/>
      <c r="AC1353" s="59"/>
    </row>
    <row r="1354" spans="2:29" s="62" customFormat="1" ht="13.8" hidden="1" x14ac:dyDescent="0.25">
      <c r="B1354" s="59"/>
      <c r="C1354" s="59"/>
      <c r="D1354" s="59"/>
      <c r="E1354" s="59"/>
      <c r="F1354" s="59"/>
      <c r="G1354" s="59"/>
      <c r="H1354" s="59"/>
      <c r="I1354" s="59"/>
      <c r="J1354" s="59"/>
      <c r="K1354" s="59"/>
      <c r="L1354" s="59"/>
      <c r="M1354" s="59"/>
      <c r="N1354" s="59"/>
      <c r="O1354" s="59"/>
      <c r="P1354" s="59"/>
      <c r="Q1354" s="59"/>
      <c r="R1354" s="59"/>
      <c r="S1354" s="59"/>
      <c r="T1354" s="59"/>
      <c r="U1354" s="59"/>
      <c r="V1354" s="59"/>
      <c r="W1354" s="59"/>
      <c r="X1354" s="59"/>
      <c r="Y1354" s="59"/>
      <c r="Z1354" s="59"/>
      <c r="AA1354" s="59"/>
      <c r="AB1354" s="59"/>
      <c r="AC1354" s="59"/>
    </row>
    <row r="1355" spans="2:29" s="62" customFormat="1" ht="13.8" hidden="1" x14ac:dyDescent="0.25">
      <c r="B1355" s="59"/>
      <c r="C1355" s="59"/>
      <c r="D1355" s="59"/>
      <c r="E1355" s="59"/>
      <c r="F1355" s="59"/>
      <c r="G1355" s="59"/>
      <c r="H1355" s="59"/>
      <c r="I1355" s="59"/>
      <c r="J1355" s="59"/>
      <c r="K1355" s="59"/>
      <c r="L1355" s="59"/>
      <c r="M1355" s="59"/>
      <c r="N1355" s="59"/>
      <c r="O1355" s="59"/>
      <c r="P1355" s="59"/>
      <c r="Q1355" s="59"/>
      <c r="R1355" s="59"/>
      <c r="S1355" s="59"/>
      <c r="T1355" s="59"/>
      <c r="U1355" s="59"/>
      <c r="V1355" s="59"/>
      <c r="W1355" s="59"/>
      <c r="X1355" s="59"/>
      <c r="Y1355" s="59"/>
      <c r="Z1355" s="59"/>
      <c r="AA1355" s="59"/>
      <c r="AB1355" s="59"/>
      <c r="AC1355" s="59"/>
    </row>
    <row r="1356" spans="2:29" s="62" customFormat="1" ht="13.8" hidden="1" x14ac:dyDescent="0.25">
      <c r="B1356" s="59"/>
      <c r="C1356" s="59"/>
      <c r="D1356" s="59"/>
      <c r="E1356" s="59"/>
      <c r="F1356" s="59"/>
      <c r="G1356" s="59"/>
      <c r="H1356" s="59"/>
      <c r="I1356" s="59"/>
      <c r="J1356" s="59"/>
      <c r="K1356" s="59"/>
      <c r="L1356" s="59"/>
      <c r="M1356" s="59"/>
      <c r="N1356" s="59"/>
      <c r="O1356" s="59"/>
      <c r="P1356" s="59"/>
      <c r="Q1356" s="59"/>
      <c r="R1356" s="59"/>
      <c r="S1356" s="59"/>
      <c r="T1356" s="59"/>
      <c r="U1356" s="59"/>
      <c r="V1356" s="59"/>
      <c r="W1356" s="59"/>
      <c r="X1356" s="59"/>
      <c r="Y1356" s="59"/>
      <c r="Z1356" s="59"/>
      <c r="AA1356" s="59"/>
      <c r="AB1356" s="59"/>
      <c r="AC1356" s="59"/>
    </row>
    <row r="1357" spans="2:29" s="62" customFormat="1" ht="13.8" hidden="1" x14ac:dyDescent="0.25">
      <c r="B1357" s="59"/>
      <c r="C1357" s="59"/>
      <c r="D1357" s="59"/>
      <c r="E1357" s="59"/>
      <c r="F1357" s="59"/>
      <c r="G1357" s="59"/>
      <c r="H1357" s="59"/>
      <c r="I1357" s="59"/>
      <c r="J1357" s="59"/>
      <c r="K1357" s="59"/>
      <c r="L1357" s="59"/>
      <c r="M1357" s="59"/>
      <c r="N1357" s="59"/>
      <c r="O1357" s="59"/>
      <c r="P1357" s="59"/>
      <c r="Q1357" s="59"/>
      <c r="R1357" s="59"/>
      <c r="S1357" s="59"/>
      <c r="T1357" s="59"/>
      <c r="U1357" s="59"/>
      <c r="V1357" s="59"/>
      <c r="W1357" s="59"/>
      <c r="X1357" s="59"/>
      <c r="Y1357" s="59"/>
      <c r="Z1357" s="59"/>
      <c r="AA1357" s="59"/>
      <c r="AB1357" s="59"/>
      <c r="AC1357" s="59"/>
    </row>
    <row r="1358" spans="2:29" s="62" customFormat="1" ht="13.8" hidden="1" x14ac:dyDescent="0.25">
      <c r="B1358" s="59"/>
      <c r="C1358" s="59"/>
      <c r="D1358" s="59"/>
      <c r="E1358" s="59"/>
      <c r="F1358" s="59"/>
      <c r="G1358" s="59"/>
      <c r="H1358" s="59"/>
      <c r="I1358" s="59"/>
      <c r="J1358" s="59"/>
      <c r="K1358" s="59"/>
      <c r="L1358" s="59"/>
      <c r="M1358" s="59"/>
      <c r="N1358" s="59"/>
      <c r="O1358" s="59"/>
      <c r="P1358" s="59"/>
      <c r="Q1358" s="59"/>
      <c r="R1358" s="59"/>
      <c r="S1358" s="59"/>
      <c r="T1358" s="59"/>
      <c r="U1358" s="59"/>
      <c r="V1358" s="59"/>
      <c r="W1358" s="59"/>
      <c r="X1358" s="59"/>
      <c r="Y1358" s="59"/>
      <c r="Z1358" s="59"/>
      <c r="AA1358" s="59"/>
      <c r="AB1358" s="59"/>
      <c r="AC1358" s="59"/>
    </row>
    <row r="1359" spans="2:29" s="62" customFormat="1" ht="13.8" hidden="1" x14ac:dyDescent="0.25">
      <c r="B1359" s="59"/>
      <c r="C1359" s="59"/>
      <c r="D1359" s="59"/>
      <c r="E1359" s="59"/>
      <c r="F1359" s="59"/>
      <c r="G1359" s="59"/>
      <c r="H1359" s="59"/>
      <c r="I1359" s="59"/>
      <c r="J1359" s="59"/>
      <c r="K1359" s="59"/>
      <c r="L1359" s="59"/>
      <c r="M1359" s="59"/>
      <c r="N1359" s="59"/>
      <c r="O1359" s="59"/>
      <c r="P1359" s="59"/>
      <c r="Q1359" s="59"/>
      <c r="R1359" s="59"/>
      <c r="S1359" s="59"/>
      <c r="T1359" s="59"/>
      <c r="U1359" s="59"/>
      <c r="V1359" s="59"/>
      <c r="W1359" s="59"/>
      <c r="X1359" s="59"/>
      <c r="Y1359" s="59"/>
      <c r="Z1359" s="59"/>
      <c r="AA1359" s="59"/>
      <c r="AB1359" s="59"/>
      <c r="AC1359" s="59"/>
    </row>
    <row r="1360" spans="2:29" s="62" customFormat="1" ht="13.8" hidden="1" x14ac:dyDescent="0.25">
      <c r="B1360" s="59"/>
      <c r="C1360" s="59"/>
      <c r="D1360" s="59"/>
      <c r="E1360" s="59"/>
      <c r="F1360" s="59"/>
      <c r="G1360" s="59"/>
      <c r="H1360" s="59"/>
      <c r="I1360" s="59"/>
      <c r="J1360" s="59"/>
      <c r="K1360" s="59"/>
      <c r="L1360" s="59"/>
      <c r="M1360" s="59"/>
      <c r="N1360" s="59"/>
      <c r="O1360" s="59"/>
      <c r="P1360" s="59"/>
      <c r="Q1360" s="59"/>
      <c r="R1360" s="59"/>
      <c r="S1360" s="59"/>
      <c r="T1360" s="59"/>
      <c r="U1360" s="59"/>
      <c r="V1360" s="59"/>
      <c r="W1360" s="59"/>
      <c r="X1360" s="59"/>
      <c r="Y1360" s="59"/>
      <c r="Z1360" s="59"/>
      <c r="AA1360" s="59"/>
      <c r="AB1360" s="59"/>
      <c r="AC1360" s="59"/>
    </row>
    <row r="1361" spans="2:29" s="62" customFormat="1" ht="13.8" hidden="1" x14ac:dyDescent="0.25">
      <c r="B1361" s="59"/>
      <c r="C1361" s="59"/>
      <c r="D1361" s="59"/>
      <c r="E1361" s="59"/>
      <c r="F1361" s="59"/>
      <c r="G1361" s="59"/>
      <c r="H1361" s="59"/>
      <c r="I1361" s="59"/>
      <c r="J1361" s="59"/>
      <c r="K1361" s="59"/>
      <c r="L1361" s="59"/>
      <c r="M1361" s="59"/>
      <c r="N1361" s="59"/>
      <c r="O1361" s="59"/>
      <c r="P1361" s="59"/>
      <c r="Q1361" s="59"/>
      <c r="R1361" s="59"/>
      <c r="S1361" s="59"/>
      <c r="T1361" s="59"/>
      <c r="U1361" s="59"/>
      <c r="V1361" s="59"/>
      <c r="W1361" s="59"/>
      <c r="X1361" s="59"/>
      <c r="Y1361" s="59"/>
      <c r="Z1361" s="59"/>
      <c r="AA1361" s="59"/>
      <c r="AB1361" s="59"/>
      <c r="AC1361" s="59"/>
    </row>
    <row r="1362" spans="2:29" s="62" customFormat="1" ht="13.8" hidden="1" x14ac:dyDescent="0.25">
      <c r="B1362" s="59"/>
      <c r="C1362" s="59"/>
      <c r="D1362" s="59"/>
      <c r="E1362" s="59"/>
      <c r="F1362" s="59"/>
      <c r="G1362" s="59"/>
      <c r="H1362" s="59"/>
      <c r="I1362" s="59"/>
      <c r="J1362" s="59"/>
      <c r="K1362" s="59"/>
      <c r="L1362" s="59"/>
      <c r="M1362" s="59"/>
      <c r="N1362" s="59"/>
      <c r="O1362" s="59"/>
      <c r="P1362" s="59"/>
      <c r="Q1362" s="59"/>
      <c r="R1362" s="59"/>
      <c r="S1362" s="59"/>
      <c r="T1362" s="59"/>
      <c r="U1362" s="59"/>
      <c r="V1362" s="59"/>
      <c r="W1362" s="59"/>
      <c r="X1362" s="59"/>
      <c r="Y1362" s="59"/>
      <c r="Z1362" s="59"/>
      <c r="AA1362" s="59"/>
      <c r="AB1362" s="59"/>
      <c r="AC1362" s="59"/>
    </row>
    <row r="1363" spans="2:29" s="62" customFormat="1" ht="13.8" hidden="1" x14ac:dyDescent="0.25">
      <c r="B1363" s="59"/>
      <c r="C1363" s="59"/>
      <c r="D1363" s="59"/>
      <c r="E1363" s="59"/>
      <c r="F1363" s="59"/>
      <c r="G1363" s="59"/>
      <c r="H1363" s="59"/>
      <c r="I1363" s="59"/>
      <c r="J1363" s="59"/>
      <c r="K1363" s="59"/>
      <c r="L1363" s="59"/>
      <c r="M1363" s="59"/>
      <c r="N1363" s="59"/>
      <c r="O1363" s="59"/>
      <c r="P1363" s="59"/>
      <c r="Q1363" s="59"/>
      <c r="R1363" s="59"/>
      <c r="S1363" s="59"/>
      <c r="T1363" s="59"/>
      <c r="U1363" s="59"/>
      <c r="V1363" s="59"/>
      <c r="W1363" s="59"/>
      <c r="X1363" s="59"/>
      <c r="Y1363" s="59"/>
      <c r="Z1363" s="59"/>
      <c r="AA1363" s="59"/>
      <c r="AB1363" s="59"/>
      <c r="AC1363" s="59"/>
    </row>
    <row r="1364" spans="2:29" s="62" customFormat="1" ht="13.8" hidden="1" x14ac:dyDescent="0.25">
      <c r="B1364" s="59"/>
      <c r="C1364" s="59"/>
      <c r="D1364" s="59"/>
      <c r="E1364" s="59"/>
      <c r="F1364" s="59"/>
      <c r="G1364" s="59"/>
      <c r="H1364" s="59"/>
      <c r="I1364" s="59"/>
      <c r="J1364" s="59"/>
      <c r="K1364" s="59"/>
      <c r="L1364" s="59"/>
      <c r="M1364" s="59"/>
      <c r="N1364" s="59"/>
      <c r="O1364" s="59"/>
      <c r="P1364" s="59"/>
      <c r="Q1364" s="59"/>
      <c r="R1364" s="59"/>
      <c r="S1364" s="59"/>
      <c r="T1364" s="59"/>
      <c r="U1364" s="59"/>
      <c r="V1364" s="59"/>
      <c r="W1364" s="59"/>
      <c r="X1364" s="59"/>
      <c r="Y1364" s="59"/>
      <c r="Z1364" s="59"/>
      <c r="AA1364" s="59"/>
      <c r="AB1364" s="59"/>
      <c r="AC1364" s="59"/>
    </row>
    <row r="1365" spans="2:29" s="62" customFormat="1" ht="13.8" hidden="1" x14ac:dyDescent="0.25">
      <c r="B1365" s="59"/>
      <c r="C1365" s="59"/>
      <c r="D1365" s="59"/>
      <c r="E1365" s="59"/>
      <c r="F1365" s="59"/>
      <c r="G1365" s="59"/>
      <c r="H1365" s="59"/>
      <c r="I1365" s="59"/>
      <c r="J1365" s="59"/>
      <c r="K1365" s="59"/>
      <c r="L1365" s="59"/>
      <c r="M1365" s="59"/>
      <c r="N1365" s="59"/>
      <c r="O1365" s="59"/>
      <c r="P1365" s="59"/>
      <c r="Q1365" s="59"/>
      <c r="R1365" s="59"/>
      <c r="S1365" s="59"/>
      <c r="T1365" s="59"/>
      <c r="U1365" s="59"/>
      <c r="V1365" s="59"/>
      <c r="W1365" s="59"/>
      <c r="X1365" s="59"/>
      <c r="Y1365" s="59"/>
      <c r="Z1365" s="59"/>
      <c r="AA1365" s="59"/>
      <c r="AB1365" s="59"/>
      <c r="AC1365" s="59"/>
    </row>
    <row r="1366" spans="2:29" s="62" customFormat="1" ht="13.8" hidden="1" x14ac:dyDescent="0.25">
      <c r="B1366" s="59"/>
      <c r="C1366" s="59"/>
      <c r="D1366" s="59"/>
      <c r="E1366" s="59"/>
      <c r="F1366" s="59"/>
      <c r="G1366" s="59"/>
      <c r="H1366" s="59"/>
      <c r="I1366" s="59"/>
      <c r="J1366" s="59"/>
      <c r="K1366" s="59"/>
      <c r="L1366" s="59"/>
      <c r="M1366" s="59"/>
      <c r="N1366" s="59"/>
      <c r="O1366" s="59"/>
      <c r="P1366" s="59"/>
      <c r="Q1366" s="59"/>
      <c r="R1366" s="59"/>
      <c r="S1366" s="59"/>
      <c r="T1366" s="59"/>
      <c r="U1366" s="59"/>
      <c r="V1366" s="59"/>
      <c r="W1366" s="59"/>
      <c r="X1366" s="59"/>
      <c r="Y1366" s="59"/>
      <c r="Z1366" s="59"/>
      <c r="AA1366" s="59"/>
      <c r="AB1366" s="59"/>
      <c r="AC1366" s="59"/>
    </row>
    <row r="1367" spans="2:29" s="62" customFormat="1" ht="13.8" hidden="1" x14ac:dyDescent="0.25">
      <c r="B1367" s="59"/>
      <c r="C1367" s="59"/>
      <c r="D1367" s="59"/>
      <c r="E1367" s="59"/>
      <c r="F1367" s="59"/>
      <c r="G1367" s="59"/>
      <c r="H1367" s="59"/>
      <c r="I1367" s="59"/>
      <c r="J1367" s="59"/>
      <c r="K1367" s="59"/>
      <c r="L1367" s="59"/>
      <c r="M1367" s="59"/>
      <c r="N1367" s="59"/>
      <c r="O1367" s="59"/>
      <c r="P1367" s="59"/>
      <c r="Q1367" s="59"/>
      <c r="R1367" s="59"/>
      <c r="S1367" s="59"/>
      <c r="T1367" s="59"/>
      <c r="U1367" s="59"/>
      <c r="V1367" s="59"/>
      <c r="W1367" s="59"/>
      <c r="X1367" s="59"/>
      <c r="Y1367" s="59"/>
      <c r="Z1367" s="59"/>
      <c r="AA1367" s="59"/>
      <c r="AB1367" s="59"/>
      <c r="AC1367" s="59"/>
    </row>
    <row r="1368" spans="2:29" s="62" customFormat="1" ht="13.8" hidden="1" x14ac:dyDescent="0.25">
      <c r="B1368" s="59"/>
      <c r="C1368" s="59"/>
      <c r="D1368" s="59"/>
      <c r="E1368" s="59"/>
      <c r="F1368" s="59"/>
      <c r="G1368" s="59"/>
      <c r="H1368" s="59"/>
      <c r="I1368" s="59"/>
      <c r="J1368" s="59"/>
      <c r="K1368" s="59"/>
      <c r="L1368" s="59"/>
      <c r="M1368" s="59"/>
      <c r="N1368" s="59"/>
      <c r="O1368" s="59"/>
      <c r="P1368" s="59"/>
      <c r="Q1368" s="59"/>
      <c r="R1368" s="59"/>
      <c r="S1368" s="59"/>
      <c r="T1368" s="59"/>
      <c r="U1368" s="59"/>
      <c r="V1368" s="59"/>
      <c r="W1368" s="59"/>
      <c r="X1368" s="59"/>
      <c r="Y1368" s="59"/>
      <c r="Z1368" s="59"/>
      <c r="AA1368" s="59"/>
      <c r="AB1368" s="59"/>
      <c r="AC1368" s="59"/>
    </row>
    <row r="1369" spans="2:29" s="62" customFormat="1" ht="13.8" hidden="1" x14ac:dyDescent="0.25">
      <c r="B1369" s="59"/>
      <c r="C1369" s="59"/>
      <c r="D1369" s="59"/>
      <c r="E1369" s="59"/>
      <c r="F1369" s="59"/>
      <c r="G1369" s="59"/>
      <c r="H1369" s="59"/>
      <c r="I1369" s="59"/>
      <c r="J1369" s="59"/>
      <c r="K1369" s="59"/>
      <c r="L1369" s="59"/>
      <c r="M1369" s="59"/>
      <c r="N1369" s="59"/>
      <c r="O1369" s="59"/>
      <c r="P1369" s="59"/>
      <c r="Q1369" s="59"/>
      <c r="R1369" s="59"/>
      <c r="S1369" s="59"/>
      <c r="T1369" s="59"/>
      <c r="U1369" s="59"/>
      <c r="V1369" s="59"/>
      <c r="W1369" s="59"/>
      <c r="X1369" s="59"/>
      <c r="Y1369" s="59"/>
      <c r="Z1369" s="59"/>
      <c r="AA1369" s="59"/>
      <c r="AB1369" s="59"/>
      <c r="AC1369" s="59"/>
    </row>
    <row r="1370" spans="2:29" s="62" customFormat="1" ht="13.8" hidden="1" x14ac:dyDescent="0.25">
      <c r="B1370" s="59"/>
      <c r="C1370" s="59"/>
      <c r="D1370" s="59"/>
      <c r="E1370" s="59"/>
      <c r="F1370" s="59"/>
      <c r="G1370" s="59"/>
      <c r="H1370" s="59"/>
      <c r="I1370" s="59"/>
      <c r="J1370" s="59"/>
      <c r="K1370" s="59"/>
      <c r="L1370" s="59"/>
      <c r="M1370" s="59"/>
      <c r="N1370" s="59"/>
      <c r="O1370" s="59"/>
      <c r="P1370" s="59"/>
      <c r="Q1370" s="59"/>
      <c r="R1370" s="59"/>
      <c r="S1370" s="59"/>
      <c r="T1370" s="59"/>
      <c r="U1370" s="59"/>
      <c r="V1370" s="59"/>
      <c r="W1370" s="59"/>
      <c r="X1370" s="59"/>
      <c r="Y1370" s="59"/>
      <c r="Z1370" s="59"/>
      <c r="AA1370" s="59"/>
      <c r="AB1370" s="59"/>
      <c r="AC1370" s="59"/>
    </row>
    <row r="1371" spans="2:29" s="62" customFormat="1" ht="13.8" hidden="1" x14ac:dyDescent="0.25">
      <c r="B1371" s="59"/>
      <c r="C1371" s="59"/>
      <c r="D1371" s="59"/>
      <c r="E1371" s="59"/>
      <c r="F1371" s="59"/>
      <c r="G1371" s="59"/>
      <c r="H1371" s="59"/>
      <c r="I1371" s="59"/>
      <c r="J1371" s="59"/>
      <c r="K1371" s="59"/>
      <c r="L1371" s="59"/>
      <c r="M1371" s="59"/>
      <c r="N1371" s="59"/>
      <c r="O1371" s="59"/>
      <c r="P1371" s="59"/>
      <c r="Q1371" s="59"/>
      <c r="R1371" s="59"/>
      <c r="S1371" s="59"/>
      <c r="T1371" s="59"/>
      <c r="U1371" s="59"/>
      <c r="V1371" s="59"/>
      <c r="W1371" s="59"/>
      <c r="X1371" s="59"/>
      <c r="Y1371" s="59"/>
      <c r="Z1371" s="59"/>
      <c r="AA1371" s="59"/>
      <c r="AB1371" s="59"/>
      <c r="AC1371" s="59"/>
    </row>
    <row r="1372" spans="2:29" s="62" customFormat="1" ht="13.8" hidden="1" x14ac:dyDescent="0.25">
      <c r="B1372" s="59"/>
      <c r="C1372" s="59"/>
      <c r="D1372" s="59"/>
      <c r="E1372" s="59"/>
      <c r="F1372" s="59"/>
      <c r="G1372" s="59"/>
      <c r="H1372" s="59"/>
      <c r="I1372" s="59"/>
      <c r="J1372" s="59"/>
      <c r="K1372" s="59"/>
      <c r="L1372" s="59"/>
      <c r="M1372" s="59"/>
      <c r="N1372" s="59"/>
      <c r="O1372" s="59"/>
      <c r="P1372" s="59"/>
      <c r="Q1372" s="59"/>
      <c r="R1372" s="59"/>
      <c r="S1372" s="59"/>
      <c r="T1372" s="59"/>
      <c r="U1372" s="59"/>
      <c r="V1372" s="59"/>
      <c r="W1372" s="59"/>
      <c r="X1372" s="59"/>
      <c r="Y1372" s="59"/>
      <c r="Z1372" s="59"/>
      <c r="AA1372" s="59"/>
      <c r="AB1372" s="59"/>
      <c r="AC1372" s="59"/>
    </row>
    <row r="1373" spans="2:29" s="62" customFormat="1" ht="13.8" hidden="1" x14ac:dyDescent="0.25">
      <c r="B1373" s="59"/>
      <c r="C1373" s="59"/>
      <c r="D1373" s="59"/>
      <c r="E1373" s="59"/>
      <c r="F1373" s="59"/>
      <c r="G1373" s="59"/>
      <c r="H1373" s="59"/>
      <c r="I1373" s="59"/>
      <c r="J1373" s="59"/>
      <c r="K1373" s="59"/>
      <c r="L1373" s="59"/>
      <c r="M1373" s="59"/>
      <c r="N1373" s="59"/>
      <c r="O1373" s="59"/>
      <c r="P1373" s="59"/>
      <c r="Q1373" s="59"/>
      <c r="R1373" s="59"/>
      <c r="S1373" s="59"/>
      <c r="T1373" s="59"/>
      <c r="U1373" s="59"/>
      <c r="V1373" s="59"/>
      <c r="W1373" s="59"/>
      <c r="X1373" s="59"/>
      <c r="Y1373" s="59"/>
      <c r="Z1373" s="59"/>
      <c r="AA1373" s="59"/>
      <c r="AB1373" s="59"/>
      <c r="AC1373" s="59"/>
    </row>
    <row r="1374" spans="2:29" s="62" customFormat="1" ht="13.8" hidden="1" x14ac:dyDescent="0.25">
      <c r="B1374" s="59"/>
      <c r="C1374" s="59"/>
      <c r="D1374" s="59"/>
      <c r="E1374" s="59"/>
      <c r="F1374" s="59"/>
      <c r="G1374" s="59"/>
      <c r="H1374" s="59"/>
      <c r="I1374" s="59"/>
      <c r="J1374" s="59"/>
      <c r="K1374" s="59"/>
      <c r="L1374" s="59"/>
      <c r="M1374" s="59"/>
      <c r="N1374" s="59"/>
      <c r="O1374" s="59"/>
      <c r="P1374" s="59"/>
      <c r="Q1374" s="59"/>
      <c r="R1374" s="59"/>
      <c r="S1374" s="59"/>
      <c r="T1374" s="59"/>
      <c r="U1374" s="59"/>
      <c r="V1374" s="59"/>
      <c r="W1374" s="59"/>
      <c r="X1374" s="59"/>
      <c r="Y1374" s="59"/>
      <c r="Z1374" s="59"/>
      <c r="AA1374" s="59"/>
      <c r="AB1374" s="59"/>
      <c r="AC1374" s="59"/>
    </row>
    <row r="1375" spans="2:29" s="62" customFormat="1" ht="13.8" hidden="1" x14ac:dyDescent="0.25">
      <c r="B1375" s="59"/>
      <c r="C1375" s="59"/>
      <c r="D1375" s="59"/>
      <c r="E1375" s="59"/>
      <c r="F1375" s="59"/>
      <c r="G1375" s="59"/>
      <c r="H1375" s="59"/>
      <c r="I1375" s="59"/>
      <c r="J1375" s="59"/>
      <c r="K1375" s="59"/>
      <c r="L1375" s="59"/>
      <c r="M1375" s="59"/>
      <c r="N1375" s="59"/>
      <c r="O1375" s="59"/>
      <c r="P1375" s="59"/>
      <c r="Q1375" s="59"/>
      <c r="R1375" s="59"/>
      <c r="S1375" s="59"/>
      <c r="T1375" s="59"/>
      <c r="U1375" s="59"/>
      <c r="V1375" s="59"/>
      <c r="W1375" s="59"/>
      <c r="X1375" s="59"/>
      <c r="Y1375" s="59"/>
      <c r="Z1375" s="59"/>
      <c r="AA1375" s="59"/>
      <c r="AB1375" s="59"/>
      <c r="AC1375" s="59"/>
    </row>
    <row r="1376" spans="2:29" s="62" customFormat="1" ht="13.8" hidden="1" x14ac:dyDescent="0.25">
      <c r="B1376" s="59"/>
      <c r="C1376" s="59"/>
      <c r="D1376" s="59"/>
      <c r="E1376" s="59"/>
      <c r="F1376" s="59"/>
      <c r="G1376" s="59"/>
      <c r="H1376" s="59"/>
      <c r="I1376" s="59"/>
      <c r="J1376" s="59"/>
      <c r="K1376" s="59"/>
      <c r="L1376" s="59"/>
      <c r="M1376" s="59"/>
      <c r="N1376" s="59"/>
      <c r="O1376" s="59"/>
      <c r="P1376" s="59"/>
      <c r="Q1376" s="59"/>
      <c r="R1376" s="59"/>
      <c r="S1376" s="59"/>
      <c r="T1376" s="59"/>
      <c r="U1376" s="59"/>
      <c r="V1376" s="59"/>
      <c r="W1376" s="59"/>
      <c r="X1376" s="59"/>
      <c r="Y1376" s="59"/>
      <c r="Z1376" s="59"/>
      <c r="AA1376" s="59"/>
      <c r="AB1376" s="59"/>
      <c r="AC1376" s="59"/>
    </row>
    <row r="1377" spans="2:29" s="62" customFormat="1" ht="13.8" hidden="1" x14ac:dyDescent="0.25">
      <c r="B1377" s="59"/>
      <c r="C1377" s="59"/>
      <c r="D1377" s="59"/>
      <c r="E1377" s="59"/>
      <c r="F1377" s="59"/>
      <c r="G1377" s="59"/>
      <c r="H1377" s="59"/>
      <c r="I1377" s="59"/>
      <c r="J1377" s="59"/>
      <c r="K1377" s="59"/>
      <c r="L1377" s="59"/>
      <c r="M1377" s="59"/>
      <c r="N1377" s="59"/>
      <c r="O1377" s="59"/>
      <c r="P1377" s="59"/>
      <c r="Q1377" s="59"/>
      <c r="R1377" s="59"/>
      <c r="S1377" s="59"/>
      <c r="T1377" s="59"/>
      <c r="U1377" s="59"/>
      <c r="V1377" s="59"/>
      <c r="W1377" s="59"/>
      <c r="X1377" s="59"/>
      <c r="Y1377" s="59"/>
      <c r="Z1377" s="59"/>
      <c r="AA1377" s="59"/>
      <c r="AB1377" s="59"/>
      <c r="AC1377" s="59"/>
    </row>
    <row r="1378" spans="2:29" s="62" customFormat="1" ht="13.8" hidden="1" x14ac:dyDescent="0.25">
      <c r="B1378" s="59"/>
      <c r="C1378" s="59"/>
      <c r="D1378" s="59"/>
      <c r="E1378" s="59"/>
      <c r="F1378" s="59"/>
      <c r="G1378" s="59"/>
      <c r="H1378" s="59"/>
      <c r="I1378" s="59"/>
      <c r="J1378" s="59"/>
      <c r="K1378" s="59"/>
      <c r="L1378" s="59"/>
      <c r="M1378" s="59"/>
      <c r="N1378" s="59"/>
      <c r="O1378" s="59"/>
      <c r="P1378" s="59"/>
      <c r="Q1378" s="59"/>
      <c r="R1378" s="59"/>
      <c r="S1378" s="59"/>
      <c r="T1378" s="59"/>
      <c r="U1378" s="59"/>
      <c r="V1378" s="59"/>
      <c r="W1378" s="59"/>
      <c r="X1378" s="59"/>
      <c r="Y1378" s="59"/>
      <c r="Z1378" s="59"/>
      <c r="AA1378" s="59"/>
      <c r="AB1378" s="59"/>
      <c r="AC1378" s="59"/>
    </row>
    <row r="1379" spans="2:29" s="62" customFormat="1" ht="13.8" hidden="1" x14ac:dyDescent="0.25">
      <c r="B1379" s="59"/>
      <c r="C1379" s="59"/>
      <c r="D1379" s="59"/>
      <c r="E1379" s="59"/>
      <c r="F1379" s="59"/>
      <c r="G1379" s="59"/>
      <c r="H1379" s="59"/>
      <c r="I1379" s="59"/>
      <c r="J1379" s="59"/>
      <c r="K1379" s="59"/>
      <c r="L1379" s="59"/>
      <c r="M1379" s="59"/>
      <c r="N1379" s="59"/>
      <c r="O1379" s="59"/>
      <c r="P1379" s="59"/>
      <c r="Q1379" s="59"/>
      <c r="R1379" s="59"/>
      <c r="S1379" s="59"/>
      <c r="T1379" s="59"/>
      <c r="U1379" s="59"/>
      <c r="V1379" s="59"/>
      <c r="W1379" s="59"/>
      <c r="X1379" s="59"/>
      <c r="Y1379" s="59"/>
      <c r="Z1379" s="59"/>
      <c r="AA1379" s="59"/>
      <c r="AB1379" s="59"/>
      <c r="AC1379" s="59"/>
    </row>
    <row r="1380" spans="2:29" s="62" customFormat="1" ht="13.8" hidden="1" x14ac:dyDescent="0.25">
      <c r="B1380" s="59"/>
      <c r="C1380" s="59"/>
      <c r="D1380" s="59"/>
      <c r="E1380" s="59"/>
      <c r="F1380" s="59"/>
      <c r="G1380" s="59"/>
      <c r="H1380" s="59"/>
      <c r="I1380" s="59"/>
      <c r="J1380" s="59"/>
      <c r="K1380" s="59"/>
      <c r="L1380" s="59"/>
      <c r="M1380" s="59"/>
      <c r="N1380" s="59"/>
      <c r="O1380" s="59"/>
      <c r="P1380" s="59"/>
      <c r="Q1380" s="59"/>
      <c r="R1380" s="59"/>
      <c r="S1380" s="59"/>
      <c r="T1380" s="59"/>
      <c r="U1380" s="59"/>
      <c r="V1380" s="59"/>
      <c r="W1380" s="59"/>
      <c r="X1380" s="59"/>
      <c r="Y1380" s="59"/>
      <c r="Z1380" s="59"/>
      <c r="AA1380" s="59"/>
      <c r="AB1380" s="59"/>
      <c r="AC1380" s="59"/>
    </row>
    <row r="1381" spans="2:29" s="62" customFormat="1" ht="13.8" hidden="1" x14ac:dyDescent="0.25">
      <c r="B1381" s="59"/>
      <c r="C1381" s="59"/>
      <c r="D1381" s="59"/>
      <c r="E1381" s="59"/>
      <c r="F1381" s="59"/>
      <c r="G1381" s="59"/>
      <c r="H1381" s="59"/>
      <c r="I1381" s="59"/>
      <c r="J1381" s="59"/>
      <c r="K1381" s="59"/>
      <c r="L1381" s="59"/>
      <c r="M1381" s="59"/>
      <c r="N1381" s="59"/>
      <c r="O1381" s="59"/>
      <c r="P1381" s="59"/>
      <c r="Q1381" s="59"/>
      <c r="R1381" s="59"/>
      <c r="S1381" s="59"/>
      <c r="T1381" s="59"/>
      <c r="U1381" s="59"/>
      <c r="V1381" s="59"/>
      <c r="W1381" s="59"/>
      <c r="X1381" s="59"/>
      <c r="Y1381" s="59"/>
      <c r="Z1381" s="59"/>
      <c r="AA1381" s="59"/>
      <c r="AB1381" s="59"/>
      <c r="AC1381" s="59"/>
    </row>
    <row r="1382" spans="2:29" s="62" customFormat="1" ht="13.8" hidden="1" x14ac:dyDescent="0.25">
      <c r="B1382" s="59"/>
      <c r="C1382" s="59"/>
      <c r="D1382" s="59"/>
      <c r="E1382" s="59"/>
      <c r="F1382" s="59"/>
      <c r="G1382" s="59"/>
      <c r="H1382" s="59"/>
      <c r="I1382" s="59"/>
      <c r="J1382" s="59"/>
      <c r="K1382" s="59"/>
      <c r="L1382" s="59"/>
      <c r="M1382" s="59"/>
      <c r="N1382" s="59"/>
      <c r="O1382" s="59"/>
      <c r="P1382" s="59"/>
      <c r="Q1382" s="59"/>
      <c r="R1382" s="59"/>
      <c r="S1382" s="59"/>
      <c r="T1382" s="59"/>
      <c r="U1382" s="59"/>
      <c r="V1382" s="59"/>
      <c r="W1382" s="59"/>
      <c r="X1382" s="59"/>
      <c r="Y1382" s="59"/>
      <c r="Z1382" s="59"/>
      <c r="AA1382" s="59"/>
      <c r="AB1382" s="59"/>
      <c r="AC1382" s="59"/>
    </row>
    <row r="1383" spans="2:29" s="62" customFormat="1" ht="13.8" hidden="1" x14ac:dyDescent="0.25">
      <c r="B1383" s="59"/>
      <c r="C1383" s="59"/>
      <c r="D1383" s="59"/>
      <c r="E1383" s="59"/>
      <c r="F1383" s="59"/>
      <c r="G1383" s="59"/>
      <c r="H1383" s="59"/>
      <c r="I1383" s="59"/>
      <c r="J1383" s="59"/>
      <c r="K1383" s="59"/>
      <c r="L1383" s="59"/>
      <c r="M1383" s="59"/>
      <c r="N1383" s="59"/>
      <c r="O1383" s="59"/>
      <c r="P1383" s="59"/>
      <c r="Q1383" s="59"/>
      <c r="R1383" s="59"/>
      <c r="S1383" s="59"/>
      <c r="T1383" s="59"/>
      <c r="U1383" s="59"/>
      <c r="V1383" s="59"/>
      <c r="W1383" s="59"/>
      <c r="X1383" s="59"/>
      <c r="Y1383" s="59"/>
      <c r="Z1383" s="59"/>
      <c r="AA1383" s="59"/>
      <c r="AB1383" s="59"/>
      <c r="AC1383" s="59"/>
    </row>
    <row r="1384" spans="2:29" s="62" customFormat="1" ht="13.8" hidden="1" x14ac:dyDescent="0.25">
      <c r="B1384" s="59"/>
      <c r="C1384" s="59"/>
      <c r="D1384" s="59"/>
      <c r="E1384" s="59"/>
      <c r="F1384" s="59"/>
      <c r="G1384" s="59"/>
      <c r="H1384" s="59"/>
      <c r="I1384" s="59"/>
      <c r="J1384" s="59"/>
      <c r="K1384" s="59"/>
      <c r="L1384" s="59"/>
      <c r="M1384" s="59"/>
      <c r="N1384" s="59"/>
      <c r="O1384" s="59"/>
      <c r="P1384" s="59"/>
      <c r="Q1384" s="59"/>
      <c r="R1384" s="59"/>
      <c r="S1384" s="59"/>
      <c r="T1384" s="59"/>
      <c r="U1384" s="59"/>
      <c r="V1384" s="59"/>
      <c r="W1384" s="59"/>
      <c r="X1384" s="59"/>
      <c r="Y1384" s="59"/>
      <c r="Z1384" s="59"/>
      <c r="AA1384" s="59"/>
      <c r="AB1384" s="59"/>
      <c r="AC1384" s="59"/>
    </row>
    <row r="1385" spans="2:29" s="62" customFormat="1" ht="13.8" hidden="1" x14ac:dyDescent="0.25">
      <c r="B1385" s="59"/>
      <c r="C1385" s="59"/>
      <c r="D1385" s="59"/>
      <c r="E1385" s="59"/>
      <c r="F1385" s="59"/>
      <c r="G1385" s="59"/>
      <c r="H1385" s="59"/>
      <c r="I1385" s="59"/>
      <c r="J1385" s="59"/>
      <c r="K1385" s="59"/>
      <c r="L1385" s="59"/>
      <c r="M1385" s="59"/>
      <c r="N1385" s="59"/>
      <c r="O1385" s="59"/>
      <c r="P1385" s="59"/>
      <c r="Q1385" s="59"/>
      <c r="R1385" s="59"/>
      <c r="S1385" s="59"/>
      <c r="T1385" s="59"/>
      <c r="U1385" s="59"/>
      <c r="V1385" s="59"/>
      <c r="W1385" s="59"/>
      <c r="X1385" s="59"/>
      <c r="Y1385" s="59"/>
      <c r="Z1385" s="59"/>
      <c r="AA1385" s="59"/>
      <c r="AB1385" s="59"/>
      <c r="AC1385" s="59"/>
    </row>
    <row r="1386" spans="2:29" s="62" customFormat="1" ht="13.8" hidden="1" x14ac:dyDescent="0.25">
      <c r="B1386" s="59"/>
      <c r="C1386" s="59"/>
      <c r="D1386" s="59"/>
      <c r="E1386" s="59"/>
      <c r="F1386" s="59"/>
      <c r="G1386" s="59"/>
      <c r="H1386" s="59"/>
      <c r="I1386" s="59"/>
      <c r="J1386" s="59"/>
      <c r="K1386" s="59"/>
      <c r="L1386" s="59"/>
      <c r="M1386" s="59"/>
      <c r="N1386" s="59"/>
      <c r="O1386" s="59"/>
      <c r="P1386" s="59"/>
      <c r="Q1386" s="59"/>
      <c r="R1386" s="59"/>
      <c r="S1386" s="59"/>
      <c r="T1386" s="59"/>
      <c r="U1386" s="59"/>
      <c r="V1386" s="59"/>
      <c r="W1386" s="59"/>
      <c r="X1386" s="59"/>
      <c r="Y1386" s="59"/>
      <c r="Z1386" s="59"/>
      <c r="AA1386" s="59"/>
      <c r="AB1386" s="59"/>
      <c r="AC1386" s="59"/>
    </row>
    <row r="1387" spans="2:29" s="62" customFormat="1" ht="13.8" hidden="1" x14ac:dyDescent="0.25">
      <c r="B1387" s="59"/>
      <c r="C1387" s="59"/>
      <c r="D1387" s="59"/>
      <c r="E1387" s="59"/>
      <c r="F1387" s="59"/>
      <c r="G1387" s="59"/>
      <c r="H1387" s="59"/>
      <c r="I1387" s="59"/>
      <c r="J1387" s="59"/>
      <c r="K1387" s="59"/>
      <c r="L1387" s="59"/>
      <c r="M1387" s="59"/>
      <c r="N1387" s="59"/>
      <c r="O1387" s="59"/>
      <c r="P1387" s="59"/>
      <c r="Q1387" s="59"/>
      <c r="R1387" s="59"/>
      <c r="S1387" s="59"/>
      <c r="T1387" s="59"/>
      <c r="U1387" s="59"/>
      <c r="V1387" s="59"/>
      <c r="W1387" s="59"/>
      <c r="X1387" s="59"/>
      <c r="Y1387" s="59"/>
      <c r="Z1387" s="59"/>
      <c r="AA1387" s="59"/>
      <c r="AB1387" s="59"/>
      <c r="AC1387" s="59"/>
    </row>
    <row r="1388" spans="2:29" s="62" customFormat="1" ht="13.8" hidden="1" x14ac:dyDescent="0.25">
      <c r="B1388" s="59"/>
      <c r="C1388" s="59"/>
      <c r="D1388" s="59"/>
      <c r="E1388" s="59"/>
      <c r="F1388" s="59"/>
      <c r="G1388" s="59"/>
      <c r="H1388" s="59"/>
      <c r="I1388" s="59"/>
      <c r="J1388" s="59"/>
      <c r="K1388" s="59"/>
      <c r="L1388" s="59"/>
      <c r="M1388" s="59"/>
      <c r="N1388" s="59"/>
      <c r="O1388" s="59"/>
      <c r="P1388" s="59"/>
      <c r="Q1388" s="59"/>
      <c r="R1388" s="59"/>
      <c r="S1388" s="59"/>
      <c r="T1388" s="59"/>
      <c r="U1388" s="59"/>
      <c r="V1388" s="59"/>
      <c r="W1388" s="59"/>
      <c r="X1388" s="59"/>
      <c r="Y1388" s="59"/>
      <c r="Z1388" s="59"/>
      <c r="AA1388" s="59"/>
      <c r="AB1388" s="59"/>
      <c r="AC1388" s="59"/>
    </row>
    <row r="1389" spans="2:29" s="62" customFormat="1" ht="13.8" hidden="1" x14ac:dyDescent="0.25">
      <c r="B1389" s="59"/>
      <c r="C1389" s="59"/>
      <c r="D1389" s="59"/>
      <c r="E1389" s="59"/>
      <c r="F1389" s="59"/>
      <c r="G1389" s="59"/>
      <c r="H1389" s="59"/>
      <c r="I1389" s="59"/>
      <c r="J1389" s="59"/>
      <c r="K1389" s="59"/>
      <c r="L1389" s="59"/>
      <c r="M1389" s="59"/>
      <c r="N1389" s="59"/>
      <c r="O1389" s="59"/>
      <c r="P1389" s="59"/>
      <c r="Q1389" s="59"/>
      <c r="R1389" s="59"/>
      <c r="S1389" s="59"/>
      <c r="T1389" s="59"/>
      <c r="U1389" s="59"/>
      <c r="V1389" s="59"/>
      <c r="W1389" s="59"/>
      <c r="X1389" s="59"/>
      <c r="Y1389" s="59"/>
      <c r="Z1389" s="59"/>
      <c r="AA1389" s="59"/>
      <c r="AB1389" s="59"/>
      <c r="AC1389" s="59"/>
    </row>
    <row r="1390" spans="2:29" s="62" customFormat="1" ht="13.8" hidden="1" x14ac:dyDescent="0.25">
      <c r="B1390" s="59"/>
      <c r="C1390" s="59"/>
      <c r="D1390" s="59"/>
      <c r="E1390" s="59"/>
      <c r="F1390" s="59"/>
      <c r="G1390" s="59"/>
      <c r="H1390" s="59"/>
      <c r="I1390" s="59"/>
      <c r="J1390" s="59"/>
      <c r="K1390" s="59"/>
      <c r="L1390" s="59"/>
      <c r="M1390" s="59"/>
      <c r="N1390" s="59"/>
      <c r="O1390" s="59"/>
      <c r="P1390" s="59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</row>
    <row r="1391" spans="2:29" s="62" customFormat="1" ht="13.8" hidden="1" x14ac:dyDescent="0.25">
      <c r="B1391" s="59"/>
      <c r="C1391" s="59"/>
      <c r="D1391" s="59"/>
      <c r="E1391" s="59"/>
      <c r="F1391" s="59"/>
      <c r="G1391" s="59"/>
      <c r="H1391" s="59"/>
      <c r="I1391" s="59"/>
      <c r="J1391" s="59"/>
      <c r="K1391" s="59"/>
      <c r="L1391" s="59"/>
      <c r="M1391" s="59"/>
      <c r="N1391" s="59"/>
      <c r="O1391" s="59"/>
      <c r="P1391" s="59"/>
      <c r="Q1391" s="59"/>
      <c r="R1391" s="59"/>
      <c r="S1391" s="59"/>
      <c r="T1391" s="59"/>
      <c r="U1391" s="59"/>
      <c r="V1391" s="59"/>
      <c r="W1391" s="59"/>
      <c r="X1391" s="59"/>
      <c r="Y1391" s="59"/>
      <c r="Z1391" s="59"/>
      <c r="AA1391" s="59"/>
      <c r="AB1391" s="59"/>
      <c r="AC1391" s="59"/>
    </row>
    <row r="1392" spans="2:29" s="62" customFormat="1" ht="13.8" hidden="1" x14ac:dyDescent="0.25">
      <c r="B1392" s="59"/>
      <c r="C1392" s="59"/>
      <c r="D1392" s="59"/>
      <c r="E1392" s="59"/>
      <c r="F1392" s="59"/>
      <c r="G1392" s="59"/>
      <c r="H1392" s="59"/>
      <c r="I1392" s="59"/>
      <c r="J1392" s="59"/>
      <c r="K1392" s="59"/>
      <c r="L1392" s="59"/>
      <c r="M1392" s="59"/>
      <c r="N1392" s="59"/>
      <c r="O1392" s="59"/>
      <c r="P1392" s="59"/>
      <c r="Q1392" s="59"/>
      <c r="R1392" s="59"/>
      <c r="S1392" s="59"/>
      <c r="T1392" s="59"/>
      <c r="U1392" s="59"/>
      <c r="V1392" s="59"/>
      <c r="W1392" s="59"/>
      <c r="X1392" s="59"/>
      <c r="Y1392" s="59"/>
      <c r="Z1392" s="59"/>
      <c r="AA1392" s="59"/>
      <c r="AB1392" s="59"/>
      <c r="AC1392" s="59"/>
    </row>
    <row r="1393" spans="2:29" s="62" customFormat="1" ht="13.8" hidden="1" x14ac:dyDescent="0.25">
      <c r="B1393" s="59"/>
      <c r="C1393" s="59"/>
      <c r="D1393" s="59"/>
      <c r="E1393" s="59"/>
      <c r="F1393" s="59"/>
      <c r="G1393" s="59"/>
      <c r="H1393" s="59"/>
      <c r="I1393" s="59"/>
      <c r="J1393" s="59"/>
      <c r="K1393" s="59"/>
      <c r="L1393" s="59"/>
      <c r="M1393" s="59"/>
      <c r="N1393" s="59"/>
      <c r="O1393" s="59"/>
      <c r="P1393" s="59"/>
      <c r="Q1393" s="59"/>
      <c r="R1393" s="59"/>
      <c r="S1393" s="59"/>
      <c r="T1393" s="59"/>
      <c r="U1393" s="59"/>
      <c r="V1393" s="59"/>
      <c r="W1393" s="59"/>
      <c r="X1393" s="59"/>
      <c r="Y1393" s="59"/>
      <c r="Z1393" s="59"/>
      <c r="AA1393" s="59"/>
      <c r="AB1393" s="59"/>
      <c r="AC1393" s="59"/>
    </row>
    <row r="1394" spans="2:29" s="62" customFormat="1" ht="13.8" hidden="1" x14ac:dyDescent="0.25">
      <c r="B1394" s="59"/>
      <c r="C1394" s="59"/>
      <c r="D1394" s="59"/>
      <c r="E1394" s="59"/>
      <c r="F1394" s="59"/>
      <c r="G1394" s="59"/>
      <c r="H1394" s="59"/>
      <c r="I1394" s="59"/>
      <c r="J1394" s="59"/>
      <c r="K1394" s="59"/>
      <c r="L1394" s="59"/>
      <c r="M1394" s="59"/>
      <c r="N1394" s="59"/>
      <c r="O1394" s="59"/>
      <c r="P1394" s="59"/>
      <c r="Q1394" s="59"/>
      <c r="R1394" s="59"/>
      <c r="S1394" s="59"/>
      <c r="T1394" s="59"/>
      <c r="U1394" s="59"/>
      <c r="V1394" s="59"/>
      <c r="W1394" s="59"/>
      <c r="X1394" s="59"/>
      <c r="Y1394" s="59"/>
      <c r="Z1394" s="59"/>
      <c r="AA1394" s="59"/>
      <c r="AB1394" s="59"/>
      <c r="AC1394" s="59"/>
    </row>
    <row r="1395" spans="2:29" s="62" customFormat="1" ht="13.8" hidden="1" x14ac:dyDescent="0.25">
      <c r="B1395" s="59"/>
      <c r="C1395" s="59"/>
      <c r="D1395" s="59"/>
      <c r="E1395" s="59"/>
      <c r="F1395" s="59"/>
      <c r="G1395" s="59"/>
      <c r="H1395" s="59"/>
      <c r="I1395" s="59"/>
      <c r="J1395" s="59"/>
      <c r="K1395" s="59"/>
      <c r="L1395" s="59"/>
      <c r="M1395" s="59"/>
      <c r="N1395" s="59"/>
      <c r="O1395" s="59"/>
      <c r="P1395" s="59"/>
      <c r="Q1395" s="59"/>
      <c r="R1395" s="59"/>
      <c r="S1395" s="59"/>
      <c r="T1395" s="59"/>
      <c r="U1395" s="59"/>
      <c r="V1395" s="59"/>
      <c r="W1395" s="59"/>
      <c r="X1395" s="59"/>
      <c r="Y1395" s="59"/>
      <c r="Z1395" s="59"/>
      <c r="AA1395" s="59"/>
      <c r="AB1395" s="59"/>
      <c r="AC1395" s="59"/>
    </row>
    <row r="1396" spans="2:29" s="62" customFormat="1" ht="13.8" hidden="1" x14ac:dyDescent="0.25">
      <c r="B1396" s="59"/>
      <c r="C1396" s="59"/>
      <c r="D1396" s="59"/>
      <c r="E1396" s="59"/>
      <c r="F1396" s="59"/>
      <c r="G1396" s="59"/>
      <c r="H1396" s="59"/>
      <c r="I1396" s="59"/>
      <c r="J1396" s="59"/>
      <c r="K1396" s="59"/>
      <c r="L1396" s="59"/>
      <c r="M1396" s="59"/>
      <c r="N1396" s="59"/>
      <c r="O1396" s="59"/>
      <c r="P1396" s="59"/>
      <c r="Q1396" s="59"/>
      <c r="R1396" s="59"/>
      <c r="S1396" s="59"/>
      <c r="T1396" s="59"/>
      <c r="U1396" s="59"/>
      <c r="V1396" s="59"/>
      <c r="W1396" s="59"/>
      <c r="X1396" s="59"/>
      <c r="Y1396" s="59"/>
      <c r="Z1396" s="59"/>
      <c r="AA1396" s="59"/>
      <c r="AB1396" s="59"/>
      <c r="AC1396" s="59"/>
    </row>
    <row r="1397" spans="2:29" s="62" customFormat="1" ht="13.8" hidden="1" x14ac:dyDescent="0.25">
      <c r="B1397" s="59"/>
      <c r="C1397" s="59"/>
      <c r="D1397" s="59"/>
      <c r="E1397" s="59"/>
      <c r="F1397" s="59"/>
      <c r="G1397" s="59"/>
      <c r="H1397" s="59"/>
      <c r="I1397" s="59"/>
      <c r="J1397" s="59"/>
      <c r="K1397" s="59"/>
      <c r="L1397" s="59"/>
      <c r="M1397" s="59"/>
      <c r="N1397" s="59"/>
      <c r="O1397" s="59"/>
      <c r="P1397" s="59"/>
      <c r="Q1397" s="59"/>
      <c r="R1397" s="59"/>
      <c r="S1397" s="59"/>
      <c r="T1397" s="59"/>
      <c r="U1397" s="59"/>
      <c r="V1397" s="59"/>
      <c r="W1397" s="59"/>
      <c r="X1397" s="59"/>
      <c r="Y1397" s="59"/>
      <c r="Z1397" s="59"/>
      <c r="AA1397" s="59"/>
      <c r="AB1397" s="59"/>
      <c r="AC1397" s="59"/>
    </row>
    <row r="1398" spans="2:29" s="62" customFormat="1" ht="13.8" hidden="1" x14ac:dyDescent="0.25">
      <c r="B1398" s="59"/>
      <c r="C1398" s="59"/>
      <c r="D1398" s="59"/>
      <c r="E1398" s="59"/>
      <c r="F1398" s="59"/>
      <c r="G1398" s="59"/>
      <c r="H1398" s="59"/>
      <c r="I1398" s="59"/>
      <c r="J1398" s="59"/>
      <c r="K1398" s="59"/>
      <c r="L1398" s="59"/>
      <c r="M1398" s="59"/>
      <c r="N1398" s="59"/>
      <c r="O1398" s="59"/>
      <c r="P1398" s="59"/>
      <c r="Q1398" s="59"/>
      <c r="R1398" s="59"/>
      <c r="S1398" s="59"/>
      <c r="T1398" s="59"/>
      <c r="U1398" s="59"/>
      <c r="V1398" s="59"/>
      <c r="W1398" s="59"/>
      <c r="X1398" s="59"/>
      <c r="Y1398" s="59"/>
      <c r="Z1398" s="59"/>
      <c r="AA1398" s="59"/>
      <c r="AB1398" s="59"/>
      <c r="AC1398" s="59"/>
    </row>
    <row r="1399" spans="2:29" s="62" customFormat="1" ht="13.8" hidden="1" x14ac:dyDescent="0.25">
      <c r="B1399" s="59"/>
      <c r="C1399" s="59"/>
      <c r="D1399" s="59"/>
      <c r="E1399" s="59"/>
      <c r="F1399" s="59"/>
      <c r="G1399" s="59"/>
      <c r="H1399" s="59"/>
      <c r="I1399" s="59"/>
      <c r="J1399" s="59"/>
      <c r="K1399" s="59"/>
      <c r="L1399" s="59"/>
      <c r="M1399" s="59"/>
      <c r="N1399" s="59"/>
      <c r="O1399" s="59"/>
      <c r="P1399" s="59"/>
      <c r="Q1399" s="59"/>
      <c r="R1399" s="59"/>
      <c r="S1399" s="59"/>
      <c r="T1399" s="59"/>
      <c r="U1399" s="59"/>
      <c r="V1399" s="59"/>
      <c r="W1399" s="59"/>
      <c r="X1399" s="59"/>
      <c r="Y1399" s="59"/>
      <c r="Z1399" s="59"/>
      <c r="AA1399" s="59"/>
      <c r="AB1399" s="59"/>
      <c r="AC1399" s="59"/>
    </row>
    <row r="1400" spans="2:29" s="62" customFormat="1" ht="13.8" hidden="1" x14ac:dyDescent="0.25">
      <c r="B1400" s="59"/>
      <c r="C1400" s="59"/>
      <c r="D1400" s="59"/>
      <c r="E1400" s="59"/>
      <c r="F1400" s="59"/>
      <c r="G1400" s="59"/>
      <c r="H1400" s="59"/>
      <c r="I1400" s="59"/>
      <c r="J1400" s="59"/>
      <c r="K1400" s="59"/>
      <c r="L1400" s="59"/>
      <c r="M1400" s="59"/>
      <c r="N1400" s="59"/>
      <c r="O1400" s="59"/>
      <c r="P1400" s="59"/>
      <c r="Q1400" s="59"/>
      <c r="R1400" s="59"/>
      <c r="S1400" s="59"/>
      <c r="T1400" s="59"/>
      <c r="U1400" s="59"/>
      <c r="V1400" s="59"/>
      <c r="W1400" s="59"/>
      <c r="X1400" s="59"/>
      <c r="Y1400" s="59"/>
      <c r="Z1400" s="59"/>
      <c r="AA1400" s="59"/>
      <c r="AB1400" s="59"/>
      <c r="AC1400" s="59"/>
    </row>
    <row r="1401" spans="2:29" s="62" customFormat="1" ht="13.8" hidden="1" x14ac:dyDescent="0.25">
      <c r="B1401" s="59"/>
      <c r="C1401" s="59"/>
      <c r="D1401" s="59"/>
      <c r="E1401" s="59"/>
      <c r="F1401" s="59"/>
      <c r="G1401" s="59"/>
      <c r="H1401" s="59"/>
      <c r="I1401" s="59"/>
      <c r="J1401" s="59"/>
      <c r="K1401" s="59"/>
      <c r="L1401" s="59"/>
      <c r="M1401" s="59"/>
      <c r="N1401" s="59"/>
      <c r="O1401" s="59"/>
      <c r="P1401" s="59"/>
      <c r="Q1401" s="59"/>
      <c r="R1401" s="59"/>
      <c r="S1401" s="59"/>
      <c r="T1401" s="59"/>
      <c r="U1401" s="59"/>
      <c r="V1401" s="59"/>
      <c r="W1401" s="59"/>
      <c r="X1401" s="59"/>
      <c r="Y1401" s="59"/>
      <c r="Z1401" s="59"/>
      <c r="AA1401" s="59"/>
      <c r="AB1401" s="59"/>
      <c r="AC1401" s="59"/>
    </row>
    <row r="1402" spans="2:29" s="62" customFormat="1" ht="13.8" hidden="1" x14ac:dyDescent="0.25">
      <c r="B1402" s="59"/>
      <c r="C1402" s="59"/>
      <c r="D1402" s="59"/>
      <c r="E1402" s="59"/>
      <c r="F1402" s="59"/>
      <c r="G1402" s="59"/>
      <c r="H1402" s="59"/>
      <c r="I1402" s="59"/>
      <c r="J1402" s="59"/>
      <c r="K1402" s="59"/>
      <c r="L1402" s="59"/>
      <c r="M1402" s="59"/>
      <c r="N1402" s="59"/>
      <c r="O1402" s="59"/>
      <c r="P1402" s="59"/>
      <c r="Q1402" s="59"/>
      <c r="R1402" s="59"/>
      <c r="S1402" s="59"/>
      <c r="T1402" s="59"/>
      <c r="U1402" s="59"/>
      <c r="V1402" s="59"/>
      <c r="W1402" s="59"/>
      <c r="X1402" s="59"/>
      <c r="Y1402" s="59"/>
      <c r="Z1402" s="59"/>
      <c r="AA1402" s="59"/>
      <c r="AB1402" s="59"/>
      <c r="AC1402" s="59"/>
    </row>
    <row r="1403" spans="2:29" s="62" customFormat="1" ht="13.8" hidden="1" x14ac:dyDescent="0.25">
      <c r="B1403" s="59"/>
      <c r="C1403" s="59"/>
      <c r="D1403" s="59"/>
      <c r="E1403" s="59"/>
      <c r="F1403" s="59"/>
      <c r="G1403" s="59"/>
      <c r="H1403" s="59"/>
      <c r="I1403" s="59"/>
      <c r="J1403" s="59"/>
      <c r="K1403" s="59"/>
      <c r="L1403" s="59"/>
      <c r="M1403" s="59"/>
      <c r="N1403" s="59"/>
      <c r="O1403" s="59"/>
      <c r="P1403" s="59"/>
      <c r="Q1403" s="59"/>
      <c r="R1403" s="59"/>
      <c r="S1403" s="59"/>
      <c r="T1403" s="59"/>
      <c r="U1403" s="59"/>
      <c r="V1403" s="59"/>
      <c r="W1403" s="59"/>
      <c r="X1403" s="59"/>
      <c r="Y1403" s="59"/>
      <c r="Z1403" s="59"/>
      <c r="AA1403" s="59"/>
      <c r="AB1403" s="59"/>
      <c r="AC1403" s="59"/>
    </row>
    <row r="1404" spans="2:29" s="62" customFormat="1" ht="13.8" hidden="1" x14ac:dyDescent="0.25">
      <c r="B1404" s="59"/>
      <c r="C1404" s="59"/>
      <c r="D1404" s="59"/>
      <c r="E1404" s="59"/>
      <c r="F1404" s="59"/>
      <c r="G1404" s="59"/>
      <c r="H1404" s="59"/>
      <c r="I1404" s="59"/>
      <c r="J1404" s="59"/>
      <c r="K1404" s="59"/>
      <c r="L1404" s="59"/>
      <c r="M1404" s="59"/>
      <c r="N1404" s="59"/>
      <c r="O1404" s="59"/>
      <c r="P1404" s="59"/>
      <c r="Q1404" s="59"/>
      <c r="R1404" s="59"/>
      <c r="S1404" s="59"/>
      <c r="T1404" s="59"/>
      <c r="U1404" s="59"/>
      <c r="V1404" s="59"/>
      <c r="W1404" s="59"/>
      <c r="X1404" s="59"/>
      <c r="Y1404" s="59"/>
      <c r="Z1404" s="59"/>
      <c r="AA1404" s="59"/>
      <c r="AB1404" s="59"/>
      <c r="AC1404" s="59"/>
    </row>
    <row r="1405" spans="2:29" s="62" customFormat="1" ht="13.8" hidden="1" x14ac:dyDescent="0.25">
      <c r="B1405" s="59"/>
      <c r="C1405" s="59"/>
      <c r="D1405" s="59"/>
      <c r="E1405" s="59"/>
      <c r="F1405" s="59"/>
      <c r="G1405" s="59"/>
      <c r="H1405" s="59"/>
      <c r="I1405" s="59"/>
      <c r="J1405" s="59"/>
      <c r="K1405" s="59"/>
      <c r="L1405" s="59"/>
      <c r="M1405" s="59"/>
      <c r="N1405" s="59"/>
      <c r="O1405" s="59"/>
      <c r="P1405" s="59"/>
      <c r="Q1405" s="59"/>
      <c r="R1405" s="59"/>
      <c r="S1405" s="59"/>
      <c r="T1405" s="59"/>
      <c r="U1405" s="59"/>
      <c r="V1405" s="59"/>
      <c r="W1405" s="59"/>
      <c r="X1405" s="59"/>
      <c r="Y1405" s="59"/>
      <c r="Z1405" s="59"/>
      <c r="AA1405" s="59"/>
      <c r="AB1405" s="59"/>
      <c r="AC1405" s="59"/>
    </row>
    <row r="1406" spans="2:29" s="62" customFormat="1" ht="13.8" hidden="1" x14ac:dyDescent="0.25">
      <c r="B1406" s="59"/>
      <c r="C1406" s="59"/>
      <c r="D1406" s="59"/>
      <c r="E1406" s="59"/>
      <c r="F1406" s="59"/>
      <c r="G1406" s="59"/>
      <c r="H1406" s="59"/>
      <c r="I1406" s="59"/>
      <c r="J1406" s="59"/>
      <c r="K1406" s="59"/>
      <c r="L1406" s="59"/>
      <c r="M1406" s="59"/>
      <c r="N1406" s="59"/>
      <c r="O1406" s="59"/>
      <c r="P1406" s="59"/>
      <c r="Q1406" s="59"/>
      <c r="R1406" s="59"/>
      <c r="S1406" s="59"/>
      <c r="T1406" s="59"/>
      <c r="U1406" s="59"/>
      <c r="V1406" s="59"/>
      <c r="W1406" s="59"/>
      <c r="X1406" s="59"/>
      <c r="Y1406" s="59"/>
      <c r="Z1406" s="59"/>
      <c r="AA1406" s="59"/>
      <c r="AB1406" s="59"/>
      <c r="AC1406" s="59"/>
    </row>
    <row r="1407" spans="2:29" s="62" customFormat="1" ht="13.8" hidden="1" x14ac:dyDescent="0.25">
      <c r="B1407" s="59"/>
      <c r="C1407" s="59"/>
      <c r="D1407" s="59"/>
      <c r="E1407" s="59"/>
      <c r="F1407" s="59"/>
      <c r="G1407" s="59"/>
      <c r="H1407" s="59"/>
      <c r="I1407" s="59"/>
      <c r="J1407" s="59"/>
      <c r="K1407" s="59"/>
      <c r="L1407" s="59"/>
      <c r="M1407" s="59"/>
      <c r="N1407" s="59"/>
      <c r="O1407" s="59"/>
      <c r="P1407" s="59"/>
      <c r="Q1407" s="59"/>
      <c r="R1407" s="59"/>
      <c r="S1407" s="59"/>
      <c r="T1407" s="59"/>
      <c r="U1407" s="59"/>
      <c r="V1407" s="59"/>
      <c r="W1407" s="59"/>
      <c r="X1407" s="59"/>
      <c r="Y1407" s="59"/>
      <c r="Z1407" s="59"/>
      <c r="AA1407" s="59"/>
      <c r="AB1407" s="59"/>
      <c r="AC1407" s="59"/>
    </row>
    <row r="1408" spans="2:29" s="62" customFormat="1" ht="13.8" hidden="1" x14ac:dyDescent="0.25">
      <c r="B1408" s="59"/>
      <c r="C1408" s="59"/>
      <c r="D1408" s="59"/>
      <c r="E1408" s="59"/>
      <c r="F1408" s="59"/>
      <c r="G1408" s="59"/>
      <c r="H1408" s="59"/>
      <c r="I1408" s="59"/>
      <c r="J1408" s="59"/>
      <c r="K1408" s="59"/>
      <c r="L1408" s="59"/>
      <c r="M1408" s="59"/>
      <c r="N1408" s="59"/>
      <c r="O1408" s="59"/>
      <c r="P1408" s="59"/>
      <c r="Q1408" s="59"/>
      <c r="R1408" s="59"/>
      <c r="S1408" s="59"/>
      <c r="T1408" s="59"/>
      <c r="U1408" s="59"/>
      <c r="V1408" s="59"/>
      <c r="W1408" s="59"/>
      <c r="X1408" s="59"/>
      <c r="Y1408" s="59"/>
      <c r="Z1408" s="59"/>
      <c r="AA1408" s="59"/>
      <c r="AB1408" s="59"/>
      <c r="AC1408" s="59"/>
    </row>
    <row r="1409" spans="2:29" s="62" customFormat="1" ht="13.8" hidden="1" x14ac:dyDescent="0.25">
      <c r="B1409" s="59"/>
      <c r="C1409" s="59"/>
      <c r="D1409" s="59"/>
      <c r="E1409" s="59"/>
      <c r="F1409" s="59"/>
      <c r="G1409" s="59"/>
      <c r="H1409" s="59"/>
      <c r="I1409" s="59"/>
      <c r="J1409" s="59"/>
      <c r="K1409" s="59"/>
      <c r="L1409" s="59"/>
      <c r="M1409" s="59"/>
      <c r="N1409" s="59"/>
      <c r="O1409" s="59"/>
      <c r="P1409" s="59"/>
      <c r="Q1409" s="59"/>
      <c r="R1409" s="59"/>
      <c r="S1409" s="59"/>
      <c r="T1409" s="59"/>
      <c r="U1409" s="59"/>
      <c r="V1409" s="59"/>
      <c r="W1409" s="59"/>
      <c r="X1409" s="59"/>
      <c r="Y1409" s="59"/>
      <c r="Z1409" s="59"/>
      <c r="AA1409" s="59"/>
      <c r="AB1409" s="59"/>
      <c r="AC1409" s="59"/>
    </row>
    <row r="1410" spans="2:29" s="62" customFormat="1" ht="13.8" hidden="1" x14ac:dyDescent="0.25">
      <c r="B1410" s="59"/>
      <c r="C1410" s="59"/>
      <c r="D1410" s="59"/>
      <c r="E1410" s="59"/>
      <c r="F1410" s="59"/>
      <c r="G1410" s="59"/>
      <c r="H1410" s="59"/>
      <c r="I1410" s="59"/>
      <c r="J1410" s="59"/>
      <c r="K1410" s="59"/>
      <c r="L1410" s="59"/>
      <c r="M1410" s="59"/>
      <c r="N1410" s="59"/>
      <c r="O1410" s="59"/>
      <c r="P1410" s="59"/>
      <c r="Q1410" s="59"/>
      <c r="R1410" s="59"/>
      <c r="S1410" s="59"/>
      <c r="T1410" s="59"/>
      <c r="U1410" s="59"/>
      <c r="V1410" s="59"/>
      <c r="W1410" s="59"/>
      <c r="X1410" s="59"/>
      <c r="Y1410" s="59"/>
      <c r="Z1410" s="59"/>
      <c r="AA1410" s="59"/>
      <c r="AB1410" s="59"/>
      <c r="AC1410" s="59"/>
    </row>
    <row r="1411" spans="2:29" s="62" customFormat="1" ht="13.8" hidden="1" x14ac:dyDescent="0.25">
      <c r="B1411" s="59"/>
      <c r="C1411" s="59"/>
      <c r="D1411" s="59"/>
      <c r="E1411" s="59"/>
      <c r="F1411" s="59"/>
      <c r="G1411" s="59"/>
      <c r="H1411" s="59"/>
      <c r="I1411" s="59"/>
      <c r="J1411" s="59"/>
      <c r="K1411" s="59"/>
      <c r="L1411" s="59"/>
      <c r="M1411" s="59"/>
      <c r="N1411" s="59"/>
      <c r="O1411" s="59"/>
      <c r="P1411" s="59"/>
      <c r="Q1411" s="59"/>
      <c r="R1411" s="59"/>
      <c r="S1411" s="59"/>
      <c r="T1411" s="59"/>
      <c r="U1411" s="59"/>
      <c r="V1411" s="59"/>
      <c r="W1411" s="59"/>
      <c r="X1411" s="59"/>
      <c r="Y1411" s="59"/>
      <c r="Z1411" s="59"/>
      <c r="AA1411" s="59"/>
      <c r="AB1411" s="59"/>
      <c r="AC1411" s="59"/>
    </row>
    <row r="1412" spans="2:29" s="62" customFormat="1" ht="13.8" hidden="1" x14ac:dyDescent="0.25">
      <c r="B1412" s="59"/>
      <c r="C1412" s="59"/>
      <c r="D1412" s="59"/>
      <c r="E1412" s="59"/>
      <c r="F1412" s="59"/>
      <c r="G1412" s="59"/>
      <c r="H1412" s="59"/>
      <c r="I1412" s="59"/>
      <c r="J1412" s="59"/>
      <c r="K1412" s="59"/>
      <c r="L1412" s="59"/>
      <c r="M1412" s="59"/>
      <c r="N1412" s="59"/>
      <c r="O1412" s="59"/>
      <c r="P1412" s="59"/>
      <c r="Q1412" s="59"/>
      <c r="R1412" s="59"/>
      <c r="S1412" s="59"/>
      <c r="T1412" s="59"/>
      <c r="U1412" s="59"/>
      <c r="V1412" s="59"/>
      <c r="W1412" s="59"/>
      <c r="X1412" s="59"/>
      <c r="Y1412" s="59"/>
      <c r="Z1412" s="59"/>
      <c r="AA1412" s="59"/>
      <c r="AB1412" s="59"/>
      <c r="AC1412" s="59"/>
    </row>
    <row r="1413" spans="2:29" s="62" customFormat="1" ht="13.8" hidden="1" x14ac:dyDescent="0.25">
      <c r="B1413" s="59"/>
      <c r="C1413" s="59"/>
      <c r="D1413" s="59"/>
      <c r="E1413" s="59"/>
      <c r="F1413" s="59"/>
      <c r="G1413" s="59"/>
      <c r="H1413" s="59"/>
      <c r="I1413" s="59"/>
      <c r="J1413" s="59"/>
      <c r="K1413" s="59"/>
      <c r="L1413" s="59"/>
      <c r="M1413" s="59"/>
      <c r="N1413" s="59"/>
      <c r="O1413" s="59"/>
      <c r="P1413" s="59"/>
      <c r="Q1413" s="59"/>
      <c r="R1413" s="59"/>
      <c r="S1413" s="59"/>
      <c r="T1413" s="59"/>
      <c r="U1413" s="59"/>
      <c r="V1413" s="59"/>
      <c r="W1413" s="59"/>
      <c r="X1413" s="59"/>
      <c r="Y1413" s="59"/>
      <c r="Z1413" s="59"/>
      <c r="AA1413" s="59"/>
      <c r="AB1413" s="59"/>
      <c r="AC1413" s="59"/>
    </row>
    <row r="1414" spans="2:29" s="62" customFormat="1" ht="13.8" hidden="1" x14ac:dyDescent="0.25">
      <c r="B1414" s="59"/>
      <c r="C1414" s="59"/>
      <c r="D1414" s="59"/>
      <c r="E1414" s="59"/>
      <c r="F1414" s="59"/>
      <c r="G1414" s="59"/>
      <c r="H1414" s="59"/>
      <c r="I1414" s="59"/>
      <c r="J1414" s="59"/>
      <c r="K1414" s="59"/>
      <c r="L1414" s="59"/>
      <c r="M1414" s="59"/>
      <c r="N1414" s="59"/>
      <c r="O1414" s="59"/>
      <c r="P1414" s="59"/>
      <c r="Q1414" s="59"/>
      <c r="R1414" s="59"/>
      <c r="S1414" s="59"/>
      <c r="T1414" s="59"/>
      <c r="U1414" s="59"/>
      <c r="V1414" s="59"/>
      <c r="W1414" s="59"/>
      <c r="X1414" s="59"/>
      <c r="Y1414" s="59"/>
      <c r="Z1414" s="59"/>
      <c r="AA1414" s="59"/>
      <c r="AB1414" s="59"/>
      <c r="AC1414" s="59"/>
    </row>
    <row r="1415" spans="2:29" s="62" customFormat="1" ht="13.8" hidden="1" x14ac:dyDescent="0.25">
      <c r="B1415" s="59"/>
      <c r="C1415" s="59"/>
      <c r="D1415" s="59"/>
      <c r="E1415" s="59"/>
      <c r="F1415" s="59"/>
      <c r="G1415" s="59"/>
      <c r="H1415" s="59"/>
      <c r="I1415" s="59"/>
      <c r="J1415" s="59"/>
      <c r="K1415" s="59"/>
      <c r="L1415" s="59"/>
      <c r="M1415" s="59"/>
      <c r="N1415" s="59"/>
      <c r="O1415" s="59"/>
      <c r="P1415" s="59"/>
      <c r="Q1415" s="59"/>
      <c r="R1415" s="59"/>
      <c r="S1415" s="59"/>
      <c r="T1415" s="59"/>
      <c r="U1415" s="59"/>
      <c r="V1415" s="59"/>
      <c r="W1415" s="59"/>
      <c r="X1415" s="59"/>
      <c r="Y1415" s="59"/>
      <c r="Z1415" s="59"/>
      <c r="AA1415" s="59"/>
      <c r="AB1415" s="59"/>
      <c r="AC1415" s="59"/>
    </row>
    <row r="1416" spans="2:29" s="62" customFormat="1" ht="13.8" hidden="1" x14ac:dyDescent="0.25">
      <c r="B1416" s="59"/>
      <c r="C1416" s="59"/>
      <c r="D1416" s="59"/>
      <c r="E1416" s="59"/>
      <c r="F1416" s="59"/>
      <c r="G1416" s="59"/>
      <c r="H1416" s="59"/>
      <c r="I1416" s="59"/>
      <c r="J1416" s="59"/>
      <c r="K1416" s="59"/>
      <c r="L1416" s="59"/>
      <c r="M1416" s="59"/>
      <c r="N1416" s="59"/>
      <c r="O1416" s="59"/>
      <c r="P1416" s="59"/>
      <c r="Q1416" s="59"/>
      <c r="R1416" s="59"/>
      <c r="S1416" s="59"/>
      <c r="T1416" s="59"/>
      <c r="U1416" s="59"/>
      <c r="V1416" s="59"/>
      <c r="W1416" s="59"/>
      <c r="X1416" s="59"/>
      <c r="Y1416" s="59"/>
      <c r="Z1416" s="59"/>
      <c r="AA1416" s="59"/>
      <c r="AB1416" s="59"/>
      <c r="AC1416" s="59"/>
    </row>
    <row r="1417" spans="2:29" s="62" customFormat="1" ht="13.8" hidden="1" x14ac:dyDescent="0.25">
      <c r="B1417" s="59"/>
      <c r="C1417" s="59"/>
      <c r="D1417" s="59"/>
      <c r="E1417" s="59"/>
      <c r="F1417" s="59"/>
      <c r="G1417" s="59"/>
      <c r="H1417" s="59"/>
      <c r="I1417" s="59"/>
      <c r="J1417" s="59"/>
      <c r="K1417" s="59"/>
      <c r="L1417" s="59"/>
      <c r="M1417" s="59"/>
      <c r="N1417" s="59"/>
      <c r="O1417" s="59"/>
      <c r="P1417" s="59"/>
      <c r="Q1417" s="59"/>
      <c r="R1417" s="59"/>
      <c r="S1417" s="59"/>
      <c r="T1417" s="59"/>
      <c r="U1417" s="59"/>
      <c r="V1417" s="59"/>
      <c r="W1417" s="59"/>
      <c r="X1417" s="59"/>
      <c r="Y1417" s="59"/>
      <c r="Z1417" s="59"/>
      <c r="AA1417" s="59"/>
      <c r="AB1417" s="59"/>
      <c r="AC1417" s="59"/>
    </row>
    <row r="1418" spans="2:29" s="62" customFormat="1" ht="13.8" hidden="1" x14ac:dyDescent="0.25">
      <c r="B1418" s="59"/>
      <c r="C1418" s="59"/>
      <c r="D1418" s="59"/>
      <c r="E1418" s="59"/>
      <c r="F1418" s="59"/>
      <c r="G1418" s="59"/>
      <c r="H1418" s="59"/>
      <c r="I1418" s="59"/>
      <c r="J1418" s="59"/>
      <c r="K1418" s="59"/>
      <c r="L1418" s="59"/>
      <c r="M1418" s="59"/>
      <c r="N1418" s="59"/>
      <c r="O1418" s="59"/>
      <c r="P1418" s="59"/>
      <c r="Q1418" s="59"/>
      <c r="R1418" s="59"/>
      <c r="S1418" s="59"/>
      <c r="T1418" s="59"/>
      <c r="U1418" s="59"/>
      <c r="V1418" s="59"/>
      <c r="W1418" s="59"/>
      <c r="X1418" s="59"/>
      <c r="Y1418" s="59"/>
      <c r="Z1418" s="59"/>
      <c r="AA1418" s="59"/>
      <c r="AB1418" s="59"/>
      <c r="AC1418" s="59"/>
    </row>
    <row r="1419" spans="2:29" s="62" customFormat="1" ht="13.8" hidden="1" x14ac:dyDescent="0.25">
      <c r="B1419" s="59"/>
      <c r="C1419" s="59"/>
      <c r="D1419" s="59"/>
      <c r="E1419" s="59"/>
      <c r="F1419" s="59"/>
      <c r="G1419" s="59"/>
      <c r="H1419" s="59"/>
      <c r="I1419" s="59"/>
      <c r="J1419" s="59"/>
      <c r="K1419" s="59"/>
      <c r="L1419" s="59"/>
      <c r="M1419" s="59"/>
      <c r="N1419" s="59"/>
      <c r="O1419" s="59"/>
      <c r="P1419" s="59"/>
      <c r="Q1419" s="59"/>
      <c r="R1419" s="59"/>
      <c r="S1419" s="59"/>
      <c r="T1419" s="59"/>
      <c r="U1419" s="59"/>
      <c r="V1419" s="59"/>
      <c r="W1419" s="59"/>
      <c r="X1419" s="59"/>
      <c r="Y1419" s="59"/>
      <c r="Z1419" s="59"/>
      <c r="AA1419" s="59"/>
      <c r="AB1419" s="59"/>
      <c r="AC1419" s="59"/>
    </row>
    <row r="1420" spans="2:29" s="62" customFormat="1" ht="13.8" hidden="1" x14ac:dyDescent="0.25">
      <c r="B1420" s="59"/>
      <c r="C1420" s="59"/>
      <c r="D1420" s="59"/>
      <c r="E1420" s="59"/>
      <c r="F1420" s="59"/>
      <c r="G1420" s="59"/>
      <c r="H1420" s="59"/>
      <c r="I1420" s="59"/>
      <c r="J1420" s="59"/>
      <c r="K1420" s="59"/>
      <c r="L1420" s="59"/>
      <c r="M1420" s="59"/>
      <c r="N1420" s="59"/>
      <c r="O1420" s="59"/>
      <c r="P1420" s="59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</row>
    <row r="1421" spans="2:29" s="62" customFormat="1" ht="13.8" hidden="1" x14ac:dyDescent="0.25">
      <c r="B1421" s="59"/>
      <c r="C1421" s="59"/>
      <c r="D1421" s="59"/>
      <c r="E1421" s="59"/>
      <c r="F1421" s="59"/>
      <c r="G1421" s="59"/>
      <c r="H1421" s="59"/>
      <c r="I1421" s="59"/>
      <c r="J1421" s="59"/>
      <c r="K1421" s="59"/>
      <c r="L1421" s="59"/>
      <c r="M1421" s="59"/>
      <c r="N1421" s="59"/>
      <c r="O1421" s="59"/>
      <c r="P1421" s="59"/>
      <c r="Q1421" s="59"/>
      <c r="R1421" s="59"/>
      <c r="S1421" s="59"/>
      <c r="T1421" s="59"/>
      <c r="U1421" s="59"/>
      <c r="V1421" s="59"/>
      <c r="W1421" s="59"/>
      <c r="X1421" s="59"/>
      <c r="Y1421" s="59"/>
      <c r="Z1421" s="59"/>
      <c r="AA1421" s="59"/>
      <c r="AB1421" s="59"/>
      <c r="AC1421" s="59"/>
    </row>
    <row r="1422" spans="2:29" s="62" customFormat="1" ht="13.8" hidden="1" x14ac:dyDescent="0.25">
      <c r="B1422" s="59"/>
      <c r="C1422" s="59"/>
      <c r="D1422" s="59"/>
      <c r="E1422" s="59"/>
      <c r="F1422" s="59"/>
      <c r="G1422" s="59"/>
      <c r="H1422" s="59"/>
      <c r="I1422" s="59"/>
      <c r="J1422" s="59"/>
      <c r="K1422" s="59"/>
      <c r="L1422" s="59"/>
      <c r="M1422" s="59"/>
      <c r="N1422" s="59"/>
      <c r="O1422" s="59"/>
      <c r="P1422" s="59"/>
      <c r="Q1422" s="59"/>
      <c r="R1422" s="59"/>
      <c r="S1422" s="59"/>
      <c r="T1422" s="59"/>
      <c r="U1422" s="59"/>
      <c r="V1422" s="59"/>
      <c r="W1422" s="59"/>
      <c r="X1422" s="59"/>
      <c r="Y1422" s="59"/>
      <c r="Z1422" s="59"/>
      <c r="AA1422" s="59"/>
      <c r="AB1422" s="59"/>
      <c r="AC1422" s="59"/>
    </row>
    <row r="1423" spans="2:29" s="62" customFormat="1" ht="13.8" hidden="1" x14ac:dyDescent="0.25">
      <c r="B1423" s="59"/>
      <c r="C1423" s="59"/>
      <c r="D1423" s="59"/>
      <c r="E1423" s="59"/>
      <c r="F1423" s="59"/>
      <c r="G1423" s="59"/>
      <c r="H1423" s="59"/>
      <c r="I1423" s="59"/>
      <c r="J1423" s="59"/>
      <c r="K1423" s="59"/>
      <c r="L1423" s="59"/>
      <c r="M1423" s="59"/>
      <c r="N1423" s="59"/>
      <c r="O1423" s="59"/>
      <c r="P1423" s="59"/>
      <c r="Q1423" s="59"/>
      <c r="R1423" s="59"/>
      <c r="S1423" s="59"/>
      <c r="T1423" s="59"/>
      <c r="U1423" s="59"/>
      <c r="V1423" s="59"/>
      <c r="W1423" s="59"/>
      <c r="X1423" s="59"/>
      <c r="Y1423" s="59"/>
      <c r="Z1423" s="59"/>
      <c r="AA1423" s="59"/>
      <c r="AB1423" s="59"/>
      <c r="AC1423" s="59"/>
    </row>
    <row r="1424" spans="2:29" s="62" customFormat="1" ht="13.8" hidden="1" x14ac:dyDescent="0.25">
      <c r="B1424" s="59"/>
      <c r="C1424" s="59"/>
      <c r="D1424" s="59"/>
      <c r="E1424" s="59"/>
      <c r="F1424" s="59"/>
      <c r="G1424" s="59"/>
      <c r="H1424" s="59"/>
      <c r="I1424" s="59"/>
      <c r="J1424" s="59"/>
      <c r="K1424" s="59"/>
      <c r="L1424" s="59"/>
      <c r="M1424" s="59"/>
      <c r="N1424" s="59"/>
      <c r="O1424" s="59"/>
      <c r="P1424" s="59"/>
      <c r="Q1424" s="59"/>
      <c r="R1424" s="59"/>
      <c r="S1424" s="59"/>
      <c r="T1424" s="59"/>
      <c r="U1424" s="59"/>
      <c r="V1424" s="59"/>
      <c r="W1424" s="59"/>
      <c r="X1424" s="59"/>
      <c r="Y1424" s="59"/>
      <c r="Z1424" s="59"/>
      <c r="AA1424" s="59"/>
      <c r="AB1424" s="59"/>
      <c r="AC1424" s="59"/>
    </row>
    <row r="1425" spans="2:29" s="62" customFormat="1" ht="13.8" hidden="1" x14ac:dyDescent="0.25">
      <c r="B1425" s="59"/>
      <c r="C1425" s="59"/>
      <c r="D1425" s="59"/>
      <c r="E1425" s="59"/>
      <c r="F1425" s="59"/>
      <c r="G1425" s="59"/>
      <c r="H1425" s="59"/>
      <c r="I1425" s="59"/>
      <c r="J1425" s="59"/>
      <c r="K1425" s="59"/>
      <c r="L1425" s="59"/>
      <c r="M1425" s="59"/>
      <c r="N1425" s="59"/>
      <c r="O1425" s="59"/>
      <c r="P1425" s="59"/>
      <c r="Q1425" s="59"/>
      <c r="R1425" s="59"/>
      <c r="S1425" s="59"/>
      <c r="T1425" s="59"/>
      <c r="U1425" s="59"/>
      <c r="V1425" s="59"/>
      <c r="W1425" s="59"/>
      <c r="X1425" s="59"/>
      <c r="Y1425" s="59"/>
      <c r="Z1425" s="59"/>
      <c r="AA1425" s="59"/>
      <c r="AB1425" s="59"/>
      <c r="AC1425" s="59"/>
    </row>
    <row r="1426" spans="2:29" s="62" customFormat="1" ht="13.8" hidden="1" x14ac:dyDescent="0.25">
      <c r="B1426" s="59"/>
      <c r="C1426" s="59"/>
      <c r="D1426" s="59"/>
      <c r="E1426" s="59"/>
      <c r="F1426" s="59"/>
      <c r="G1426" s="59"/>
      <c r="H1426" s="59"/>
      <c r="I1426" s="59"/>
      <c r="J1426" s="59"/>
      <c r="K1426" s="59"/>
      <c r="L1426" s="59"/>
      <c r="M1426" s="59"/>
      <c r="N1426" s="59"/>
      <c r="O1426" s="59"/>
      <c r="P1426" s="59"/>
      <c r="Q1426" s="59"/>
      <c r="R1426" s="59"/>
      <c r="S1426" s="59"/>
      <c r="T1426" s="59"/>
      <c r="U1426" s="59"/>
      <c r="V1426" s="59"/>
      <c r="W1426" s="59"/>
      <c r="X1426" s="59"/>
      <c r="Y1426" s="59"/>
      <c r="Z1426" s="59"/>
      <c r="AA1426" s="59"/>
      <c r="AB1426" s="59"/>
      <c r="AC1426" s="59"/>
    </row>
    <row r="1427" spans="2:29" s="62" customFormat="1" ht="13.8" hidden="1" x14ac:dyDescent="0.25">
      <c r="B1427" s="59"/>
      <c r="C1427" s="59"/>
      <c r="D1427" s="59"/>
      <c r="E1427" s="59"/>
      <c r="F1427" s="59"/>
      <c r="G1427" s="59"/>
      <c r="H1427" s="59"/>
      <c r="I1427" s="59"/>
      <c r="J1427" s="59"/>
      <c r="K1427" s="59"/>
      <c r="L1427" s="59"/>
      <c r="M1427" s="59"/>
      <c r="N1427" s="59"/>
      <c r="O1427" s="59"/>
      <c r="P1427" s="59"/>
      <c r="Q1427" s="59"/>
      <c r="R1427" s="59"/>
      <c r="S1427" s="59"/>
      <c r="T1427" s="59"/>
      <c r="U1427" s="59"/>
      <c r="V1427" s="59"/>
      <c r="W1427" s="59"/>
      <c r="X1427" s="59"/>
      <c r="Y1427" s="59"/>
      <c r="Z1427" s="59"/>
      <c r="AA1427" s="59"/>
      <c r="AB1427" s="59"/>
      <c r="AC1427" s="59"/>
    </row>
    <row r="1428" spans="2:29" s="62" customFormat="1" ht="13.8" hidden="1" x14ac:dyDescent="0.25">
      <c r="B1428" s="59"/>
      <c r="C1428" s="59"/>
      <c r="D1428" s="59"/>
      <c r="E1428" s="59"/>
      <c r="F1428" s="59"/>
      <c r="G1428" s="59"/>
      <c r="H1428" s="59"/>
      <c r="I1428" s="59"/>
      <c r="J1428" s="59"/>
      <c r="K1428" s="59"/>
      <c r="L1428" s="59"/>
      <c r="M1428" s="59"/>
      <c r="N1428" s="59"/>
      <c r="O1428" s="59"/>
      <c r="P1428" s="59"/>
      <c r="Q1428" s="59"/>
      <c r="R1428" s="59"/>
      <c r="S1428" s="59"/>
      <c r="T1428" s="59"/>
      <c r="U1428" s="59"/>
      <c r="V1428" s="59"/>
      <c r="W1428" s="59"/>
      <c r="X1428" s="59"/>
      <c r="Y1428" s="59"/>
      <c r="Z1428" s="59"/>
      <c r="AA1428" s="59"/>
      <c r="AB1428" s="59"/>
      <c r="AC1428" s="59"/>
    </row>
    <row r="1429" spans="2:29" s="62" customFormat="1" ht="13.8" hidden="1" x14ac:dyDescent="0.25">
      <c r="B1429" s="59"/>
      <c r="C1429" s="59"/>
      <c r="D1429" s="59"/>
      <c r="E1429" s="59"/>
      <c r="F1429" s="59"/>
      <c r="G1429" s="59"/>
      <c r="H1429" s="59"/>
      <c r="I1429" s="59"/>
      <c r="J1429" s="59"/>
      <c r="K1429" s="59"/>
      <c r="L1429" s="59"/>
      <c r="M1429" s="59"/>
      <c r="N1429" s="59"/>
      <c r="O1429" s="59"/>
      <c r="P1429" s="59"/>
      <c r="Q1429" s="59"/>
      <c r="R1429" s="59"/>
      <c r="S1429" s="59"/>
      <c r="T1429" s="59"/>
      <c r="U1429" s="59"/>
      <c r="V1429" s="59"/>
      <c r="W1429" s="59"/>
      <c r="X1429" s="59"/>
      <c r="Y1429" s="59"/>
      <c r="Z1429" s="59"/>
      <c r="AA1429" s="59"/>
      <c r="AB1429" s="59"/>
      <c r="AC1429" s="59"/>
    </row>
    <row r="1430" spans="2:29" s="62" customFormat="1" ht="13.8" hidden="1" x14ac:dyDescent="0.25">
      <c r="B1430" s="59"/>
      <c r="C1430" s="59"/>
      <c r="D1430" s="59"/>
      <c r="E1430" s="59"/>
      <c r="F1430" s="59"/>
      <c r="G1430" s="59"/>
      <c r="H1430" s="59"/>
      <c r="I1430" s="59"/>
      <c r="J1430" s="59"/>
      <c r="K1430" s="59"/>
      <c r="L1430" s="59"/>
      <c r="M1430" s="59"/>
      <c r="N1430" s="59"/>
      <c r="O1430" s="59"/>
      <c r="P1430" s="59"/>
      <c r="Q1430" s="59"/>
      <c r="R1430" s="59"/>
      <c r="S1430" s="59"/>
      <c r="T1430" s="59"/>
      <c r="U1430" s="59"/>
      <c r="V1430" s="59"/>
      <c r="W1430" s="59"/>
      <c r="X1430" s="59"/>
      <c r="Y1430" s="59"/>
      <c r="Z1430" s="59"/>
      <c r="AA1430" s="59"/>
      <c r="AB1430" s="59"/>
      <c r="AC1430" s="59"/>
    </row>
    <row r="1431" spans="2:29" s="62" customFormat="1" ht="13.8" hidden="1" x14ac:dyDescent="0.25">
      <c r="B1431" s="59"/>
      <c r="C1431" s="59"/>
      <c r="D1431" s="59"/>
      <c r="E1431" s="59"/>
      <c r="F1431" s="59"/>
      <c r="G1431" s="59"/>
      <c r="H1431" s="59"/>
      <c r="I1431" s="59"/>
      <c r="J1431" s="59"/>
      <c r="K1431" s="59"/>
      <c r="L1431" s="59"/>
      <c r="M1431" s="59"/>
      <c r="N1431" s="59"/>
      <c r="O1431" s="59"/>
      <c r="P1431" s="59"/>
      <c r="Q1431" s="59"/>
      <c r="R1431" s="59"/>
      <c r="S1431" s="59"/>
      <c r="T1431" s="59"/>
      <c r="U1431" s="59"/>
      <c r="V1431" s="59"/>
      <c r="W1431" s="59"/>
      <c r="X1431" s="59"/>
      <c r="Y1431" s="59"/>
      <c r="Z1431" s="59"/>
      <c r="AA1431" s="59"/>
      <c r="AB1431" s="59"/>
      <c r="AC1431" s="59"/>
    </row>
    <row r="1432" spans="2:29" s="62" customFormat="1" ht="13.8" hidden="1" x14ac:dyDescent="0.25">
      <c r="B1432" s="59"/>
      <c r="C1432" s="59"/>
      <c r="D1432" s="59"/>
      <c r="E1432" s="59"/>
      <c r="F1432" s="59"/>
      <c r="G1432" s="59"/>
      <c r="H1432" s="59"/>
      <c r="I1432" s="59"/>
      <c r="J1432" s="59"/>
      <c r="K1432" s="59"/>
      <c r="L1432" s="59"/>
      <c r="M1432" s="59"/>
      <c r="N1432" s="59"/>
      <c r="O1432" s="59"/>
      <c r="P1432" s="59"/>
      <c r="Q1432" s="59"/>
      <c r="R1432" s="59"/>
      <c r="S1432" s="59"/>
      <c r="T1432" s="59"/>
      <c r="U1432" s="59"/>
      <c r="V1432" s="59"/>
      <c r="W1432" s="59"/>
      <c r="X1432" s="59"/>
      <c r="Y1432" s="59"/>
      <c r="Z1432" s="59"/>
      <c r="AA1432" s="59"/>
      <c r="AB1432" s="59"/>
      <c r="AC1432" s="59"/>
    </row>
    <row r="1433" spans="2:29" s="62" customFormat="1" ht="13.8" hidden="1" x14ac:dyDescent="0.25">
      <c r="B1433" s="59"/>
      <c r="C1433" s="59"/>
      <c r="D1433" s="59"/>
      <c r="E1433" s="59"/>
      <c r="F1433" s="59"/>
      <c r="G1433" s="59"/>
      <c r="H1433" s="59"/>
      <c r="I1433" s="59"/>
      <c r="J1433" s="59"/>
      <c r="K1433" s="59"/>
      <c r="L1433" s="59"/>
      <c r="M1433" s="59"/>
      <c r="N1433" s="59"/>
      <c r="O1433" s="59"/>
      <c r="P1433" s="59"/>
      <c r="Q1433" s="59"/>
      <c r="R1433" s="59"/>
      <c r="S1433" s="59"/>
      <c r="T1433" s="59"/>
      <c r="U1433" s="59"/>
      <c r="V1433" s="59"/>
      <c r="W1433" s="59"/>
      <c r="X1433" s="59"/>
      <c r="Y1433" s="59"/>
      <c r="Z1433" s="59"/>
      <c r="AA1433" s="59"/>
      <c r="AB1433" s="59"/>
      <c r="AC1433" s="59"/>
    </row>
    <row r="1434" spans="2:29" s="62" customFormat="1" ht="13.8" hidden="1" x14ac:dyDescent="0.25">
      <c r="B1434" s="59"/>
      <c r="C1434" s="59"/>
      <c r="D1434" s="59"/>
      <c r="E1434" s="59"/>
      <c r="F1434" s="59"/>
      <c r="G1434" s="59"/>
      <c r="H1434" s="59"/>
      <c r="I1434" s="59"/>
      <c r="J1434" s="59"/>
      <c r="K1434" s="59"/>
      <c r="L1434" s="59"/>
      <c r="M1434" s="59"/>
      <c r="N1434" s="59"/>
      <c r="O1434" s="59"/>
      <c r="P1434" s="59"/>
      <c r="Q1434" s="59"/>
      <c r="R1434" s="59"/>
      <c r="S1434" s="59"/>
      <c r="T1434" s="59"/>
      <c r="U1434" s="59"/>
      <c r="V1434" s="59"/>
      <c r="W1434" s="59"/>
      <c r="X1434" s="59"/>
      <c r="Y1434" s="59"/>
      <c r="Z1434" s="59"/>
      <c r="AA1434" s="59"/>
      <c r="AB1434" s="59"/>
      <c r="AC1434" s="59"/>
    </row>
    <row r="1435" spans="2:29" s="62" customFormat="1" ht="13.8" hidden="1" x14ac:dyDescent="0.25">
      <c r="B1435" s="59"/>
      <c r="C1435" s="59"/>
      <c r="D1435" s="59"/>
      <c r="E1435" s="59"/>
      <c r="F1435" s="59"/>
      <c r="G1435" s="59"/>
      <c r="H1435" s="59"/>
      <c r="I1435" s="59"/>
      <c r="J1435" s="59"/>
      <c r="K1435" s="59"/>
      <c r="L1435" s="59"/>
      <c r="M1435" s="59"/>
      <c r="N1435" s="59"/>
      <c r="O1435" s="59"/>
      <c r="P1435" s="59"/>
      <c r="Q1435" s="59"/>
      <c r="R1435" s="59"/>
      <c r="S1435" s="59"/>
      <c r="T1435" s="59"/>
      <c r="U1435" s="59"/>
      <c r="V1435" s="59"/>
      <c r="W1435" s="59"/>
      <c r="X1435" s="59"/>
      <c r="Y1435" s="59"/>
      <c r="Z1435" s="59"/>
      <c r="AA1435" s="59"/>
      <c r="AB1435" s="59"/>
      <c r="AC1435" s="59"/>
    </row>
    <row r="1436" spans="2:29" s="62" customFormat="1" ht="13.8" hidden="1" x14ac:dyDescent="0.25">
      <c r="B1436" s="59"/>
      <c r="C1436" s="59"/>
      <c r="D1436" s="59"/>
      <c r="E1436" s="59"/>
      <c r="F1436" s="59"/>
      <c r="G1436" s="59"/>
      <c r="H1436" s="59"/>
      <c r="I1436" s="59"/>
      <c r="J1436" s="59"/>
      <c r="K1436" s="59"/>
      <c r="L1436" s="59"/>
      <c r="M1436" s="59"/>
      <c r="N1436" s="59"/>
      <c r="O1436" s="59"/>
      <c r="P1436" s="59"/>
      <c r="Q1436" s="59"/>
      <c r="R1436" s="59"/>
      <c r="S1436" s="59"/>
      <c r="T1436" s="59"/>
      <c r="U1436" s="59"/>
      <c r="V1436" s="59"/>
      <c r="W1436" s="59"/>
      <c r="X1436" s="59"/>
      <c r="Y1436" s="59"/>
      <c r="Z1436" s="59"/>
      <c r="AA1436" s="59"/>
      <c r="AB1436" s="59"/>
      <c r="AC1436" s="59"/>
    </row>
    <row r="1437" spans="2:29" s="62" customFormat="1" ht="13.8" hidden="1" x14ac:dyDescent="0.25">
      <c r="B1437" s="59"/>
      <c r="C1437" s="59"/>
      <c r="D1437" s="59"/>
      <c r="E1437" s="59"/>
      <c r="F1437" s="59"/>
      <c r="G1437" s="59"/>
      <c r="H1437" s="59"/>
      <c r="I1437" s="59"/>
      <c r="J1437" s="59"/>
      <c r="K1437" s="59"/>
      <c r="L1437" s="59"/>
      <c r="M1437" s="59"/>
      <c r="N1437" s="59"/>
      <c r="O1437" s="59"/>
      <c r="P1437" s="59"/>
      <c r="Q1437" s="59"/>
      <c r="R1437" s="59"/>
      <c r="S1437" s="59"/>
      <c r="T1437" s="59"/>
      <c r="U1437" s="59"/>
      <c r="V1437" s="59"/>
      <c r="W1437" s="59"/>
      <c r="X1437" s="59"/>
      <c r="Y1437" s="59"/>
      <c r="Z1437" s="59"/>
      <c r="AA1437" s="59"/>
      <c r="AB1437" s="59"/>
      <c r="AC1437" s="59"/>
    </row>
    <row r="1438" spans="2:29" s="62" customFormat="1" ht="13.8" hidden="1" x14ac:dyDescent="0.25">
      <c r="B1438" s="59"/>
      <c r="C1438" s="59"/>
      <c r="D1438" s="59"/>
      <c r="E1438" s="59"/>
      <c r="F1438" s="59"/>
      <c r="G1438" s="59"/>
      <c r="H1438" s="59"/>
      <c r="I1438" s="59"/>
      <c r="J1438" s="59"/>
      <c r="K1438" s="59"/>
      <c r="L1438" s="59"/>
      <c r="M1438" s="59"/>
      <c r="N1438" s="59"/>
      <c r="O1438" s="59"/>
      <c r="P1438" s="59"/>
      <c r="Q1438" s="59"/>
      <c r="R1438" s="59"/>
      <c r="S1438" s="59"/>
      <c r="T1438" s="59"/>
      <c r="U1438" s="59"/>
      <c r="V1438" s="59"/>
      <c r="W1438" s="59"/>
      <c r="X1438" s="59"/>
      <c r="Y1438" s="59"/>
      <c r="Z1438" s="59"/>
      <c r="AA1438" s="59"/>
      <c r="AB1438" s="59"/>
      <c r="AC1438" s="59"/>
    </row>
    <row r="1439" spans="2:29" s="62" customFormat="1" ht="13.8" hidden="1" x14ac:dyDescent="0.25">
      <c r="B1439" s="59"/>
      <c r="C1439" s="59"/>
      <c r="D1439" s="59"/>
      <c r="E1439" s="59"/>
      <c r="F1439" s="59"/>
      <c r="G1439" s="59"/>
      <c r="H1439" s="59"/>
      <c r="I1439" s="59"/>
      <c r="J1439" s="59"/>
      <c r="K1439" s="59"/>
      <c r="L1439" s="59"/>
      <c r="M1439" s="59"/>
      <c r="N1439" s="59"/>
      <c r="O1439" s="59"/>
      <c r="P1439" s="59"/>
      <c r="Q1439" s="59"/>
      <c r="R1439" s="59"/>
      <c r="S1439" s="59"/>
      <c r="T1439" s="59"/>
      <c r="U1439" s="59"/>
      <c r="V1439" s="59"/>
      <c r="W1439" s="59"/>
      <c r="X1439" s="59"/>
      <c r="Y1439" s="59"/>
      <c r="Z1439" s="59"/>
      <c r="AA1439" s="59"/>
      <c r="AB1439" s="59"/>
      <c r="AC1439" s="59"/>
    </row>
    <row r="1440" spans="2:29" s="62" customFormat="1" ht="13.8" hidden="1" x14ac:dyDescent="0.25">
      <c r="B1440" s="59"/>
      <c r="C1440" s="59"/>
      <c r="D1440" s="59"/>
      <c r="E1440" s="59"/>
      <c r="F1440" s="59"/>
      <c r="G1440" s="59"/>
      <c r="H1440" s="59"/>
      <c r="I1440" s="59"/>
      <c r="J1440" s="59"/>
      <c r="K1440" s="59"/>
      <c r="L1440" s="59"/>
      <c r="M1440" s="59"/>
      <c r="N1440" s="59"/>
      <c r="O1440" s="59"/>
      <c r="P1440" s="59"/>
      <c r="Q1440" s="59"/>
      <c r="R1440" s="59"/>
      <c r="S1440" s="59"/>
      <c r="T1440" s="59"/>
      <c r="U1440" s="59"/>
      <c r="V1440" s="59"/>
      <c r="W1440" s="59"/>
      <c r="X1440" s="59"/>
      <c r="Y1440" s="59"/>
      <c r="Z1440" s="59"/>
      <c r="AA1440" s="59"/>
      <c r="AB1440" s="59"/>
      <c r="AC1440" s="59"/>
    </row>
    <row r="1441" spans="2:29" s="62" customFormat="1" ht="13.8" hidden="1" x14ac:dyDescent="0.25">
      <c r="B1441" s="59"/>
      <c r="C1441" s="59"/>
      <c r="D1441" s="59"/>
      <c r="E1441" s="59"/>
      <c r="F1441" s="59"/>
      <c r="G1441" s="59"/>
      <c r="H1441" s="59"/>
      <c r="I1441" s="59"/>
      <c r="J1441" s="59"/>
      <c r="K1441" s="59"/>
      <c r="L1441" s="59"/>
      <c r="M1441" s="59"/>
      <c r="N1441" s="59"/>
      <c r="O1441" s="59"/>
      <c r="P1441" s="59"/>
      <c r="Q1441" s="59"/>
      <c r="R1441" s="59"/>
      <c r="S1441" s="59"/>
      <c r="T1441" s="59"/>
      <c r="U1441" s="59"/>
      <c r="V1441" s="59"/>
      <c r="W1441" s="59"/>
      <c r="X1441" s="59"/>
      <c r="Y1441" s="59"/>
      <c r="Z1441" s="59"/>
      <c r="AA1441" s="59"/>
      <c r="AB1441" s="59"/>
      <c r="AC1441" s="59"/>
    </row>
    <row r="1442" spans="2:29" s="62" customFormat="1" ht="13.8" hidden="1" x14ac:dyDescent="0.25">
      <c r="B1442" s="59"/>
      <c r="C1442" s="59"/>
      <c r="D1442" s="59"/>
      <c r="E1442" s="59"/>
      <c r="F1442" s="59"/>
      <c r="G1442" s="59"/>
      <c r="H1442" s="59"/>
      <c r="I1442" s="59"/>
      <c r="J1442" s="59"/>
      <c r="K1442" s="59"/>
      <c r="L1442" s="59"/>
      <c r="M1442" s="59"/>
      <c r="N1442" s="59"/>
      <c r="O1442" s="59"/>
      <c r="P1442" s="59"/>
      <c r="Q1442" s="59"/>
      <c r="R1442" s="59"/>
      <c r="S1442" s="59"/>
      <c r="T1442" s="59"/>
      <c r="U1442" s="59"/>
      <c r="V1442" s="59"/>
      <c r="W1442" s="59"/>
      <c r="X1442" s="59"/>
      <c r="Y1442" s="59"/>
      <c r="Z1442" s="59"/>
      <c r="AA1442" s="59"/>
      <c r="AB1442" s="59"/>
      <c r="AC1442" s="59"/>
    </row>
    <row r="1443" spans="2:29" s="62" customFormat="1" ht="13.8" hidden="1" x14ac:dyDescent="0.25">
      <c r="B1443" s="59"/>
      <c r="C1443" s="59"/>
      <c r="D1443" s="59"/>
      <c r="E1443" s="59"/>
      <c r="F1443" s="59"/>
      <c r="G1443" s="59"/>
      <c r="H1443" s="59"/>
      <c r="I1443" s="59"/>
      <c r="J1443" s="59"/>
      <c r="K1443" s="59"/>
      <c r="L1443" s="59"/>
      <c r="M1443" s="59"/>
      <c r="N1443" s="59"/>
      <c r="O1443" s="59"/>
      <c r="P1443" s="59"/>
      <c r="Q1443" s="59"/>
      <c r="R1443" s="59"/>
      <c r="S1443" s="59"/>
      <c r="T1443" s="59"/>
      <c r="U1443" s="59"/>
      <c r="V1443" s="59"/>
      <c r="W1443" s="59"/>
      <c r="X1443" s="59"/>
      <c r="Y1443" s="59"/>
      <c r="Z1443" s="59"/>
      <c r="AA1443" s="59"/>
      <c r="AB1443" s="59"/>
      <c r="AC1443" s="59"/>
    </row>
    <row r="1444" spans="2:29" s="62" customFormat="1" ht="13.8" hidden="1" x14ac:dyDescent="0.25">
      <c r="B1444" s="59"/>
      <c r="C1444" s="59"/>
      <c r="D1444" s="59"/>
      <c r="E1444" s="59"/>
      <c r="F1444" s="59"/>
      <c r="G1444" s="59"/>
      <c r="H1444" s="59"/>
      <c r="I1444" s="59"/>
      <c r="J1444" s="59"/>
      <c r="K1444" s="59"/>
      <c r="L1444" s="59"/>
      <c r="M1444" s="59"/>
      <c r="N1444" s="59"/>
      <c r="O1444" s="59"/>
      <c r="P1444" s="59"/>
      <c r="Q1444" s="59"/>
      <c r="R1444" s="59"/>
      <c r="S1444" s="59"/>
      <c r="T1444" s="59"/>
      <c r="U1444" s="59"/>
      <c r="V1444" s="59"/>
      <c r="W1444" s="59"/>
      <c r="X1444" s="59"/>
      <c r="Y1444" s="59"/>
      <c r="Z1444" s="59"/>
      <c r="AA1444" s="59"/>
      <c r="AB1444" s="59"/>
      <c r="AC1444" s="59"/>
    </row>
    <row r="1445" spans="2:29" s="62" customFormat="1" ht="13.8" hidden="1" x14ac:dyDescent="0.25">
      <c r="B1445" s="59"/>
      <c r="C1445" s="59"/>
      <c r="D1445" s="59"/>
      <c r="E1445" s="59"/>
      <c r="F1445" s="59"/>
      <c r="G1445" s="59"/>
      <c r="H1445" s="59"/>
      <c r="I1445" s="59"/>
      <c r="J1445" s="59"/>
      <c r="K1445" s="59"/>
      <c r="L1445" s="59"/>
      <c r="M1445" s="59"/>
      <c r="N1445" s="59"/>
      <c r="O1445" s="59"/>
      <c r="P1445" s="59"/>
      <c r="Q1445" s="59"/>
      <c r="R1445" s="59"/>
      <c r="S1445" s="59"/>
      <c r="T1445" s="59"/>
      <c r="U1445" s="59"/>
      <c r="V1445" s="59"/>
      <c r="W1445" s="59"/>
      <c r="X1445" s="59"/>
      <c r="Y1445" s="59"/>
      <c r="Z1445" s="59"/>
      <c r="AA1445" s="59"/>
      <c r="AB1445" s="59"/>
      <c r="AC1445" s="59"/>
    </row>
    <row r="1446" spans="2:29" s="62" customFormat="1" ht="13.8" hidden="1" x14ac:dyDescent="0.25">
      <c r="B1446" s="59"/>
      <c r="C1446" s="59"/>
      <c r="D1446" s="59"/>
      <c r="E1446" s="59"/>
      <c r="F1446" s="59"/>
      <c r="G1446" s="59"/>
      <c r="H1446" s="59"/>
      <c r="I1446" s="59"/>
      <c r="J1446" s="59"/>
      <c r="K1446" s="59"/>
      <c r="L1446" s="59"/>
      <c r="M1446" s="59"/>
      <c r="N1446" s="59"/>
      <c r="O1446" s="59"/>
      <c r="P1446" s="59"/>
      <c r="Q1446" s="59"/>
      <c r="R1446" s="59"/>
      <c r="S1446" s="59"/>
      <c r="T1446" s="59"/>
      <c r="U1446" s="59"/>
      <c r="V1446" s="59"/>
      <c r="W1446" s="59"/>
      <c r="X1446" s="59"/>
      <c r="Y1446" s="59"/>
      <c r="Z1446" s="59"/>
      <c r="AA1446" s="59"/>
      <c r="AB1446" s="59"/>
      <c r="AC1446" s="59"/>
    </row>
    <row r="1447" spans="2:29" s="62" customFormat="1" ht="13.8" hidden="1" x14ac:dyDescent="0.25">
      <c r="B1447" s="59"/>
      <c r="C1447" s="59"/>
      <c r="D1447" s="59"/>
      <c r="E1447" s="59"/>
      <c r="F1447" s="59"/>
      <c r="G1447" s="59"/>
      <c r="H1447" s="59"/>
      <c r="I1447" s="59"/>
      <c r="J1447" s="59"/>
      <c r="K1447" s="59"/>
      <c r="L1447" s="59"/>
      <c r="M1447" s="59"/>
      <c r="N1447" s="59"/>
      <c r="O1447" s="59"/>
      <c r="P1447" s="59"/>
      <c r="Q1447" s="59"/>
      <c r="R1447" s="59"/>
      <c r="S1447" s="59"/>
      <c r="T1447" s="59"/>
      <c r="U1447" s="59"/>
      <c r="V1447" s="59"/>
      <c r="W1447" s="59"/>
      <c r="X1447" s="59"/>
      <c r="Y1447" s="59"/>
      <c r="Z1447" s="59"/>
      <c r="AA1447" s="59"/>
      <c r="AB1447" s="59"/>
      <c r="AC1447" s="59"/>
    </row>
    <row r="1448" spans="2:29" s="62" customFormat="1" ht="13.8" hidden="1" x14ac:dyDescent="0.25">
      <c r="B1448" s="59"/>
      <c r="C1448" s="59"/>
      <c r="D1448" s="59"/>
      <c r="E1448" s="59"/>
      <c r="F1448" s="59"/>
      <c r="G1448" s="59"/>
      <c r="H1448" s="59"/>
      <c r="I1448" s="59"/>
      <c r="J1448" s="59"/>
      <c r="K1448" s="59"/>
      <c r="L1448" s="59"/>
      <c r="M1448" s="59"/>
      <c r="N1448" s="59"/>
      <c r="O1448" s="59"/>
      <c r="P1448" s="59"/>
      <c r="Q1448" s="59"/>
      <c r="R1448" s="59"/>
      <c r="S1448" s="59"/>
      <c r="T1448" s="59"/>
      <c r="U1448" s="59"/>
      <c r="V1448" s="59"/>
      <c r="W1448" s="59"/>
      <c r="X1448" s="59"/>
      <c r="Y1448" s="59"/>
      <c r="Z1448" s="59"/>
      <c r="AA1448" s="59"/>
      <c r="AB1448" s="59"/>
      <c r="AC1448" s="59"/>
    </row>
    <row r="1449" spans="2:29" s="62" customFormat="1" ht="13.8" hidden="1" x14ac:dyDescent="0.25">
      <c r="B1449" s="59"/>
      <c r="C1449" s="59"/>
      <c r="D1449" s="59"/>
      <c r="E1449" s="59"/>
      <c r="F1449" s="59"/>
      <c r="G1449" s="59"/>
      <c r="H1449" s="59"/>
      <c r="I1449" s="59"/>
      <c r="J1449" s="59"/>
      <c r="K1449" s="59"/>
      <c r="L1449" s="59"/>
      <c r="M1449" s="59"/>
      <c r="N1449" s="59"/>
      <c r="O1449" s="59"/>
      <c r="P1449" s="59"/>
      <c r="Q1449" s="59"/>
      <c r="R1449" s="59"/>
      <c r="S1449" s="59"/>
      <c r="T1449" s="59"/>
      <c r="U1449" s="59"/>
      <c r="V1449" s="59"/>
      <c r="W1449" s="59"/>
      <c r="X1449" s="59"/>
      <c r="Y1449" s="59"/>
      <c r="Z1449" s="59"/>
      <c r="AA1449" s="59"/>
      <c r="AB1449" s="59"/>
      <c r="AC1449" s="59"/>
    </row>
    <row r="1450" spans="2:29" s="62" customFormat="1" ht="13.8" hidden="1" x14ac:dyDescent="0.25">
      <c r="B1450" s="59"/>
      <c r="C1450" s="59"/>
      <c r="D1450" s="59"/>
      <c r="E1450" s="59"/>
      <c r="F1450" s="59"/>
      <c r="G1450" s="59"/>
      <c r="H1450" s="59"/>
      <c r="I1450" s="59"/>
      <c r="J1450" s="59"/>
      <c r="K1450" s="59"/>
      <c r="L1450" s="59"/>
      <c r="M1450" s="59"/>
      <c r="N1450" s="59"/>
      <c r="O1450" s="59"/>
      <c r="P1450" s="59"/>
      <c r="Q1450" s="59"/>
      <c r="R1450" s="59"/>
      <c r="S1450" s="59"/>
      <c r="T1450" s="59"/>
      <c r="U1450" s="59"/>
      <c r="V1450" s="59"/>
      <c r="W1450" s="59"/>
      <c r="X1450" s="59"/>
      <c r="Y1450" s="59"/>
      <c r="Z1450" s="59"/>
      <c r="AA1450" s="59"/>
      <c r="AB1450" s="59"/>
      <c r="AC1450" s="59"/>
    </row>
    <row r="1451" spans="2:29" s="62" customFormat="1" ht="13.8" hidden="1" x14ac:dyDescent="0.25">
      <c r="B1451" s="59"/>
      <c r="C1451" s="59"/>
      <c r="D1451" s="59"/>
      <c r="E1451" s="59"/>
      <c r="F1451" s="59"/>
      <c r="G1451" s="59"/>
      <c r="H1451" s="59"/>
      <c r="I1451" s="59"/>
      <c r="J1451" s="59"/>
      <c r="K1451" s="59"/>
      <c r="L1451" s="59"/>
      <c r="M1451" s="59"/>
      <c r="N1451" s="59"/>
      <c r="O1451" s="59"/>
      <c r="P1451" s="59"/>
      <c r="Q1451" s="59"/>
      <c r="R1451" s="59"/>
      <c r="S1451" s="59"/>
      <c r="T1451" s="59"/>
      <c r="U1451" s="59"/>
      <c r="V1451" s="59"/>
      <c r="W1451" s="59"/>
      <c r="X1451" s="59"/>
      <c r="Y1451" s="59"/>
      <c r="Z1451" s="59"/>
      <c r="AA1451" s="59"/>
      <c r="AB1451" s="59"/>
      <c r="AC1451" s="59"/>
    </row>
    <row r="1452" spans="2:29" s="62" customFormat="1" ht="13.8" hidden="1" x14ac:dyDescent="0.25">
      <c r="B1452" s="59"/>
      <c r="C1452" s="59"/>
      <c r="D1452" s="59"/>
      <c r="E1452" s="59"/>
      <c r="F1452" s="59"/>
      <c r="G1452" s="59"/>
      <c r="H1452" s="59"/>
      <c r="I1452" s="59"/>
      <c r="J1452" s="59"/>
      <c r="K1452" s="59"/>
      <c r="L1452" s="59"/>
      <c r="M1452" s="59"/>
      <c r="N1452" s="59"/>
      <c r="O1452" s="59"/>
      <c r="P1452" s="59"/>
      <c r="Q1452" s="59"/>
      <c r="R1452" s="59"/>
      <c r="S1452" s="59"/>
      <c r="T1452" s="59"/>
      <c r="U1452" s="59"/>
      <c r="V1452" s="59"/>
      <c r="W1452" s="59"/>
      <c r="X1452" s="59"/>
      <c r="Y1452" s="59"/>
      <c r="Z1452" s="59"/>
      <c r="AA1452" s="59"/>
      <c r="AB1452" s="59"/>
      <c r="AC1452" s="59"/>
    </row>
    <row r="1453" spans="2:29" s="62" customFormat="1" ht="13.8" hidden="1" x14ac:dyDescent="0.25">
      <c r="B1453" s="59"/>
      <c r="C1453" s="59"/>
      <c r="D1453" s="59"/>
      <c r="E1453" s="59"/>
      <c r="F1453" s="59"/>
      <c r="G1453" s="59"/>
      <c r="H1453" s="59"/>
      <c r="I1453" s="59"/>
      <c r="J1453" s="59"/>
      <c r="K1453" s="59"/>
      <c r="L1453" s="59"/>
      <c r="M1453" s="59"/>
      <c r="N1453" s="59"/>
      <c r="O1453" s="59"/>
      <c r="P1453" s="59"/>
      <c r="Q1453" s="59"/>
      <c r="R1453" s="59"/>
      <c r="S1453" s="59"/>
      <c r="T1453" s="59"/>
      <c r="U1453" s="59"/>
      <c r="V1453" s="59"/>
      <c r="W1453" s="59"/>
      <c r="X1453" s="59"/>
      <c r="Y1453" s="59"/>
      <c r="Z1453" s="59"/>
      <c r="AA1453" s="59"/>
      <c r="AB1453" s="59"/>
      <c r="AC1453" s="59"/>
    </row>
    <row r="1454" spans="2:29" s="62" customFormat="1" ht="13.8" hidden="1" x14ac:dyDescent="0.25">
      <c r="B1454" s="59"/>
      <c r="C1454" s="59"/>
      <c r="D1454" s="59"/>
      <c r="E1454" s="59"/>
      <c r="F1454" s="59"/>
      <c r="G1454" s="59"/>
      <c r="H1454" s="59"/>
      <c r="I1454" s="59"/>
      <c r="J1454" s="59"/>
      <c r="K1454" s="59"/>
      <c r="L1454" s="59"/>
      <c r="M1454" s="59"/>
      <c r="N1454" s="59"/>
      <c r="O1454" s="59"/>
      <c r="P1454" s="59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  <c r="AA1454" s="59"/>
      <c r="AB1454" s="59"/>
      <c r="AC1454" s="59"/>
    </row>
    <row r="1455" spans="2:29" s="62" customFormat="1" ht="13.8" hidden="1" x14ac:dyDescent="0.25">
      <c r="B1455" s="59"/>
      <c r="C1455" s="59"/>
      <c r="D1455" s="59"/>
      <c r="E1455" s="59"/>
      <c r="F1455" s="59"/>
      <c r="G1455" s="59"/>
      <c r="H1455" s="59"/>
      <c r="I1455" s="59"/>
      <c r="J1455" s="59"/>
      <c r="K1455" s="59"/>
      <c r="L1455" s="59"/>
      <c r="M1455" s="59"/>
      <c r="N1455" s="59"/>
      <c r="O1455" s="59"/>
      <c r="P1455" s="59"/>
      <c r="Q1455" s="59"/>
      <c r="R1455" s="59"/>
      <c r="S1455" s="59"/>
      <c r="T1455" s="59"/>
      <c r="U1455" s="59"/>
      <c r="V1455" s="59"/>
      <c r="W1455" s="59"/>
      <c r="X1455" s="59"/>
      <c r="Y1455" s="59"/>
      <c r="Z1455" s="59"/>
      <c r="AA1455" s="59"/>
      <c r="AB1455" s="59"/>
      <c r="AC1455" s="59"/>
    </row>
    <row r="1456" spans="2:29" s="62" customFormat="1" ht="13.8" hidden="1" x14ac:dyDescent="0.25">
      <c r="B1456" s="59"/>
      <c r="C1456" s="59"/>
      <c r="D1456" s="59"/>
      <c r="E1456" s="59"/>
      <c r="F1456" s="59"/>
      <c r="G1456" s="59"/>
      <c r="H1456" s="59"/>
      <c r="I1456" s="59"/>
      <c r="J1456" s="59"/>
      <c r="K1456" s="59"/>
      <c r="L1456" s="59"/>
      <c r="M1456" s="59"/>
      <c r="N1456" s="59"/>
      <c r="O1456" s="59"/>
      <c r="P1456" s="59"/>
      <c r="Q1456" s="59"/>
      <c r="R1456" s="59"/>
      <c r="S1456" s="59"/>
      <c r="T1456" s="59"/>
      <c r="U1456" s="59"/>
      <c r="V1456" s="59"/>
      <c r="W1456" s="59"/>
      <c r="X1456" s="59"/>
      <c r="Y1456" s="59"/>
      <c r="Z1456" s="59"/>
      <c r="AA1456" s="59"/>
      <c r="AB1456" s="59"/>
      <c r="AC1456" s="59"/>
    </row>
    <row r="1457" spans="2:29" s="62" customFormat="1" ht="13.8" hidden="1" x14ac:dyDescent="0.25">
      <c r="B1457" s="59"/>
      <c r="C1457" s="59"/>
      <c r="D1457" s="59"/>
      <c r="E1457" s="59"/>
      <c r="F1457" s="59"/>
      <c r="G1457" s="59"/>
      <c r="H1457" s="59"/>
      <c r="I1457" s="59"/>
      <c r="J1457" s="59"/>
      <c r="K1457" s="59"/>
      <c r="L1457" s="59"/>
      <c r="M1457" s="59"/>
      <c r="N1457" s="59"/>
      <c r="O1457" s="59"/>
      <c r="P1457" s="59"/>
      <c r="Q1457" s="59"/>
      <c r="R1457" s="59"/>
      <c r="S1457" s="59"/>
      <c r="T1457" s="59"/>
      <c r="U1457" s="59"/>
      <c r="V1457" s="59"/>
      <c r="W1457" s="59"/>
      <c r="X1457" s="59"/>
      <c r="Y1457" s="59"/>
      <c r="Z1457" s="59"/>
      <c r="AA1457" s="59"/>
      <c r="AB1457" s="59"/>
      <c r="AC1457" s="59"/>
    </row>
    <row r="1458" spans="2:29" s="62" customFormat="1" ht="13.8" hidden="1" x14ac:dyDescent="0.25">
      <c r="B1458" s="59"/>
      <c r="C1458" s="59"/>
      <c r="D1458" s="59"/>
      <c r="E1458" s="59"/>
      <c r="F1458" s="59"/>
      <c r="G1458" s="59"/>
      <c r="H1458" s="59"/>
      <c r="I1458" s="59"/>
      <c r="J1458" s="59"/>
      <c r="K1458" s="59"/>
      <c r="L1458" s="59"/>
      <c r="M1458" s="59"/>
      <c r="N1458" s="59"/>
      <c r="O1458" s="59"/>
      <c r="P1458" s="59"/>
      <c r="Q1458" s="59"/>
      <c r="R1458" s="59"/>
      <c r="S1458" s="59"/>
      <c r="T1458" s="59"/>
      <c r="U1458" s="59"/>
      <c r="V1458" s="59"/>
      <c r="W1458" s="59"/>
      <c r="X1458" s="59"/>
      <c r="Y1458" s="59"/>
      <c r="Z1458" s="59"/>
      <c r="AA1458" s="59"/>
      <c r="AB1458" s="59"/>
      <c r="AC1458" s="59"/>
    </row>
    <row r="1459" spans="2:29" s="62" customFormat="1" ht="13.8" hidden="1" x14ac:dyDescent="0.25">
      <c r="B1459" s="59"/>
      <c r="C1459" s="59"/>
      <c r="D1459" s="59"/>
      <c r="E1459" s="59"/>
      <c r="F1459" s="59"/>
      <c r="G1459" s="59"/>
      <c r="H1459" s="59"/>
      <c r="I1459" s="59"/>
      <c r="J1459" s="59"/>
      <c r="K1459" s="59"/>
      <c r="L1459" s="59"/>
      <c r="M1459" s="59"/>
      <c r="N1459" s="59"/>
      <c r="O1459" s="59"/>
      <c r="P1459" s="59"/>
      <c r="Q1459" s="59"/>
      <c r="R1459" s="59"/>
      <c r="S1459" s="59"/>
      <c r="T1459" s="59"/>
      <c r="U1459" s="59"/>
      <c r="V1459" s="59"/>
      <c r="W1459" s="59"/>
      <c r="X1459" s="59"/>
      <c r="Y1459" s="59"/>
      <c r="Z1459" s="59"/>
      <c r="AA1459" s="59"/>
      <c r="AB1459" s="59"/>
      <c r="AC1459" s="59"/>
    </row>
    <row r="1460" spans="2:29" s="62" customFormat="1" ht="13.8" hidden="1" x14ac:dyDescent="0.25">
      <c r="B1460" s="59"/>
      <c r="C1460" s="59"/>
      <c r="D1460" s="59"/>
      <c r="E1460" s="59"/>
      <c r="F1460" s="59"/>
      <c r="G1460" s="59"/>
      <c r="H1460" s="59"/>
      <c r="I1460" s="59"/>
      <c r="J1460" s="59"/>
      <c r="K1460" s="59"/>
      <c r="L1460" s="59"/>
      <c r="M1460" s="59"/>
      <c r="N1460" s="59"/>
      <c r="O1460" s="59"/>
      <c r="P1460" s="59"/>
      <c r="Q1460" s="59"/>
      <c r="R1460" s="59"/>
      <c r="S1460" s="59"/>
      <c r="T1460" s="59"/>
      <c r="U1460" s="59"/>
      <c r="V1460" s="59"/>
      <c r="W1460" s="59"/>
      <c r="X1460" s="59"/>
      <c r="Y1460" s="59"/>
      <c r="Z1460" s="59"/>
      <c r="AA1460" s="59"/>
      <c r="AB1460" s="59"/>
      <c r="AC1460" s="59"/>
    </row>
    <row r="1461" spans="2:29" s="62" customFormat="1" ht="13.8" hidden="1" x14ac:dyDescent="0.25">
      <c r="B1461" s="59"/>
      <c r="C1461" s="59"/>
      <c r="D1461" s="59"/>
      <c r="E1461" s="59"/>
      <c r="F1461" s="59"/>
      <c r="G1461" s="59"/>
      <c r="H1461" s="59"/>
      <c r="I1461" s="59"/>
      <c r="J1461" s="59"/>
      <c r="K1461" s="59"/>
      <c r="L1461" s="59"/>
      <c r="M1461" s="59"/>
      <c r="N1461" s="59"/>
      <c r="O1461" s="59"/>
      <c r="P1461" s="59"/>
      <c r="Q1461" s="59"/>
      <c r="R1461" s="59"/>
      <c r="S1461" s="59"/>
      <c r="T1461" s="59"/>
      <c r="U1461" s="59"/>
      <c r="V1461" s="59"/>
      <c r="W1461" s="59"/>
      <c r="X1461" s="59"/>
      <c r="Y1461" s="59"/>
      <c r="Z1461" s="59"/>
      <c r="AA1461" s="59"/>
      <c r="AB1461" s="59"/>
      <c r="AC1461" s="59"/>
    </row>
    <row r="1462" spans="2:29" s="62" customFormat="1" ht="13.8" hidden="1" x14ac:dyDescent="0.25">
      <c r="B1462" s="59"/>
      <c r="C1462" s="59"/>
      <c r="D1462" s="59"/>
      <c r="E1462" s="59"/>
      <c r="F1462" s="59"/>
      <c r="G1462" s="59"/>
      <c r="H1462" s="59"/>
      <c r="I1462" s="59"/>
      <c r="J1462" s="59"/>
      <c r="K1462" s="59"/>
      <c r="L1462" s="59"/>
      <c r="M1462" s="59"/>
      <c r="N1462" s="59"/>
      <c r="O1462" s="59"/>
      <c r="P1462" s="59"/>
      <c r="Q1462" s="59"/>
      <c r="R1462" s="59"/>
      <c r="S1462" s="59"/>
      <c r="T1462" s="59"/>
      <c r="U1462" s="59"/>
      <c r="V1462" s="59"/>
      <c r="W1462" s="59"/>
      <c r="X1462" s="59"/>
      <c r="Y1462" s="59"/>
      <c r="Z1462" s="59"/>
      <c r="AA1462" s="59"/>
      <c r="AB1462" s="59"/>
      <c r="AC1462" s="59"/>
    </row>
    <row r="1463" spans="2:29" s="62" customFormat="1" ht="13.8" hidden="1" x14ac:dyDescent="0.25">
      <c r="B1463" s="59"/>
      <c r="C1463" s="59"/>
      <c r="D1463" s="59"/>
      <c r="E1463" s="59"/>
      <c r="F1463" s="59"/>
      <c r="G1463" s="59"/>
      <c r="H1463" s="59"/>
      <c r="I1463" s="59"/>
      <c r="J1463" s="59"/>
      <c r="K1463" s="59"/>
      <c r="L1463" s="59"/>
      <c r="M1463" s="59"/>
      <c r="N1463" s="59"/>
      <c r="O1463" s="59"/>
      <c r="P1463" s="59"/>
      <c r="Q1463" s="59"/>
      <c r="R1463" s="59"/>
      <c r="S1463" s="59"/>
      <c r="T1463" s="59"/>
      <c r="U1463" s="59"/>
      <c r="V1463" s="59"/>
      <c r="W1463" s="59"/>
      <c r="X1463" s="59"/>
      <c r="Y1463" s="59"/>
      <c r="Z1463" s="59"/>
      <c r="AA1463" s="59"/>
      <c r="AB1463" s="59"/>
      <c r="AC1463" s="59"/>
    </row>
    <row r="1464" spans="2:29" s="62" customFormat="1" ht="13.8" hidden="1" x14ac:dyDescent="0.25">
      <c r="B1464" s="59"/>
      <c r="C1464" s="59"/>
      <c r="D1464" s="59"/>
      <c r="E1464" s="59"/>
      <c r="F1464" s="59"/>
      <c r="G1464" s="59"/>
      <c r="H1464" s="59"/>
      <c r="I1464" s="59"/>
      <c r="J1464" s="59"/>
      <c r="K1464" s="59"/>
      <c r="L1464" s="59"/>
      <c r="M1464" s="59"/>
      <c r="N1464" s="59"/>
      <c r="O1464" s="59"/>
      <c r="P1464" s="59"/>
      <c r="Q1464" s="59"/>
      <c r="R1464" s="59"/>
      <c r="S1464" s="59"/>
      <c r="T1464" s="59"/>
      <c r="U1464" s="59"/>
      <c r="V1464" s="59"/>
      <c r="W1464" s="59"/>
      <c r="X1464" s="59"/>
      <c r="Y1464" s="59"/>
      <c r="Z1464" s="59"/>
      <c r="AA1464" s="59"/>
      <c r="AB1464" s="59"/>
      <c r="AC1464" s="59"/>
    </row>
    <row r="1465" spans="2:29" s="62" customFormat="1" ht="13.8" hidden="1" x14ac:dyDescent="0.25">
      <c r="B1465" s="59"/>
      <c r="C1465" s="59"/>
      <c r="D1465" s="59"/>
      <c r="E1465" s="59"/>
      <c r="F1465" s="59"/>
      <c r="G1465" s="59"/>
      <c r="H1465" s="59"/>
      <c r="I1465" s="59"/>
      <c r="J1465" s="59"/>
      <c r="K1465" s="59"/>
      <c r="L1465" s="59"/>
      <c r="M1465" s="59"/>
      <c r="N1465" s="59"/>
      <c r="O1465" s="59"/>
      <c r="P1465" s="59"/>
      <c r="Q1465" s="59"/>
      <c r="R1465" s="59"/>
      <c r="S1465" s="59"/>
      <c r="T1465" s="59"/>
      <c r="U1465" s="59"/>
      <c r="V1465" s="59"/>
      <c r="W1465" s="59"/>
      <c r="X1465" s="59"/>
      <c r="Y1465" s="59"/>
      <c r="Z1465" s="59"/>
      <c r="AA1465" s="59"/>
      <c r="AB1465" s="59"/>
      <c r="AC1465" s="59"/>
    </row>
    <row r="1466" spans="2:29" s="62" customFormat="1" ht="13.8" hidden="1" x14ac:dyDescent="0.25">
      <c r="B1466" s="59"/>
      <c r="C1466" s="59"/>
      <c r="D1466" s="59"/>
      <c r="E1466" s="59"/>
      <c r="F1466" s="59"/>
      <c r="G1466" s="59"/>
      <c r="H1466" s="59"/>
      <c r="I1466" s="59"/>
      <c r="J1466" s="59"/>
      <c r="K1466" s="59"/>
      <c r="L1466" s="59"/>
      <c r="M1466" s="59"/>
      <c r="N1466" s="59"/>
      <c r="O1466" s="59"/>
      <c r="P1466" s="59"/>
      <c r="Q1466" s="59"/>
      <c r="R1466" s="59"/>
      <c r="S1466" s="59"/>
      <c r="T1466" s="59"/>
      <c r="U1466" s="59"/>
      <c r="V1466" s="59"/>
      <c r="W1466" s="59"/>
      <c r="X1466" s="59"/>
      <c r="Y1466" s="59"/>
      <c r="Z1466" s="59"/>
      <c r="AA1466" s="59"/>
      <c r="AB1466" s="59"/>
      <c r="AC1466" s="59"/>
    </row>
    <row r="1467" spans="2:29" s="62" customFormat="1" ht="13.8" hidden="1" x14ac:dyDescent="0.25">
      <c r="B1467" s="59"/>
      <c r="C1467" s="59"/>
      <c r="D1467" s="59"/>
      <c r="E1467" s="59"/>
      <c r="F1467" s="59"/>
      <c r="G1467" s="59"/>
      <c r="H1467" s="59"/>
      <c r="I1467" s="59"/>
      <c r="J1467" s="59"/>
      <c r="K1467" s="59"/>
      <c r="L1467" s="59"/>
      <c r="M1467" s="59"/>
      <c r="N1467" s="59"/>
      <c r="O1467" s="59"/>
      <c r="P1467" s="59"/>
      <c r="Q1467" s="59"/>
      <c r="R1467" s="59"/>
      <c r="S1467" s="59"/>
      <c r="T1467" s="59"/>
      <c r="U1467" s="59"/>
      <c r="V1467" s="59"/>
      <c r="W1467" s="59"/>
      <c r="X1467" s="59"/>
      <c r="Y1467" s="59"/>
      <c r="Z1467" s="59"/>
      <c r="AA1467" s="59"/>
      <c r="AB1467" s="59"/>
      <c r="AC1467" s="59"/>
    </row>
    <row r="1468" spans="2:29" s="62" customFormat="1" ht="13.8" hidden="1" x14ac:dyDescent="0.25">
      <c r="B1468" s="59"/>
      <c r="C1468" s="59"/>
      <c r="D1468" s="59"/>
      <c r="E1468" s="59"/>
      <c r="F1468" s="59"/>
      <c r="G1468" s="59"/>
      <c r="H1468" s="59"/>
      <c r="I1468" s="59"/>
      <c r="J1468" s="59"/>
      <c r="K1468" s="59"/>
      <c r="L1468" s="59"/>
      <c r="M1468" s="59"/>
      <c r="N1468" s="59"/>
      <c r="O1468" s="59"/>
      <c r="P1468" s="59"/>
      <c r="Q1468" s="59"/>
      <c r="R1468" s="59"/>
      <c r="S1468" s="59"/>
      <c r="T1468" s="59"/>
      <c r="U1468" s="59"/>
      <c r="V1468" s="59"/>
      <c r="W1468" s="59"/>
      <c r="X1468" s="59"/>
      <c r="Y1468" s="59"/>
      <c r="Z1468" s="59"/>
      <c r="AA1468" s="59"/>
      <c r="AB1468" s="59"/>
      <c r="AC1468" s="59"/>
    </row>
    <row r="1469" spans="2:29" s="62" customFormat="1" ht="13.8" hidden="1" x14ac:dyDescent="0.25">
      <c r="B1469" s="59"/>
      <c r="C1469" s="59"/>
      <c r="D1469" s="59"/>
      <c r="E1469" s="59"/>
      <c r="F1469" s="59"/>
      <c r="G1469" s="59"/>
      <c r="H1469" s="59"/>
      <c r="I1469" s="59"/>
      <c r="J1469" s="59"/>
      <c r="K1469" s="59"/>
      <c r="L1469" s="59"/>
      <c r="M1469" s="59"/>
      <c r="N1469" s="59"/>
      <c r="O1469" s="59"/>
      <c r="P1469" s="59"/>
      <c r="Q1469" s="59"/>
      <c r="R1469" s="59"/>
      <c r="S1469" s="59"/>
      <c r="T1469" s="59"/>
      <c r="U1469" s="59"/>
      <c r="V1469" s="59"/>
      <c r="W1469" s="59"/>
      <c r="X1469" s="59"/>
      <c r="Y1469" s="59"/>
      <c r="Z1469" s="59"/>
      <c r="AA1469" s="59"/>
      <c r="AB1469" s="59"/>
      <c r="AC1469" s="59"/>
    </row>
    <row r="1470" spans="2:29" s="62" customFormat="1" ht="13.8" hidden="1" x14ac:dyDescent="0.25">
      <c r="B1470" s="59"/>
      <c r="C1470" s="59"/>
      <c r="D1470" s="59"/>
      <c r="E1470" s="59"/>
      <c r="F1470" s="59"/>
      <c r="G1470" s="59"/>
      <c r="H1470" s="59"/>
      <c r="I1470" s="59"/>
      <c r="J1470" s="59"/>
      <c r="K1470" s="59"/>
      <c r="L1470" s="59"/>
      <c r="M1470" s="59"/>
      <c r="N1470" s="59"/>
      <c r="O1470" s="59"/>
      <c r="P1470" s="59"/>
      <c r="Q1470" s="59"/>
      <c r="R1470" s="59"/>
      <c r="S1470" s="59"/>
      <c r="T1470" s="59"/>
      <c r="U1470" s="59"/>
      <c r="V1470" s="59"/>
      <c r="W1470" s="59"/>
      <c r="X1470" s="59"/>
      <c r="Y1470" s="59"/>
      <c r="Z1470" s="59"/>
      <c r="AA1470" s="59"/>
      <c r="AB1470" s="59"/>
      <c r="AC1470" s="59"/>
    </row>
    <row r="1471" spans="2:29" s="62" customFormat="1" ht="13.8" hidden="1" x14ac:dyDescent="0.25">
      <c r="B1471" s="59"/>
      <c r="C1471" s="59"/>
      <c r="D1471" s="59"/>
      <c r="E1471" s="59"/>
      <c r="F1471" s="59"/>
      <c r="G1471" s="59"/>
      <c r="H1471" s="59"/>
      <c r="I1471" s="59"/>
      <c r="J1471" s="59"/>
      <c r="K1471" s="59"/>
      <c r="L1471" s="59"/>
      <c r="M1471" s="59"/>
      <c r="N1471" s="59"/>
      <c r="O1471" s="59"/>
      <c r="P1471" s="59"/>
      <c r="Q1471" s="59"/>
      <c r="R1471" s="59"/>
      <c r="S1471" s="59"/>
      <c r="T1471" s="59"/>
      <c r="U1471" s="59"/>
      <c r="V1471" s="59"/>
      <c r="W1471" s="59"/>
      <c r="X1471" s="59"/>
      <c r="Y1471" s="59"/>
      <c r="Z1471" s="59"/>
      <c r="AA1471" s="59"/>
      <c r="AB1471" s="59"/>
      <c r="AC1471" s="59"/>
    </row>
    <row r="1472" spans="2:29" s="62" customFormat="1" ht="13.8" hidden="1" x14ac:dyDescent="0.25">
      <c r="B1472" s="59"/>
      <c r="C1472" s="59"/>
      <c r="D1472" s="59"/>
      <c r="E1472" s="59"/>
      <c r="F1472" s="59"/>
      <c r="G1472" s="59"/>
      <c r="H1472" s="59"/>
      <c r="I1472" s="59"/>
      <c r="J1472" s="59"/>
      <c r="K1472" s="59"/>
      <c r="L1472" s="59"/>
      <c r="M1472" s="59"/>
      <c r="N1472" s="59"/>
      <c r="O1472" s="59"/>
      <c r="P1472" s="59"/>
      <c r="Q1472" s="59"/>
      <c r="R1472" s="59"/>
      <c r="S1472" s="59"/>
      <c r="T1472" s="59"/>
      <c r="U1472" s="59"/>
      <c r="V1472" s="59"/>
      <c r="W1472" s="59"/>
      <c r="X1472" s="59"/>
      <c r="Y1472" s="59"/>
      <c r="Z1472" s="59"/>
      <c r="AA1472" s="59"/>
      <c r="AB1472" s="59"/>
      <c r="AC1472" s="59"/>
    </row>
    <row r="1473" spans="2:29" s="62" customFormat="1" ht="13.8" hidden="1" x14ac:dyDescent="0.25">
      <c r="B1473" s="59"/>
      <c r="C1473" s="59"/>
      <c r="D1473" s="59"/>
      <c r="E1473" s="59"/>
      <c r="F1473" s="59"/>
      <c r="G1473" s="59"/>
      <c r="H1473" s="59"/>
      <c r="I1473" s="59"/>
      <c r="J1473" s="59"/>
      <c r="K1473" s="59"/>
      <c r="L1473" s="59"/>
      <c r="M1473" s="59"/>
      <c r="N1473" s="59"/>
      <c r="O1473" s="59"/>
      <c r="P1473" s="59"/>
      <c r="Q1473" s="59"/>
      <c r="R1473" s="59"/>
      <c r="S1473" s="59"/>
      <c r="T1473" s="59"/>
      <c r="U1473" s="59"/>
      <c r="V1473" s="59"/>
      <c r="W1473" s="59"/>
      <c r="X1473" s="59"/>
      <c r="Y1473" s="59"/>
      <c r="Z1473" s="59"/>
      <c r="AA1473" s="59"/>
      <c r="AB1473" s="59"/>
      <c r="AC1473" s="59"/>
    </row>
    <row r="1474" spans="2:29" s="62" customFormat="1" ht="13.8" hidden="1" x14ac:dyDescent="0.25">
      <c r="B1474" s="59"/>
      <c r="C1474" s="59"/>
      <c r="D1474" s="59"/>
      <c r="E1474" s="59"/>
      <c r="F1474" s="59"/>
      <c r="G1474" s="59"/>
      <c r="H1474" s="59"/>
      <c r="I1474" s="59"/>
      <c r="J1474" s="59"/>
      <c r="K1474" s="59"/>
      <c r="L1474" s="59"/>
      <c r="M1474" s="59"/>
      <c r="N1474" s="59"/>
      <c r="O1474" s="59"/>
      <c r="P1474" s="59"/>
      <c r="Q1474" s="59"/>
      <c r="R1474" s="59"/>
      <c r="S1474" s="59"/>
      <c r="T1474" s="59"/>
      <c r="U1474" s="59"/>
      <c r="V1474" s="59"/>
      <c r="W1474" s="59"/>
      <c r="X1474" s="59"/>
      <c r="Y1474" s="59"/>
      <c r="Z1474" s="59"/>
      <c r="AA1474" s="59"/>
      <c r="AB1474" s="59"/>
      <c r="AC1474" s="59"/>
    </row>
    <row r="1475" spans="2:29" s="62" customFormat="1" ht="13.8" hidden="1" x14ac:dyDescent="0.25">
      <c r="B1475" s="59"/>
      <c r="C1475" s="59"/>
      <c r="D1475" s="59"/>
      <c r="E1475" s="59"/>
      <c r="F1475" s="59"/>
      <c r="G1475" s="59"/>
      <c r="H1475" s="59"/>
      <c r="I1475" s="59"/>
      <c r="J1475" s="59"/>
      <c r="K1475" s="59"/>
      <c r="L1475" s="59"/>
      <c r="M1475" s="59"/>
      <c r="N1475" s="59"/>
      <c r="O1475" s="59"/>
      <c r="P1475" s="59"/>
      <c r="Q1475" s="59"/>
      <c r="R1475" s="59"/>
      <c r="S1475" s="59"/>
      <c r="T1475" s="59"/>
      <c r="U1475" s="59"/>
      <c r="V1475" s="59"/>
      <c r="W1475" s="59"/>
      <c r="X1475" s="59"/>
      <c r="Y1475" s="59"/>
      <c r="Z1475" s="59"/>
      <c r="AA1475" s="59"/>
      <c r="AB1475" s="59"/>
      <c r="AC1475" s="59"/>
    </row>
    <row r="1476" spans="2:29" s="62" customFormat="1" ht="13.8" hidden="1" x14ac:dyDescent="0.25">
      <c r="B1476" s="59"/>
      <c r="C1476" s="59"/>
      <c r="D1476" s="59"/>
      <c r="E1476" s="59"/>
      <c r="F1476" s="59"/>
      <c r="G1476" s="59"/>
      <c r="H1476" s="59"/>
      <c r="I1476" s="59"/>
      <c r="J1476" s="59"/>
      <c r="K1476" s="59"/>
      <c r="L1476" s="59"/>
      <c r="M1476" s="59"/>
      <c r="N1476" s="59"/>
      <c r="O1476" s="59"/>
      <c r="P1476" s="59"/>
      <c r="Q1476" s="59"/>
      <c r="R1476" s="59"/>
      <c r="S1476" s="59"/>
      <c r="T1476" s="59"/>
      <c r="U1476" s="59"/>
      <c r="V1476" s="59"/>
      <c r="W1476" s="59"/>
      <c r="X1476" s="59"/>
      <c r="Y1476" s="59"/>
      <c r="Z1476" s="59"/>
      <c r="AA1476" s="59"/>
      <c r="AB1476" s="59"/>
      <c r="AC1476" s="59"/>
    </row>
    <row r="1477" spans="2:29" s="62" customFormat="1" ht="13.8" hidden="1" x14ac:dyDescent="0.25">
      <c r="B1477" s="59"/>
      <c r="C1477" s="59"/>
      <c r="D1477" s="59"/>
      <c r="E1477" s="59"/>
      <c r="F1477" s="59"/>
      <c r="G1477" s="59"/>
      <c r="H1477" s="59"/>
      <c r="I1477" s="59"/>
      <c r="J1477" s="59"/>
      <c r="K1477" s="59"/>
      <c r="L1477" s="59"/>
      <c r="M1477" s="59"/>
      <c r="N1477" s="59"/>
      <c r="O1477" s="59"/>
      <c r="P1477" s="59"/>
      <c r="Q1477" s="59"/>
      <c r="R1477" s="59"/>
      <c r="S1477" s="59"/>
      <c r="T1477" s="59"/>
      <c r="U1477" s="59"/>
      <c r="V1477" s="59"/>
      <c r="W1477" s="59"/>
      <c r="X1477" s="59"/>
      <c r="Y1477" s="59"/>
      <c r="Z1477" s="59"/>
      <c r="AA1477" s="59"/>
      <c r="AB1477" s="59"/>
      <c r="AC1477" s="59"/>
    </row>
    <row r="1478" spans="2:29" s="62" customFormat="1" ht="13.8" hidden="1" x14ac:dyDescent="0.25">
      <c r="B1478" s="59"/>
      <c r="C1478" s="59"/>
      <c r="D1478" s="59"/>
      <c r="E1478" s="59"/>
      <c r="F1478" s="59"/>
      <c r="G1478" s="59"/>
      <c r="H1478" s="59"/>
      <c r="I1478" s="59"/>
      <c r="J1478" s="59"/>
      <c r="K1478" s="59"/>
      <c r="L1478" s="59"/>
      <c r="M1478" s="59"/>
      <c r="N1478" s="59"/>
      <c r="O1478" s="59"/>
      <c r="P1478" s="59"/>
      <c r="Q1478" s="59"/>
      <c r="R1478" s="59"/>
      <c r="S1478" s="59"/>
      <c r="T1478" s="59"/>
      <c r="U1478" s="59"/>
      <c r="V1478" s="59"/>
      <c r="W1478" s="59"/>
      <c r="X1478" s="59"/>
      <c r="Y1478" s="59"/>
      <c r="Z1478" s="59"/>
      <c r="AA1478" s="59"/>
      <c r="AB1478" s="59"/>
      <c r="AC1478" s="59"/>
    </row>
    <row r="1479" spans="2:29" s="62" customFormat="1" ht="13.8" hidden="1" x14ac:dyDescent="0.25">
      <c r="B1479" s="59"/>
      <c r="C1479" s="59"/>
      <c r="D1479" s="59"/>
      <c r="E1479" s="59"/>
      <c r="F1479" s="59"/>
      <c r="G1479" s="59"/>
      <c r="H1479" s="59"/>
      <c r="I1479" s="59"/>
      <c r="J1479" s="59"/>
      <c r="K1479" s="59"/>
      <c r="L1479" s="59"/>
      <c r="M1479" s="59"/>
      <c r="N1479" s="59"/>
      <c r="O1479" s="59"/>
      <c r="P1479" s="59"/>
      <c r="Q1479" s="59"/>
      <c r="R1479" s="59"/>
      <c r="S1479" s="59"/>
      <c r="T1479" s="59"/>
      <c r="U1479" s="59"/>
      <c r="V1479" s="59"/>
      <c r="W1479" s="59"/>
      <c r="X1479" s="59"/>
      <c r="Y1479" s="59"/>
      <c r="Z1479" s="59"/>
      <c r="AA1479" s="59"/>
      <c r="AB1479" s="59"/>
      <c r="AC1479" s="59"/>
    </row>
    <row r="1480" spans="2:29" s="62" customFormat="1" ht="13.8" hidden="1" x14ac:dyDescent="0.25">
      <c r="B1480" s="59"/>
      <c r="C1480" s="59"/>
      <c r="D1480" s="59"/>
      <c r="E1480" s="59"/>
      <c r="F1480" s="59"/>
      <c r="G1480" s="59"/>
      <c r="H1480" s="59"/>
      <c r="I1480" s="59"/>
      <c r="J1480" s="59"/>
      <c r="K1480" s="59"/>
      <c r="L1480" s="59"/>
      <c r="M1480" s="59"/>
      <c r="N1480" s="59"/>
      <c r="O1480" s="59"/>
      <c r="P1480" s="59"/>
      <c r="Q1480" s="59"/>
      <c r="R1480" s="59"/>
      <c r="S1480" s="59"/>
      <c r="T1480" s="59"/>
      <c r="U1480" s="59"/>
      <c r="V1480" s="59"/>
      <c r="W1480" s="59"/>
      <c r="X1480" s="59"/>
      <c r="Y1480" s="59"/>
      <c r="Z1480" s="59"/>
      <c r="AA1480" s="59"/>
      <c r="AB1480" s="59"/>
      <c r="AC1480" s="59"/>
    </row>
    <row r="1481" spans="2:29" s="62" customFormat="1" ht="13.8" hidden="1" x14ac:dyDescent="0.25">
      <c r="B1481" s="59"/>
      <c r="C1481" s="59"/>
      <c r="D1481" s="59"/>
      <c r="E1481" s="59"/>
      <c r="F1481" s="59"/>
      <c r="G1481" s="59"/>
      <c r="H1481" s="59"/>
      <c r="I1481" s="59"/>
      <c r="J1481" s="59"/>
      <c r="K1481" s="59"/>
      <c r="L1481" s="59"/>
      <c r="M1481" s="59"/>
      <c r="N1481" s="59"/>
      <c r="O1481" s="59"/>
      <c r="P1481" s="59"/>
      <c r="Q1481" s="59"/>
      <c r="R1481" s="59"/>
      <c r="S1481" s="59"/>
      <c r="T1481" s="59"/>
      <c r="U1481" s="59"/>
      <c r="V1481" s="59"/>
      <c r="W1481" s="59"/>
      <c r="X1481" s="59"/>
      <c r="Y1481" s="59"/>
      <c r="Z1481" s="59"/>
      <c r="AA1481" s="59"/>
      <c r="AB1481" s="59"/>
      <c r="AC1481" s="59"/>
    </row>
    <row r="1482" spans="2:29" s="62" customFormat="1" ht="13.8" hidden="1" x14ac:dyDescent="0.25">
      <c r="B1482" s="59"/>
      <c r="C1482" s="59"/>
      <c r="D1482" s="59"/>
      <c r="E1482" s="59"/>
      <c r="F1482" s="59"/>
      <c r="G1482" s="59"/>
      <c r="H1482" s="59"/>
      <c r="I1482" s="59"/>
      <c r="J1482" s="59"/>
      <c r="K1482" s="59"/>
      <c r="L1482" s="59"/>
      <c r="M1482" s="59"/>
      <c r="N1482" s="59"/>
      <c r="O1482" s="59"/>
      <c r="P1482" s="59"/>
      <c r="Q1482" s="59"/>
      <c r="R1482" s="59"/>
      <c r="S1482" s="59"/>
      <c r="T1482" s="59"/>
      <c r="U1482" s="59"/>
      <c r="V1482" s="59"/>
      <c r="W1482" s="59"/>
      <c r="X1482" s="59"/>
      <c r="Y1482" s="59"/>
      <c r="Z1482" s="59"/>
      <c r="AA1482" s="59"/>
      <c r="AB1482" s="59"/>
      <c r="AC1482" s="59"/>
    </row>
    <row r="1483" spans="2:29" s="62" customFormat="1" ht="13.8" hidden="1" x14ac:dyDescent="0.25">
      <c r="B1483" s="59"/>
      <c r="C1483" s="59"/>
      <c r="D1483" s="59"/>
      <c r="E1483" s="59"/>
      <c r="F1483" s="59"/>
      <c r="G1483" s="59"/>
      <c r="H1483" s="59"/>
      <c r="I1483" s="59"/>
      <c r="J1483" s="59"/>
      <c r="K1483" s="59"/>
      <c r="L1483" s="59"/>
      <c r="M1483" s="59"/>
      <c r="N1483" s="59"/>
      <c r="O1483" s="59"/>
      <c r="P1483" s="59"/>
      <c r="Q1483" s="59"/>
      <c r="R1483" s="59"/>
      <c r="S1483" s="59"/>
      <c r="T1483" s="59"/>
      <c r="U1483" s="59"/>
      <c r="V1483" s="59"/>
      <c r="W1483" s="59"/>
      <c r="X1483" s="59"/>
      <c r="Y1483" s="59"/>
      <c r="Z1483" s="59"/>
      <c r="AA1483" s="59"/>
      <c r="AB1483" s="59"/>
      <c r="AC1483" s="59"/>
    </row>
    <row r="1484" spans="2:29" s="62" customFormat="1" ht="13.8" hidden="1" x14ac:dyDescent="0.25">
      <c r="B1484" s="59"/>
      <c r="C1484" s="59"/>
      <c r="D1484" s="59"/>
      <c r="E1484" s="59"/>
      <c r="F1484" s="59"/>
      <c r="G1484" s="59"/>
      <c r="H1484" s="59"/>
      <c r="I1484" s="59"/>
      <c r="J1484" s="59"/>
      <c r="K1484" s="59"/>
      <c r="L1484" s="59"/>
      <c r="M1484" s="59"/>
      <c r="N1484" s="59"/>
      <c r="O1484" s="59"/>
      <c r="P1484" s="59"/>
      <c r="Q1484" s="59"/>
      <c r="R1484" s="59"/>
      <c r="S1484" s="59"/>
      <c r="T1484" s="59"/>
      <c r="U1484" s="59"/>
      <c r="V1484" s="59"/>
      <c r="W1484" s="59"/>
      <c r="X1484" s="59"/>
      <c r="Y1484" s="59"/>
      <c r="Z1484" s="59"/>
      <c r="AA1484" s="59"/>
      <c r="AB1484" s="59"/>
      <c r="AC1484" s="59"/>
    </row>
    <row r="1485" spans="2:29" s="62" customFormat="1" ht="13.8" hidden="1" x14ac:dyDescent="0.25">
      <c r="B1485" s="59"/>
      <c r="C1485" s="59"/>
      <c r="D1485" s="59"/>
      <c r="E1485" s="59"/>
      <c r="F1485" s="59"/>
      <c r="G1485" s="59"/>
      <c r="H1485" s="59"/>
      <c r="I1485" s="59"/>
      <c r="J1485" s="59"/>
      <c r="K1485" s="59"/>
      <c r="L1485" s="59"/>
      <c r="M1485" s="59"/>
      <c r="N1485" s="59"/>
      <c r="O1485" s="59"/>
      <c r="P1485" s="59"/>
      <c r="Q1485" s="59"/>
      <c r="R1485" s="59"/>
      <c r="S1485" s="59"/>
      <c r="T1485" s="59"/>
      <c r="U1485" s="59"/>
      <c r="V1485" s="59"/>
      <c r="W1485" s="59"/>
      <c r="X1485" s="59"/>
      <c r="Y1485" s="59"/>
      <c r="Z1485" s="59"/>
      <c r="AA1485" s="59"/>
      <c r="AB1485" s="59"/>
      <c r="AC1485" s="59"/>
    </row>
    <row r="1486" spans="2:29" s="62" customFormat="1" ht="13.8" hidden="1" x14ac:dyDescent="0.25">
      <c r="B1486" s="59"/>
      <c r="C1486" s="59"/>
      <c r="D1486" s="59"/>
      <c r="E1486" s="59"/>
      <c r="F1486" s="59"/>
      <c r="G1486" s="59"/>
      <c r="H1486" s="59"/>
      <c r="I1486" s="59"/>
      <c r="J1486" s="59"/>
      <c r="K1486" s="59"/>
      <c r="L1486" s="59"/>
      <c r="M1486" s="59"/>
      <c r="N1486" s="59"/>
      <c r="O1486" s="59"/>
      <c r="P1486" s="59"/>
      <c r="Q1486" s="59"/>
      <c r="R1486" s="59"/>
      <c r="S1486" s="59"/>
      <c r="T1486" s="59"/>
      <c r="U1486" s="59"/>
      <c r="V1486" s="59"/>
      <c r="W1486" s="59"/>
      <c r="X1486" s="59"/>
      <c r="Y1486" s="59"/>
      <c r="Z1486" s="59"/>
      <c r="AA1486" s="59"/>
      <c r="AB1486" s="59"/>
      <c r="AC1486" s="59"/>
    </row>
    <row r="1487" spans="2:29" s="62" customFormat="1" ht="13.8" hidden="1" x14ac:dyDescent="0.25">
      <c r="B1487" s="59"/>
      <c r="C1487" s="59"/>
      <c r="D1487" s="59"/>
      <c r="E1487" s="59"/>
      <c r="F1487" s="59"/>
      <c r="G1487" s="59"/>
      <c r="H1487" s="59"/>
      <c r="I1487" s="59"/>
      <c r="J1487" s="59"/>
      <c r="K1487" s="59"/>
      <c r="L1487" s="59"/>
      <c r="M1487" s="59"/>
      <c r="N1487" s="59"/>
      <c r="O1487" s="59"/>
      <c r="P1487" s="59"/>
      <c r="Q1487" s="59"/>
      <c r="R1487" s="59"/>
      <c r="S1487" s="59"/>
      <c r="T1487" s="59"/>
      <c r="U1487" s="59"/>
      <c r="V1487" s="59"/>
      <c r="W1487" s="59"/>
      <c r="X1487" s="59"/>
      <c r="Y1487" s="59"/>
      <c r="Z1487" s="59"/>
      <c r="AA1487" s="59"/>
      <c r="AB1487" s="59"/>
      <c r="AC1487" s="59"/>
    </row>
    <row r="1488" spans="2:29" s="62" customFormat="1" ht="13.8" hidden="1" x14ac:dyDescent="0.25">
      <c r="B1488" s="59"/>
      <c r="C1488" s="59"/>
      <c r="D1488" s="59"/>
      <c r="E1488" s="59"/>
      <c r="F1488" s="59"/>
      <c r="G1488" s="59"/>
      <c r="H1488" s="59"/>
      <c r="I1488" s="59"/>
      <c r="J1488" s="59"/>
      <c r="K1488" s="59"/>
      <c r="L1488" s="59"/>
      <c r="M1488" s="59"/>
      <c r="N1488" s="59"/>
      <c r="O1488" s="59"/>
      <c r="P1488" s="59"/>
      <c r="Q1488" s="59"/>
      <c r="R1488" s="59"/>
      <c r="S1488" s="59"/>
      <c r="T1488" s="59"/>
      <c r="U1488" s="59"/>
      <c r="V1488" s="59"/>
      <c r="W1488" s="59"/>
      <c r="X1488" s="59"/>
      <c r="Y1488" s="59"/>
      <c r="Z1488" s="59"/>
      <c r="AA1488" s="59"/>
      <c r="AB1488" s="59"/>
      <c r="AC1488" s="59"/>
    </row>
    <row r="1489" spans="2:29" s="62" customFormat="1" ht="15" hidden="1" customHeight="1" x14ac:dyDescent="0.25">
      <c r="B1489" s="59"/>
      <c r="C1489" s="59"/>
      <c r="D1489" s="59"/>
      <c r="E1489" s="59"/>
      <c r="F1489" s="59"/>
      <c r="G1489" s="59"/>
      <c r="H1489" s="59"/>
      <c r="I1489" s="59"/>
      <c r="J1489" s="59"/>
      <c r="K1489" s="59"/>
      <c r="L1489" s="59"/>
      <c r="M1489" s="59"/>
      <c r="N1489" s="59"/>
      <c r="O1489" s="59"/>
      <c r="P1489" s="59"/>
      <c r="Q1489" s="59"/>
      <c r="R1489" s="59"/>
      <c r="S1489" s="59"/>
      <c r="T1489" s="59"/>
      <c r="U1489" s="59"/>
      <c r="V1489" s="59"/>
      <c r="W1489" s="59"/>
      <c r="X1489" s="59"/>
      <c r="Y1489" s="59"/>
      <c r="Z1489" s="59"/>
      <c r="AA1489" s="59"/>
      <c r="AB1489" s="59"/>
      <c r="AC1489" s="59"/>
    </row>
    <row r="1490" spans="2:29" s="62" customFormat="1" ht="15" hidden="1" customHeight="1" x14ac:dyDescent="0.25">
      <c r="B1490" s="59"/>
      <c r="C1490" s="59"/>
      <c r="D1490" s="59"/>
      <c r="E1490" s="59"/>
      <c r="F1490" s="59"/>
      <c r="G1490" s="59"/>
      <c r="H1490" s="59"/>
      <c r="I1490" s="59"/>
      <c r="J1490" s="59"/>
      <c r="K1490" s="59"/>
      <c r="L1490" s="59"/>
      <c r="M1490" s="59"/>
      <c r="N1490" s="59"/>
      <c r="O1490" s="59"/>
      <c r="P1490" s="59"/>
      <c r="Q1490" s="59"/>
      <c r="R1490" s="59"/>
      <c r="S1490" s="59"/>
      <c r="T1490" s="59"/>
      <c r="U1490" s="59"/>
      <c r="V1490" s="59"/>
      <c r="W1490" s="59"/>
      <c r="X1490" s="59"/>
      <c r="Y1490" s="59"/>
      <c r="Z1490" s="59"/>
      <c r="AA1490" s="59"/>
      <c r="AB1490" s="59"/>
      <c r="AC1490" s="59"/>
    </row>
    <row r="1491" spans="2:29" s="62" customFormat="1" ht="15" hidden="1" customHeight="1" x14ac:dyDescent="0.25">
      <c r="B1491" s="59"/>
      <c r="C1491" s="59"/>
      <c r="D1491" s="59"/>
      <c r="E1491" s="59"/>
      <c r="F1491" s="59"/>
      <c r="G1491" s="59"/>
      <c r="H1491" s="59"/>
      <c r="I1491" s="59"/>
      <c r="J1491" s="59"/>
      <c r="K1491" s="59"/>
      <c r="L1491" s="59"/>
      <c r="M1491" s="59"/>
      <c r="N1491" s="59"/>
      <c r="O1491" s="59"/>
      <c r="P1491" s="59"/>
      <c r="Q1491" s="59"/>
      <c r="R1491" s="59"/>
      <c r="S1491" s="59"/>
      <c r="T1491" s="59"/>
      <c r="U1491" s="59"/>
      <c r="V1491" s="59"/>
      <c r="W1491" s="59"/>
      <c r="X1491" s="59"/>
      <c r="Y1491" s="59"/>
      <c r="Z1491" s="59"/>
      <c r="AA1491" s="59"/>
      <c r="AB1491" s="59"/>
      <c r="AC1491" s="59"/>
    </row>
    <row r="1492" spans="2:29" s="62" customFormat="1" ht="15" hidden="1" customHeight="1" x14ac:dyDescent="0.25">
      <c r="B1492" s="59"/>
      <c r="C1492" s="59"/>
      <c r="D1492" s="59"/>
      <c r="E1492" s="59"/>
      <c r="F1492" s="59"/>
      <c r="G1492" s="59"/>
      <c r="H1492" s="59"/>
      <c r="I1492" s="59"/>
      <c r="J1492" s="59"/>
      <c r="K1492" s="59"/>
      <c r="L1492" s="59"/>
      <c r="M1492" s="59"/>
      <c r="N1492" s="59"/>
      <c r="O1492" s="59"/>
      <c r="P1492" s="59"/>
      <c r="Q1492" s="59"/>
      <c r="R1492" s="59"/>
      <c r="S1492" s="59"/>
      <c r="T1492" s="59"/>
      <c r="U1492" s="59"/>
      <c r="V1492" s="59"/>
      <c r="W1492" s="59"/>
      <c r="X1492" s="59"/>
      <c r="Y1492" s="59"/>
      <c r="Z1492" s="59"/>
      <c r="AA1492" s="59"/>
      <c r="AB1492" s="59"/>
      <c r="AC1492" s="59"/>
    </row>
    <row r="1493" spans="2:29" s="62" customFormat="1" ht="15" hidden="1" customHeight="1" x14ac:dyDescent="0.25">
      <c r="B1493" s="59"/>
      <c r="C1493" s="59"/>
      <c r="D1493" s="59"/>
      <c r="E1493" s="59"/>
      <c r="F1493" s="59"/>
      <c r="G1493" s="59"/>
      <c r="H1493" s="59"/>
      <c r="I1493" s="59"/>
      <c r="J1493" s="59"/>
      <c r="K1493" s="59"/>
      <c r="L1493" s="59"/>
      <c r="M1493" s="59"/>
      <c r="N1493" s="59"/>
      <c r="O1493" s="59"/>
      <c r="P1493" s="59"/>
      <c r="Q1493" s="59"/>
      <c r="R1493" s="59"/>
      <c r="S1493" s="59"/>
      <c r="T1493" s="59"/>
      <c r="U1493" s="59"/>
      <c r="V1493" s="59"/>
      <c r="W1493" s="59"/>
      <c r="X1493" s="59"/>
      <c r="Y1493" s="59"/>
      <c r="Z1493" s="59"/>
      <c r="AA1493" s="59"/>
      <c r="AB1493" s="59"/>
      <c r="AC1493" s="59"/>
    </row>
    <row r="1494" spans="2:29" s="62" customFormat="1" ht="15" hidden="1" customHeight="1" x14ac:dyDescent="0.25">
      <c r="B1494" s="59"/>
      <c r="C1494" s="59"/>
      <c r="D1494" s="59"/>
      <c r="E1494" s="59"/>
      <c r="F1494" s="59"/>
      <c r="G1494" s="59"/>
      <c r="H1494" s="59"/>
      <c r="I1494" s="59"/>
      <c r="J1494" s="59"/>
      <c r="K1494" s="59"/>
      <c r="L1494" s="59"/>
      <c r="M1494" s="59"/>
      <c r="N1494" s="59"/>
      <c r="O1494" s="59"/>
      <c r="P1494" s="59"/>
      <c r="Q1494" s="59"/>
      <c r="R1494" s="59"/>
      <c r="S1494" s="59"/>
      <c r="T1494" s="59"/>
      <c r="U1494" s="59"/>
      <c r="V1494" s="59"/>
      <c r="W1494" s="59"/>
      <c r="X1494" s="59"/>
      <c r="Y1494" s="59"/>
      <c r="Z1494" s="59"/>
      <c r="AA1494" s="59"/>
      <c r="AB1494" s="59"/>
      <c r="AC1494" s="59"/>
    </row>
    <row r="1495" spans="2:29" s="62" customFormat="1" ht="15" hidden="1" customHeight="1" x14ac:dyDescent="0.25">
      <c r="B1495" s="59"/>
      <c r="C1495" s="59"/>
      <c r="D1495" s="59"/>
      <c r="E1495" s="59"/>
      <c r="F1495" s="59"/>
      <c r="G1495" s="59"/>
      <c r="H1495" s="59"/>
      <c r="I1495" s="59"/>
      <c r="J1495" s="59"/>
      <c r="K1495" s="59"/>
      <c r="L1495" s="59"/>
      <c r="M1495" s="59"/>
      <c r="N1495" s="59"/>
      <c r="O1495" s="59"/>
      <c r="P1495" s="59"/>
      <c r="Q1495" s="59"/>
      <c r="R1495" s="59"/>
      <c r="S1495" s="59"/>
      <c r="T1495" s="59"/>
      <c r="U1495" s="59"/>
      <c r="V1495" s="59"/>
      <c r="W1495" s="59"/>
      <c r="X1495" s="59"/>
      <c r="Y1495" s="59"/>
      <c r="Z1495" s="59"/>
      <c r="AA1495" s="59"/>
      <c r="AB1495" s="59"/>
      <c r="AC1495" s="59"/>
    </row>
    <row r="1496" spans="2:29" s="62" customFormat="1" ht="15" hidden="1" customHeight="1" x14ac:dyDescent="0.25">
      <c r="B1496" s="59"/>
      <c r="C1496" s="59"/>
      <c r="D1496" s="59"/>
      <c r="E1496" s="59"/>
      <c r="F1496" s="59"/>
      <c r="G1496" s="59"/>
      <c r="H1496" s="59"/>
      <c r="I1496" s="59"/>
      <c r="J1496" s="59"/>
      <c r="K1496" s="59"/>
      <c r="L1496" s="59"/>
      <c r="M1496" s="59"/>
      <c r="N1496" s="59"/>
      <c r="O1496" s="59"/>
      <c r="P1496" s="59"/>
      <c r="Q1496" s="59"/>
      <c r="R1496" s="59"/>
      <c r="S1496" s="59"/>
      <c r="T1496" s="59"/>
      <c r="U1496" s="59"/>
      <c r="V1496" s="59"/>
      <c r="W1496" s="59"/>
      <c r="X1496" s="59"/>
      <c r="Y1496" s="59"/>
      <c r="Z1496" s="59"/>
      <c r="AA1496" s="59"/>
      <c r="AB1496" s="59"/>
      <c r="AC1496" s="59"/>
    </row>
    <row r="1497" spans="2:29" s="62" customFormat="1" ht="15" hidden="1" customHeight="1" x14ac:dyDescent="0.25">
      <c r="B1497" s="59"/>
      <c r="C1497" s="59"/>
      <c r="D1497" s="59"/>
      <c r="E1497" s="59"/>
      <c r="F1497" s="59"/>
      <c r="G1497" s="59"/>
      <c r="H1497" s="59"/>
      <c r="I1497" s="59"/>
      <c r="J1497" s="59"/>
      <c r="K1497" s="59"/>
      <c r="L1497" s="59"/>
      <c r="M1497" s="59"/>
      <c r="N1497" s="59"/>
      <c r="O1497" s="59"/>
      <c r="P1497" s="59"/>
      <c r="Q1497" s="59"/>
      <c r="R1497" s="59"/>
      <c r="S1497" s="59"/>
      <c r="T1497" s="59"/>
      <c r="U1497" s="59"/>
      <c r="V1497" s="59"/>
      <c r="W1497" s="59"/>
      <c r="X1497" s="59"/>
      <c r="Y1497" s="59"/>
      <c r="Z1497" s="59"/>
      <c r="AA1497" s="59"/>
      <c r="AB1497" s="59"/>
      <c r="AC1497" s="59"/>
    </row>
    <row r="1498" spans="2:29" s="62" customFormat="1" ht="15" hidden="1" customHeight="1" x14ac:dyDescent="0.25">
      <c r="B1498" s="59"/>
      <c r="C1498" s="59"/>
      <c r="D1498" s="59"/>
      <c r="E1498" s="59"/>
      <c r="F1498" s="59"/>
      <c r="G1498" s="59"/>
      <c r="H1498" s="59"/>
      <c r="I1498" s="59"/>
      <c r="J1498" s="59"/>
      <c r="K1498" s="59"/>
      <c r="L1498" s="59"/>
      <c r="M1498" s="59"/>
      <c r="N1498" s="59"/>
      <c r="O1498" s="59"/>
      <c r="P1498" s="59"/>
      <c r="Q1498" s="59"/>
      <c r="R1498" s="59"/>
      <c r="S1498" s="59"/>
      <c r="T1498" s="59"/>
      <c r="U1498" s="59"/>
      <c r="V1498" s="59"/>
      <c r="W1498" s="59"/>
      <c r="X1498" s="59"/>
      <c r="Y1498" s="59"/>
      <c r="Z1498" s="59"/>
      <c r="AA1498" s="59"/>
      <c r="AB1498" s="59"/>
      <c r="AC1498" s="59"/>
    </row>
    <row r="1499" spans="2:29" s="62" customFormat="1" ht="15" hidden="1" customHeight="1" x14ac:dyDescent="0.25">
      <c r="B1499" s="59"/>
      <c r="C1499" s="59"/>
      <c r="D1499" s="59"/>
      <c r="E1499" s="59"/>
      <c r="F1499" s="59"/>
      <c r="G1499" s="59"/>
      <c r="H1499" s="59"/>
      <c r="I1499" s="59"/>
      <c r="J1499" s="59"/>
      <c r="K1499" s="59"/>
      <c r="L1499" s="59"/>
      <c r="M1499" s="59"/>
      <c r="N1499" s="59"/>
      <c r="O1499" s="59"/>
      <c r="P1499" s="59"/>
      <c r="Q1499" s="59"/>
      <c r="R1499" s="59"/>
      <c r="S1499" s="59"/>
      <c r="T1499" s="59"/>
      <c r="U1499" s="59"/>
      <c r="V1499" s="59"/>
      <c r="W1499" s="59"/>
      <c r="X1499" s="59"/>
      <c r="Y1499" s="59"/>
      <c r="Z1499" s="59"/>
      <c r="AA1499" s="59"/>
      <c r="AB1499" s="59"/>
      <c r="AC1499" s="59"/>
    </row>
    <row r="1500" spans="2:29" s="62" customFormat="1" ht="15" hidden="1" customHeight="1" x14ac:dyDescent="0.25">
      <c r="B1500" s="59"/>
      <c r="C1500" s="59"/>
      <c r="D1500" s="59"/>
      <c r="E1500" s="59"/>
      <c r="F1500" s="59"/>
      <c r="G1500" s="59"/>
      <c r="H1500" s="59"/>
      <c r="I1500" s="59"/>
      <c r="J1500" s="59"/>
      <c r="K1500" s="59"/>
      <c r="L1500" s="59"/>
      <c r="M1500" s="59"/>
      <c r="N1500" s="59"/>
      <c r="O1500" s="59"/>
      <c r="P1500" s="59"/>
      <c r="Q1500" s="59"/>
      <c r="R1500" s="59"/>
      <c r="S1500" s="59"/>
      <c r="T1500" s="59"/>
      <c r="U1500" s="59"/>
      <c r="V1500" s="59"/>
      <c r="W1500" s="59"/>
      <c r="X1500" s="59"/>
      <c r="Y1500" s="59"/>
      <c r="Z1500" s="59"/>
      <c r="AA1500" s="59"/>
      <c r="AB1500" s="59"/>
      <c r="AC1500" s="59"/>
    </row>
    <row r="1501" spans="2:29" s="62" customFormat="1" ht="15" hidden="1" customHeight="1" x14ac:dyDescent="0.25">
      <c r="B1501" s="59"/>
      <c r="C1501" s="59"/>
      <c r="D1501" s="59"/>
      <c r="E1501" s="59"/>
      <c r="F1501" s="59"/>
      <c r="G1501" s="59"/>
      <c r="H1501" s="59"/>
      <c r="I1501" s="59"/>
      <c r="J1501" s="59"/>
      <c r="K1501" s="59"/>
      <c r="L1501" s="59"/>
      <c r="M1501" s="59"/>
      <c r="N1501" s="59"/>
      <c r="O1501" s="59"/>
      <c r="P1501" s="59"/>
      <c r="Q1501" s="59"/>
      <c r="R1501" s="59"/>
      <c r="S1501" s="59"/>
      <c r="T1501" s="59"/>
      <c r="U1501" s="59"/>
      <c r="V1501" s="59"/>
      <c r="W1501" s="59"/>
      <c r="X1501" s="59"/>
      <c r="Y1501" s="59"/>
      <c r="Z1501" s="59"/>
      <c r="AA1501" s="59"/>
      <c r="AB1501" s="59"/>
      <c r="AC1501" s="59"/>
    </row>
    <row r="1502" spans="2:29" s="62" customFormat="1" ht="15" hidden="1" customHeight="1" x14ac:dyDescent="0.25">
      <c r="B1502" s="59"/>
      <c r="C1502" s="59"/>
      <c r="D1502" s="59"/>
      <c r="E1502" s="59"/>
      <c r="F1502" s="59"/>
      <c r="G1502" s="59"/>
      <c r="H1502" s="59"/>
      <c r="I1502" s="59"/>
      <c r="J1502" s="59"/>
      <c r="K1502" s="59"/>
      <c r="L1502" s="59"/>
      <c r="M1502" s="59"/>
      <c r="N1502" s="59"/>
      <c r="O1502" s="59"/>
      <c r="P1502" s="59"/>
      <c r="Q1502" s="59"/>
      <c r="R1502" s="59"/>
      <c r="S1502" s="59"/>
      <c r="T1502" s="59"/>
      <c r="U1502" s="59"/>
      <c r="V1502" s="59"/>
      <c r="W1502" s="59"/>
      <c r="X1502" s="59"/>
      <c r="Y1502" s="59"/>
      <c r="Z1502" s="59"/>
      <c r="AA1502" s="59"/>
      <c r="AB1502" s="59"/>
      <c r="AC1502" s="59"/>
    </row>
    <row r="1503" spans="2:29" s="62" customFormat="1" ht="15" hidden="1" customHeight="1" x14ac:dyDescent="0.25">
      <c r="B1503" s="59"/>
      <c r="C1503" s="59"/>
      <c r="D1503" s="59"/>
      <c r="E1503" s="59"/>
      <c r="F1503" s="59"/>
      <c r="G1503" s="59"/>
      <c r="H1503" s="59"/>
      <c r="I1503" s="59"/>
      <c r="J1503" s="59"/>
      <c r="K1503" s="59"/>
      <c r="L1503" s="59"/>
      <c r="M1503" s="59"/>
      <c r="N1503" s="59"/>
      <c r="O1503" s="59"/>
      <c r="P1503" s="59"/>
      <c r="Q1503" s="59"/>
      <c r="R1503" s="59"/>
      <c r="S1503" s="59"/>
      <c r="T1503" s="59"/>
      <c r="U1503" s="59"/>
      <c r="V1503" s="59"/>
      <c r="W1503" s="59"/>
      <c r="X1503" s="59"/>
      <c r="Y1503" s="59"/>
      <c r="Z1503" s="59"/>
      <c r="AA1503" s="59"/>
      <c r="AB1503" s="59"/>
      <c r="AC1503" s="59"/>
    </row>
    <row r="1504" spans="2:29" s="62" customFormat="1" ht="15" hidden="1" customHeight="1" x14ac:dyDescent="0.25">
      <c r="B1504" s="59"/>
      <c r="C1504" s="59"/>
      <c r="D1504" s="59"/>
      <c r="E1504" s="59"/>
      <c r="F1504" s="59"/>
      <c r="G1504" s="59"/>
      <c r="H1504" s="59"/>
      <c r="I1504" s="59"/>
      <c r="J1504" s="59"/>
      <c r="K1504" s="59"/>
      <c r="L1504" s="59"/>
      <c r="M1504" s="59"/>
      <c r="N1504" s="59"/>
      <c r="O1504" s="59"/>
      <c r="P1504" s="59"/>
      <c r="Q1504" s="59"/>
      <c r="R1504" s="59"/>
      <c r="S1504" s="59"/>
      <c r="T1504" s="59"/>
      <c r="U1504" s="59"/>
      <c r="V1504" s="59"/>
      <c r="W1504" s="59"/>
      <c r="X1504" s="59"/>
      <c r="Y1504" s="59"/>
      <c r="Z1504" s="59"/>
      <c r="AA1504" s="59"/>
      <c r="AB1504" s="59"/>
      <c r="AC1504" s="59"/>
    </row>
    <row r="1505" spans="2:29" s="62" customFormat="1" ht="15" hidden="1" customHeight="1" x14ac:dyDescent="0.25">
      <c r="B1505" s="59"/>
      <c r="C1505" s="59"/>
      <c r="D1505" s="59"/>
      <c r="E1505" s="59"/>
      <c r="F1505" s="59"/>
      <c r="G1505" s="59"/>
      <c r="H1505" s="59"/>
      <c r="I1505" s="59"/>
      <c r="J1505" s="59"/>
      <c r="K1505" s="59"/>
      <c r="L1505" s="59"/>
      <c r="M1505" s="59"/>
      <c r="N1505" s="59"/>
      <c r="O1505" s="59"/>
      <c r="P1505" s="59"/>
      <c r="Q1505" s="59"/>
      <c r="R1505" s="59"/>
      <c r="S1505" s="59"/>
      <c r="T1505" s="59"/>
      <c r="U1505" s="59"/>
      <c r="V1505" s="59"/>
      <c r="W1505" s="59"/>
      <c r="X1505" s="59"/>
      <c r="Y1505" s="59"/>
      <c r="Z1505" s="59"/>
      <c r="AA1505" s="59"/>
      <c r="AB1505" s="59"/>
      <c r="AC1505" s="59"/>
    </row>
    <row r="1506" spans="2:29" s="62" customFormat="1" ht="15" hidden="1" customHeight="1" x14ac:dyDescent="0.25">
      <c r="B1506" s="59"/>
      <c r="C1506" s="59"/>
      <c r="D1506" s="59"/>
      <c r="E1506" s="59"/>
      <c r="F1506" s="59"/>
      <c r="G1506" s="59"/>
      <c r="H1506" s="59"/>
      <c r="I1506" s="59"/>
      <c r="J1506" s="59"/>
      <c r="K1506" s="59"/>
      <c r="L1506" s="59"/>
      <c r="M1506" s="59"/>
      <c r="N1506" s="59"/>
      <c r="O1506" s="59"/>
      <c r="P1506" s="59"/>
      <c r="Q1506" s="59"/>
      <c r="R1506" s="59"/>
      <c r="S1506" s="59"/>
      <c r="T1506" s="59"/>
      <c r="U1506" s="59"/>
      <c r="V1506" s="59"/>
      <c r="W1506" s="59"/>
      <c r="X1506" s="59"/>
      <c r="Y1506" s="59"/>
      <c r="Z1506" s="59"/>
      <c r="AA1506" s="59"/>
      <c r="AB1506" s="59"/>
      <c r="AC1506" s="59"/>
    </row>
    <row r="1507" spans="2:29" s="62" customFormat="1" ht="15" hidden="1" customHeight="1" x14ac:dyDescent="0.25">
      <c r="B1507" s="59"/>
      <c r="C1507" s="59"/>
      <c r="D1507" s="59"/>
      <c r="E1507" s="59"/>
      <c r="F1507" s="59"/>
      <c r="G1507" s="59"/>
      <c r="H1507" s="59"/>
      <c r="I1507" s="59"/>
      <c r="J1507" s="59"/>
      <c r="K1507" s="59"/>
      <c r="L1507" s="59"/>
      <c r="M1507" s="59"/>
      <c r="N1507" s="59"/>
      <c r="O1507" s="59"/>
      <c r="P1507" s="59"/>
      <c r="Q1507" s="59"/>
      <c r="R1507" s="59"/>
      <c r="S1507" s="59"/>
      <c r="T1507" s="59"/>
      <c r="U1507" s="59"/>
      <c r="V1507" s="59"/>
      <c r="W1507" s="59"/>
      <c r="X1507" s="59"/>
      <c r="Y1507" s="59"/>
      <c r="Z1507" s="59"/>
      <c r="AA1507" s="59"/>
      <c r="AB1507" s="59"/>
      <c r="AC1507" s="59"/>
    </row>
    <row r="1508" spans="2:29" s="62" customFormat="1" ht="15" hidden="1" customHeight="1" x14ac:dyDescent="0.25">
      <c r="B1508" s="59"/>
      <c r="C1508" s="59"/>
      <c r="D1508" s="59"/>
      <c r="E1508" s="59"/>
      <c r="F1508" s="59"/>
      <c r="G1508" s="59"/>
      <c r="H1508" s="59"/>
      <c r="I1508" s="59"/>
      <c r="J1508" s="59"/>
      <c r="K1508" s="59"/>
      <c r="L1508" s="59"/>
      <c r="M1508" s="59"/>
      <c r="N1508" s="59"/>
      <c r="O1508" s="59"/>
      <c r="P1508" s="59"/>
      <c r="Q1508" s="59"/>
      <c r="R1508" s="59"/>
      <c r="S1508" s="59"/>
      <c r="T1508" s="59"/>
      <c r="U1508" s="59"/>
      <c r="V1508" s="59"/>
      <c r="W1508" s="59"/>
      <c r="X1508" s="59"/>
      <c r="Y1508" s="59"/>
      <c r="Z1508" s="59"/>
      <c r="AA1508" s="59"/>
      <c r="AB1508" s="59"/>
      <c r="AC1508" s="59"/>
    </row>
    <row r="1509" spans="2:29" s="62" customFormat="1" ht="15" hidden="1" customHeight="1" x14ac:dyDescent="0.25">
      <c r="B1509" s="59"/>
      <c r="C1509" s="59"/>
      <c r="D1509" s="59"/>
      <c r="E1509" s="59"/>
      <c r="F1509" s="59"/>
      <c r="G1509" s="59"/>
      <c r="H1509" s="59"/>
      <c r="I1509" s="59"/>
      <c r="J1509" s="59"/>
      <c r="K1509" s="59"/>
      <c r="L1509" s="59"/>
      <c r="M1509" s="59"/>
      <c r="N1509" s="59"/>
      <c r="O1509" s="59"/>
      <c r="P1509" s="59"/>
      <c r="Q1509" s="59"/>
      <c r="R1509" s="59"/>
      <c r="S1509" s="59"/>
      <c r="T1509" s="59"/>
      <c r="U1509" s="59"/>
      <c r="V1509" s="59"/>
      <c r="W1509" s="59"/>
      <c r="X1509" s="59"/>
      <c r="Y1509" s="59"/>
      <c r="Z1509" s="59"/>
      <c r="AA1509" s="59"/>
      <c r="AB1509" s="59"/>
      <c r="AC1509" s="59"/>
    </row>
    <row r="1510" spans="2:29" s="62" customFormat="1" ht="15" hidden="1" customHeight="1" x14ac:dyDescent="0.25">
      <c r="B1510" s="59"/>
      <c r="C1510" s="59"/>
      <c r="D1510" s="59"/>
      <c r="E1510" s="59"/>
      <c r="F1510" s="59"/>
      <c r="G1510" s="59"/>
      <c r="H1510" s="59"/>
      <c r="I1510" s="59"/>
      <c r="J1510" s="59"/>
      <c r="K1510" s="59"/>
      <c r="L1510" s="59"/>
      <c r="M1510" s="59"/>
      <c r="N1510" s="59"/>
      <c r="O1510" s="59"/>
      <c r="P1510" s="59"/>
      <c r="Q1510" s="59"/>
      <c r="R1510" s="59"/>
      <c r="S1510" s="59"/>
      <c r="T1510" s="59"/>
      <c r="U1510" s="59"/>
      <c r="V1510" s="59"/>
      <c r="W1510" s="59"/>
      <c r="X1510" s="59"/>
      <c r="Y1510" s="59"/>
      <c r="Z1510" s="59"/>
      <c r="AA1510" s="59"/>
      <c r="AB1510" s="59"/>
      <c r="AC1510" s="59"/>
    </row>
    <row r="1511" spans="2:29" s="62" customFormat="1" ht="15" hidden="1" customHeight="1" x14ac:dyDescent="0.25">
      <c r="B1511" s="59"/>
      <c r="C1511" s="59"/>
      <c r="D1511" s="59"/>
      <c r="E1511" s="59"/>
      <c r="F1511" s="59"/>
      <c r="G1511" s="59"/>
      <c r="H1511" s="59"/>
      <c r="I1511" s="59"/>
      <c r="J1511" s="59"/>
      <c r="K1511" s="59"/>
      <c r="L1511" s="59"/>
      <c r="M1511" s="59"/>
      <c r="N1511" s="59"/>
      <c r="O1511" s="59"/>
      <c r="P1511" s="59"/>
      <c r="Q1511" s="59"/>
      <c r="R1511" s="59"/>
      <c r="S1511" s="59"/>
      <c r="T1511" s="59"/>
      <c r="U1511" s="59"/>
      <c r="V1511" s="59"/>
      <c r="W1511" s="59"/>
      <c r="X1511" s="59"/>
      <c r="Y1511" s="59"/>
      <c r="Z1511" s="59"/>
      <c r="AA1511" s="59"/>
      <c r="AB1511" s="59"/>
      <c r="AC1511" s="59"/>
    </row>
    <row r="1512" spans="2:29" s="62" customFormat="1" ht="15" hidden="1" customHeight="1" x14ac:dyDescent="0.25">
      <c r="B1512" s="59"/>
      <c r="C1512" s="59"/>
      <c r="D1512" s="59"/>
      <c r="E1512" s="59"/>
      <c r="F1512" s="59"/>
      <c r="G1512" s="59"/>
      <c r="H1512" s="59"/>
      <c r="I1512" s="59"/>
      <c r="J1512" s="59"/>
      <c r="K1512" s="59"/>
      <c r="L1512" s="59"/>
      <c r="M1512" s="59"/>
      <c r="N1512" s="59"/>
      <c r="O1512" s="59"/>
      <c r="P1512" s="59"/>
      <c r="Q1512" s="59"/>
      <c r="R1512" s="59"/>
      <c r="S1512" s="59"/>
      <c r="T1512" s="59"/>
      <c r="U1512" s="59"/>
      <c r="V1512" s="59"/>
      <c r="W1512" s="59"/>
      <c r="X1512" s="59"/>
      <c r="Y1512" s="59"/>
      <c r="Z1512" s="59"/>
      <c r="AA1512" s="59"/>
      <c r="AB1512" s="59"/>
      <c r="AC1512" s="59"/>
    </row>
    <row r="1513" spans="2:29" s="62" customFormat="1" ht="15" hidden="1" customHeight="1" x14ac:dyDescent="0.25">
      <c r="B1513" s="59"/>
      <c r="C1513" s="59"/>
      <c r="D1513" s="59"/>
      <c r="E1513" s="59"/>
      <c r="F1513" s="59"/>
      <c r="G1513" s="59"/>
      <c r="H1513" s="59"/>
      <c r="I1513" s="59"/>
      <c r="J1513" s="59"/>
      <c r="K1513" s="59"/>
      <c r="L1513" s="59"/>
      <c r="M1513" s="59"/>
      <c r="N1513" s="59"/>
      <c r="O1513" s="59"/>
      <c r="P1513" s="59"/>
      <c r="Q1513" s="59"/>
      <c r="R1513" s="59"/>
      <c r="S1513" s="59"/>
      <c r="T1513" s="59"/>
      <c r="U1513" s="59"/>
      <c r="V1513" s="59"/>
      <c r="W1513" s="59"/>
      <c r="X1513" s="59"/>
      <c r="Y1513" s="59"/>
      <c r="Z1513" s="59"/>
      <c r="AA1513" s="59"/>
      <c r="AB1513" s="59"/>
      <c r="AC1513" s="59"/>
    </row>
    <row r="1514" spans="2:29" s="62" customFormat="1" ht="15" hidden="1" customHeight="1" x14ac:dyDescent="0.25">
      <c r="B1514" s="59"/>
      <c r="C1514" s="59"/>
      <c r="D1514" s="59"/>
      <c r="E1514" s="59"/>
      <c r="F1514" s="59"/>
      <c r="G1514" s="59"/>
      <c r="H1514" s="59"/>
      <c r="I1514" s="59"/>
      <c r="J1514" s="59"/>
      <c r="K1514" s="59"/>
      <c r="L1514" s="59"/>
      <c r="M1514" s="59"/>
      <c r="N1514" s="59"/>
      <c r="O1514" s="59"/>
      <c r="P1514" s="59"/>
      <c r="Q1514" s="59"/>
      <c r="R1514" s="59"/>
      <c r="S1514" s="59"/>
      <c r="T1514" s="59"/>
      <c r="U1514" s="59"/>
      <c r="V1514" s="59"/>
      <c r="W1514" s="59"/>
      <c r="X1514" s="59"/>
      <c r="Y1514" s="59"/>
      <c r="Z1514" s="59"/>
      <c r="AA1514" s="59"/>
      <c r="AB1514" s="59"/>
      <c r="AC1514" s="59"/>
    </row>
    <row r="1515" spans="2:29" s="62" customFormat="1" ht="15" hidden="1" customHeight="1" x14ac:dyDescent="0.25">
      <c r="B1515" s="59"/>
      <c r="C1515" s="59"/>
      <c r="D1515" s="59"/>
      <c r="E1515" s="59"/>
      <c r="F1515" s="59"/>
      <c r="G1515" s="59"/>
      <c r="H1515" s="59"/>
      <c r="I1515" s="59"/>
      <c r="J1515" s="59"/>
      <c r="K1515" s="59"/>
      <c r="L1515" s="59"/>
      <c r="M1515" s="59"/>
      <c r="N1515" s="59"/>
      <c r="O1515" s="59"/>
      <c r="P1515" s="59"/>
      <c r="Q1515" s="59"/>
      <c r="R1515" s="59"/>
      <c r="S1515" s="59"/>
      <c r="T1515" s="59"/>
      <c r="U1515" s="59"/>
      <c r="V1515" s="59"/>
      <c r="W1515" s="59"/>
      <c r="X1515" s="59"/>
      <c r="Y1515" s="59"/>
      <c r="Z1515" s="59"/>
      <c r="AA1515" s="59"/>
      <c r="AB1515" s="59"/>
      <c r="AC1515" s="59"/>
    </row>
    <row r="1516" spans="2:29" s="62" customFormat="1" ht="15" hidden="1" customHeight="1" x14ac:dyDescent="0.25">
      <c r="B1516" s="59"/>
      <c r="C1516" s="59"/>
      <c r="D1516" s="59"/>
      <c r="E1516" s="59"/>
      <c r="F1516" s="59"/>
      <c r="G1516" s="59"/>
      <c r="H1516" s="59"/>
      <c r="I1516" s="59"/>
      <c r="J1516" s="59"/>
      <c r="K1516" s="59"/>
      <c r="L1516" s="59"/>
      <c r="M1516" s="59"/>
      <c r="N1516" s="59"/>
      <c r="O1516" s="59"/>
      <c r="P1516" s="59"/>
      <c r="Q1516" s="59"/>
      <c r="R1516" s="59"/>
      <c r="S1516" s="59"/>
      <c r="T1516" s="59"/>
      <c r="U1516" s="59"/>
      <c r="V1516" s="59"/>
      <c r="W1516" s="59"/>
      <c r="X1516" s="59"/>
      <c r="Y1516" s="59"/>
      <c r="Z1516" s="59"/>
      <c r="AA1516" s="59"/>
      <c r="AB1516" s="59"/>
      <c r="AC1516" s="59"/>
    </row>
    <row r="1517" spans="2:29" s="62" customFormat="1" ht="15" hidden="1" customHeight="1" x14ac:dyDescent="0.25">
      <c r="B1517" s="59"/>
      <c r="C1517" s="59"/>
      <c r="D1517" s="59"/>
      <c r="E1517" s="59"/>
      <c r="F1517" s="59"/>
      <c r="G1517" s="59"/>
      <c r="H1517" s="59"/>
      <c r="I1517" s="59"/>
      <c r="J1517" s="59"/>
      <c r="K1517" s="59"/>
      <c r="L1517" s="59"/>
      <c r="M1517" s="59"/>
      <c r="N1517" s="59"/>
      <c r="O1517" s="59"/>
      <c r="P1517" s="59"/>
      <c r="Q1517" s="59"/>
      <c r="R1517" s="59"/>
      <c r="S1517" s="59"/>
      <c r="T1517" s="59"/>
      <c r="U1517" s="59"/>
      <c r="V1517" s="59"/>
      <c r="W1517" s="59"/>
      <c r="X1517" s="59"/>
      <c r="Y1517" s="59"/>
      <c r="Z1517" s="59"/>
      <c r="AA1517" s="59"/>
      <c r="AB1517" s="59"/>
      <c r="AC1517" s="59"/>
    </row>
    <row r="1518" spans="2:29" s="62" customFormat="1" ht="15" hidden="1" customHeight="1" x14ac:dyDescent="0.25">
      <c r="B1518" s="59"/>
      <c r="C1518" s="59"/>
      <c r="D1518" s="59"/>
      <c r="E1518" s="59"/>
      <c r="F1518" s="59"/>
      <c r="G1518" s="59"/>
      <c r="H1518" s="59"/>
      <c r="I1518" s="59"/>
      <c r="J1518" s="59"/>
      <c r="K1518" s="59"/>
      <c r="L1518" s="59"/>
      <c r="M1518" s="59"/>
      <c r="N1518" s="59"/>
      <c r="O1518" s="59"/>
      <c r="P1518" s="59"/>
      <c r="Q1518" s="59"/>
      <c r="R1518" s="59"/>
      <c r="S1518" s="59"/>
      <c r="T1518" s="59"/>
      <c r="U1518" s="59"/>
      <c r="V1518" s="59"/>
      <c r="W1518" s="59"/>
      <c r="X1518" s="59"/>
      <c r="Y1518" s="59"/>
      <c r="Z1518" s="59"/>
      <c r="AA1518" s="59"/>
      <c r="AB1518" s="59"/>
      <c r="AC1518" s="59"/>
    </row>
    <row r="1519" spans="2:29" s="62" customFormat="1" ht="15" hidden="1" customHeight="1" x14ac:dyDescent="0.25">
      <c r="B1519" s="59"/>
      <c r="C1519" s="59"/>
      <c r="D1519" s="59"/>
      <c r="E1519" s="59"/>
      <c r="F1519" s="59"/>
      <c r="G1519" s="59"/>
      <c r="H1519" s="59"/>
      <c r="I1519" s="59"/>
      <c r="J1519" s="59"/>
      <c r="K1519" s="59"/>
      <c r="L1519" s="59"/>
      <c r="M1519" s="59"/>
      <c r="N1519" s="59"/>
      <c r="O1519" s="59"/>
      <c r="P1519" s="59"/>
      <c r="Q1519" s="59"/>
      <c r="R1519" s="59"/>
      <c r="S1519" s="59"/>
      <c r="T1519" s="59"/>
      <c r="U1519" s="59"/>
      <c r="V1519" s="59"/>
      <c r="W1519" s="59"/>
      <c r="X1519" s="59"/>
      <c r="Y1519" s="59"/>
      <c r="Z1519" s="59"/>
      <c r="AA1519" s="59"/>
      <c r="AB1519" s="59"/>
      <c r="AC1519" s="59"/>
    </row>
    <row r="1520" spans="2:29" s="62" customFormat="1" ht="15" hidden="1" customHeight="1" x14ac:dyDescent="0.25">
      <c r="B1520" s="59"/>
      <c r="C1520" s="59"/>
      <c r="D1520" s="59"/>
      <c r="E1520" s="59"/>
      <c r="F1520" s="59"/>
      <c r="G1520" s="59"/>
      <c r="H1520" s="59"/>
      <c r="I1520" s="59"/>
      <c r="J1520" s="59"/>
      <c r="K1520" s="59"/>
      <c r="L1520" s="59"/>
      <c r="M1520" s="59"/>
      <c r="N1520" s="59"/>
      <c r="O1520" s="59"/>
      <c r="P1520" s="59"/>
      <c r="Q1520" s="59"/>
      <c r="R1520" s="59"/>
      <c r="S1520" s="59"/>
      <c r="T1520" s="59"/>
      <c r="U1520" s="59"/>
      <c r="V1520" s="59"/>
      <c r="W1520" s="59"/>
      <c r="X1520" s="59"/>
      <c r="Y1520" s="59"/>
      <c r="Z1520" s="59"/>
      <c r="AA1520" s="59"/>
      <c r="AB1520" s="59"/>
      <c r="AC1520" s="59"/>
    </row>
    <row r="1521" spans="2:29" s="62" customFormat="1" ht="15" hidden="1" customHeight="1" x14ac:dyDescent="0.25">
      <c r="B1521" s="59"/>
      <c r="C1521" s="59"/>
      <c r="D1521" s="59"/>
      <c r="E1521" s="59"/>
      <c r="F1521" s="59"/>
      <c r="G1521" s="59"/>
      <c r="H1521" s="59"/>
      <c r="I1521" s="59"/>
      <c r="J1521" s="59"/>
      <c r="K1521" s="59"/>
      <c r="L1521" s="59"/>
      <c r="M1521" s="59"/>
      <c r="N1521" s="59"/>
      <c r="O1521" s="59"/>
      <c r="P1521" s="59"/>
      <c r="Q1521" s="59"/>
      <c r="R1521" s="59"/>
      <c r="S1521" s="59"/>
      <c r="T1521" s="59"/>
      <c r="U1521" s="59"/>
      <c r="V1521" s="59"/>
      <c r="W1521" s="59"/>
      <c r="X1521" s="59"/>
      <c r="Y1521" s="59"/>
      <c r="Z1521" s="59"/>
      <c r="AA1521" s="59"/>
      <c r="AB1521" s="59"/>
      <c r="AC1521" s="59"/>
    </row>
    <row r="1522" spans="2:29" s="62" customFormat="1" ht="15" hidden="1" customHeight="1" x14ac:dyDescent="0.25">
      <c r="B1522" s="59"/>
      <c r="C1522" s="59"/>
      <c r="D1522" s="59"/>
      <c r="E1522" s="59"/>
      <c r="F1522" s="59"/>
      <c r="G1522" s="59"/>
      <c r="H1522" s="59"/>
      <c r="I1522" s="59"/>
      <c r="J1522" s="59"/>
      <c r="K1522" s="59"/>
      <c r="L1522" s="59"/>
      <c r="M1522" s="59"/>
      <c r="N1522" s="59"/>
      <c r="O1522" s="59"/>
      <c r="P1522" s="59"/>
      <c r="Q1522" s="59"/>
      <c r="R1522" s="59"/>
      <c r="S1522" s="59"/>
      <c r="T1522" s="59"/>
      <c r="U1522" s="59"/>
      <c r="V1522" s="59"/>
      <c r="W1522" s="59"/>
      <c r="X1522" s="59"/>
      <c r="Y1522" s="59"/>
      <c r="Z1522" s="59"/>
      <c r="AA1522" s="59"/>
      <c r="AB1522" s="59"/>
      <c r="AC1522" s="59"/>
    </row>
    <row r="1523" spans="2:29" s="62" customFormat="1" ht="15" hidden="1" customHeight="1" x14ac:dyDescent="0.25">
      <c r="B1523" s="59"/>
      <c r="C1523" s="59"/>
      <c r="D1523" s="59"/>
      <c r="E1523" s="59"/>
      <c r="F1523" s="59"/>
      <c r="G1523" s="59"/>
      <c r="H1523" s="59"/>
      <c r="I1523" s="59"/>
      <c r="J1523" s="59"/>
      <c r="K1523" s="59"/>
      <c r="L1523" s="59"/>
      <c r="M1523" s="59"/>
      <c r="N1523" s="59"/>
      <c r="O1523" s="59"/>
      <c r="P1523" s="59"/>
      <c r="Q1523" s="59"/>
      <c r="R1523" s="59"/>
      <c r="S1523" s="59"/>
      <c r="T1523" s="59"/>
      <c r="U1523" s="59"/>
      <c r="V1523" s="59"/>
      <c r="W1523" s="59"/>
      <c r="X1523" s="59"/>
      <c r="Y1523" s="59"/>
      <c r="Z1523" s="59"/>
      <c r="AA1523" s="59"/>
      <c r="AB1523" s="59"/>
      <c r="AC1523" s="59"/>
    </row>
    <row r="1524" spans="2:29" s="62" customFormat="1" ht="15" hidden="1" customHeight="1" x14ac:dyDescent="0.25">
      <c r="B1524" s="59"/>
      <c r="C1524" s="59"/>
      <c r="D1524" s="59"/>
      <c r="E1524" s="59"/>
      <c r="F1524" s="59"/>
      <c r="G1524" s="59"/>
      <c r="H1524" s="59"/>
      <c r="I1524" s="59"/>
      <c r="J1524" s="59"/>
      <c r="K1524" s="59"/>
      <c r="L1524" s="59"/>
      <c r="M1524" s="59"/>
      <c r="N1524" s="59"/>
      <c r="O1524" s="59"/>
      <c r="P1524" s="59"/>
      <c r="Q1524" s="59"/>
      <c r="R1524" s="59"/>
      <c r="S1524" s="59"/>
      <c r="T1524" s="59"/>
      <c r="U1524" s="59"/>
      <c r="V1524" s="59"/>
      <c r="W1524" s="59"/>
      <c r="X1524" s="59"/>
      <c r="Y1524" s="59"/>
      <c r="Z1524" s="59"/>
      <c r="AA1524" s="59"/>
      <c r="AB1524" s="59"/>
      <c r="AC1524" s="59"/>
    </row>
    <row r="1525" spans="2:29" s="62" customFormat="1" ht="15" hidden="1" customHeight="1" x14ac:dyDescent="0.25">
      <c r="B1525" s="59"/>
      <c r="C1525" s="59"/>
      <c r="D1525" s="59"/>
      <c r="E1525" s="59"/>
      <c r="F1525" s="59"/>
      <c r="G1525" s="59"/>
      <c r="H1525" s="59"/>
      <c r="I1525" s="59"/>
      <c r="J1525" s="59"/>
      <c r="K1525" s="59"/>
      <c r="L1525" s="59"/>
      <c r="M1525" s="59"/>
      <c r="N1525" s="59"/>
      <c r="O1525" s="59"/>
      <c r="P1525" s="59"/>
      <c r="Q1525" s="59"/>
      <c r="R1525" s="59"/>
      <c r="S1525" s="59"/>
      <c r="T1525" s="59"/>
      <c r="U1525" s="59"/>
      <c r="V1525" s="59"/>
      <c r="W1525" s="59"/>
      <c r="X1525" s="59"/>
      <c r="Y1525" s="59"/>
      <c r="Z1525" s="59"/>
      <c r="AA1525" s="59"/>
      <c r="AB1525" s="59"/>
      <c r="AC1525" s="59"/>
    </row>
    <row r="1526" spans="2:29" s="62" customFormat="1" ht="15" hidden="1" customHeight="1" x14ac:dyDescent="0.25">
      <c r="B1526" s="59"/>
      <c r="C1526" s="59"/>
      <c r="D1526" s="59"/>
      <c r="E1526" s="59"/>
      <c r="F1526" s="59"/>
      <c r="G1526" s="59"/>
      <c r="H1526" s="59"/>
      <c r="I1526" s="59"/>
      <c r="J1526" s="59"/>
      <c r="K1526" s="59"/>
      <c r="L1526" s="59"/>
      <c r="M1526" s="59"/>
      <c r="N1526" s="59"/>
      <c r="O1526" s="59"/>
      <c r="P1526" s="59"/>
      <c r="Q1526" s="59"/>
      <c r="R1526" s="59"/>
      <c r="S1526" s="59"/>
      <c r="T1526" s="59"/>
      <c r="U1526" s="59"/>
      <c r="V1526" s="59"/>
      <c r="W1526" s="59"/>
      <c r="X1526" s="59"/>
      <c r="Y1526" s="59"/>
      <c r="Z1526" s="59"/>
      <c r="AA1526" s="59"/>
      <c r="AB1526" s="59"/>
      <c r="AC1526" s="59"/>
    </row>
    <row r="1527" spans="2:29" s="62" customFormat="1" ht="15" hidden="1" customHeight="1" x14ac:dyDescent="0.25">
      <c r="B1527" s="59"/>
      <c r="C1527" s="59"/>
      <c r="D1527" s="59"/>
      <c r="E1527" s="59"/>
      <c r="F1527" s="59"/>
      <c r="G1527" s="59"/>
      <c r="H1527" s="59"/>
      <c r="I1527" s="59"/>
      <c r="J1527" s="59"/>
      <c r="K1527" s="59"/>
      <c r="L1527" s="59"/>
      <c r="M1527" s="59"/>
      <c r="N1527" s="59"/>
      <c r="O1527" s="59"/>
      <c r="P1527" s="59"/>
      <c r="Q1527" s="59"/>
      <c r="R1527" s="59"/>
      <c r="S1527" s="59"/>
      <c r="T1527" s="59"/>
      <c r="U1527" s="59"/>
      <c r="V1527" s="59"/>
      <c r="W1527" s="59"/>
      <c r="X1527" s="59"/>
      <c r="Y1527" s="59"/>
      <c r="Z1527" s="59"/>
      <c r="AA1527" s="59"/>
      <c r="AB1527" s="59"/>
      <c r="AC1527" s="59"/>
    </row>
    <row r="1528" spans="2:29" s="62" customFormat="1" ht="15" hidden="1" customHeight="1" x14ac:dyDescent="0.25">
      <c r="B1528" s="59"/>
      <c r="C1528" s="59"/>
      <c r="D1528" s="59"/>
      <c r="E1528" s="59"/>
      <c r="F1528" s="59"/>
      <c r="G1528" s="59"/>
      <c r="H1528" s="59"/>
      <c r="I1528" s="59"/>
      <c r="J1528" s="59"/>
      <c r="K1528" s="59"/>
      <c r="L1528" s="59"/>
      <c r="M1528" s="59"/>
      <c r="N1528" s="59"/>
      <c r="O1528" s="59"/>
      <c r="P1528" s="59"/>
      <c r="Q1528" s="59"/>
      <c r="R1528" s="59"/>
      <c r="S1528" s="59"/>
      <c r="T1528" s="59"/>
      <c r="U1528" s="59"/>
      <c r="V1528" s="59"/>
      <c r="W1528" s="59"/>
      <c r="X1528" s="59"/>
      <c r="Y1528" s="59"/>
      <c r="Z1528" s="59"/>
      <c r="AA1528" s="59"/>
      <c r="AB1528" s="59"/>
      <c r="AC1528" s="59"/>
    </row>
    <row r="1529" spans="2:29" s="62" customFormat="1" ht="15" hidden="1" customHeight="1" x14ac:dyDescent="0.25">
      <c r="B1529" s="59"/>
      <c r="C1529" s="59"/>
      <c r="D1529" s="59"/>
      <c r="E1529" s="59"/>
      <c r="F1529" s="59"/>
      <c r="G1529" s="59"/>
      <c r="H1529" s="59"/>
      <c r="I1529" s="59"/>
      <c r="J1529" s="59"/>
      <c r="K1529" s="59"/>
      <c r="L1529" s="59"/>
      <c r="M1529" s="59"/>
      <c r="N1529" s="59"/>
      <c r="O1529" s="59"/>
      <c r="P1529" s="59"/>
      <c r="Q1529" s="59"/>
      <c r="R1529" s="59"/>
      <c r="S1529" s="59"/>
      <c r="T1529" s="59"/>
      <c r="U1529" s="59"/>
      <c r="V1529" s="59"/>
      <c r="W1529" s="59"/>
      <c r="X1529" s="59"/>
      <c r="Y1529" s="59"/>
      <c r="Z1529" s="59"/>
      <c r="AA1529" s="59"/>
      <c r="AB1529" s="59"/>
      <c r="AC1529" s="59"/>
    </row>
    <row r="1530" spans="2:29" s="62" customFormat="1" ht="15" hidden="1" customHeight="1" x14ac:dyDescent="0.25">
      <c r="B1530" s="59"/>
      <c r="C1530" s="59"/>
      <c r="D1530" s="59"/>
      <c r="E1530" s="59"/>
      <c r="F1530" s="59"/>
      <c r="G1530" s="59"/>
      <c r="H1530" s="59"/>
      <c r="I1530" s="59"/>
      <c r="J1530" s="59"/>
      <c r="K1530" s="59"/>
      <c r="L1530" s="59"/>
      <c r="M1530" s="59"/>
      <c r="N1530" s="59"/>
      <c r="O1530" s="59"/>
      <c r="P1530" s="59"/>
      <c r="Q1530" s="59"/>
      <c r="R1530" s="59"/>
      <c r="S1530" s="59"/>
      <c r="T1530" s="59"/>
      <c r="U1530" s="59"/>
      <c r="V1530" s="59"/>
      <c r="W1530" s="59"/>
      <c r="X1530" s="59"/>
      <c r="Y1530" s="59"/>
      <c r="Z1530" s="59"/>
      <c r="AA1530" s="59"/>
      <c r="AB1530" s="59"/>
      <c r="AC1530" s="59"/>
    </row>
    <row r="1531" spans="2:29" s="62" customFormat="1" ht="15" hidden="1" customHeight="1" x14ac:dyDescent="0.25">
      <c r="B1531" s="59"/>
      <c r="C1531" s="59"/>
      <c r="D1531" s="59"/>
      <c r="E1531" s="59"/>
      <c r="F1531" s="59"/>
      <c r="G1531" s="59"/>
      <c r="H1531" s="59"/>
      <c r="I1531" s="59"/>
      <c r="J1531" s="59"/>
      <c r="K1531" s="59"/>
      <c r="L1531" s="59"/>
      <c r="M1531" s="59"/>
      <c r="N1531" s="59"/>
      <c r="O1531" s="59"/>
      <c r="P1531" s="59"/>
      <c r="Q1531" s="59"/>
      <c r="R1531" s="59"/>
      <c r="S1531" s="59"/>
      <c r="T1531" s="59"/>
      <c r="U1531" s="59"/>
      <c r="V1531" s="59"/>
      <c r="W1531" s="59"/>
      <c r="X1531" s="59"/>
      <c r="Y1531" s="59"/>
      <c r="Z1531" s="59"/>
      <c r="AA1531" s="59"/>
      <c r="AB1531" s="59"/>
      <c r="AC1531" s="59"/>
    </row>
    <row r="1532" spans="2:29" s="62" customFormat="1" ht="15" hidden="1" customHeight="1" x14ac:dyDescent="0.25">
      <c r="B1532" s="59"/>
      <c r="C1532" s="59"/>
      <c r="D1532" s="59"/>
      <c r="E1532" s="59"/>
      <c r="F1532" s="59"/>
      <c r="G1532" s="59"/>
      <c r="H1532" s="59"/>
      <c r="I1532" s="59"/>
      <c r="J1532" s="59"/>
      <c r="K1532" s="59"/>
      <c r="L1532" s="59"/>
      <c r="M1532" s="59"/>
      <c r="N1532" s="59"/>
      <c r="O1532" s="59"/>
      <c r="P1532" s="59"/>
      <c r="Q1532" s="59"/>
      <c r="R1532" s="59"/>
      <c r="S1532" s="59"/>
      <c r="T1532" s="59"/>
      <c r="U1532" s="59"/>
      <c r="V1532" s="59"/>
      <c r="W1532" s="59"/>
      <c r="X1532" s="59"/>
      <c r="Y1532" s="59"/>
      <c r="Z1532" s="59"/>
      <c r="AA1532" s="59"/>
      <c r="AB1532" s="59"/>
      <c r="AC1532" s="59"/>
    </row>
    <row r="1533" spans="2:29" s="62" customFormat="1" ht="15" hidden="1" customHeight="1" x14ac:dyDescent="0.25">
      <c r="B1533" s="59"/>
      <c r="C1533" s="59"/>
      <c r="D1533" s="59"/>
      <c r="E1533" s="59"/>
      <c r="F1533" s="59"/>
      <c r="G1533" s="59"/>
      <c r="H1533" s="59"/>
      <c r="I1533" s="59"/>
      <c r="J1533" s="59"/>
      <c r="K1533" s="59"/>
      <c r="L1533" s="59"/>
      <c r="M1533" s="59"/>
      <c r="N1533" s="59"/>
      <c r="O1533" s="59"/>
      <c r="P1533" s="59"/>
      <c r="Q1533" s="59"/>
      <c r="R1533" s="59"/>
      <c r="S1533" s="59"/>
      <c r="T1533" s="59"/>
      <c r="U1533" s="59"/>
      <c r="V1533" s="59"/>
      <c r="W1533" s="59"/>
      <c r="X1533" s="59"/>
      <c r="Y1533" s="59"/>
      <c r="Z1533" s="59"/>
      <c r="AA1533" s="59"/>
      <c r="AB1533" s="59"/>
      <c r="AC1533" s="59"/>
    </row>
    <row r="1534" spans="2:29" s="62" customFormat="1" ht="15" hidden="1" customHeight="1" x14ac:dyDescent="0.25">
      <c r="B1534" s="59"/>
      <c r="C1534" s="59"/>
      <c r="D1534" s="59"/>
      <c r="E1534" s="59"/>
      <c r="F1534" s="59"/>
      <c r="G1534" s="59"/>
      <c r="H1534" s="59"/>
      <c r="I1534" s="59"/>
      <c r="J1534" s="59"/>
      <c r="K1534" s="59"/>
      <c r="L1534" s="59"/>
      <c r="M1534" s="59"/>
      <c r="N1534" s="59"/>
      <c r="O1534" s="59"/>
      <c r="P1534" s="59"/>
      <c r="Q1534" s="59"/>
      <c r="R1534" s="59"/>
      <c r="S1534" s="59"/>
      <c r="T1534" s="59"/>
      <c r="U1534" s="59"/>
      <c r="V1534" s="59"/>
      <c r="W1534" s="59"/>
      <c r="X1534" s="59"/>
      <c r="Y1534" s="59"/>
      <c r="Z1534" s="59"/>
      <c r="AA1534" s="59"/>
      <c r="AB1534" s="59"/>
      <c r="AC1534" s="59"/>
    </row>
    <row r="1535" spans="2:29" s="62" customFormat="1" ht="15" hidden="1" customHeight="1" x14ac:dyDescent="0.25">
      <c r="B1535" s="59"/>
      <c r="C1535" s="59"/>
      <c r="D1535" s="59"/>
      <c r="E1535" s="59"/>
      <c r="F1535" s="59"/>
      <c r="G1535" s="59"/>
      <c r="H1535" s="59"/>
      <c r="I1535" s="59"/>
      <c r="J1535" s="59"/>
      <c r="K1535" s="59"/>
      <c r="L1535" s="59"/>
      <c r="M1535" s="59"/>
      <c r="N1535" s="59"/>
      <c r="O1535" s="59"/>
      <c r="P1535" s="59"/>
      <c r="Q1535" s="59"/>
      <c r="R1535" s="59"/>
      <c r="S1535" s="59"/>
      <c r="T1535" s="59"/>
      <c r="U1535" s="59"/>
      <c r="V1535" s="59"/>
      <c r="W1535" s="59"/>
      <c r="X1535" s="59"/>
      <c r="Y1535" s="59"/>
      <c r="Z1535" s="59"/>
      <c r="AA1535" s="59"/>
      <c r="AB1535" s="59"/>
      <c r="AC1535" s="59"/>
    </row>
    <row r="1536" spans="2:29" s="62" customFormat="1" ht="15" hidden="1" customHeight="1" x14ac:dyDescent="0.25">
      <c r="B1536" s="59"/>
      <c r="C1536" s="59"/>
      <c r="D1536" s="59"/>
      <c r="E1536" s="59"/>
      <c r="F1536" s="59"/>
      <c r="G1536" s="59"/>
      <c r="H1536" s="59"/>
      <c r="I1536" s="59"/>
      <c r="J1536" s="59"/>
      <c r="K1536" s="59"/>
      <c r="L1536" s="59"/>
      <c r="M1536" s="59"/>
      <c r="N1536" s="59"/>
      <c r="O1536" s="59"/>
      <c r="P1536" s="59"/>
      <c r="Q1536" s="59"/>
      <c r="R1536" s="59"/>
      <c r="S1536" s="59"/>
      <c r="T1536" s="59"/>
      <c r="U1536" s="59"/>
      <c r="V1536" s="59"/>
      <c r="W1536" s="59"/>
      <c r="X1536" s="59"/>
      <c r="Y1536" s="59"/>
      <c r="Z1536" s="59"/>
      <c r="AA1536" s="59"/>
      <c r="AB1536" s="59"/>
      <c r="AC1536" s="59"/>
    </row>
    <row r="1537" spans="2:29" s="62" customFormat="1" ht="15" hidden="1" customHeight="1" x14ac:dyDescent="0.25">
      <c r="B1537" s="59"/>
      <c r="C1537" s="59"/>
      <c r="D1537" s="59"/>
      <c r="E1537" s="59"/>
      <c r="F1537" s="59"/>
      <c r="G1537" s="59"/>
      <c r="H1537" s="59"/>
      <c r="I1537" s="59"/>
      <c r="J1537" s="59"/>
      <c r="K1537" s="59"/>
      <c r="L1537" s="59"/>
      <c r="M1537" s="59"/>
      <c r="N1537" s="59"/>
      <c r="O1537" s="59"/>
      <c r="P1537" s="59"/>
      <c r="Q1537" s="59"/>
      <c r="R1537" s="59"/>
      <c r="S1537" s="59"/>
      <c r="T1537" s="59"/>
      <c r="U1537" s="59"/>
      <c r="V1537" s="59"/>
      <c r="W1537" s="59"/>
      <c r="X1537" s="59"/>
      <c r="Y1537" s="59"/>
      <c r="Z1537" s="59"/>
      <c r="AA1537" s="59"/>
      <c r="AB1537" s="59"/>
      <c r="AC1537" s="59"/>
    </row>
    <row r="1538" spans="2:29" s="62" customFormat="1" ht="15" hidden="1" customHeight="1" x14ac:dyDescent="0.25">
      <c r="B1538" s="59"/>
      <c r="C1538" s="59"/>
      <c r="D1538" s="59"/>
      <c r="E1538" s="59"/>
      <c r="F1538" s="59"/>
      <c r="G1538" s="59"/>
      <c r="H1538" s="59"/>
      <c r="I1538" s="59"/>
      <c r="J1538" s="59"/>
      <c r="K1538" s="59"/>
      <c r="L1538" s="59"/>
      <c r="M1538" s="59"/>
      <c r="N1538" s="59"/>
      <c r="O1538" s="59"/>
      <c r="P1538" s="59"/>
      <c r="Q1538" s="59"/>
      <c r="R1538" s="59"/>
      <c r="S1538" s="59"/>
      <c r="T1538" s="59"/>
      <c r="U1538" s="59"/>
      <c r="V1538" s="59"/>
      <c r="W1538" s="59"/>
      <c r="X1538" s="59"/>
      <c r="Y1538" s="59"/>
      <c r="Z1538" s="59"/>
      <c r="AA1538" s="59"/>
      <c r="AB1538" s="59"/>
      <c r="AC1538" s="59"/>
    </row>
    <row r="1539" spans="2:29" s="62" customFormat="1" ht="15" hidden="1" customHeight="1" x14ac:dyDescent="0.25">
      <c r="B1539" s="59"/>
      <c r="C1539" s="59"/>
      <c r="D1539" s="59"/>
      <c r="E1539" s="59"/>
      <c r="F1539" s="59"/>
      <c r="G1539" s="59"/>
      <c r="H1539" s="59"/>
      <c r="I1539" s="59"/>
      <c r="J1539" s="59"/>
      <c r="K1539" s="59"/>
      <c r="L1539" s="59"/>
      <c r="M1539" s="59"/>
      <c r="N1539" s="59"/>
      <c r="O1539" s="59"/>
      <c r="P1539" s="59"/>
      <c r="Q1539" s="59"/>
      <c r="R1539" s="59"/>
      <c r="S1539" s="59"/>
      <c r="T1539" s="59"/>
      <c r="U1539" s="59"/>
      <c r="V1539" s="59"/>
      <c r="W1539" s="59"/>
      <c r="X1539" s="59"/>
      <c r="Y1539" s="59"/>
      <c r="Z1539" s="59"/>
      <c r="AA1539" s="59"/>
      <c r="AB1539" s="59"/>
      <c r="AC1539" s="59"/>
    </row>
    <row r="1540" spans="2:29" s="62" customFormat="1" ht="15" hidden="1" customHeight="1" x14ac:dyDescent="0.25">
      <c r="B1540" s="59"/>
      <c r="C1540" s="59"/>
      <c r="D1540" s="59"/>
      <c r="E1540" s="59"/>
      <c r="F1540" s="59"/>
      <c r="G1540" s="59"/>
      <c r="H1540" s="59"/>
      <c r="I1540" s="59"/>
      <c r="J1540" s="59"/>
      <c r="K1540" s="59"/>
      <c r="L1540" s="59"/>
      <c r="M1540" s="59"/>
      <c r="N1540" s="59"/>
      <c r="O1540" s="59"/>
      <c r="P1540" s="59"/>
      <c r="Q1540" s="59"/>
      <c r="R1540" s="59"/>
      <c r="S1540" s="59"/>
      <c r="T1540" s="59"/>
      <c r="U1540" s="59"/>
      <c r="V1540" s="59"/>
      <c r="W1540" s="59"/>
      <c r="X1540" s="59"/>
      <c r="Y1540" s="59"/>
      <c r="Z1540" s="59"/>
      <c r="AA1540" s="59"/>
      <c r="AB1540" s="59"/>
      <c r="AC1540" s="59"/>
    </row>
    <row r="1541" spans="2:29" s="62" customFormat="1" ht="15" hidden="1" customHeight="1" x14ac:dyDescent="0.25">
      <c r="B1541" s="59"/>
      <c r="C1541" s="59"/>
      <c r="D1541" s="59"/>
      <c r="E1541" s="59"/>
      <c r="F1541" s="59"/>
      <c r="G1541" s="59"/>
      <c r="H1541" s="59"/>
      <c r="I1541" s="59"/>
      <c r="J1541" s="59"/>
      <c r="K1541" s="59"/>
      <c r="L1541" s="59"/>
      <c r="M1541" s="59"/>
      <c r="N1541" s="59"/>
      <c r="O1541" s="59"/>
      <c r="P1541" s="59"/>
      <c r="Q1541" s="59"/>
      <c r="R1541" s="59"/>
      <c r="S1541" s="59"/>
      <c r="T1541" s="59"/>
      <c r="U1541" s="59"/>
      <c r="V1541" s="59"/>
      <c r="W1541" s="59"/>
      <c r="X1541" s="59"/>
      <c r="Y1541" s="59"/>
      <c r="Z1541" s="59"/>
      <c r="AA1541" s="59"/>
      <c r="AB1541" s="59"/>
      <c r="AC1541" s="59"/>
    </row>
    <row r="1542" spans="2:29" s="62" customFormat="1" ht="15" hidden="1" customHeight="1" x14ac:dyDescent="0.25">
      <c r="B1542" s="59"/>
      <c r="C1542" s="59"/>
      <c r="D1542" s="59"/>
      <c r="E1542" s="59"/>
      <c r="F1542" s="59"/>
      <c r="G1542" s="59"/>
      <c r="H1542" s="59"/>
      <c r="I1542" s="59"/>
      <c r="J1542" s="59"/>
      <c r="K1542" s="59"/>
      <c r="L1542" s="59"/>
      <c r="M1542" s="59"/>
      <c r="N1542" s="59"/>
      <c r="O1542" s="59"/>
      <c r="P1542" s="59"/>
      <c r="Q1542" s="59"/>
      <c r="R1542" s="59"/>
      <c r="S1542" s="59"/>
      <c r="T1542" s="59"/>
      <c r="U1542" s="59"/>
      <c r="V1542" s="59"/>
      <c r="W1542" s="59"/>
      <c r="X1542" s="59"/>
      <c r="Y1542" s="59"/>
      <c r="Z1542" s="59"/>
      <c r="AA1542" s="59"/>
      <c r="AB1542" s="59"/>
      <c r="AC1542" s="59"/>
    </row>
    <row r="1543" spans="2:29" s="62" customFormat="1" ht="15" hidden="1" customHeight="1" x14ac:dyDescent="0.25">
      <c r="B1543" s="59"/>
      <c r="C1543" s="59"/>
      <c r="D1543" s="59"/>
      <c r="E1543" s="59"/>
      <c r="F1543" s="59"/>
      <c r="G1543" s="59"/>
      <c r="H1543" s="59"/>
      <c r="I1543" s="59"/>
      <c r="J1543" s="59"/>
      <c r="K1543" s="59"/>
      <c r="L1543" s="59"/>
      <c r="M1543" s="59"/>
      <c r="N1543" s="59"/>
      <c r="O1543" s="59"/>
      <c r="P1543" s="59"/>
      <c r="Q1543" s="59"/>
      <c r="R1543" s="59"/>
      <c r="S1543" s="59"/>
      <c r="T1543" s="59"/>
      <c r="U1543" s="59"/>
      <c r="V1543" s="59"/>
      <c r="W1543" s="59"/>
      <c r="X1543" s="59"/>
      <c r="Y1543" s="59"/>
      <c r="Z1543" s="59"/>
      <c r="AA1543" s="59"/>
      <c r="AB1543" s="59"/>
      <c r="AC1543" s="59"/>
    </row>
    <row r="1544" spans="2:29" s="62" customFormat="1" ht="15" hidden="1" customHeight="1" x14ac:dyDescent="0.25">
      <c r="B1544" s="59"/>
      <c r="C1544" s="59"/>
      <c r="D1544" s="59"/>
      <c r="E1544" s="59"/>
      <c r="F1544" s="59"/>
      <c r="G1544" s="59"/>
      <c r="H1544" s="59"/>
      <c r="I1544" s="59"/>
      <c r="J1544" s="59"/>
      <c r="K1544" s="59"/>
      <c r="L1544" s="59"/>
      <c r="M1544" s="59"/>
      <c r="N1544" s="59"/>
      <c r="O1544" s="59"/>
      <c r="P1544" s="59"/>
      <c r="Q1544" s="59"/>
      <c r="R1544" s="59"/>
      <c r="S1544" s="59"/>
      <c r="T1544" s="59"/>
      <c r="U1544" s="59"/>
      <c r="V1544" s="59"/>
      <c r="W1544" s="59"/>
      <c r="X1544" s="59"/>
      <c r="Y1544" s="59"/>
      <c r="Z1544" s="59"/>
      <c r="AA1544" s="59"/>
      <c r="AB1544" s="59"/>
      <c r="AC1544" s="59"/>
    </row>
    <row r="1545" spans="2:29" s="62" customFormat="1" ht="15" hidden="1" customHeight="1" x14ac:dyDescent="0.25">
      <c r="B1545" s="59"/>
      <c r="C1545" s="59"/>
      <c r="D1545" s="59"/>
      <c r="E1545" s="59"/>
      <c r="F1545" s="59"/>
      <c r="G1545" s="59"/>
      <c r="H1545" s="59"/>
      <c r="I1545" s="59"/>
      <c r="J1545" s="59"/>
      <c r="K1545" s="59"/>
      <c r="L1545" s="59"/>
      <c r="M1545" s="59"/>
      <c r="N1545" s="59"/>
      <c r="O1545" s="59"/>
      <c r="P1545" s="59"/>
      <c r="Q1545" s="59"/>
      <c r="R1545" s="59"/>
      <c r="S1545" s="59"/>
      <c r="T1545" s="59"/>
      <c r="U1545" s="59"/>
      <c r="V1545" s="59"/>
      <c r="W1545" s="59"/>
      <c r="X1545" s="59"/>
      <c r="Y1545" s="59"/>
      <c r="Z1545" s="59"/>
      <c r="AA1545" s="59"/>
      <c r="AB1545" s="59"/>
      <c r="AC1545" s="59"/>
    </row>
    <row r="1546" spans="2:29" s="62" customFormat="1" ht="15" hidden="1" customHeight="1" x14ac:dyDescent="0.25">
      <c r="B1546" s="59"/>
      <c r="C1546" s="59"/>
      <c r="D1546" s="59"/>
      <c r="E1546" s="59"/>
      <c r="F1546" s="59"/>
      <c r="G1546" s="59"/>
      <c r="H1546" s="59"/>
      <c r="I1546" s="59"/>
      <c r="J1546" s="59"/>
      <c r="K1546" s="59"/>
      <c r="L1546" s="59"/>
      <c r="M1546" s="59"/>
      <c r="N1546" s="59"/>
      <c r="O1546" s="59"/>
      <c r="P1546" s="59"/>
      <c r="Q1546" s="59"/>
      <c r="R1546" s="59"/>
      <c r="S1546" s="59"/>
      <c r="T1546" s="59"/>
      <c r="U1546" s="59"/>
      <c r="V1546" s="59"/>
      <c r="W1546" s="59"/>
      <c r="X1546" s="59"/>
      <c r="Y1546" s="59"/>
      <c r="Z1546" s="59"/>
      <c r="AA1546" s="59"/>
      <c r="AB1546" s="59"/>
      <c r="AC1546" s="59"/>
    </row>
    <row r="1547" spans="2:29" s="62" customFormat="1" ht="15" hidden="1" customHeight="1" x14ac:dyDescent="0.25">
      <c r="B1547" s="59"/>
      <c r="C1547" s="59"/>
      <c r="D1547" s="59"/>
      <c r="E1547" s="59"/>
      <c r="F1547" s="59"/>
      <c r="G1547" s="59"/>
      <c r="H1547" s="59"/>
      <c r="I1547" s="59"/>
      <c r="J1547" s="59"/>
      <c r="K1547" s="59"/>
      <c r="L1547" s="59"/>
      <c r="M1547" s="59"/>
      <c r="N1547" s="59"/>
      <c r="O1547" s="59"/>
      <c r="P1547" s="59"/>
      <c r="Q1547" s="59"/>
      <c r="R1547" s="59"/>
      <c r="S1547" s="59"/>
      <c r="T1547" s="59"/>
      <c r="U1547" s="59"/>
      <c r="V1547" s="59"/>
      <c r="W1547" s="59"/>
      <c r="X1547" s="59"/>
      <c r="Y1547" s="59"/>
      <c r="Z1547" s="59"/>
      <c r="AA1547" s="59"/>
      <c r="AB1547" s="59"/>
      <c r="AC1547" s="59"/>
    </row>
    <row r="1548" spans="2:29" s="62" customFormat="1" ht="15" hidden="1" customHeight="1" x14ac:dyDescent="0.25">
      <c r="B1548" s="59"/>
      <c r="C1548" s="59"/>
      <c r="D1548" s="59"/>
      <c r="E1548" s="59"/>
      <c r="F1548" s="59"/>
      <c r="G1548" s="59"/>
      <c r="H1548" s="59"/>
      <c r="I1548" s="59"/>
      <c r="J1548" s="59"/>
      <c r="K1548" s="59"/>
      <c r="L1548" s="59"/>
      <c r="M1548" s="59"/>
      <c r="N1548" s="59"/>
      <c r="O1548" s="59"/>
      <c r="P1548" s="59"/>
      <c r="Q1548" s="59"/>
      <c r="R1548" s="59"/>
      <c r="S1548" s="59"/>
      <c r="T1548" s="59"/>
      <c r="U1548" s="59"/>
      <c r="V1548" s="59"/>
      <c r="W1548" s="59"/>
      <c r="X1548" s="59"/>
      <c r="Y1548" s="59"/>
      <c r="Z1548" s="59"/>
      <c r="AA1548" s="59"/>
      <c r="AB1548" s="59"/>
      <c r="AC1548" s="59"/>
    </row>
    <row r="1549" spans="2:29" s="62" customFormat="1" ht="15" hidden="1" customHeight="1" x14ac:dyDescent="0.25">
      <c r="B1549" s="59"/>
      <c r="C1549" s="59"/>
      <c r="D1549" s="59"/>
      <c r="E1549" s="59"/>
      <c r="F1549" s="59"/>
      <c r="G1549" s="59"/>
      <c r="H1549" s="59"/>
      <c r="I1549" s="59"/>
      <c r="J1549" s="59"/>
      <c r="K1549" s="59"/>
      <c r="L1549" s="59"/>
      <c r="M1549" s="59"/>
      <c r="N1549" s="59"/>
      <c r="O1549" s="59"/>
      <c r="P1549" s="59"/>
      <c r="Q1549" s="59"/>
      <c r="R1549" s="59"/>
      <c r="S1549" s="59"/>
      <c r="T1549" s="59"/>
      <c r="U1549" s="59"/>
      <c r="V1549" s="59"/>
      <c r="W1549" s="59"/>
      <c r="X1549" s="59"/>
      <c r="Y1549" s="59"/>
      <c r="Z1549" s="59"/>
      <c r="AA1549" s="59"/>
      <c r="AB1549" s="59"/>
      <c r="AC1549" s="59"/>
    </row>
    <row r="1550" spans="2:29" s="62" customFormat="1" ht="15" hidden="1" customHeight="1" x14ac:dyDescent="0.25">
      <c r="B1550" s="59"/>
      <c r="C1550" s="59"/>
      <c r="D1550" s="59"/>
      <c r="E1550" s="59"/>
      <c r="F1550" s="59"/>
      <c r="G1550" s="59"/>
      <c r="H1550" s="59"/>
      <c r="I1550" s="59"/>
      <c r="J1550" s="59"/>
      <c r="K1550" s="59"/>
      <c r="L1550" s="59"/>
      <c r="M1550" s="59"/>
      <c r="N1550" s="59"/>
      <c r="O1550" s="59"/>
      <c r="P1550" s="59"/>
      <c r="Q1550" s="59"/>
      <c r="R1550" s="59"/>
      <c r="S1550" s="59"/>
      <c r="T1550" s="59"/>
      <c r="U1550" s="59"/>
      <c r="V1550" s="59"/>
      <c r="W1550" s="59"/>
      <c r="X1550" s="59"/>
      <c r="Y1550" s="59"/>
      <c r="Z1550" s="59"/>
      <c r="AA1550" s="59"/>
      <c r="AB1550" s="59"/>
      <c r="AC1550" s="59"/>
    </row>
    <row r="1551" spans="2:29" s="62" customFormat="1" ht="15" hidden="1" customHeight="1" x14ac:dyDescent="0.25">
      <c r="B1551" s="59"/>
      <c r="C1551" s="59"/>
      <c r="D1551" s="59"/>
      <c r="E1551" s="59"/>
      <c r="F1551" s="59"/>
      <c r="G1551" s="59"/>
      <c r="H1551" s="59"/>
      <c r="I1551" s="59"/>
      <c r="J1551" s="59"/>
      <c r="K1551" s="59"/>
      <c r="L1551" s="59"/>
      <c r="M1551" s="59"/>
      <c r="N1551" s="59"/>
      <c r="O1551" s="59"/>
      <c r="P1551" s="59"/>
      <c r="Q1551" s="59"/>
      <c r="R1551" s="59"/>
      <c r="S1551" s="59"/>
      <c r="T1551" s="59"/>
      <c r="U1551" s="59"/>
      <c r="V1551" s="59"/>
      <c r="W1551" s="59"/>
      <c r="X1551" s="59"/>
      <c r="Y1551" s="59"/>
      <c r="Z1551" s="59"/>
      <c r="AA1551" s="59"/>
      <c r="AB1551" s="59"/>
      <c r="AC1551" s="59"/>
    </row>
    <row r="1552" spans="2:29" s="62" customFormat="1" ht="15" hidden="1" customHeight="1" x14ac:dyDescent="0.25">
      <c r="B1552" s="59"/>
      <c r="C1552" s="59"/>
      <c r="D1552" s="59"/>
      <c r="E1552" s="59"/>
      <c r="F1552" s="59"/>
      <c r="G1552" s="59"/>
      <c r="H1552" s="59"/>
      <c r="I1552" s="59"/>
      <c r="J1552" s="59"/>
      <c r="K1552" s="59"/>
      <c r="L1552" s="59"/>
      <c r="M1552" s="59"/>
      <c r="N1552" s="59"/>
      <c r="O1552" s="59"/>
      <c r="P1552" s="59"/>
      <c r="Q1552" s="59"/>
      <c r="R1552" s="59"/>
      <c r="S1552" s="59"/>
      <c r="T1552" s="59"/>
      <c r="U1552" s="59"/>
      <c r="V1552" s="59"/>
      <c r="W1552" s="59"/>
      <c r="X1552" s="59"/>
      <c r="Y1552" s="59"/>
      <c r="Z1552" s="59"/>
      <c r="AA1552" s="59"/>
      <c r="AB1552" s="59"/>
      <c r="AC1552" s="59"/>
    </row>
    <row r="1553" spans="2:29" s="62" customFormat="1" ht="15" hidden="1" customHeight="1" x14ac:dyDescent="0.25">
      <c r="B1553" s="59"/>
      <c r="C1553" s="59"/>
      <c r="D1553" s="59"/>
      <c r="E1553" s="59"/>
      <c r="F1553" s="59"/>
      <c r="G1553" s="59"/>
      <c r="H1553" s="59"/>
      <c r="I1553" s="59"/>
      <c r="J1553" s="59"/>
      <c r="K1553" s="59"/>
      <c r="L1553" s="59"/>
      <c r="M1553" s="59"/>
      <c r="N1553" s="59"/>
      <c r="O1553" s="59"/>
      <c r="P1553" s="59"/>
      <c r="Q1553" s="59"/>
      <c r="R1553" s="59"/>
      <c r="S1553" s="59"/>
      <c r="T1553" s="59"/>
      <c r="U1553" s="59"/>
      <c r="V1553" s="59"/>
      <c r="W1553" s="59"/>
      <c r="X1553" s="59"/>
      <c r="Y1553" s="59"/>
      <c r="Z1553" s="59"/>
      <c r="AA1553" s="59"/>
      <c r="AB1553" s="59"/>
      <c r="AC1553" s="59"/>
    </row>
    <row r="1554" spans="2:29" ht="15" hidden="1" customHeight="1" x14ac:dyDescent="0.25"/>
    <row r="1555" spans="2:29" ht="15" hidden="1" customHeight="1" x14ac:dyDescent="0.25"/>
    <row r="1556" spans="2:29" ht="15" hidden="1" customHeight="1" x14ac:dyDescent="0.25"/>
    <row r="1557" spans="2:29" ht="15" hidden="1" customHeight="1" x14ac:dyDescent="0.25"/>
    <row r="1558" spans="2:29" ht="15" hidden="1" customHeight="1" x14ac:dyDescent="0.25"/>
    <row r="1559" spans="2:29" ht="15" hidden="1" customHeight="1" x14ac:dyDescent="0.25"/>
    <row r="1560" spans="2:29" ht="15" hidden="1" customHeight="1" x14ac:dyDescent="0.25"/>
    <row r="1561" spans="2:29" ht="15" hidden="1" customHeight="1" x14ac:dyDescent="0.25"/>
    <row r="1562" spans="2:29" ht="15" hidden="1" customHeight="1" x14ac:dyDescent="0.25"/>
    <row r="1563" spans="2:29" ht="15" hidden="1" customHeight="1" x14ac:dyDescent="0.25"/>
    <row r="1564" spans="2:29" ht="15" hidden="1" customHeight="1" x14ac:dyDescent="0.25"/>
    <row r="1565" spans="2:29" ht="15" hidden="1" customHeight="1" x14ac:dyDescent="0.25"/>
    <row r="1566" spans="2:29" ht="15" hidden="1" customHeight="1" x14ac:dyDescent="0.25"/>
    <row r="1567" spans="2:29" ht="15" hidden="1" customHeight="1" x14ac:dyDescent="0.25"/>
    <row r="1568" spans="2:29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</sheetData>
  <mergeCells count="11">
    <mergeCell ref="C45:C46"/>
    <mergeCell ref="D45:D46"/>
    <mergeCell ref="E45:E46"/>
    <mergeCell ref="B10:B11"/>
    <mergeCell ref="C10:C11"/>
    <mergeCell ref="B27:B28"/>
    <mergeCell ref="C27:C28"/>
    <mergeCell ref="E27:E28"/>
    <mergeCell ref="E10:E11"/>
    <mergeCell ref="D10:D11"/>
    <mergeCell ref="D27:D2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1AAC-8133-4B4B-B039-BC871DC7503E}">
  <dimension ref="A1:C25"/>
  <sheetViews>
    <sheetView workbookViewId="0">
      <selection activeCell="C25" sqref="C25"/>
    </sheetView>
  </sheetViews>
  <sheetFormatPr defaultRowHeight="14.4" x14ac:dyDescent="0.3"/>
  <cols>
    <col min="1" max="1" width="13.21875" bestFit="1" customWidth="1"/>
    <col min="2" max="2" width="18" bestFit="1" customWidth="1"/>
    <col min="3" max="3" width="23.21875" bestFit="1" customWidth="1"/>
  </cols>
  <sheetData>
    <row r="1" spans="1:3" x14ac:dyDescent="0.3">
      <c r="A1" s="23" t="s">
        <v>28</v>
      </c>
      <c r="B1" t="s">
        <v>6</v>
      </c>
    </row>
    <row r="2" spans="1:3" x14ac:dyDescent="0.3">
      <c r="A2" s="23" t="s">
        <v>62</v>
      </c>
      <c r="B2" t="s">
        <v>66</v>
      </c>
    </row>
    <row r="4" spans="1:3" x14ac:dyDescent="0.3">
      <c r="A4" s="23" t="s">
        <v>68</v>
      </c>
      <c r="B4" t="s">
        <v>71</v>
      </c>
      <c r="C4" t="s">
        <v>72</v>
      </c>
    </row>
    <row r="5" spans="1:3" x14ac:dyDescent="0.3">
      <c r="A5" s="24" t="s">
        <v>50</v>
      </c>
      <c r="B5" s="6">
        <v>11339142.855346801</v>
      </c>
      <c r="C5" s="6">
        <v>98.453366540549993</v>
      </c>
    </row>
    <row r="6" spans="1:3" x14ac:dyDescent="0.3">
      <c r="A6" s="24" t="s">
        <v>51</v>
      </c>
      <c r="B6" s="6">
        <v>1786795.07</v>
      </c>
      <c r="C6" s="6">
        <v>6.9953706710999999</v>
      </c>
    </row>
    <row r="7" spans="1:3" x14ac:dyDescent="0.3">
      <c r="A7" s="24" t="s">
        <v>52</v>
      </c>
      <c r="B7" s="6">
        <v>37128347.428131998</v>
      </c>
      <c r="C7" s="6">
        <v>270.01945538989901</v>
      </c>
    </row>
    <row r="8" spans="1:3" x14ac:dyDescent="0.3">
      <c r="A8" s="24" t="s">
        <v>53</v>
      </c>
      <c r="B8" s="6">
        <v>55144200.679906301</v>
      </c>
      <c r="C8" s="6">
        <v>749.21836744655002</v>
      </c>
    </row>
    <row r="9" spans="1:3" x14ac:dyDescent="0.3">
      <c r="A9" s="24" t="s">
        <v>54</v>
      </c>
      <c r="B9" s="6">
        <v>93233211.795725897</v>
      </c>
      <c r="C9" s="6">
        <v>1776.68881580519</v>
      </c>
    </row>
    <row r="10" spans="1:3" x14ac:dyDescent="0.3">
      <c r="A10" s="24" t="s">
        <v>55</v>
      </c>
      <c r="B10" s="6">
        <v>65502919.713451803</v>
      </c>
      <c r="C10" s="6">
        <v>540.90802885419896</v>
      </c>
    </row>
    <row r="11" spans="1:3" x14ac:dyDescent="0.3">
      <c r="A11" s="24" t="s">
        <v>56</v>
      </c>
      <c r="B11" s="6">
        <v>18208719.8855564</v>
      </c>
      <c r="C11" s="6">
        <v>224.43223953825</v>
      </c>
    </row>
    <row r="12" spans="1:3" x14ac:dyDescent="0.3">
      <c r="A12" s="24" t="s">
        <v>57</v>
      </c>
      <c r="B12" s="6">
        <v>13269354.8199999</v>
      </c>
      <c r="C12" s="6">
        <v>4620.1745721899297</v>
      </c>
    </row>
    <row r="13" spans="1:3" x14ac:dyDescent="0.3">
      <c r="A13" s="24" t="s">
        <v>58</v>
      </c>
      <c r="B13" s="6">
        <v>668499.77</v>
      </c>
      <c r="C13" s="6">
        <v>1.9982254181500001</v>
      </c>
    </row>
    <row r="14" spans="1:3" x14ac:dyDescent="0.3">
      <c r="A14" s="24" t="s">
        <v>70</v>
      </c>
      <c r="B14" s="6">
        <v>296281192.01811904</v>
      </c>
      <c r="C14" s="6">
        <v>8288.8884418538182</v>
      </c>
    </row>
    <row r="19" spans="1:3" x14ac:dyDescent="0.3">
      <c r="A19" s="23" t="s">
        <v>28</v>
      </c>
      <c r="B19" t="s">
        <v>6</v>
      </c>
    </row>
    <row r="20" spans="1:3" x14ac:dyDescent="0.3">
      <c r="A20" s="23" t="s">
        <v>62</v>
      </c>
      <c r="B20" t="s">
        <v>60</v>
      </c>
    </row>
    <row r="22" spans="1:3" x14ac:dyDescent="0.3">
      <c r="A22" s="23" t="s">
        <v>68</v>
      </c>
      <c r="B22" t="s">
        <v>71</v>
      </c>
      <c r="C22" t="s">
        <v>72</v>
      </c>
    </row>
    <row r="23" spans="1:3" x14ac:dyDescent="0.3">
      <c r="A23" s="24" t="s">
        <v>40</v>
      </c>
      <c r="B23" s="6">
        <v>5605812.2201682497</v>
      </c>
      <c r="C23" s="6">
        <v>169.30219518954999</v>
      </c>
    </row>
    <row r="24" spans="1:3" x14ac:dyDescent="0.3">
      <c r="A24" s="24" t="s">
        <v>69</v>
      </c>
      <c r="B24" s="6">
        <v>7405941.3126334501</v>
      </c>
      <c r="C24" s="6">
        <v>967.07771872659998</v>
      </c>
    </row>
    <row r="25" spans="1:3" x14ac:dyDescent="0.3">
      <c r="A25" s="24" t="s">
        <v>70</v>
      </c>
      <c r="B25" s="6">
        <v>13011753.532801699</v>
      </c>
      <c r="C25" s="6">
        <v>1136.3799139161499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6"/>
  <sheetViews>
    <sheetView showGridLines="0" zoomScale="80" zoomScaleNormal="80" workbookViewId="0"/>
  </sheetViews>
  <sheetFormatPr defaultColWidth="0" defaultRowHeight="0" customHeight="1" zeroHeight="1" x14ac:dyDescent="0.3"/>
  <cols>
    <col min="1" max="1" width="3.5546875" style="4" customWidth="1"/>
    <col min="2" max="5" width="25.5546875" customWidth="1"/>
    <col min="6" max="6" width="3.21875" customWidth="1"/>
    <col min="7" max="7" width="15.77734375" hidden="1" customWidth="1"/>
    <col min="8" max="8" width="13.44140625" hidden="1" customWidth="1"/>
    <col min="9" max="9" width="18" hidden="1" customWidth="1"/>
    <col min="10" max="10" width="23.21875" hidden="1" customWidth="1"/>
    <col min="11" max="12" width="15.77734375" hidden="1" customWidth="1"/>
    <col min="13" max="13" width="3.21875" hidden="1" customWidth="1"/>
    <col min="14" max="29" width="0" hidden="1" customWidth="1"/>
    <col min="30" max="16384" width="9" hidden="1"/>
  </cols>
  <sheetData>
    <row r="1" spans="1:27" ht="14.4" x14ac:dyDescent="0.3">
      <c r="A1" s="20"/>
      <c r="B1" s="21"/>
      <c r="C1" s="21"/>
      <c r="D1" s="21"/>
      <c r="E1" s="21"/>
      <c r="F1" s="21"/>
    </row>
    <row r="2" spans="1:27" ht="14.4" x14ac:dyDescent="0.3">
      <c r="A2" s="20"/>
      <c r="B2" s="21"/>
      <c r="C2" s="21"/>
      <c r="D2" s="21"/>
      <c r="E2" s="21"/>
      <c r="F2" s="21"/>
    </row>
    <row r="3" spans="1:27" ht="14.4" x14ac:dyDescent="0.3">
      <c r="A3" s="20"/>
      <c r="B3" s="21"/>
      <c r="C3" s="21"/>
      <c r="D3" s="21"/>
      <c r="E3" s="21"/>
      <c r="F3" s="21"/>
    </row>
    <row r="4" spans="1:27" ht="14.4" x14ac:dyDescent="0.3">
      <c r="A4" s="20"/>
      <c r="B4" s="21"/>
      <c r="C4" s="21"/>
      <c r="D4" s="21"/>
      <c r="E4" s="21"/>
      <c r="F4" s="21"/>
    </row>
    <row r="5" spans="1:27" ht="3" customHeight="1" x14ac:dyDescent="0.3">
      <c r="A5" s="2"/>
      <c r="B5" s="3"/>
      <c r="C5" s="3"/>
      <c r="D5" s="3"/>
      <c r="E5" s="3"/>
      <c r="F5" s="3"/>
    </row>
    <row r="6" spans="1:27" ht="14.4" x14ac:dyDescent="0.3"/>
    <row r="7" spans="1:27" ht="14.4" x14ac:dyDescent="0.3">
      <c r="B7" s="22"/>
      <c r="G7" s="9"/>
      <c r="H7" s="9"/>
      <c r="I7" s="9"/>
      <c r="J7" s="9"/>
      <c r="K7" s="9"/>
    </row>
    <row r="8" spans="1:27" ht="14.4" x14ac:dyDescent="0.3">
      <c r="B8" s="113" t="s">
        <v>178</v>
      </c>
      <c r="C8" s="83"/>
      <c r="D8" s="83"/>
      <c r="E8" s="83"/>
      <c r="F8" s="83"/>
      <c r="G8" s="93"/>
      <c r="K8" s="9"/>
    </row>
    <row r="9" spans="1:27" ht="4.95" customHeight="1" x14ac:dyDescent="0.3">
      <c r="B9" s="83"/>
      <c r="C9" s="83"/>
      <c r="D9" s="83"/>
      <c r="E9" s="83"/>
      <c r="F9" s="83"/>
      <c r="G9" s="93"/>
      <c r="K9" s="9"/>
    </row>
    <row r="10" spans="1:27" ht="15" customHeight="1" x14ac:dyDescent="0.3">
      <c r="B10" s="181" t="s">
        <v>49</v>
      </c>
      <c r="C10" s="176" t="s">
        <v>2</v>
      </c>
      <c r="D10" s="176" t="s">
        <v>3</v>
      </c>
      <c r="E10" s="172" t="s">
        <v>4</v>
      </c>
      <c r="F10" s="83"/>
      <c r="G10" s="83"/>
    </row>
    <row r="11" spans="1:27" ht="15" customHeight="1" x14ac:dyDescent="0.3">
      <c r="B11" s="181"/>
      <c r="C11" s="177"/>
      <c r="D11" s="177"/>
      <c r="E11" s="173"/>
      <c r="F11" s="83"/>
      <c r="G11" s="83"/>
    </row>
    <row r="12" spans="1:27" ht="14.4" x14ac:dyDescent="0.3">
      <c r="B12" s="114" t="s">
        <v>50</v>
      </c>
      <c r="C12" s="115">
        <v>1167430129.0543399</v>
      </c>
      <c r="D12" s="116">
        <f>C12/$C$21</f>
        <v>9.4636144690887672E-2</v>
      </c>
      <c r="E12" s="117">
        <v>1845.9660128569001</v>
      </c>
      <c r="F12" s="83"/>
      <c r="G12" s="83"/>
    </row>
    <row r="13" spans="1:27" s="4" customFormat="1" ht="14.4" x14ac:dyDescent="0.3">
      <c r="B13" s="118" t="s">
        <v>51</v>
      </c>
      <c r="C13" s="119">
        <v>499039026.67188698</v>
      </c>
      <c r="D13" s="120">
        <f t="shared" ref="D13:D20" si="0">C13/$C$21</f>
        <v>4.0453923844484048E-2</v>
      </c>
      <c r="E13" s="121">
        <v>302.36619585239998</v>
      </c>
      <c r="F13" s="83"/>
      <c r="G13" s="8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4" customFormat="1" ht="14.4" x14ac:dyDescent="0.3">
      <c r="B14" s="118" t="s">
        <v>52</v>
      </c>
      <c r="C14" s="119">
        <v>790066918.75412703</v>
      </c>
      <c r="D14" s="120">
        <f t="shared" si="0"/>
        <v>6.40457063578313E-2</v>
      </c>
      <c r="E14" s="121">
        <v>2313.3510086731499</v>
      </c>
      <c r="F14" s="83"/>
      <c r="G14" s="83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4" customFormat="1" ht="14.4" x14ac:dyDescent="0.3">
      <c r="B15" s="118" t="s">
        <v>53</v>
      </c>
      <c r="C15" s="119">
        <v>862835003.22305501</v>
      </c>
      <c r="D15" s="120">
        <f t="shared" si="0"/>
        <v>6.9944552720704004E-2</v>
      </c>
      <c r="E15" s="121">
        <v>3515.5613449252401</v>
      </c>
      <c r="F15" s="83"/>
      <c r="G15" s="83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4" customFormat="1" ht="14.4" x14ac:dyDescent="0.3">
      <c r="B16" s="118" t="s">
        <v>54</v>
      </c>
      <c r="C16" s="119">
        <v>3210616442.7512999</v>
      </c>
      <c r="D16" s="120">
        <f t="shared" si="0"/>
        <v>0.26026428020088588</v>
      </c>
      <c r="E16" s="121">
        <v>17605.226406739399</v>
      </c>
      <c r="F16" s="83"/>
      <c r="G16" s="83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4" customFormat="1" ht="14.4" x14ac:dyDescent="0.3">
      <c r="B17" s="118" t="s">
        <v>55</v>
      </c>
      <c r="C17" s="119">
        <v>3215966375.55234</v>
      </c>
      <c r="D17" s="120">
        <f t="shared" si="0"/>
        <v>0.26069796526866451</v>
      </c>
      <c r="E17" s="121">
        <v>26845.312980732</v>
      </c>
      <c r="F17" s="83"/>
      <c r="G17" s="83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4" customFormat="1" ht="14.4" x14ac:dyDescent="0.3">
      <c r="B18" s="118" t="s">
        <v>56</v>
      </c>
      <c r="C18" s="119">
        <v>1798652199.90046</v>
      </c>
      <c r="D18" s="120">
        <f t="shared" si="0"/>
        <v>0.14580530825964344</v>
      </c>
      <c r="E18" s="121">
        <v>21641.393918226298</v>
      </c>
      <c r="F18" s="83"/>
      <c r="G18" s="8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4" customFormat="1" ht="14.4" x14ac:dyDescent="0.3">
      <c r="B19" s="118" t="s">
        <v>57</v>
      </c>
      <c r="C19" s="119">
        <v>789068945.70535898</v>
      </c>
      <c r="D19" s="120">
        <f t="shared" si="0"/>
        <v>6.3964807022196271E-2</v>
      </c>
      <c r="E19" s="121">
        <v>13809.533351230901</v>
      </c>
      <c r="F19" s="83"/>
      <c r="G19" s="8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4" customFormat="1" ht="14.4" x14ac:dyDescent="0.3">
      <c r="B20" s="138" t="s">
        <v>58</v>
      </c>
      <c r="C20" s="139">
        <v>2310673.65</v>
      </c>
      <c r="D20" s="140">
        <f t="shared" si="0"/>
        <v>1.873116347031018E-4</v>
      </c>
      <c r="E20" s="162">
        <v>36.781589250000003</v>
      </c>
      <c r="F20" s="83"/>
      <c r="G20" s="83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4" customFormat="1" ht="14.4" x14ac:dyDescent="0.3">
      <c r="B21" s="122" t="s">
        <v>25</v>
      </c>
      <c r="C21" s="123">
        <f>+SUM(C12:C20)</f>
        <v>12335985715.262865</v>
      </c>
      <c r="D21" s="124">
        <f>SUM(D12:D20)</f>
        <v>1.0000000000000004</v>
      </c>
      <c r="E21" s="125">
        <f>+SUM(E12:E20)</f>
        <v>87915.492808486277</v>
      </c>
      <c r="F21" s="83"/>
      <c r="G21" s="8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4" customFormat="1" ht="4.95" customHeight="1" x14ac:dyDescent="0.3">
      <c r="B22" s="83"/>
      <c r="C22" s="126"/>
      <c r="D22" s="126"/>
      <c r="E22" s="127"/>
      <c r="F22" s="83"/>
      <c r="G22" s="8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4" customFormat="1" ht="14.4" x14ac:dyDescent="0.3">
      <c r="B23" s="83"/>
      <c r="C23" s="126"/>
      <c r="D23" s="126"/>
      <c r="E23" s="127"/>
      <c r="F23" s="83"/>
      <c r="G23" s="8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4" customFormat="1" ht="14.4" x14ac:dyDescent="0.3">
      <c r="B24" s="113" t="s">
        <v>179</v>
      </c>
      <c r="C24" s="126"/>
      <c r="D24" s="126"/>
      <c r="E24" s="127"/>
      <c r="F24" s="83"/>
      <c r="G24" s="8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4" customFormat="1" ht="14.4" x14ac:dyDescent="0.3">
      <c r="B25" s="128" t="s">
        <v>59</v>
      </c>
      <c r="C25" s="126"/>
      <c r="D25" s="126"/>
      <c r="E25" s="127"/>
      <c r="F25" s="83"/>
      <c r="G25" s="8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4" customFormat="1" ht="4.95" customHeight="1" x14ac:dyDescent="0.3">
      <c r="B26" s="83"/>
      <c r="C26" s="126"/>
      <c r="D26" s="126"/>
      <c r="E26" s="127"/>
      <c r="F26" s="83"/>
      <c r="G26" s="8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4" customFormat="1" ht="15" customHeight="1" x14ac:dyDescent="0.3">
      <c r="B27" s="181" t="s">
        <v>49</v>
      </c>
      <c r="C27" s="176" t="s">
        <v>2</v>
      </c>
      <c r="D27" s="176" t="s">
        <v>3</v>
      </c>
      <c r="E27" s="172" t="s">
        <v>4</v>
      </c>
      <c r="F27" s="83"/>
      <c r="G27" s="83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4" customFormat="1" ht="15" customHeight="1" x14ac:dyDescent="0.3">
      <c r="B28" s="181"/>
      <c r="C28" s="177"/>
      <c r="D28" s="177"/>
      <c r="E28" s="173"/>
      <c r="F28" s="83"/>
      <c r="G28" s="83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4" customFormat="1" ht="14.4" x14ac:dyDescent="0.3">
      <c r="B29" s="118" t="s">
        <v>50</v>
      </c>
      <c r="C29" s="119">
        <v>507983691.03065503</v>
      </c>
      <c r="D29" s="120">
        <f>C29/$C$40</f>
        <v>4.6301849120799023E-2</v>
      </c>
      <c r="E29" s="121">
        <v>9032.0622654625604</v>
      </c>
      <c r="F29" s="83"/>
      <c r="G29" s="83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4" customFormat="1" ht="14.4" x14ac:dyDescent="0.3">
      <c r="B30" s="118" t="s">
        <v>51</v>
      </c>
      <c r="C30" s="119">
        <v>186948690.72251201</v>
      </c>
      <c r="D30" s="120">
        <f t="shared" ref="D30:D39" si="1">C30/$C$40</f>
        <v>1.7040055072638755E-2</v>
      </c>
      <c r="E30" s="121">
        <v>4152.0524416903399</v>
      </c>
      <c r="F30" s="83"/>
      <c r="G30" s="83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4" customFormat="1" ht="14.4" x14ac:dyDescent="0.3">
      <c r="B31" s="118" t="s">
        <v>52</v>
      </c>
      <c r="C31" s="119">
        <v>574733107.43702304</v>
      </c>
      <c r="D31" s="120">
        <f t="shared" si="1"/>
        <v>5.2385944854420781E-2</v>
      </c>
      <c r="E31" s="121">
        <v>32974.470361174099</v>
      </c>
      <c r="F31" s="83"/>
      <c r="G31" s="83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4" customFormat="1" ht="14.4" x14ac:dyDescent="0.3">
      <c r="B32" s="118" t="s">
        <v>53</v>
      </c>
      <c r="C32" s="119">
        <v>600855811.032745</v>
      </c>
      <c r="D32" s="120">
        <f t="shared" si="1"/>
        <v>5.4766984840295997E-2</v>
      </c>
      <c r="E32" s="121">
        <v>11618.4055120147</v>
      </c>
      <c r="F32" s="83"/>
      <c r="G32" s="83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4" customFormat="1" ht="14.4" x14ac:dyDescent="0.3">
      <c r="B33" s="118" t="s">
        <v>54</v>
      </c>
      <c r="C33" s="119">
        <v>3432446983.9467802</v>
      </c>
      <c r="D33" s="120">
        <f t="shared" si="1"/>
        <v>0.3128617023971636</v>
      </c>
      <c r="E33" s="121">
        <v>71345.767272631696</v>
      </c>
      <c r="F33" s="83"/>
      <c r="G33" s="8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4" customFormat="1" ht="14.4" x14ac:dyDescent="0.3">
      <c r="B34" s="118" t="s">
        <v>55</v>
      </c>
      <c r="C34" s="119">
        <v>3244184519.01864</v>
      </c>
      <c r="D34" s="120">
        <f t="shared" si="1"/>
        <v>0.29570189904102312</v>
      </c>
      <c r="E34" s="121">
        <v>130722.06146285099</v>
      </c>
      <c r="F34" s="83"/>
      <c r="G34" s="83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4" customFormat="1" ht="14.4" x14ac:dyDescent="0.3">
      <c r="B35" s="118" t="s">
        <v>56</v>
      </c>
      <c r="C35" s="119">
        <v>1429510835.1790299</v>
      </c>
      <c r="D35" s="120">
        <f t="shared" si="1"/>
        <v>0.13029748036342484</v>
      </c>
      <c r="E35" s="121">
        <v>29489.656494614701</v>
      </c>
      <c r="F35" s="83"/>
      <c r="G35" s="83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4" customFormat="1" ht="14.4" x14ac:dyDescent="0.3">
      <c r="B36" s="118" t="s">
        <v>57</v>
      </c>
      <c r="C36" s="119">
        <v>906530140.02200699</v>
      </c>
      <c r="D36" s="120">
        <f t="shared" si="1"/>
        <v>8.2628679833390159E-2</v>
      </c>
      <c r="E36" s="121">
        <v>43870.412001985103</v>
      </c>
      <c r="F36" s="83"/>
      <c r="G36" s="83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9" s="4" customFormat="1" ht="14.4" x14ac:dyDescent="0.3">
      <c r="B37" s="118" t="s">
        <v>58</v>
      </c>
      <c r="C37" s="119">
        <v>47548621.642100401</v>
      </c>
      <c r="D37" s="120">
        <f t="shared" si="1"/>
        <v>4.3339759603456124E-3</v>
      </c>
      <c r="E37" s="121">
        <v>1029.24155064405</v>
      </c>
      <c r="F37" s="83"/>
      <c r="G37" s="83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9" s="62" customFormat="1" ht="13.8" x14ac:dyDescent="0.25">
      <c r="B38" s="118" t="s">
        <v>60</v>
      </c>
      <c r="C38" s="119">
        <v>819783.32476034563</v>
      </c>
      <c r="D38" s="120">
        <f>C38/$C$40</f>
        <v>7.4721855218989517E-5</v>
      </c>
      <c r="E38" s="121">
        <v>239.53170564430002</v>
      </c>
      <c r="F38" s="83"/>
      <c r="G38" s="59"/>
      <c r="H38" s="66"/>
      <c r="I38" s="66"/>
      <c r="J38" s="66"/>
      <c r="K38" s="66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 spans="2:29" s="4" customFormat="1" ht="14.4" x14ac:dyDescent="0.3">
      <c r="B39" s="118" t="s">
        <v>175</v>
      </c>
      <c r="C39" s="119">
        <v>39569654.280574761</v>
      </c>
      <c r="D39" s="120">
        <f t="shared" si="1"/>
        <v>3.6067066612789902E-3</v>
      </c>
      <c r="E39" s="121">
        <v>0</v>
      </c>
      <c r="F39" s="83"/>
      <c r="G39" s="83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4" customFormat="1" ht="14.4" x14ac:dyDescent="0.3">
      <c r="B40" s="122" t="s">
        <v>25</v>
      </c>
      <c r="C40" s="123">
        <f>+SUM(C29:C39)</f>
        <v>10971131837.636829</v>
      </c>
      <c r="D40" s="124">
        <f>SUM(D29:D39)</f>
        <v>0.99999999999999967</v>
      </c>
      <c r="E40" s="125">
        <f>+SUM(E29:E39)</f>
        <v>334473.66106871254</v>
      </c>
      <c r="F40" s="83"/>
      <c r="G40" s="83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9" s="4" customFormat="1" ht="4.95" customHeight="1" x14ac:dyDescent="0.3">
      <c r="B41" s="83"/>
      <c r="C41" s="126"/>
      <c r="D41" s="126"/>
      <c r="E41" s="127"/>
      <c r="F41" s="83"/>
      <c r="G41" s="83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2:29" s="4" customFormat="1" ht="14.4" x14ac:dyDescent="0.3">
      <c r="B42" s="83"/>
      <c r="C42" s="83"/>
      <c r="D42" s="83"/>
      <c r="E42" s="83"/>
      <c r="F42" s="83"/>
      <c r="G42" s="83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4" customFormat="1" ht="14.4" x14ac:dyDescent="0.3">
      <c r="B43" s="129" t="s">
        <v>172</v>
      </c>
      <c r="C43" s="127"/>
      <c r="D43" s="83"/>
      <c r="E43" s="83"/>
      <c r="F43" s="83"/>
      <c r="G43" s="8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4" customFormat="1" ht="4.95" customHeight="1" x14ac:dyDescent="0.3">
      <c r="B44" s="83"/>
      <c r="C44" s="83"/>
      <c r="D44" s="83"/>
      <c r="E44" s="83"/>
      <c r="F44" s="83"/>
      <c r="G44" s="83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4" customFormat="1" ht="13.95" customHeight="1" x14ac:dyDescent="0.3">
      <c r="B45" s="81"/>
      <c r="C45" s="176" t="s">
        <v>2</v>
      </c>
      <c r="D45" s="176" t="s">
        <v>3</v>
      </c>
      <c r="E45" s="172" t="s">
        <v>4</v>
      </c>
      <c r="F45" s="83"/>
      <c r="G45" s="83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4" customFormat="1" ht="14.4" x14ac:dyDescent="0.3">
      <c r="B46" s="81"/>
      <c r="C46" s="177"/>
      <c r="D46" s="177"/>
      <c r="E46" s="173"/>
      <c r="F46" s="83"/>
      <c r="G46" s="83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4" customFormat="1" ht="14.4" x14ac:dyDescent="0.3">
      <c r="B47" s="130" t="s">
        <v>173</v>
      </c>
      <c r="C47" s="131">
        <f>C21</f>
        <v>12335985715.262865</v>
      </c>
      <c r="D47" s="132">
        <f>C47/$C$49</f>
        <v>0.52927976560225121</v>
      </c>
      <c r="E47" s="133">
        <f>E21</f>
        <v>87915.492808486277</v>
      </c>
      <c r="F47" s="83"/>
      <c r="G47" s="83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4" customFormat="1" ht="14.4" x14ac:dyDescent="0.3">
      <c r="B48" s="134" t="s">
        <v>174</v>
      </c>
      <c r="C48" s="135">
        <f>C40</f>
        <v>10971131837.636829</v>
      </c>
      <c r="D48" s="136">
        <f>C48/$C$49</f>
        <v>0.47072023439774874</v>
      </c>
      <c r="E48" s="137">
        <f>E40</f>
        <v>334473.66106871254</v>
      </c>
      <c r="F48" s="83"/>
      <c r="G48" s="83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4" customFormat="1" ht="14.4" x14ac:dyDescent="0.3">
      <c r="B49" s="122" t="s">
        <v>25</v>
      </c>
      <c r="C49" s="123">
        <f>SUM(C47:C48)</f>
        <v>23307117552.899696</v>
      </c>
      <c r="D49" s="124">
        <f>SUM(D47:D48)</f>
        <v>1</v>
      </c>
      <c r="E49" s="123">
        <f>SUM(E47:E48)</f>
        <v>422389.15387719881</v>
      </c>
      <c r="F49" s="83"/>
      <c r="G49" s="83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4" customFormat="1" ht="14.4" x14ac:dyDescent="0.3">
      <c r="B50" s="83"/>
      <c r="C50" s="83"/>
      <c r="D50" s="83"/>
      <c r="E50" s="83"/>
      <c r="F50" s="83"/>
      <c r="G50" s="83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4" customFormat="1" ht="14.4" hidden="1" x14ac:dyDescent="0.3">
      <c r="B51" s="83"/>
      <c r="C51" s="83"/>
      <c r="D51" s="83"/>
      <c r="E51" s="83"/>
      <c r="F51" s="83"/>
      <c r="G51" s="83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4" customFormat="1" ht="14.4" hidden="1" x14ac:dyDescent="0.3">
      <c r="B52" s="83"/>
      <c r="C52" s="83"/>
      <c r="D52" s="83"/>
      <c r="E52" s="83"/>
      <c r="F52" s="83"/>
      <c r="G52" s="83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4" customFormat="1" ht="14.4" hidden="1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4" customFormat="1" ht="14.4" hidden="1" x14ac:dyDescent="0.3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4" customFormat="1" ht="14.4" hidden="1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4" customFormat="1" ht="14.4" hidden="1" x14ac:dyDescent="0.3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4" customFormat="1" ht="14.4" hidden="1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4" customFormat="1" ht="14.4" hidden="1" x14ac:dyDescent="0.3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4" customFormat="1" ht="14.4" hidden="1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4" customFormat="1" ht="14.4" hidden="1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4" customFormat="1" ht="14.4" hidden="1" x14ac:dyDescent="0.3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4" customFormat="1" ht="14.4" hidden="1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4" customFormat="1" ht="14.4" hidden="1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4" customFormat="1" ht="14.4" hidden="1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4" customFormat="1" ht="14.4" hidden="1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4" customFormat="1" ht="14.4" hidden="1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4" customFormat="1" ht="14.4" hidden="1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4" customFormat="1" ht="14.4" hidden="1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4" customFormat="1" ht="14.4" hidden="1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4" customFormat="1" ht="14.4" hidden="1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4" customFormat="1" ht="14.4" hidden="1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4" customFormat="1" ht="14.4" hidden="1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4" customFormat="1" ht="14.4" hidden="1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4" customFormat="1" ht="14.4" hidden="1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4" customFormat="1" ht="14.4" hidden="1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4" customFormat="1" ht="14.4" hidden="1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4" customFormat="1" ht="14.4" hidden="1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4" customFormat="1" ht="14.4" hidden="1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4" customFormat="1" ht="14.4" hidden="1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4" customFormat="1" ht="14.4" hidden="1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4" customFormat="1" ht="14.4" hidden="1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4" customFormat="1" ht="14.4" hidden="1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4" customFormat="1" ht="14.4" hidden="1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4" customFormat="1" ht="14.4" hidden="1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4" customFormat="1" ht="14.4" hidden="1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4" customFormat="1" ht="14.4" hidden="1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4" customFormat="1" ht="14.4" hidden="1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4" customFormat="1" ht="14.4" hidden="1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4" customFormat="1" ht="14.4" hidden="1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4" customFormat="1" ht="14.4" hidden="1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4" customFormat="1" ht="14.4" hidden="1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4" customFormat="1" ht="14.4" hidden="1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4" customFormat="1" ht="14.4" hidden="1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4" customFormat="1" ht="14.4" hidden="1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4" customFormat="1" ht="14.4" hidden="1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4" customFormat="1" ht="14.4" hidden="1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4" customFormat="1" ht="14.4" hidden="1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4" customFormat="1" ht="14.4" hidden="1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4" customFormat="1" ht="14.4" hidden="1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4" customFormat="1" ht="14.4" hidden="1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4" customFormat="1" ht="14.4" hidden="1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4" customFormat="1" ht="14.4" hidden="1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4" customFormat="1" ht="14.4" hidden="1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4" customFormat="1" ht="14.4" hidden="1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4" customFormat="1" ht="14.4" hidden="1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4" customFormat="1" ht="14.4" hidden="1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4" customFormat="1" ht="14.4" hidden="1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4" customFormat="1" ht="14.4" hidden="1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4" customFormat="1" ht="14.4" hidden="1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4" customFormat="1" ht="14.4" hidden="1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4" customFormat="1" ht="14.4" hidden="1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4" customFormat="1" ht="14.4" hidden="1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4" customFormat="1" ht="14.4" hidden="1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4" customFormat="1" ht="14.4" hidden="1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4" customFormat="1" ht="14.4" hidden="1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4" customFormat="1" ht="14.4" hidden="1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4" customFormat="1" ht="14.4" hidden="1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4" customFormat="1" ht="14.4" hidden="1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4" customFormat="1" ht="14.4" hidden="1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4" customFormat="1" ht="14.4" hidden="1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4" customFormat="1" ht="14.4" hidden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4" customFormat="1" ht="14.4" hidden="1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4" customFormat="1" ht="14.4" hidden="1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4" customFormat="1" ht="14.4" hidden="1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4" customFormat="1" ht="14.4" hidden="1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4" customFormat="1" ht="14.4" hidden="1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4" customFormat="1" ht="14.4" hidden="1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4" customFormat="1" ht="14.4" hidden="1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4" customFormat="1" ht="14.4" hidden="1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4" customFormat="1" ht="14.4" hidden="1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4" customFormat="1" ht="14.4" hidden="1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4" customFormat="1" ht="14.4" hidden="1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4" customFormat="1" ht="14.4" hidden="1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4" customFormat="1" ht="14.4" hidden="1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4" customFormat="1" ht="14.4" hidden="1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4" customFormat="1" ht="14.4" hidden="1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4" customFormat="1" ht="14.4" hidden="1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4" customFormat="1" ht="14.4" hidden="1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4" customFormat="1" ht="14.4" hidden="1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4" customFormat="1" ht="14.4" hidden="1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4" customFormat="1" ht="14.4" hidden="1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4" customFormat="1" ht="14.4" hidden="1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4" customFormat="1" ht="14.4" hidden="1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4" customFormat="1" ht="14.4" hidden="1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4" customFormat="1" ht="14.4" hidden="1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4" customFormat="1" ht="14.4" hidden="1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4" customFormat="1" ht="14.4" hidden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4" customFormat="1" ht="14.4" hidden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4" customFormat="1" ht="14.4" hidden="1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4" customFormat="1" ht="14.4" hidden="1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4" customFormat="1" ht="14.4" hidden="1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4" customFormat="1" ht="14.4" hidden="1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4" customFormat="1" ht="14.4" hidden="1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4" customFormat="1" ht="14.4" hidden="1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4" customFormat="1" ht="14.4" hidden="1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4" customFormat="1" ht="14.4" hidden="1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4" customFormat="1" ht="14.4" hidden="1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4" customFormat="1" ht="14.4" hidden="1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4" customFormat="1" ht="14.4" hidden="1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4" customFormat="1" ht="14.4" hidden="1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4" customFormat="1" ht="14.4" hidden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4" customFormat="1" ht="14.4" hidden="1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4" customFormat="1" ht="14.4" hidden="1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4" customFormat="1" ht="14.4" hidden="1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4" customFormat="1" ht="14.4" hidden="1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4" customFormat="1" ht="14.4" hidden="1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4" customFormat="1" ht="14.4" hidden="1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4" customFormat="1" ht="14.4" hidden="1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4" customFormat="1" ht="14.4" hidden="1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4" customFormat="1" ht="14.4" hidden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4" customFormat="1" ht="14.4" hidden="1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4" customFormat="1" ht="14.4" hidden="1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4" customFormat="1" ht="14.4" hidden="1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4" customFormat="1" ht="14.4" hidden="1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4" customFormat="1" ht="14.4" hidden="1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4" customFormat="1" ht="14.4" hidden="1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4" customFormat="1" ht="14.4" hidden="1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4" customFormat="1" ht="14.4" hidden="1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4" customFormat="1" ht="14.4" hidden="1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4" customFormat="1" ht="14.4" hidden="1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4" customFormat="1" ht="14.4" hidden="1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4" customFormat="1" ht="14.4" hidden="1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4" customFormat="1" ht="14.4" hidden="1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4" customFormat="1" ht="14.4" hidden="1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4" customFormat="1" ht="14.4" hidden="1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4" customFormat="1" ht="14.4" hidden="1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4" customFormat="1" ht="14.4" hidden="1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4" customFormat="1" ht="14.4" hidden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4" customFormat="1" ht="14.4" hidden="1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4" customFormat="1" ht="14.4" hidden="1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4" customFormat="1" ht="14.4" hidden="1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4" customFormat="1" ht="14.4" hidden="1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4" customFormat="1" ht="14.4" hidden="1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4" customFormat="1" ht="14.4" hidden="1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4" customFormat="1" ht="14.4" hidden="1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4" customFormat="1" ht="14.4" hidden="1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4" customFormat="1" ht="14.4" hidden="1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4" customFormat="1" ht="14.4" hidden="1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4" customFormat="1" ht="14.4" hidden="1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4" customFormat="1" ht="14.4" hidden="1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4" customFormat="1" ht="14.4" hidden="1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4" customFormat="1" ht="14.4" hidden="1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4" customFormat="1" ht="14.4" hidden="1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4" customFormat="1" ht="14.4" hidden="1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4" customFormat="1" ht="14.4" hidden="1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4" customFormat="1" ht="14.4" hidden="1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4" customFormat="1" ht="14.4" hidden="1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4" customFormat="1" ht="14.4" hidden="1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4" customFormat="1" ht="14.4" hidden="1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4" customFormat="1" ht="14.4" hidden="1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4" customFormat="1" ht="14.4" hidden="1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4" customFormat="1" ht="14.4" hidden="1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4" customFormat="1" ht="14.4" hidden="1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4" customFormat="1" ht="14.4" hidden="1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4" customFormat="1" ht="14.4" hidden="1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4" customFormat="1" ht="14.4" hidden="1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4" customFormat="1" ht="14.4" hidden="1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4" customFormat="1" ht="14.4" hidden="1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4" customFormat="1" ht="14.4" hidden="1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4" customFormat="1" ht="14.4" hidden="1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4" customFormat="1" ht="14.4" hidden="1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4" customFormat="1" ht="14.4" hidden="1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4" customFormat="1" ht="14.4" hidden="1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4" customFormat="1" ht="14.4" hidden="1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4" customFormat="1" ht="14.4" hidden="1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4" customFormat="1" ht="14.4" hidden="1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4" customFormat="1" ht="14.4" hidden="1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4" customFormat="1" ht="14.4" hidden="1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4" customFormat="1" ht="14.4" hidden="1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4" customFormat="1" ht="14.4" hidden="1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4" customFormat="1" ht="14.4" hidden="1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4" customFormat="1" ht="14.4" hidden="1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4" customFormat="1" ht="14.4" hidden="1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4" customFormat="1" ht="14.4" hidden="1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4" customFormat="1" ht="14.4" hidden="1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4" customFormat="1" ht="14.4" hidden="1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4" customFormat="1" ht="14.4" hidden="1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4" customFormat="1" ht="14.4" hidden="1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4" customFormat="1" ht="14.4" hidden="1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4" customFormat="1" ht="14.4" hidden="1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4" customFormat="1" ht="14.4" hidden="1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4" customFormat="1" ht="14.4" hidden="1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4" customFormat="1" ht="14.4" hidden="1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4" customFormat="1" ht="14.4" hidden="1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4" customFormat="1" ht="14.4" hidden="1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4" customFormat="1" ht="14.4" hidden="1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4" customFormat="1" ht="14.4" hidden="1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4" customFormat="1" ht="14.4" hidden="1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4" customFormat="1" ht="14.4" hidden="1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4" customFormat="1" ht="14.4" hidden="1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4" customFormat="1" ht="14.4" hidden="1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4" customFormat="1" ht="14.4" hidden="1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4" customFormat="1" ht="14.4" hidden="1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4" customFormat="1" ht="14.4" hidden="1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4" customFormat="1" ht="14.4" hidden="1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4" customFormat="1" ht="14.4" hidden="1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4" customFormat="1" ht="14.4" hidden="1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4" customFormat="1" ht="14.4" hidden="1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4" customFormat="1" ht="14.4" hidden="1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4" customFormat="1" ht="14.4" hidden="1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4" customFormat="1" ht="14.4" hidden="1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4" customFormat="1" ht="14.4" hidden="1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4" customFormat="1" ht="14.4" hidden="1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4" customFormat="1" ht="14.4" hidden="1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4" customFormat="1" ht="14.4" hidden="1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4" customFormat="1" ht="14.4" hidden="1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4" customFormat="1" ht="14.4" hidden="1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4" customFormat="1" ht="14.4" hidden="1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4" customFormat="1" ht="14.4" hidden="1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4" customFormat="1" ht="14.4" hidden="1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4" customFormat="1" ht="14.4" hidden="1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4" customFormat="1" ht="14.4" hidden="1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4" customFormat="1" ht="14.4" hidden="1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4" customFormat="1" ht="14.4" hidden="1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4" customFormat="1" ht="14.4" hidden="1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4" customFormat="1" ht="14.4" hidden="1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4" customFormat="1" ht="14.4" hidden="1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4" customFormat="1" ht="14.4" hidden="1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4" customFormat="1" ht="14.4" hidden="1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4" customFormat="1" ht="14.4" hidden="1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4" customFormat="1" ht="14.4" hidden="1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4" customFormat="1" ht="14.4" hidden="1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4" customFormat="1" ht="14.4" hidden="1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4" customFormat="1" ht="14.4" hidden="1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4" customFormat="1" ht="14.4" hidden="1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4" customFormat="1" ht="14.4" hidden="1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4" customFormat="1" ht="14.4" hidden="1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4" customFormat="1" ht="14.4" hidden="1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4" customFormat="1" ht="14.4" hidden="1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4" customFormat="1" ht="14.4" hidden="1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4" customFormat="1" ht="14.4" hidden="1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4" customFormat="1" ht="14.4" hidden="1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4" customFormat="1" ht="14.4" hidden="1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4" customFormat="1" ht="14.4" hidden="1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4" customFormat="1" ht="14.4" hidden="1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4" customFormat="1" ht="14.4" hidden="1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4" customFormat="1" ht="14.4" hidden="1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4" customFormat="1" ht="14.4" hidden="1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4" customFormat="1" ht="14.4" hidden="1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4" customFormat="1" ht="14.4" hidden="1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4" customFormat="1" ht="14.4" hidden="1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4" customFormat="1" ht="14.4" hidden="1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4" customFormat="1" ht="14.4" hidden="1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4" customFormat="1" ht="14.4" hidden="1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4" customFormat="1" ht="14.4" hidden="1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4" customFormat="1" ht="14.4" hidden="1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4" customFormat="1" ht="14.4" hidden="1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4" customFormat="1" ht="14.4" hidden="1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4" customFormat="1" ht="14.4" hidden="1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4" customFormat="1" ht="14.4" hidden="1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4" customFormat="1" ht="14.4" hidden="1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4" customFormat="1" ht="14.4" hidden="1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4" customFormat="1" ht="14.4" hidden="1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4" customFormat="1" ht="14.4" hidden="1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4" customFormat="1" ht="14.4" hidden="1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4" customFormat="1" ht="14.4" hidden="1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4" customFormat="1" ht="14.4" hidden="1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4" customFormat="1" ht="14.4" hidden="1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4" customFormat="1" ht="14.4" hidden="1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4" customFormat="1" ht="14.4" hidden="1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4" customFormat="1" ht="14.4" hidden="1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4" customFormat="1" ht="14.4" hidden="1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4" customFormat="1" ht="14.4" hidden="1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4" customFormat="1" ht="14.4" hidden="1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4" customFormat="1" ht="14.4" hidden="1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4" customFormat="1" ht="14.4" hidden="1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4" customFormat="1" ht="14.4" hidden="1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4" customFormat="1" ht="14.4" hidden="1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4" customFormat="1" ht="14.4" hidden="1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4" customFormat="1" ht="14.4" hidden="1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4" customFormat="1" ht="14.4" hidden="1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4" customFormat="1" ht="14.4" hidden="1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4" customFormat="1" ht="14.4" hidden="1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4" customFormat="1" ht="14.4" hidden="1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4" customFormat="1" ht="14.4" hidden="1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4" customFormat="1" ht="14.4" hidden="1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4" customFormat="1" ht="14.4" hidden="1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4" customFormat="1" ht="14.4" hidden="1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4" customFormat="1" ht="14.4" hidden="1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4" customFormat="1" ht="14.4" hidden="1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4" customFormat="1" ht="14.4" hidden="1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4" customFormat="1" ht="14.4" hidden="1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4" customFormat="1" ht="14.4" hidden="1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4" customFormat="1" ht="14.4" hidden="1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4" customFormat="1" ht="14.4" hidden="1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4" customFormat="1" ht="14.4" hidden="1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4" customFormat="1" ht="14.4" hidden="1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4" customFormat="1" ht="14.4" hidden="1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4" customFormat="1" ht="14.4" hidden="1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4" customFormat="1" ht="14.4" hidden="1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4" customFormat="1" ht="14.4" hidden="1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4" customFormat="1" ht="14.4" hidden="1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4" customFormat="1" ht="14.4" hidden="1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4" customFormat="1" ht="14.4" hidden="1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4" customFormat="1" ht="14.4" hidden="1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4" customFormat="1" ht="14.4" hidden="1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4" customFormat="1" ht="14.4" hidden="1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4" customFormat="1" ht="14.4" hidden="1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4" customFormat="1" ht="14.4" hidden="1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4" customFormat="1" ht="14.4" hidden="1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4" customFormat="1" ht="14.4" hidden="1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4" customFormat="1" ht="14.4" hidden="1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4" customFormat="1" ht="14.4" hidden="1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4" customFormat="1" ht="14.4" hidden="1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4" customFormat="1" ht="14.4" hidden="1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4" customFormat="1" ht="14.4" hidden="1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4" customFormat="1" ht="14.4" hidden="1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4" customFormat="1" ht="14.4" hidden="1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4" customFormat="1" ht="14.4" hidden="1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4" customFormat="1" ht="14.4" hidden="1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4" customFormat="1" ht="14.4" hidden="1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4" customFormat="1" ht="14.4" hidden="1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4" customFormat="1" ht="14.4" hidden="1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4" customFormat="1" ht="14.4" hidden="1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4" customFormat="1" ht="14.4" hidden="1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4" customFormat="1" ht="14.4" hidden="1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4" customFormat="1" ht="14.4" hidden="1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4" customFormat="1" ht="14.4" hidden="1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4" customFormat="1" ht="14.4" hidden="1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4" customFormat="1" ht="14.4" hidden="1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4" customFormat="1" ht="14.4" hidden="1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4" customFormat="1" ht="14.4" hidden="1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4" customFormat="1" ht="14.4" hidden="1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4" customFormat="1" ht="14.4" hidden="1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4" customFormat="1" ht="14.4" hidden="1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4" customFormat="1" ht="14.4" hidden="1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4" customFormat="1" ht="14.4" hidden="1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4" customFormat="1" ht="14.4" hidden="1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4" customFormat="1" ht="14.4" hidden="1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4" customFormat="1" ht="14.4" hidden="1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4" customFormat="1" ht="14.4" hidden="1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4" customFormat="1" ht="14.4" hidden="1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4" customFormat="1" ht="14.4" hidden="1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4" customFormat="1" ht="14.4" hidden="1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4" customFormat="1" ht="14.4" hidden="1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4" customFormat="1" ht="14.4" hidden="1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4" customFormat="1" ht="14.4" hidden="1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4" customFormat="1" ht="14.4" hidden="1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4" customFormat="1" ht="14.4" hidden="1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4" customFormat="1" ht="14.4" hidden="1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4" customFormat="1" ht="14.4" hidden="1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4" customFormat="1" ht="14.4" hidden="1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4" customFormat="1" ht="14.4" hidden="1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4" customFormat="1" ht="14.4" hidden="1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4" customFormat="1" ht="14.4" hidden="1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4" customFormat="1" ht="14.4" hidden="1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4" customFormat="1" ht="14.4" hidden="1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4" customFormat="1" ht="14.4" hidden="1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4" customFormat="1" ht="14.4" hidden="1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4" customFormat="1" ht="14.4" hidden="1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4" customFormat="1" ht="14.4" hidden="1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4" customFormat="1" ht="14.4" hidden="1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4" customFormat="1" ht="14.4" hidden="1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4" customFormat="1" ht="14.4" hidden="1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4" customFormat="1" ht="14.4" hidden="1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4" customFormat="1" ht="14.4" hidden="1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4" customFormat="1" ht="14.4" hidden="1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4" customFormat="1" ht="14.4" hidden="1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4" customFormat="1" ht="14.4" hidden="1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4" customFormat="1" ht="14.4" hidden="1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4" customFormat="1" ht="14.4" hidden="1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4" customFormat="1" ht="14.4" hidden="1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4" customFormat="1" ht="14.4" hidden="1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4" customFormat="1" ht="14.4" hidden="1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4" customFormat="1" ht="14.4" hidden="1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4" customFormat="1" ht="14.4" hidden="1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4" customFormat="1" ht="14.4" hidden="1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4" customFormat="1" ht="14.4" hidden="1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4" customFormat="1" ht="14.4" hidden="1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4" customFormat="1" ht="14.4" hidden="1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4" customFormat="1" ht="14.4" hidden="1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4" customFormat="1" ht="14.4" hidden="1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4" customFormat="1" ht="14.4" hidden="1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4" customFormat="1" ht="14.4" hidden="1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4" customFormat="1" ht="14.4" hidden="1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4" customFormat="1" ht="14.4" hidden="1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4" customFormat="1" ht="14.4" hidden="1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4" customFormat="1" ht="14.4" hidden="1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4" customFormat="1" ht="14.4" hidden="1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4" customFormat="1" ht="14.4" hidden="1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4" customFormat="1" ht="14.4" hidden="1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4" customFormat="1" ht="14.4" hidden="1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4" customFormat="1" ht="14.4" hidden="1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4" customFormat="1" ht="14.4" hidden="1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4" customFormat="1" ht="14.4" hidden="1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4" customFormat="1" ht="14.4" hidden="1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4" customFormat="1" ht="14.4" hidden="1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4" customFormat="1" ht="14.4" hidden="1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4" customFormat="1" ht="14.4" hidden="1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4" customFormat="1" ht="14.4" hidden="1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4" customFormat="1" ht="14.4" hidden="1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4" customFormat="1" ht="14.4" hidden="1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4" customFormat="1" ht="14.4" hidden="1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4" customFormat="1" ht="14.4" hidden="1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4" customFormat="1" ht="14.4" hidden="1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4" customFormat="1" ht="14.4" hidden="1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4" customFormat="1" ht="14.4" hidden="1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4" customFormat="1" ht="14.4" hidden="1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4" customFormat="1" ht="14.4" hidden="1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4" customFormat="1" ht="14.4" hidden="1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4" customFormat="1" ht="14.4" hidden="1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4" customFormat="1" ht="14.4" hidden="1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4" customFormat="1" ht="14.4" hidden="1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4" customFormat="1" ht="14.4" hidden="1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4" customFormat="1" ht="14.4" hidden="1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4" customFormat="1" ht="14.4" hidden="1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4" customFormat="1" ht="14.4" hidden="1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4" customFormat="1" ht="14.4" hidden="1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4" customFormat="1" ht="14.4" hidden="1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4" customFormat="1" ht="14.4" hidden="1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4" customFormat="1" ht="14.4" hidden="1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4" customFormat="1" ht="14.4" hidden="1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4" customFormat="1" ht="14.4" hidden="1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4" customFormat="1" ht="14.4" hidden="1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4" customFormat="1" ht="14.4" hidden="1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4" customFormat="1" ht="14.4" hidden="1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4" customFormat="1" ht="14.4" hidden="1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4" customFormat="1" ht="14.4" hidden="1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4" customFormat="1" ht="14.4" hidden="1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4" customFormat="1" ht="14.4" hidden="1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4" customFormat="1" ht="14.4" hidden="1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4" customFormat="1" ht="14.4" hidden="1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4" customFormat="1" ht="14.4" hidden="1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4" customFormat="1" ht="14.4" hidden="1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4" customFormat="1" ht="14.4" hidden="1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4" customFormat="1" ht="14.4" hidden="1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4" customFormat="1" ht="14.4" hidden="1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4" customFormat="1" ht="14.4" hidden="1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4" customFormat="1" ht="14.4" hidden="1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4" customFormat="1" ht="14.4" hidden="1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4" customFormat="1" ht="14.4" hidden="1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4" customFormat="1" ht="14.4" hidden="1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4" customFormat="1" ht="14.4" hidden="1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4" customFormat="1" ht="14.4" hidden="1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4" customFormat="1" ht="14.4" hidden="1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4" customFormat="1" ht="14.4" hidden="1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4" customFormat="1" ht="14.4" hidden="1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4" customFormat="1" ht="14.4" hidden="1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4" customFormat="1" ht="14.4" hidden="1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4" customFormat="1" ht="14.4" hidden="1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4" customFormat="1" ht="14.4" hidden="1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4" customFormat="1" ht="14.4" hidden="1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4" customFormat="1" ht="14.4" hidden="1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4" customFormat="1" ht="14.4" hidden="1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4" customFormat="1" ht="14.4" hidden="1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4" customFormat="1" ht="14.4" hidden="1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4" customFormat="1" ht="14.4" hidden="1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4" customFormat="1" ht="14.4" hidden="1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4" customFormat="1" ht="14.4" hidden="1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4" customFormat="1" ht="14.4" hidden="1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4" customFormat="1" ht="14.4" hidden="1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4" customFormat="1" ht="14.4" hidden="1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4" customFormat="1" ht="14.4" hidden="1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4" customFormat="1" ht="14.4" hidden="1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4" customFormat="1" ht="14.4" hidden="1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4" customFormat="1" ht="14.4" hidden="1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4" customFormat="1" ht="14.4" hidden="1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4" customFormat="1" ht="14.4" hidden="1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4" customFormat="1" ht="14.4" hidden="1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4" customFormat="1" ht="14.4" hidden="1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4" customFormat="1" ht="14.4" hidden="1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4" customFormat="1" ht="14.4" hidden="1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4" customFormat="1" ht="14.4" hidden="1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4" customFormat="1" ht="14.4" hidden="1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4" customFormat="1" ht="14.4" hidden="1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4" customFormat="1" ht="14.4" hidden="1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4" customFormat="1" ht="14.4" hidden="1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4" customFormat="1" ht="14.4" hidden="1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4" customFormat="1" ht="14.4" hidden="1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4" customFormat="1" ht="14.4" hidden="1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4" customFormat="1" ht="14.4" hidden="1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4" customFormat="1" ht="14.4" hidden="1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4" customFormat="1" ht="14.4" hidden="1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4" customFormat="1" ht="14.4" hidden="1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4" customFormat="1" ht="14.4" hidden="1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4" customFormat="1" ht="14.4" hidden="1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4" customFormat="1" ht="14.4" hidden="1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4" customFormat="1" ht="14.4" hidden="1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4" customFormat="1" ht="14.4" hidden="1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4" customFormat="1" ht="14.4" hidden="1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4" customFormat="1" ht="14.4" hidden="1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4" customFormat="1" ht="14.4" hidden="1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4" customFormat="1" ht="14.4" hidden="1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4" customFormat="1" ht="14.4" hidden="1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4" customFormat="1" ht="14.4" hidden="1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4" customFormat="1" ht="14.4" hidden="1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4" customFormat="1" ht="14.4" hidden="1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4" customFormat="1" ht="14.4" hidden="1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4" customFormat="1" ht="14.4" hidden="1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4" customFormat="1" ht="14.4" hidden="1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4" customFormat="1" ht="14.4" hidden="1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4" customFormat="1" ht="14.4" hidden="1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4" customFormat="1" ht="14.4" hidden="1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4" customFormat="1" ht="14.4" hidden="1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4" customFormat="1" ht="14.4" hidden="1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4" customFormat="1" ht="14.4" hidden="1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4" customFormat="1" ht="14.4" hidden="1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4" customFormat="1" ht="14.4" hidden="1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4" customFormat="1" ht="14.4" hidden="1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4" customFormat="1" ht="14.4" hidden="1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4" customFormat="1" ht="14.4" hidden="1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4" customFormat="1" ht="14.4" hidden="1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4" customFormat="1" ht="14.4" hidden="1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4" customFormat="1" ht="14.4" hidden="1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4" customFormat="1" ht="14.4" hidden="1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4" customFormat="1" ht="14.4" hidden="1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4" customFormat="1" ht="14.4" hidden="1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4" customFormat="1" ht="14.4" hidden="1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4" customFormat="1" ht="14.4" hidden="1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4" customFormat="1" ht="14.4" hidden="1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4" customFormat="1" ht="14.4" hidden="1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4" customFormat="1" ht="14.4" hidden="1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4" customFormat="1" ht="14.4" hidden="1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4" customFormat="1" ht="14.4" hidden="1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4" customFormat="1" ht="14.4" hidden="1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4" customFormat="1" ht="14.4" hidden="1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4" customFormat="1" ht="14.4" hidden="1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4" customFormat="1" ht="14.4" hidden="1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4" customFormat="1" ht="14.4" hidden="1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4" customFormat="1" ht="14.4" hidden="1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4" customFormat="1" ht="14.4" hidden="1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4" customFormat="1" ht="14.4" hidden="1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4" customFormat="1" ht="14.4" hidden="1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4" customFormat="1" ht="14.4" hidden="1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4" customFormat="1" ht="14.4" hidden="1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4" customFormat="1" ht="14.4" hidden="1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4" customFormat="1" ht="14.4" hidden="1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4" customFormat="1" ht="14.4" hidden="1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4" customFormat="1" ht="14.4" hidden="1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4" customFormat="1" ht="14.4" hidden="1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4" customFormat="1" ht="14.4" hidden="1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4" customFormat="1" ht="14.4" hidden="1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4" customFormat="1" ht="14.4" hidden="1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4" customFormat="1" ht="14.4" hidden="1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4" customFormat="1" ht="14.4" hidden="1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4" customFormat="1" ht="14.4" hidden="1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4" customFormat="1" ht="14.4" hidden="1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4" customFormat="1" ht="14.4" hidden="1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4" customFormat="1" ht="14.4" hidden="1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4" customFormat="1" ht="14.4" hidden="1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4" customFormat="1" ht="14.4" hidden="1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4" customFormat="1" ht="14.4" hidden="1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4" customFormat="1" ht="14.4" hidden="1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4" customFormat="1" ht="14.4" hidden="1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4" customFormat="1" ht="14.4" hidden="1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4" customFormat="1" ht="14.4" hidden="1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4" customFormat="1" ht="14.4" hidden="1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4" customFormat="1" ht="14.4" hidden="1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4" customFormat="1" ht="14.4" hidden="1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4" customFormat="1" ht="14.4" hidden="1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4" customFormat="1" ht="14.4" hidden="1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4" customFormat="1" ht="14.4" hidden="1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4" customFormat="1" ht="14.4" hidden="1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4" customFormat="1" ht="14.4" hidden="1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4" customFormat="1" ht="14.4" hidden="1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4" customFormat="1" ht="14.4" hidden="1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4" customFormat="1" ht="14.4" hidden="1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4" customFormat="1" ht="14.4" hidden="1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4" customFormat="1" ht="14.4" hidden="1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4" customFormat="1" ht="14.4" hidden="1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4" customFormat="1" ht="14.4" hidden="1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4" customFormat="1" ht="14.4" hidden="1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4" customFormat="1" ht="14.4" hidden="1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4" customFormat="1" ht="14.4" hidden="1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4" customFormat="1" ht="14.4" hidden="1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4" customFormat="1" ht="14.4" hidden="1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4" customFormat="1" ht="14.4" hidden="1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4" customFormat="1" ht="14.4" hidden="1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4" customFormat="1" ht="14.4" hidden="1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4" customFormat="1" ht="14.4" hidden="1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4" customFormat="1" ht="14.4" hidden="1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4" customFormat="1" ht="14.4" hidden="1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4" customFormat="1" ht="14.4" hidden="1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4" customFormat="1" ht="14.4" hidden="1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4" customFormat="1" ht="14.4" hidden="1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4" customFormat="1" ht="14.4" hidden="1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4" customFormat="1" ht="14.4" hidden="1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4" customFormat="1" ht="14.4" hidden="1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4" customFormat="1" ht="14.4" hidden="1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4" customFormat="1" ht="14.4" hidden="1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4" customFormat="1" ht="14.4" hidden="1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4" customFormat="1" ht="14.4" hidden="1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4" customFormat="1" ht="14.4" hidden="1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4" customFormat="1" ht="14.4" hidden="1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4" customFormat="1" ht="14.4" hidden="1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4" customFormat="1" ht="14.4" hidden="1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4" customFormat="1" ht="14.4" hidden="1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4" customFormat="1" ht="14.4" hidden="1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4" customFormat="1" ht="14.4" hidden="1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4" customFormat="1" ht="14.4" hidden="1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4" customFormat="1" ht="14.4" hidden="1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4" customFormat="1" ht="14.4" hidden="1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4" customFormat="1" ht="14.4" hidden="1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4" customFormat="1" ht="14.4" hidden="1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4" customFormat="1" ht="14.4" hidden="1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4" customFormat="1" ht="14.4" hidden="1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4" customFormat="1" ht="14.4" hidden="1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4" customFormat="1" ht="14.4" hidden="1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4" customFormat="1" ht="14.4" hidden="1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4" customFormat="1" ht="14.4" hidden="1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4" customFormat="1" ht="14.4" hidden="1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4" customFormat="1" ht="14.4" hidden="1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4" customFormat="1" ht="14.4" hidden="1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4" customFormat="1" ht="14.4" hidden="1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4" customFormat="1" ht="14.4" hidden="1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4" customFormat="1" ht="14.4" hidden="1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4" customFormat="1" ht="14.4" hidden="1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4" customFormat="1" ht="14.4" hidden="1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4" customFormat="1" ht="14.4" hidden="1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4" customFormat="1" ht="14.4" hidden="1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4" customFormat="1" ht="14.4" hidden="1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4" customFormat="1" ht="14.4" hidden="1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4" customFormat="1" ht="14.4" hidden="1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4" customFormat="1" ht="14.4" hidden="1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4" customFormat="1" ht="14.4" hidden="1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4" customFormat="1" ht="14.4" hidden="1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4" customFormat="1" ht="14.4" hidden="1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4" customFormat="1" ht="14.4" hidden="1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4" customFormat="1" ht="14.4" hidden="1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4" customFormat="1" ht="14.4" hidden="1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4" customFormat="1" ht="14.4" hidden="1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4" customFormat="1" ht="14.4" hidden="1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4" customFormat="1" ht="14.4" hidden="1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4" customFormat="1" ht="14.4" hidden="1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4" customFormat="1" ht="14.4" hidden="1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4" customFormat="1" ht="14.4" hidden="1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4" customFormat="1" ht="14.4" hidden="1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4" customFormat="1" ht="14.4" hidden="1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4" customFormat="1" ht="14.4" hidden="1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4" customFormat="1" ht="14.4" hidden="1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4" customFormat="1" ht="14.4" hidden="1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4" customFormat="1" ht="14.4" hidden="1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4" customFormat="1" ht="14.4" hidden="1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4" customFormat="1" ht="14.4" hidden="1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4" customFormat="1" ht="14.4" hidden="1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4" customFormat="1" ht="14.4" hidden="1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4" customFormat="1" ht="14.4" hidden="1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4" customFormat="1" ht="14.4" hidden="1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4" customFormat="1" ht="14.4" hidden="1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4" customFormat="1" ht="14.4" hidden="1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4" customFormat="1" ht="14.4" hidden="1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4" customFormat="1" ht="14.4" hidden="1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4" customFormat="1" ht="14.4" hidden="1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4" customFormat="1" ht="14.4" hidden="1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4" customFormat="1" ht="14.4" hidden="1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4" customFormat="1" ht="14.4" hidden="1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4" customFormat="1" ht="14.4" hidden="1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4" customFormat="1" ht="14.4" hidden="1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4" customFormat="1" ht="14.4" hidden="1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4" customFormat="1" ht="14.4" hidden="1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4" customFormat="1" ht="14.4" hidden="1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4" customFormat="1" ht="14.4" hidden="1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4" customFormat="1" ht="14.4" hidden="1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4" customFormat="1" ht="14.4" hidden="1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4" customFormat="1" ht="14.4" hidden="1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4" customFormat="1" ht="14.4" hidden="1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4" customFormat="1" ht="14.4" hidden="1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4" customFormat="1" ht="14.4" hidden="1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4" customFormat="1" ht="14.4" hidden="1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4" customFormat="1" ht="14.4" hidden="1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4" customFormat="1" ht="14.4" hidden="1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4" customFormat="1" ht="14.4" hidden="1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4" customFormat="1" ht="14.4" hidden="1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4" customFormat="1" ht="14.4" hidden="1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4" customFormat="1" ht="14.4" hidden="1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4" customFormat="1" ht="14.4" hidden="1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4" customFormat="1" ht="14.4" hidden="1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4" customFormat="1" ht="14.4" hidden="1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4" customFormat="1" ht="14.4" hidden="1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4" customFormat="1" ht="14.4" hidden="1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4" customFormat="1" ht="14.4" hidden="1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4" customFormat="1" ht="14.4" hidden="1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4" customFormat="1" ht="14.4" hidden="1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4" customFormat="1" ht="14.4" hidden="1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4" customFormat="1" ht="14.4" hidden="1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4" customFormat="1" ht="14.4" hidden="1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4" customFormat="1" ht="14.4" hidden="1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4" customFormat="1" ht="14.4" hidden="1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4" customFormat="1" ht="14.4" hidden="1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4" customFormat="1" ht="14.4" hidden="1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4" customFormat="1" ht="14.4" hidden="1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4" customFormat="1" ht="14.4" hidden="1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4" customFormat="1" ht="14.4" hidden="1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4" customFormat="1" ht="14.4" hidden="1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4" customFormat="1" ht="14.4" hidden="1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4" customFormat="1" ht="14.4" hidden="1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4" customFormat="1" ht="14.4" hidden="1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4" customFormat="1" ht="14.4" hidden="1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4" customFormat="1" ht="14.4" hidden="1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4" customFormat="1" ht="14.4" hidden="1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4" customFormat="1" ht="14.4" hidden="1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4" customFormat="1" ht="14.4" hidden="1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4" customFormat="1" ht="14.4" hidden="1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4" customFormat="1" ht="14.4" hidden="1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4" customFormat="1" ht="14.4" hidden="1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4" customFormat="1" ht="14.4" hidden="1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4" customFormat="1" ht="14.4" hidden="1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4" customFormat="1" ht="14.4" hidden="1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4" customFormat="1" ht="14.4" hidden="1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4" customFormat="1" ht="14.4" hidden="1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4" customFormat="1" ht="14.4" hidden="1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4" customFormat="1" ht="14.4" hidden="1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4" customFormat="1" ht="14.4" hidden="1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4" customFormat="1" ht="14.4" hidden="1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4" customFormat="1" ht="14.4" hidden="1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4" customFormat="1" ht="14.4" hidden="1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4" customFormat="1" ht="14.4" hidden="1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4" customFormat="1" ht="14.4" hidden="1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4" customFormat="1" ht="14.4" hidden="1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4" customFormat="1" ht="14.4" hidden="1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4" customFormat="1" ht="14.4" hidden="1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4" customFormat="1" ht="14.4" hidden="1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4" customFormat="1" ht="14.4" hidden="1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4" customFormat="1" ht="14.4" hidden="1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4" customFormat="1" ht="14.4" hidden="1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4" customFormat="1" ht="14.4" hidden="1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4" customFormat="1" ht="14.4" hidden="1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4" customFormat="1" ht="14.4" hidden="1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4" customFormat="1" ht="14.4" hidden="1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4" customFormat="1" ht="14.4" hidden="1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4" customFormat="1" ht="14.4" hidden="1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4" customFormat="1" ht="14.4" hidden="1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4" customFormat="1" ht="14.4" hidden="1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4" customFormat="1" ht="14.4" hidden="1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4" customFormat="1" ht="14.4" hidden="1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4" customFormat="1" ht="14.4" hidden="1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4" customFormat="1" ht="14.4" hidden="1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4" customFormat="1" ht="14.4" hidden="1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4" customFormat="1" ht="14.4" hidden="1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4" customFormat="1" ht="14.4" hidden="1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4" customFormat="1" ht="14.4" hidden="1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4" customFormat="1" ht="14.4" hidden="1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4" customFormat="1" ht="14.4" hidden="1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4" customFormat="1" ht="14.4" hidden="1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4" customFormat="1" ht="14.4" hidden="1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4" customFormat="1" ht="14.4" hidden="1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4" customFormat="1" ht="14.4" hidden="1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4" customFormat="1" ht="14.4" hidden="1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4" customFormat="1" ht="14.4" hidden="1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4" customFormat="1" ht="14.4" hidden="1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4" customFormat="1" ht="14.4" hidden="1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4" customFormat="1" ht="14.4" hidden="1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4" customFormat="1" ht="14.4" hidden="1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4" customFormat="1" ht="14.4" hidden="1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4" customFormat="1" ht="14.4" hidden="1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4" customFormat="1" ht="14.4" hidden="1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4" customFormat="1" ht="14.4" hidden="1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4" customFormat="1" ht="14.4" hidden="1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4" customFormat="1" ht="14.4" hidden="1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4" customFormat="1" ht="14.4" hidden="1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4" customFormat="1" ht="14.4" hidden="1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4" customFormat="1" ht="14.4" hidden="1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4" customFormat="1" ht="14.4" hidden="1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4" customFormat="1" ht="14.4" hidden="1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4" customFormat="1" ht="14.4" hidden="1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4" customFormat="1" ht="14.4" hidden="1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4" customFormat="1" ht="14.4" hidden="1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4" customFormat="1" ht="14.4" hidden="1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4" customFormat="1" ht="14.4" hidden="1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4" customFormat="1" ht="14.4" hidden="1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4" customFormat="1" ht="14.4" hidden="1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4" customFormat="1" ht="14.4" hidden="1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4" customFormat="1" ht="14.4" hidden="1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4" customFormat="1" ht="14.4" hidden="1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4" customFormat="1" ht="14.4" hidden="1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4" customFormat="1" ht="14.4" hidden="1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4" customFormat="1" ht="14.4" hidden="1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4" customFormat="1" ht="14.4" hidden="1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4" customFormat="1" ht="14.4" hidden="1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4" customFormat="1" ht="14.4" hidden="1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4" customFormat="1" ht="14.4" hidden="1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4" customFormat="1" ht="14.4" hidden="1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4" customFormat="1" ht="14.4" hidden="1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4" customFormat="1" ht="14.4" hidden="1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4" customFormat="1" ht="14.4" hidden="1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4" customFormat="1" ht="14.4" hidden="1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4" customFormat="1" ht="14.4" hidden="1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4" customFormat="1" ht="14.4" hidden="1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4" customFormat="1" ht="14.4" hidden="1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4" customFormat="1" ht="14.4" hidden="1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4" customFormat="1" ht="14.4" hidden="1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4" customFormat="1" ht="14.4" hidden="1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4" customFormat="1" ht="14.4" hidden="1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4" customFormat="1" ht="14.4" hidden="1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4" customFormat="1" ht="14.4" hidden="1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4" customFormat="1" ht="14.4" hidden="1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4" customFormat="1" ht="14.4" hidden="1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4" customFormat="1" ht="14.4" hidden="1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4" customFormat="1" ht="14.4" hidden="1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4" customFormat="1" ht="14.4" hidden="1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4" customFormat="1" ht="14.4" hidden="1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4" customFormat="1" ht="14.4" hidden="1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4" customFormat="1" ht="14.4" hidden="1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4" customFormat="1" ht="14.4" hidden="1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4" customFormat="1" ht="14.4" hidden="1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4" customFormat="1" ht="14.4" hidden="1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4" customFormat="1" ht="14.4" hidden="1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4" customFormat="1" ht="14.4" hidden="1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4" customFormat="1" ht="14.4" hidden="1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4" customFormat="1" ht="14.4" hidden="1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4" customFormat="1" ht="14.4" hidden="1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4" customFormat="1" ht="14.4" hidden="1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4" customFormat="1" ht="14.4" hidden="1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4" customFormat="1" ht="14.4" hidden="1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4" customFormat="1" ht="14.4" hidden="1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4" customFormat="1" ht="14.4" hidden="1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4" customFormat="1" ht="14.4" hidden="1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4" customFormat="1" ht="14.4" hidden="1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4" customFormat="1" ht="14.4" hidden="1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4" customFormat="1" ht="14.4" hidden="1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4" customFormat="1" ht="14.4" hidden="1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4" customFormat="1" ht="14.4" hidden="1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4" customFormat="1" ht="14.4" hidden="1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4" customFormat="1" ht="14.4" hidden="1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4" customFormat="1" ht="14.4" hidden="1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4" customFormat="1" ht="14.4" hidden="1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4" customFormat="1" ht="14.4" hidden="1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4" customFormat="1" ht="14.4" hidden="1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4" customFormat="1" ht="14.4" hidden="1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4" customFormat="1" ht="14.4" hidden="1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4" customFormat="1" ht="14.4" hidden="1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4" customFormat="1" ht="14.4" hidden="1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4" customFormat="1" ht="14.4" hidden="1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4" customFormat="1" ht="14.4" hidden="1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4" customFormat="1" ht="14.4" hidden="1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4" customFormat="1" ht="14.4" hidden="1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4" customFormat="1" ht="14.4" hidden="1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4" customFormat="1" ht="14.4" hidden="1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4" customFormat="1" ht="14.4" hidden="1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4" customFormat="1" ht="14.4" hidden="1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4" customFormat="1" ht="14.4" hidden="1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4" customFormat="1" ht="14.4" hidden="1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4" customFormat="1" ht="14.4" hidden="1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4" customFormat="1" ht="14.4" hidden="1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4" customFormat="1" ht="14.4" hidden="1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4" customFormat="1" ht="14.4" hidden="1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4" customFormat="1" ht="14.4" hidden="1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4" customFormat="1" ht="14.4" hidden="1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4" customFormat="1" ht="14.4" hidden="1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4" customFormat="1" ht="14.4" hidden="1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4" customFormat="1" ht="14.4" hidden="1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4" customFormat="1" ht="14.4" hidden="1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4" customFormat="1" ht="14.4" hidden="1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4" customFormat="1" ht="14.4" hidden="1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4" customFormat="1" ht="14.4" hidden="1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4" customFormat="1" ht="14.4" hidden="1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4" customFormat="1" ht="14.4" hidden="1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4" customFormat="1" ht="14.4" hidden="1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4" customFormat="1" ht="14.4" hidden="1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4" customFormat="1" ht="14.4" hidden="1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4" customFormat="1" ht="14.4" hidden="1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4" customFormat="1" ht="14.4" hidden="1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4" customFormat="1" ht="14.4" hidden="1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4" customFormat="1" ht="14.4" hidden="1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4" customFormat="1" ht="14.4" hidden="1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4" customFormat="1" ht="14.4" hidden="1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4" customFormat="1" ht="14.4" hidden="1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4" customFormat="1" ht="14.4" hidden="1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4" customFormat="1" ht="14.4" hidden="1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4" customFormat="1" ht="14.4" hidden="1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4" customFormat="1" ht="14.4" hidden="1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4" customFormat="1" ht="14.4" hidden="1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4" customFormat="1" ht="14.4" hidden="1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4" customFormat="1" ht="14.4" hidden="1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4" customFormat="1" ht="14.4" hidden="1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4" customFormat="1" ht="14.4" hidden="1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4" customFormat="1" ht="14.4" hidden="1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4" customFormat="1" ht="14.4" hidden="1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4" customFormat="1" ht="14.4" hidden="1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4" customFormat="1" ht="14.4" hidden="1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4" customFormat="1" ht="14.4" hidden="1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4" customFormat="1" ht="14.4" hidden="1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4" customFormat="1" ht="14.4" hidden="1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4" customFormat="1" ht="14.4" hidden="1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4" customFormat="1" ht="14.4" hidden="1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4" customFormat="1" ht="14.4" hidden="1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4" customFormat="1" ht="14.4" hidden="1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4" customFormat="1" ht="14.4" hidden="1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4" customFormat="1" ht="14.4" hidden="1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4" customFormat="1" ht="14.4" hidden="1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4" customFormat="1" ht="14.4" hidden="1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4" customFormat="1" ht="14.4" hidden="1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4" customFormat="1" ht="14.4" hidden="1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4" customFormat="1" ht="14.4" hidden="1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4" customFormat="1" ht="14.4" hidden="1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4" customFormat="1" ht="14.4" hidden="1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4" customFormat="1" ht="14.4" hidden="1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4" customFormat="1" ht="14.4" hidden="1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4" customFormat="1" ht="14.4" hidden="1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4" customFormat="1" ht="14.4" hidden="1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4" customFormat="1" ht="14.4" hidden="1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4" customFormat="1" ht="14.4" hidden="1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4" customFormat="1" ht="14.4" hidden="1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4" customFormat="1" ht="14.4" hidden="1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4" customFormat="1" ht="14.4" hidden="1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4" customFormat="1" ht="14.4" hidden="1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4" customFormat="1" ht="14.4" hidden="1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4" customFormat="1" ht="14.4" hidden="1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4" customFormat="1" ht="14.4" hidden="1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4" customFormat="1" ht="14.4" hidden="1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4" customFormat="1" ht="14.4" hidden="1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4" customFormat="1" ht="14.4" hidden="1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4" customFormat="1" ht="14.4" hidden="1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4" customFormat="1" ht="14.4" hidden="1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4" customFormat="1" ht="14.4" hidden="1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4" customFormat="1" ht="14.4" hidden="1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4" customFormat="1" ht="14.4" hidden="1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4" customFormat="1" ht="14.4" hidden="1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4" customFormat="1" ht="14.4" hidden="1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4" customFormat="1" ht="14.4" hidden="1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4" customFormat="1" ht="14.4" hidden="1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4" customFormat="1" ht="14.4" hidden="1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4" customFormat="1" ht="14.4" hidden="1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4" customFormat="1" ht="14.4" hidden="1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4" customFormat="1" ht="14.4" hidden="1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4" customFormat="1" ht="14.4" hidden="1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4" customFormat="1" ht="14.4" hidden="1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4" customFormat="1" ht="14.4" hidden="1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4" customFormat="1" ht="14.4" hidden="1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4" customFormat="1" ht="14.4" hidden="1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4" customFormat="1" ht="14.4" hidden="1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4" customFormat="1" ht="14.4" hidden="1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4" customFormat="1" ht="14.4" hidden="1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4" customFormat="1" ht="14.4" hidden="1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4" customFormat="1" ht="14.4" hidden="1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4" customFormat="1" ht="14.4" hidden="1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4" customFormat="1" ht="14.4" hidden="1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4" customFormat="1" ht="14.4" hidden="1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4" customFormat="1" ht="14.4" hidden="1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4" customFormat="1" ht="14.4" hidden="1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4" customFormat="1" ht="14.4" hidden="1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4" customFormat="1" ht="14.4" hidden="1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4" customFormat="1" ht="14.4" hidden="1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4" customFormat="1" ht="14.4" hidden="1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4" customFormat="1" ht="14.4" hidden="1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4" customFormat="1" ht="14.4" hidden="1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4" customFormat="1" ht="14.4" hidden="1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4" customFormat="1" ht="14.4" hidden="1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4" customFormat="1" ht="14.4" hidden="1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4" customFormat="1" ht="14.4" hidden="1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4" customFormat="1" ht="14.4" hidden="1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4" customFormat="1" ht="14.4" hidden="1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4" customFormat="1" ht="14.4" hidden="1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4" customFormat="1" ht="14.4" hidden="1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4" customFormat="1" ht="14.4" hidden="1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4" customFormat="1" ht="14.4" hidden="1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4" customFormat="1" ht="14.4" hidden="1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4" customFormat="1" ht="14.4" hidden="1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4" customFormat="1" ht="14.4" hidden="1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4" customFormat="1" ht="14.4" hidden="1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4" customFormat="1" ht="14.4" hidden="1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4" customFormat="1" ht="14.4" hidden="1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4" customFormat="1" ht="14.4" hidden="1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4" customFormat="1" ht="14.4" hidden="1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4" customFormat="1" ht="14.4" hidden="1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4" customFormat="1" ht="14.4" hidden="1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4" customFormat="1" ht="14.4" hidden="1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4" customFormat="1" ht="14.4" hidden="1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4" customFormat="1" ht="14.4" hidden="1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4" customFormat="1" ht="14.4" hidden="1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4" customFormat="1" ht="14.4" hidden="1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4" customFormat="1" ht="14.4" hidden="1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4" customFormat="1" ht="14.4" hidden="1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4" customFormat="1" ht="14.4" hidden="1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4" customFormat="1" ht="14.4" hidden="1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4" customFormat="1" ht="14.4" hidden="1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4" customFormat="1" ht="14.4" hidden="1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4" customFormat="1" ht="14.4" hidden="1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4" customFormat="1" ht="14.4" hidden="1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4" customFormat="1" ht="14.4" hidden="1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4" customFormat="1" ht="14.4" hidden="1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4" customFormat="1" ht="14.4" hidden="1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4" customFormat="1" ht="14.4" hidden="1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4" customFormat="1" ht="14.4" hidden="1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4" customFormat="1" ht="14.4" hidden="1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4" customFormat="1" ht="14.4" hidden="1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4" customFormat="1" ht="14.4" hidden="1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4" customFormat="1" ht="14.4" hidden="1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4" customFormat="1" ht="14.4" hidden="1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4" customFormat="1" ht="14.4" hidden="1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4" customFormat="1" ht="14.4" hidden="1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4" customFormat="1" ht="14.4" hidden="1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4" customFormat="1" ht="14.4" hidden="1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4" customFormat="1" ht="14.4" hidden="1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4" customFormat="1" ht="14.4" hidden="1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4" customFormat="1" ht="14.4" hidden="1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4" customFormat="1" ht="14.4" hidden="1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4" customFormat="1" ht="14.4" hidden="1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4" customFormat="1" ht="14.4" hidden="1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4" customFormat="1" ht="14.4" hidden="1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4" customFormat="1" ht="14.4" hidden="1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4" customFormat="1" ht="14.4" hidden="1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4" customFormat="1" ht="14.4" hidden="1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4" customFormat="1" ht="14.4" hidden="1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4" customFormat="1" ht="14.4" hidden="1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4" customFormat="1" ht="14.4" hidden="1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4" customFormat="1" ht="14.4" hidden="1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4" customFormat="1" ht="14.4" hidden="1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4" customFormat="1" ht="14.4" hidden="1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4" customFormat="1" ht="14.4" hidden="1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4" customFormat="1" ht="14.4" hidden="1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4" customFormat="1" ht="14.4" hidden="1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4" customFormat="1" ht="14.4" hidden="1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4" customFormat="1" ht="14.4" hidden="1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4" customFormat="1" ht="14.4" hidden="1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4" customFormat="1" ht="14.4" hidden="1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4" customFormat="1" ht="14.4" hidden="1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4" customFormat="1" ht="14.4" hidden="1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4" customFormat="1" ht="14.4" hidden="1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4" customFormat="1" ht="14.4" hidden="1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4" customFormat="1" ht="14.4" hidden="1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4" customFormat="1" ht="14.4" hidden="1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4" customFormat="1" ht="14.4" hidden="1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4" customFormat="1" ht="14.4" hidden="1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4" customFormat="1" ht="14.4" hidden="1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4" customFormat="1" ht="14.4" hidden="1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4" customFormat="1" ht="14.4" hidden="1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4" customFormat="1" ht="14.4" hidden="1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4" customFormat="1" ht="14.4" hidden="1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4" customFormat="1" ht="14.4" hidden="1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4" customFormat="1" ht="14.4" hidden="1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4" customFormat="1" ht="14.4" hidden="1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4" customFormat="1" ht="14.4" hidden="1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4" customFormat="1" ht="14.4" hidden="1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4" customFormat="1" ht="14.4" hidden="1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4" customFormat="1" ht="14.4" hidden="1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4" customFormat="1" ht="14.4" hidden="1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4" customFormat="1" ht="14.4" hidden="1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4" customFormat="1" ht="14.4" hidden="1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4" customFormat="1" ht="14.4" hidden="1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4" customFormat="1" ht="14.4" hidden="1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4" customFormat="1" ht="14.4" hidden="1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4" customFormat="1" ht="14.4" hidden="1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4" customFormat="1" ht="14.4" hidden="1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4" customFormat="1" ht="14.4" hidden="1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4" customFormat="1" ht="14.4" hidden="1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4" customFormat="1" ht="14.4" hidden="1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4" customFormat="1" ht="14.4" hidden="1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4" customFormat="1" ht="14.4" hidden="1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4" customFormat="1" ht="14.4" hidden="1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4" customFormat="1" ht="14.4" hidden="1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4" customFormat="1" ht="14.4" hidden="1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4" customFormat="1" ht="14.4" hidden="1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4" customFormat="1" ht="14.4" hidden="1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4" customFormat="1" ht="14.4" hidden="1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4" customFormat="1" ht="14.4" hidden="1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4" customFormat="1" ht="14.4" hidden="1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4" customFormat="1" ht="14.4" hidden="1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4" customFormat="1" ht="14.4" hidden="1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4" customFormat="1" ht="14.4" hidden="1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4" customFormat="1" ht="14.4" hidden="1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4" customFormat="1" ht="14.4" hidden="1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4" customFormat="1" ht="14.4" hidden="1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4" customFormat="1" ht="14.4" hidden="1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4" customFormat="1" ht="14.4" hidden="1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4" customFormat="1" ht="14.4" hidden="1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4" customFormat="1" ht="14.4" hidden="1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4" customFormat="1" ht="14.4" hidden="1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4" customFormat="1" ht="14.4" hidden="1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4" customFormat="1" ht="14.4" hidden="1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4" customFormat="1" ht="14.4" hidden="1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4" customFormat="1" ht="14.4" hidden="1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4" customFormat="1" ht="14.4" hidden="1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4" customFormat="1" ht="14.4" hidden="1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4" customFormat="1" ht="14.4" hidden="1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4" customFormat="1" ht="14.4" hidden="1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4" customFormat="1" ht="14.4" hidden="1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4" customFormat="1" ht="14.4" hidden="1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4" customFormat="1" ht="14.4" hidden="1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4" customFormat="1" ht="14.4" hidden="1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4" customFormat="1" ht="14.4" hidden="1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4" customFormat="1" ht="14.4" hidden="1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4" customFormat="1" ht="14.4" hidden="1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4" customFormat="1" ht="14.4" hidden="1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4" customFormat="1" ht="14.4" hidden="1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4" customFormat="1" ht="14.4" hidden="1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4" customFormat="1" ht="14.4" hidden="1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4" customFormat="1" ht="14.4" hidden="1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4" customFormat="1" ht="14.4" hidden="1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4" customFormat="1" ht="14.4" hidden="1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4" customFormat="1" ht="14.4" hidden="1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4" customFormat="1" ht="14.4" hidden="1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4" customFormat="1" ht="14.4" hidden="1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4" customFormat="1" ht="14.4" hidden="1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4" customFormat="1" ht="14.4" hidden="1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4" customFormat="1" ht="14.4" hidden="1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4" customFormat="1" ht="14.4" hidden="1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4" customFormat="1" ht="14.4" hidden="1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4" customFormat="1" ht="14.4" hidden="1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4" customFormat="1" ht="14.4" hidden="1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4" customFormat="1" ht="14.4" hidden="1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4" customFormat="1" ht="14.4" hidden="1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4" customFormat="1" ht="14.4" hidden="1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4" customFormat="1" ht="14.4" hidden="1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4" customFormat="1" ht="14.4" hidden="1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4" customFormat="1" ht="14.4" hidden="1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4" customFormat="1" ht="14.4" hidden="1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4" customFormat="1" ht="14.4" hidden="1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4" customFormat="1" ht="14.4" hidden="1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4" customFormat="1" ht="14.4" hidden="1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4" customFormat="1" ht="14.4" hidden="1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4" customFormat="1" ht="14.4" hidden="1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4" customFormat="1" ht="14.4" hidden="1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4" customFormat="1" ht="14.4" hidden="1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4" customFormat="1" ht="14.4" hidden="1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4" customFormat="1" ht="14.4" hidden="1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4" customFormat="1" ht="14.4" hidden="1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4" customFormat="1" ht="14.4" hidden="1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4" customFormat="1" ht="14.4" hidden="1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4" customFormat="1" ht="14.4" hidden="1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4" customFormat="1" ht="14.4" hidden="1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4" customFormat="1" ht="14.4" hidden="1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4" customFormat="1" ht="14.4" hidden="1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4" customFormat="1" ht="14.4" hidden="1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4" customFormat="1" ht="14.4" hidden="1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4" customFormat="1" ht="14.4" hidden="1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4" customFormat="1" ht="14.4" hidden="1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4" customFormat="1" ht="14.4" hidden="1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4" customFormat="1" ht="14.4" hidden="1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4" customFormat="1" ht="14.4" hidden="1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4" customFormat="1" ht="14.4" hidden="1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4" customFormat="1" ht="14.4" hidden="1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4" customFormat="1" ht="14.4" hidden="1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4" customFormat="1" ht="14.4" hidden="1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4" customFormat="1" ht="14.4" hidden="1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4" customFormat="1" ht="14.4" hidden="1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4" customFormat="1" ht="14.4" hidden="1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4" customFormat="1" ht="14.4" hidden="1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4" customFormat="1" ht="14.4" hidden="1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4" customFormat="1" ht="14.4" hidden="1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4" customFormat="1" ht="14.4" hidden="1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4" customFormat="1" ht="14.4" hidden="1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4" customFormat="1" ht="14.4" hidden="1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4" customFormat="1" ht="14.4" hidden="1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4" customFormat="1" ht="14.4" hidden="1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4" customFormat="1" ht="14.4" hidden="1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4" customFormat="1" ht="14.4" hidden="1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4" customFormat="1" ht="14.4" hidden="1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4" customFormat="1" ht="14.4" hidden="1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4" customFormat="1" ht="14.4" hidden="1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4" customFormat="1" ht="14.4" hidden="1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4" customFormat="1" ht="14.4" hidden="1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4" customFormat="1" ht="14.4" hidden="1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4" customFormat="1" ht="14.4" hidden="1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4" customFormat="1" ht="14.4" hidden="1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4" customFormat="1" ht="14.4" hidden="1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4" customFormat="1" ht="14.4" hidden="1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4" customFormat="1" ht="14.4" hidden="1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4" customFormat="1" ht="14.4" hidden="1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4" customFormat="1" ht="14.4" hidden="1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4" customFormat="1" ht="14.4" hidden="1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4" customFormat="1" ht="14.4" hidden="1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4" customFormat="1" ht="14.4" hidden="1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4" customFormat="1" ht="14.4" hidden="1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4" customFormat="1" ht="14.4" hidden="1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4" customFormat="1" ht="14.4" hidden="1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4" customFormat="1" ht="14.4" hidden="1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4" customFormat="1" ht="14.4" hidden="1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4" customFormat="1" ht="14.4" hidden="1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4" customFormat="1" ht="14.4" hidden="1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4" customFormat="1" ht="14.4" hidden="1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4" customFormat="1" ht="14.4" hidden="1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4" customFormat="1" ht="14.4" hidden="1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4" customFormat="1" ht="14.4" hidden="1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4" customFormat="1" ht="14.4" hidden="1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4" customFormat="1" ht="14.4" hidden="1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4" customFormat="1" ht="14.4" hidden="1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4" customFormat="1" ht="14.4" hidden="1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4" customFormat="1" ht="14.4" hidden="1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4" customFormat="1" ht="14.4" hidden="1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4" customFormat="1" ht="14.4" hidden="1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4" customFormat="1" ht="14.4" hidden="1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4" customFormat="1" ht="14.4" hidden="1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4" customFormat="1" ht="14.4" hidden="1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4" customFormat="1" ht="14.4" hidden="1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4" customFormat="1" ht="14.4" hidden="1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4" customFormat="1" ht="14.4" hidden="1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4" customFormat="1" ht="14.4" hidden="1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4" customFormat="1" ht="14.4" hidden="1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4" customFormat="1" ht="14.4" hidden="1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4" customFormat="1" ht="14.4" hidden="1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4" customFormat="1" ht="14.4" hidden="1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4" customFormat="1" ht="14.4" hidden="1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4" customFormat="1" ht="14.4" hidden="1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4" customFormat="1" ht="14.4" hidden="1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4" customFormat="1" ht="14.4" hidden="1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4" customFormat="1" ht="14.4" hidden="1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4" customFormat="1" ht="14.4" hidden="1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4" customFormat="1" ht="14.4" hidden="1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4" customFormat="1" ht="14.4" hidden="1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4" customFormat="1" ht="14.4" hidden="1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4" customFormat="1" ht="14.4" hidden="1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4" customFormat="1" ht="14.4" hidden="1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4" customFormat="1" ht="14.4" hidden="1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4" customFormat="1" ht="14.4" hidden="1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4" customFormat="1" ht="14.4" hidden="1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4" customFormat="1" ht="14.4" hidden="1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4" customFormat="1" ht="14.4" hidden="1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4" customFormat="1" ht="14.4" hidden="1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4" customFormat="1" ht="14.4" hidden="1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4" customFormat="1" ht="14.4" hidden="1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4" customFormat="1" ht="14.4" hidden="1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4" customFormat="1" ht="14.4" hidden="1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4" customFormat="1" ht="14.4" hidden="1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4" customFormat="1" ht="14.4" hidden="1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4" customFormat="1" ht="14.4" hidden="1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4" customFormat="1" ht="14.4" hidden="1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4" customFormat="1" ht="14.4" hidden="1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4" customFormat="1" ht="14.4" hidden="1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4" customFormat="1" ht="14.4" hidden="1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4" customFormat="1" ht="14.4" hidden="1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4" customFormat="1" ht="14.4" hidden="1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4" customFormat="1" ht="14.4" hidden="1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4" customFormat="1" ht="14.4" hidden="1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4" customFormat="1" ht="14.4" hidden="1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4" customFormat="1" ht="14.4" hidden="1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4" customFormat="1" ht="14.4" hidden="1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4" customFormat="1" ht="14.4" hidden="1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4" customFormat="1" ht="14.4" hidden="1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4" customFormat="1" ht="14.4" hidden="1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4" customFormat="1" ht="14.4" hidden="1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4" customFormat="1" ht="14.4" hidden="1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4" customFormat="1" ht="14.4" hidden="1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4" customFormat="1" ht="14.4" hidden="1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4" customFormat="1" ht="14.4" hidden="1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4" customFormat="1" ht="14.4" hidden="1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4" customFormat="1" ht="14.4" hidden="1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4" customFormat="1" ht="14.4" hidden="1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4" customFormat="1" ht="14.4" hidden="1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4" customFormat="1" ht="14.4" hidden="1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4" customFormat="1" ht="14.4" hidden="1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4" customFormat="1" ht="14.4" hidden="1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4" customFormat="1" ht="14.4" hidden="1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4" customFormat="1" ht="14.4" hidden="1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4" customFormat="1" ht="14.4" hidden="1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4" customFormat="1" ht="14.4" hidden="1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4" customFormat="1" ht="14.4" hidden="1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4" customFormat="1" ht="14.4" hidden="1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4" customFormat="1" ht="14.4" hidden="1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4" customFormat="1" ht="14.4" hidden="1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4" customFormat="1" ht="14.4" hidden="1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4" customFormat="1" ht="14.4" hidden="1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4" customFormat="1" ht="14.4" hidden="1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4" customFormat="1" ht="14.4" hidden="1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4" customFormat="1" ht="14.4" hidden="1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4" customFormat="1" ht="14.4" hidden="1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4" customFormat="1" ht="14.4" hidden="1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4" customFormat="1" ht="14.4" hidden="1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4" customFormat="1" ht="14.4" hidden="1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4" customFormat="1" ht="14.4" hidden="1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4" customFormat="1" ht="14.4" hidden="1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4" customFormat="1" ht="14.4" hidden="1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4" customFormat="1" ht="14.4" hidden="1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4" customFormat="1" ht="14.4" hidden="1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4" customFormat="1" ht="14.4" hidden="1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4" customFormat="1" ht="14.4" hidden="1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4" customFormat="1" ht="14.4" hidden="1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4" customFormat="1" ht="14.4" hidden="1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4" customFormat="1" ht="14.4" hidden="1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4" customFormat="1" ht="14.4" hidden="1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4" customFormat="1" ht="14.4" hidden="1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4" customFormat="1" ht="14.4" hidden="1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4" customFormat="1" ht="14.4" hidden="1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4" customFormat="1" ht="14.4" hidden="1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4" customFormat="1" ht="14.4" hidden="1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4" customFormat="1" ht="14.4" hidden="1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4" customFormat="1" ht="14.4" hidden="1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4" customFormat="1" ht="14.4" hidden="1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4" customFormat="1" ht="14.4" hidden="1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4" customFormat="1" ht="14.4" hidden="1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4" customFormat="1" ht="14.4" hidden="1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4" customFormat="1" ht="14.4" hidden="1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4" customFormat="1" ht="14.4" hidden="1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4" customFormat="1" ht="14.4" hidden="1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4" customFormat="1" ht="14.4" hidden="1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4" customFormat="1" ht="14.4" hidden="1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4" customFormat="1" ht="14.4" hidden="1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4" customFormat="1" ht="14.4" hidden="1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4" customFormat="1" ht="14.4" hidden="1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4" customFormat="1" ht="14.4" hidden="1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4" customFormat="1" ht="14.4" hidden="1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4" customFormat="1" ht="14.4" hidden="1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4" customFormat="1" ht="14.4" hidden="1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4" customFormat="1" ht="14.4" hidden="1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4" customFormat="1" ht="14.4" hidden="1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4" customFormat="1" ht="14.4" hidden="1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4" customFormat="1" ht="14.4" hidden="1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4" customFormat="1" ht="14.4" hidden="1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4" customFormat="1" ht="14.4" hidden="1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4" customFormat="1" ht="14.4" hidden="1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4" customFormat="1" ht="14.4" hidden="1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4" customFormat="1" ht="14.4" hidden="1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4" customFormat="1" ht="14.4" hidden="1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4" customFormat="1" ht="14.4" hidden="1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4" customFormat="1" ht="14.4" hidden="1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4" customFormat="1" ht="14.4" hidden="1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4" customFormat="1" ht="14.4" hidden="1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4" customFormat="1" ht="14.4" hidden="1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4" customFormat="1" ht="14.4" hidden="1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4" customFormat="1" ht="14.4" hidden="1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4" customFormat="1" ht="14.4" hidden="1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4" customFormat="1" ht="14.4" hidden="1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4" customFormat="1" ht="14.4" hidden="1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4" customFormat="1" ht="14.4" hidden="1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4" customFormat="1" ht="14.4" hidden="1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4" customFormat="1" ht="14.4" hidden="1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4" customFormat="1" ht="14.4" hidden="1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4" customFormat="1" ht="14.4" hidden="1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4" customFormat="1" ht="14.4" hidden="1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4" customFormat="1" ht="14.4" hidden="1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4" customFormat="1" ht="14.4" hidden="1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4" customFormat="1" ht="14.4" hidden="1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4" customFormat="1" ht="14.4" hidden="1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4" customFormat="1" ht="14.4" hidden="1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4" customFormat="1" ht="14.4" hidden="1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4" customFormat="1" ht="14.4" hidden="1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4" customFormat="1" ht="14.4" hidden="1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4" customFormat="1" ht="14.4" hidden="1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4" customFormat="1" ht="14.4" hidden="1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4" customFormat="1" ht="14.4" hidden="1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4" customFormat="1" ht="14.4" hidden="1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4" customFormat="1" ht="14.4" hidden="1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4" customFormat="1" ht="14.4" hidden="1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4" customFormat="1" ht="14.4" hidden="1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4" customFormat="1" ht="14.4" hidden="1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4" customFormat="1" ht="14.4" hidden="1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4" customFormat="1" ht="14.4" hidden="1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4" customFormat="1" ht="14.4" hidden="1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4" customFormat="1" ht="14.4" hidden="1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4" customFormat="1" ht="14.4" hidden="1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4" customFormat="1" ht="14.4" hidden="1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4" customFormat="1" ht="14.4" hidden="1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4" customFormat="1" ht="14.4" hidden="1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4" customFormat="1" ht="14.4" hidden="1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4" customFormat="1" ht="14.4" hidden="1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4" customFormat="1" ht="14.4" hidden="1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4" customFormat="1" ht="14.4" hidden="1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4" customFormat="1" ht="14.4" hidden="1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4" customFormat="1" ht="14.4" hidden="1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4" customFormat="1" ht="14.4" hidden="1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4" customFormat="1" ht="14.4" hidden="1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4" customFormat="1" ht="14.4" hidden="1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4" customFormat="1" ht="14.4" hidden="1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4" customFormat="1" ht="14.4" hidden="1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4" customFormat="1" ht="14.4" hidden="1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4" customFormat="1" ht="14.4" hidden="1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4" customFormat="1" ht="14.4" hidden="1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4" customFormat="1" ht="14.4" hidden="1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4" customFormat="1" ht="14.4" hidden="1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4" customFormat="1" ht="14.4" hidden="1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4" customFormat="1" ht="14.4" hidden="1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4" customFormat="1" ht="14.4" hidden="1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4" customFormat="1" ht="14.4" hidden="1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4" customFormat="1" ht="14.4" hidden="1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4" customFormat="1" ht="14.4" hidden="1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4" customFormat="1" ht="14.4" hidden="1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4" customFormat="1" ht="14.4" hidden="1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4" customFormat="1" ht="14.4" hidden="1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4" customFormat="1" ht="14.4" hidden="1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4" customFormat="1" ht="14.4" hidden="1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4" customFormat="1" ht="14.4" hidden="1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4" customFormat="1" ht="14.4" hidden="1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4" customFormat="1" ht="14.4" hidden="1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4" customFormat="1" ht="14.4" hidden="1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4" customFormat="1" ht="14.4" hidden="1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4" customFormat="1" ht="14.4" hidden="1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4" customFormat="1" ht="14.4" hidden="1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4" customFormat="1" ht="14.4" hidden="1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4" customFormat="1" ht="14.4" hidden="1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4" customFormat="1" ht="14.4" hidden="1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4" customFormat="1" ht="14.4" hidden="1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4" customFormat="1" ht="14.4" hidden="1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4" customFormat="1" ht="14.4" hidden="1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4" customFormat="1" ht="14.4" hidden="1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4" customFormat="1" ht="14.4" hidden="1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4" customFormat="1" ht="14.4" hidden="1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4" customFormat="1" ht="14.4" hidden="1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4" customFormat="1" ht="14.4" hidden="1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4" customFormat="1" ht="14.4" hidden="1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4" customFormat="1" ht="14.4" hidden="1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4" customFormat="1" ht="14.4" hidden="1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4" customFormat="1" ht="14.4" hidden="1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4" customFormat="1" ht="14.4" hidden="1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4" customFormat="1" ht="14.4" hidden="1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4" customFormat="1" ht="14.4" hidden="1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4" customFormat="1" ht="14.4" hidden="1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4" customFormat="1" ht="14.4" hidden="1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4" customFormat="1" ht="14.4" hidden="1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4" customFormat="1" ht="14.4" hidden="1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4" customFormat="1" ht="14.4" hidden="1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4" customFormat="1" ht="14.4" hidden="1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4" customFormat="1" ht="14.4" hidden="1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4" customFormat="1" ht="14.4" hidden="1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4" customFormat="1" ht="14.4" hidden="1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4" customFormat="1" ht="14.4" hidden="1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4" customFormat="1" ht="14.4" hidden="1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4" customFormat="1" ht="14.4" hidden="1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4" customFormat="1" ht="14.4" hidden="1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4" customFormat="1" ht="14.4" hidden="1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4" customFormat="1" ht="14.4" hidden="1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4" customFormat="1" ht="14.4" hidden="1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4" customFormat="1" ht="14.4" hidden="1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4" customFormat="1" ht="14.4" hidden="1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4" customFormat="1" ht="14.4" hidden="1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4" customFormat="1" ht="14.4" hidden="1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4" customFormat="1" ht="14.4" hidden="1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4" customFormat="1" ht="14.4" hidden="1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4" customFormat="1" ht="14.4" hidden="1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4" customFormat="1" ht="14.4" hidden="1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4" customFormat="1" ht="14.4" hidden="1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4" customFormat="1" ht="14.4" hidden="1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4" customFormat="1" ht="14.4" hidden="1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4" customFormat="1" ht="14.4" hidden="1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4" customFormat="1" ht="14.4" hidden="1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4" customFormat="1" ht="14.4" hidden="1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4" customFormat="1" ht="14.4" hidden="1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4" customFormat="1" ht="14.4" hidden="1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4" customFormat="1" ht="14.4" hidden="1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4" customFormat="1" ht="14.4" hidden="1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4" customFormat="1" ht="14.4" hidden="1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4" customFormat="1" ht="14.4" hidden="1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4" customFormat="1" ht="14.4" hidden="1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4" customFormat="1" ht="14.4" hidden="1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4" customFormat="1" ht="14.4" hidden="1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4" customFormat="1" ht="14.4" hidden="1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4" customFormat="1" ht="14.4" hidden="1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4" customFormat="1" ht="14.4" hidden="1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4" customFormat="1" ht="14.4" hidden="1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4" customFormat="1" ht="15" hidden="1" customHeight="1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4" customFormat="1" ht="15" hidden="1" customHeight="1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4" customFormat="1" ht="15" hidden="1" customHeight="1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4" customFormat="1" ht="15" hidden="1" customHeight="1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4" customFormat="1" ht="15" hidden="1" customHeight="1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4" customFormat="1" ht="15" hidden="1" customHeight="1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4" customFormat="1" ht="15" hidden="1" customHeight="1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4" customFormat="1" ht="15" hidden="1" customHeight="1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4" customFormat="1" ht="15" hidden="1" customHeight="1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4" customFormat="1" ht="15" hidden="1" customHeight="1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4" customFormat="1" ht="15" hidden="1" customHeight="1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4" customFormat="1" ht="15" hidden="1" customHeight="1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4" customFormat="1" ht="15" hidden="1" customHeight="1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4" customFormat="1" ht="15" hidden="1" customHeight="1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4" customFormat="1" ht="15" hidden="1" customHeight="1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4" customFormat="1" ht="15" hidden="1" customHeight="1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4" customFormat="1" ht="15" hidden="1" customHeight="1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4" customFormat="1" ht="15" hidden="1" customHeight="1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4" customFormat="1" ht="15" hidden="1" customHeight="1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4" customFormat="1" ht="15" hidden="1" customHeight="1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4" customFormat="1" ht="15" hidden="1" customHeight="1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4" customFormat="1" ht="15" hidden="1" customHeight="1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4" customFormat="1" ht="15" hidden="1" customHeight="1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4" customFormat="1" ht="15" hidden="1" customHeight="1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4" customFormat="1" ht="15" hidden="1" customHeight="1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4" customFormat="1" ht="15" hidden="1" customHeight="1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4" customFormat="1" ht="15" hidden="1" customHeight="1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4" customFormat="1" ht="15" hidden="1" customHeight="1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4" customFormat="1" ht="15" hidden="1" customHeight="1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4" customFormat="1" ht="15" hidden="1" customHeight="1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4" customFormat="1" ht="15" hidden="1" customHeight="1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4" customFormat="1" ht="15" hidden="1" customHeight="1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4" customFormat="1" ht="15" hidden="1" customHeight="1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4" customFormat="1" ht="15" hidden="1" customHeight="1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4" customFormat="1" ht="15" hidden="1" customHeight="1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4" customFormat="1" ht="15" hidden="1" customHeight="1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4" customFormat="1" ht="15" hidden="1" customHeight="1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4" customFormat="1" ht="15" hidden="1" customHeight="1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4" customFormat="1" ht="15" hidden="1" customHeight="1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4" customFormat="1" ht="15" hidden="1" customHeight="1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4" customFormat="1" ht="15" hidden="1" customHeight="1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4" customFormat="1" ht="15" hidden="1" customHeight="1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4" customFormat="1" ht="15" hidden="1" customHeight="1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4" customFormat="1" ht="15" hidden="1" customHeight="1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4" customFormat="1" ht="15" hidden="1" customHeight="1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4" customFormat="1" ht="15" hidden="1" customHeight="1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4" customFormat="1" ht="15" hidden="1" customHeight="1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4" customFormat="1" ht="15" hidden="1" customHeight="1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4" customFormat="1" ht="15" hidden="1" customHeight="1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4" customFormat="1" ht="15" hidden="1" customHeight="1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4" customFormat="1" ht="15" hidden="1" customHeight="1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4" customFormat="1" ht="15" hidden="1" customHeight="1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4" customFormat="1" ht="15" hidden="1" customHeight="1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4" customFormat="1" ht="15" hidden="1" customHeight="1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4" customFormat="1" ht="15" hidden="1" customHeight="1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4" customFormat="1" ht="15" hidden="1" customHeight="1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4" customFormat="1" ht="15" hidden="1" customHeight="1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4" customFormat="1" ht="15" hidden="1" customHeight="1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4" customFormat="1" ht="15" hidden="1" customHeight="1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4" customFormat="1" ht="15" hidden="1" customHeight="1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4" customFormat="1" ht="15" hidden="1" customHeight="1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4" customFormat="1" ht="15" hidden="1" customHeight="1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4" customFormat="1" ht="15" hidden="1" customHeight="1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4" customFormat="1" ht="15" hidden="1" customHeight="1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spans="2:29" s="4" customFormat="1" ht="15" hidden="1" customHeight="1" x14ac:dyDescent="0.3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 spans="2:29" ht="15" hidden="1" customHeight="1" x14ac:dyDescent="0.3"/>
    <row r="1555" spans="2:29" ht="15" hidden="1" customHeight="1" x14ac:dyDescent="0.3"/>
    <row r="1556" spans="2:29" ht="15" hidden="1" customHeight="1" x14ac:dyDescent="0.3"/>
    <row r="1557" spans="2:29" ht="15" hidden="1" customHeight="1" x14ac:dyDescent="0.3"/>
    <row r="1558" spans="2:29" ht="15" hidden="1" customHeight="1" x14ac:dyDescent="0.3"/>
    <row r="1559" spans="2:29" ht="15" hidden="1" customHeight="1" x14ac:dyDescent="0.3"/>
    <row r="1560" spans="2:29" ht="15" hidden="1" customHeight="1" x14ac:dyDescent="0.3"/>
    <row r="1561" spans="2:29" ht="15" hidden="1" customHeight="1" x14ac:dyDescent="0.3"/>
    <row r="1562" spans="2:29" ht="15" hidden="1" customHeight="1" x14ac:dyDescent="0.3"/>
    <row r="1563" spans="2:29" ht="15" hidden="1" customHeight="1" x14ac:dyDescent="0.3"/>
    <row r="1564" spans="2:29" ht="15" hidden="1" customHeight="1" x14ac:dyDescent="0.3"/>
    <row r="1565" spans="2:29" ht="15" hidden="1" customHeight="1" x14ac:dyDescent="0.3"/>
    <row r="1566" spans="2:29" ht="15" hidden="1" customHeight="1" x14ac:dyDescent="0.3"/>
    <row r="1567" spans="2:29" ht="15" hidden="1" customHeight="1" x14ac:dyDescent="0.3"/>
    <row r="1568" spans="2:29" ht="15" hidden="1" customHeight="1" x14ac:dyDescent="0.3"/>
    <row r="1569" ht="15" hidden="1" customHeight="1" x14ac:dyDescent="0.3"/>
    <row r="1570" ht="15" hidden="1" customHeight="1" x14ac:dyDescent="0.3"/>
    <row r="1571" ht="15" hidden="1" customHeight="1" x14ac:dyDescent="0.3"/>
    <row r="1572" ht="15" hidden="1" customHeight="1" x14ac:dyDescent="0.3"/>
    <row r="1573" ht="15" hidden="1" customHeight="1" x14ac:dyDescent="0.3"/>
    <row r="1574" ht="15" hidden="1" customHeight="1" x14ac:dyDescent="0.3"/>
    <row r="1575" ht="15" hidden="1" customHeight="1" x14ac:dyDescent="0.3"/>
    <row r="1576" ht="15" hidden="1" customHeight="1" x14ac:dyDescent="0.3"/>
    <row r="1577" ht="15" hidden="1" customHeight="1" x14ac:dyDescent="0.3"/>
    <row r="1578" ht="15" hidden="1" customHeight="1" x14ac:dyDescent="0.3"/>
    <row r="1579" ht="15" hidden="1" customHeight="1" x14ac:dyDescent="0.3"/>
    <row r="1580" ht="15" hidden="1" customHeight="1" x14ac:dyDescent="0.3"/>
    <row r="1581" ht="15" hidden="1" customHeight="1" x14ac:dyDescent="0.3"/>
    <row r="1582" ht="15" hidden="1" customHeight="1" x14ac:dyDescent="0.3"/>
    <row r="1583" ht="15" hidden="1" customHeight="1" x14ac:dyDescent="0.3"/>
    <row r="1584" ht="15" hidden="1" customHeight="1" x14ac:dyDescent="0.3"/>
    <row r="1585" ht="15" hidden="1" customHeight="1" x14ac:dyDescent="0.3"/>
    <row r="1586" ht="15" hidden="1" customHeight="1" x14ac:dyDescent="0.3"/>
    <row r="1587" ht="15" hidden="1" customHeight="1" x14ac:dyDescent="0.3"/>
    <row r="1588" ht="15" hidden="1" customHeight="1" x14ac:dyDescent="0.3"/>
    <row r="1589" ht="15" hidden="1" customHeight="1" x14ac:dyDescent="0.3"/>
    <row r="1590" ht="15" hidden="1" customHeight="1" x14ac:dyDescent="0.3"/>
    <row r="1591" ht="15" hidden="1" customHeight="1" x14ac:dyDescent="0.3"/>
    <row r="1592" ht="15" hidden="1" customHeight="1" x14ac:dyDescent="0.3"/>
    <row r="1593" ht="15" hidden="1" customHeight="1" x14ac:dyDescent="0.3"/>
    <row r="1594" ht="15" hidden="1" customHeight="1" x14ac:dyDescent="0.3"/>
    <row r="1595" ht="15" hidden="1" customHeight="1" x14ac:dyDescent="0.3"/>
    <row r="1596" ht="15" hidden="1" customHeight="1" x14ac:dyDescent="0.3"/>
    <row r="1597" ht="15" hidden="1" customHeight="1" x14ac:dyDescent="0.3"/>
    <row r="1598" ht="15" hidden="1" customHeight="1" x14ac:dyDescent="0.3"/>
    <row r="1599" ht="15" hidden="1" customHeight="1" x14ac:dyDescent="0.3"/>
    <row r="1600" ht="15" hidden="1" customHeight="1" x14ac:dyDescent="0.3"/>
    <row r="1601" ht="15" hidden="1" customHeight="1" x14ac:dyDescent="0.3"/>
    <row r="1602" ht="15" hidden="1" customHeight="1" x14ac:dyDescent="0.3"/>
    <row r="1603" ht="15" hidden="1" customHeight="1" x14ac:dyDescent="0.3"/>
    <row r="1604" ht="15" hidden="1" customHeight="1" x14ac:dyDescent="0.3"/>
    <row r="1605" ht="15" hidden="1" customHeight="1" x14ac:dyDescent="0.3"/>
    <row r="1606" ht="15" hidden="1" customHeight="1" x14ac:dyDescent="0.3"/>
  </sheetData>
  <mergeCells count="11">
    <mergeCell ref="C45:C46"/>
    <mergeCell ref="D45:D46"/>
    <mergeCell ref="E45:E46"/>
    <mergeCell ref="B10:B11"/>
    <mergeCell ref="C10:C11"/>
    <mergeCell ref="B27:B28"/>
    <mergeCell ref="C27:C28"/>
    <mergeCell ref="E10:E11"/>
    <mergeCell ref="E27:E28"/>
    <mergeCell ref="D10:D11"/>
    <mergeCell ref="D27:D2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F2B9-5165-43F8-9090-A308DF1E57D1}">
  <dimension ref="A1:F37"/>
  <sheetViews>
    <sheetView tabSelected="1" topLeftCell="A14" workbookViewId="0">
      <selection activeCell="B35" sqref="B3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22.21875" bestFit="1" customWidth="1"/>
    <col min="5" max="5" width="12.21875" bestFit="1" customWidth="1"/>
    <col min="6" max="6" width="22" bestFit="1" customWidth="1"/>
  </cols>
  <sheetData>
    <row r="1" spans="1:3" x14ac:dyDescent="0.3">
      <c r="A1" s="23" t="s">
        <v>28</v>
      </c>
      <c r="B1" t="s">
        <v>6</v>
      </c>
    </row>
    <row r="2" spans="1:3" x14ac:dyDescent="0.3">
      <c r="A2" s="23" t="s">
        <v>62</v>
      </c>
      <c r="B2" t="s">
        <v>66</v>
      </c>
    </row>
    <row r="4" spans="1:3" x14ac:dyDescent="0.3">
      <c r="A4" s="23" t="s">
        <v>68</v>
      </c>
      <c r="B4" t="s">
        <v>71</v>
      </c>
      <c r="C4" t="s">
        <v>72</v>
      </c>
    </row>
    <row r="5" spans="1:3" x14ac:dyDescent="0.3">
      <c r="A5" s="24" t="s">
        <v>50</v>
      </c>
      <c r="B5" s="6">
        <v>11339142.855346801</v>
      </c>
      <c r="C5" s="6">
        <v>98.453366540549993</v>
      </c>
    </row>
    <row r="6" spans="1:3" x14ac:dyDescent="0.3">
      <c r="A6" s="24" t="s">
        <v>51</v>
      </c>
      <c r="B6" s="6">
        <v>1786795.07</v>
      </c>
      <c r="C6" s="6">
        <v>6.9953706710999999</v>
      </c>
    </row>
    <row r="7" spans="1:3" x14ac:dyDescent="0.3">
      <c r="A7" s="24" t="s">
        <v>52</v>
      </c>
      <c r="B7" s="6">
        <v>37128347.428131998</v>
      </c>
      <c r="C7" s="6">
        <v>270.01945538989901</v>
      </c>
    </row>
    <row r="8" spans="1:3" x14ac:dyDescent="0.3">
      <c r="A8" s="24" t="s">
        <v>53</v>
      </c>
      <c r="B8" s="6">
        <v>55144200.679906301</v>
      </c>
      <c r="C8" s="6">
        <v>749.21836744655002</v>
      </c>
    </row>
    <row r="9" spans="1:3" x14ac:dyDescent="0.3">
      <c r="A9" s="24" t="s">
        <v>54</v>
      </c>
      <c r="B9" s="6">
        <v>93233211.795725897</v>
      </c>
      <c r="C9" s="6">
        <v>1776.68881580519</v>
      </c>
    </row>
    <row r="10" spans="1:3" x14ac:dyDescent="0.3">
      <c r="A10" s="24" t="s">
        <v>55</v>
      </c>
      <c r="B10" s="6">
        <v>65502919.713451803</v>
      </c>
      <c r="C10" s="6">
        <v>540.90802885419896</v>
      </c>
    </row>
    <row r="11" spans="1:3" x14ac:dyDescent="0.3">
      <c r="A11" s="24" t="s">
        <v>56</v>
      </c>
      <c r="B11" s="6">
        <v>18208719.8855564</v>
      </c>
      <c r="C11" s="6">
        <v>224.43223953825</v>
      </c>
    </row>
    <row r="12" spans="1:3" x14ac:dyDescent="0.3">
      <c r="A12" s="24" t="s">
        <v>57</v>
      </c>
      <c r="B12" s="6">
        <v>13269354.8199999</v>
      </c>
      <c r="C12" s="6">
        <v>4620.1745721899297</v>
      </c>
    </row>
    <row r="13" spans="1:3" x14ac:dyDescent="0.3">
      <c r="A13" s="24" t="s">
        <v>58</v>
      </c>
      <c r="B13" s="6">
        <v>668499.77</v>
      </c>
      <c r="C13" s="6">
        <v>1.9982254181500001</v>
      </c>
    </row>
    <row r="14" spans="1:3" x14ac:dyDescent="0.3">
      <c r="A14" s="24" t="s">
        <v>70</v>
      </c>
      <c r="B14" s="6">
        <v>296281192.01811904</v>
      </c>
      <c r="C14" s="6">
        <v>8288.8884418538182</v>
      </c>
    </row>
    <row r="15" spans="1:3" x14ac:dyDescent="0.3">
      <c r="A15" s="4"/>
      <c r="B15" s="4"/>
      <c r="C15" s="4"/>
    </row>
    <row r="16" spans="1:3" x14ac:dyDescent="0.3">
      <c r="A16" s="4"/>
      <c r="B16" s="4"/>
      <c r="C16" s="4"/>
    </row>
    <row r="17" spans="1:6" x14ac:dyDescent="0.3">
      <c r="A17" s="4"/>
      <c r="B17" s="4"/>
      <c r="C17" s="4"/>
    </row>
    <row r="20" spans="1:6" x14ac:dyDescent="0.3">
      <c r="A20" s="23" t="s">
        <v>28</v>
      </c>
      <c r="B20" t="s">
        <v>6</v>
      </c>
    </row>
    <row r="21" spans="1:6" x14ac:dyDescent="0.3">
      <c r="A21" s="23" t="s">
        <v>62</v>
      </c>
      <c r="B21" t="s">
        <v>187</v>
      </c>
    </row>
    <row r="23" spans="1:6" x14ac:dyDescent="0.3">
      <c r="A23" s="23" t="s">
        <v>68</v>
      </c>
      <c r="B23" t="s">
        <v>71</v>
      </c>
      <c r="C23" t="s">
        <v>72</v>
      </c>
    </row>
    <row r="24" spans="1:6" x14ac:dyDescent="0.3">
      <c r="A24" s="24" t="s">
        <v>50</v>
      </c>
      <c r="B24" s="6">
        <v>129658565.42114924</v>
      </c>
      <c r="C24" s="6">
        <v>201036.91298669754</v>
      </c>
    </row>
    <row r="25" spans="1:6" x14ac:dyDescent="0.3">
      <c r="A25" s="24" t="s">
        <v>51</v>
      </c>
      <c r="B25" s="6">
        <v>9586800.9732213318</v>
      </c>
      <c r="C25" s="6">
        <v>9034.0691316215398</v>
      </c>
    </row>
    <row r="26" spans="1:6" x14ac:dyDescent="0.3">
      <c r="A26" s="24" t="s">
        <v>52</v>
      </c>
      <c r="B26" s="6">
        <v>135827303.19999841</v>
      </c>
      <c r="C26" s="6">
        <v>15496.160948180997</v>
      </c>
    </row>
    <row r="27" spans="1:6" x14ac:dyDescent="0.3">
      <c r="A27" s="24" t="s">
        <v>53</v>
      </c>
      <c r="B27" s="6">
        <v>239709052.52520993</v>
      </c>
      <c r="C27" s="6">
        <v>12671.97127247055</v>
      </c>
    </row>
    <row r="28" spans="1:6" x14ac:dyDescent="0.3">
      <c r="A28" s="24" t="s">
        <v>54</v>
      </c>
      <c r="B28" s="6">
        <v>1084407323.6053874</v>
      </c>
      <c r="C28" s="6">
        <v>100944.02200735948</v>
      </c>
      <c r="F28" s="6">
        <v>668499.77</v>
      </c>
    </row>
    <row r="29" spans="1:6" x14ac:dyDescent="0.3">
      <c r="A29" s="24" t="s">
        <v>55</v>
      </c>
      <c r="B29" s="6">
        <v>434908153.92794782</v>
      </c>
      <c r="C29" s="6">
        <v>127664.4596159682</v>
      </c>
      <c r="F29" s="6">
        <v>58393352.523715392</v>
      </c>
    </row>
    <row r="30" spans="1:6" x14ac:dyDescent="0.3">
      <c r="A30" s="24" t="s">
        <v>56</v>
      </c>
      <c r="B30" s="6">
        <v>168154926.5518069</v>
      </c>
      <c r="C30" s="6">
        <v>72861.971327292849</v>
      </c>
      <c r="F30" s="6">
        <v>7405941.3126334501</v>
      </c>
    </row>
    <row r="31" spans="1:6" x14ac:dyDescent="0.3">
      <c r="A31" s="24" t="s">
        <v>57</v>
      </c>
      <c r="B31" s="6">
        <v>106025707.63052902</v>
      </c>
      <c r="C31" s="6">
        <v>293127.52028727392</v>
      </c>
    </row>
    <row r="32" spans="1:6" x14ac:dyDescent="0.3">
      <c r="A32" s="24" t="s">
        <v>58</v>
      </c>
      <c r="B32" s="6">
        <v>11990016.58446</v>
      </c>
      <c r="C32" s="6">
        <v>701.99098073426001</v>
      </c>
    </row>
    <row r="33" spans="1:6" x14ac:dyDescent="0.3">
      <c r="A33" s="24" t="s">
        <v>40</v>
      </c>
      <c r="B33" s="6">
        <v>58393352.523715392</v>
      </c>
      <c r="C33" s="6">
        <v>169.30219518954999</v>
      </c>
      <c r="E33" s="6">
        <v>16444257.76669913</v>
      </c>
      <c r="F33" t="s">
        <v>186</v>
      </c>
    </row>
    <row r="34" spans="1:6" x14ac:dyDescent="0.3">
      <c r="A34" s="24" t="s">
        <v>69</v>
      </c>
      <c r="B34" s="6">
        <v>7405941.3126334501</v>
      </c>
      <c r="C34" s="6">
        <v>967.07771872659998</v>
      </c>
    </row>
    <row r="35" spans="1:6" x14ac:dyDescent="0.3">
      <c r="A35" s="24" t="s">
        <v>70</v>
      </c>
      <c r="B35" s="6">
        <v>2386067144.2560587</v>
      </c>
      <c r="C35" s="6">
        <v>834675.45847151545</v>
      </c>
    </row>
    <row r="37" spans="1:6" x14ac:dyDescent="0.3">
      <c r="B37" s="6">
        <v>668499.77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41"/>
  <sheetViews>
    <sheetView showGridLines="0" zoomScale="80" zoomScaleNormal="80" workbookViewId="0"/>
  </sheetViews>
  <sheetFormatPr defaultColWidth="0" defaultRowHeight="0" customHeight="1" zeroHeight="1" x14ac:dyDescent="0.3"/>
  <cols>
    <col min="1" max="1" width="3.5546875" style="4" customWidth="1"/>
    <col min="2" max="2" width="54.77734375" bestFit="1" customWidth="1"/>
    <col min="3" max="7" width="25.5546875" customWidth="1"/>
    <col min="8" max="8" width="3.77734375" customWidth="1"/>
    <col min="9" max="16384" width="9" hidden="1"/>
  </cols>
  <sheetData>
    <row r="1" spans="1:8" ht="14.4" x14ac:dyDescent="0.3">
      <c r="A1" s="20"/>
      <c r="B1" s="21"/>
      <c r="C1" s="21"/>
      <c r="D1" s="21"/>
      <c r="E1" s="21"/>
      <c r="F1" s="21"/>
      <c r="G1" s="21"/>
      <c r="H1" s="21"/>
    </row>
    <row r="2" spans="1:8" ht="14.4" x14ac:dyDescent="0.3">
      <c r="A2" s="20"/>
      <c r="B2" s="21"/>
      <c r="C2" s="21"/>
      <c r="D2" s="21"/>
      <c r="E2" s="21"/>
      <c r="F2" s="21"/>
      <c r="G2" s="21"/>
      <c r="H2" s="21"/>
    </row>
    <row r="3" spans="1:8" ht="14.4" x14ac:dyDescent="0.3">
      <c r="A3" s="20"/>
      <c r="B3" s="21"/>
      <c r="C3" s="21"/>
      <c r="D3" s="21"/>
      <c r="E3" s="21"/>
      <c r="F3" s="21"/>
      <c r="G3" s="21"/>
      <c r="H3" s="21"/>
    </row>
    <row r="4" spans="1:8" ht="14.4" x14ac:dyDescent="0.3">
      <c r="A4" s="20"/>
      <c r="B4" s="21"/>
      <c r="C4" s="21"/>
      <c r="D4" s="21"/>
      <c r="E4" s="21"/>
      <c r="F4" s="21"/>
      <c r="G4" s="21"/>
      <c r="H4" s="21"/>
    </row>
    <row r="5" spans="1:8" ht="3" customHeight="1" x14ac:dyDescent="0.3">
      <c r="A5" s="2"/>
      <c r="B5" s="3"/>
      <c r="C5" s="3"/>
      <c r="D5" s="3"/>
      <c r="E5" s="3"/>
      <c r="F5" s="3"/>
      <c r="G5" s="3"/>
      <c r="H5" s="3"/>
    </row>
    <row r="6" spans="1:8" ht="14.4" x14ac:dyDescent="0.3"/>
    <row r="7" spans="1:8" ht="14.4" x14ac:dyDescent="0.3">
      <c r="A7" s="81"/>
      <c r="B7" s="83"/>
      <c r="C7" s="83"/>
      <c r="D7" s="83"/>
      <c r="E7" s="83"/>
      <c r="F7" s="83"/>
      <c r="G7" s="83"/>
      <c r="H7" s="93"/>
    </row>
    <row r="8" spans="1:8" ht="14.4" x14ac:dyDescent="0.3">
      <c r="A8" s="81"/>
      <c r="B8" s="113" t="s">
        <v>180</v>
      </c>
      <c r="C8" s="83"/>
      <c r="D8" s="83"/>
      <c r="E8" s="83"/>
      <c r="F8" s="83"/>
      <c r="G8" s="83"/>
      <c r="H8" s="93"/>
    </row>
    <row r="9" spans="1:8" ht="4.95" customHeight="1" x14ac:dyDescent="0.3">
      <c r="A9" s="81"/>
      <c r="B9" s="83"/>
      <c r="C9" s="83"/>
      <c r="D9" s="83"/>
      <c r="E9" s="83"/>
      <c r="F9" s="83"/>
      <c r="G9" s="83"/>
      <c r="H9" s="93"/>
    </row>
    <row r="10" spans="1:8" ht="15" customHeight="1" x14ac:dyDescent="0.3">
      <c r="A10" s="81"/>
      <c r="B10" s="174" t="s">
        <v>1</v>
      </c>
      <c r="C10" s="176" t="s">
        <v>2</v>
      </c>
      <c r="D10" s="176" t="s">
        <v>3</v>
      </c>
      <c r="E10" s="172" t="s">
        <v>4</v>
      </c>
      <c r="F10" s="172" t="s">
        <v>146</v>
      </c>
      <c r="G10" s="182" t="s">
        <v>153</v>
      </c>
      <c r="H10" s="83"/>
    </row>
    <row r="11" spans="1:8" ht="15" customHeight="1" x14ac:dyDescent="0.3">
      <c r="A11" s="81"/>
      <c r="B11" s="175"/>
      <c r="C11" s="177"/>
      <c r="D11" s="177"/>
      <c r="E11" s="173"/>
      <c r="F11" s="173"/>
      <c r="G11" s="182"/>
      <c r="H11" s="83"/>
    </row>
    <row r="12" spans="1:8" ht="14.4" x14ac:dyDescent="0.3">
      <c r="A12" s="81"/>
      <c r="B12" s="106" t="s">
        <v>7</v>
      </c>
      <c r="C12" s="163">
        <f>+SUM(C13:C16)</f>
        <v>2386067144.2560568</v>
      </c>
      <c r="D12" s="141">
        <f>+C12/$C$22</f>
        <v>9.2867706840569442E-2</v>
      </c>
      <c r="E12" s="142">
        <f>+SUM(E13:E16)</f>
        <v>834675.45847151708</v>
      </c>
      <c r="F12" s="141">
        <f>+E12/$E$22</f>
        <v>0.66398771413348334</v>
      </c>
      <c r="G12" s="142">
        <f>+SUM(G13:G16)</f>
        <v>16398496.26</v>
      </c>
      <c r="H12" s="83"/>
    </row>
    <row r="13" spans="1:8" ht="14.4" x14ac:dyDescent="0.3">
      <c r="A13" s="81"/>
      <c r="B13" s="107" t="s">
        <v>181</v>
      </c>
      <c r="C13" s="143">
        <v>252736519.15900901</v>
      </c>
      <c r="D13" s="144">
        <f>+C13/$C$12</f>
        <v>0.10592179678070578</v>
      </c>
      <c r="E13" s="145">
        <v>6517.6473833845803</v>
      </c>
      <c r="F13" s="144">
        <f>+E13/$E$12</f>
        <v>7.808600716882096E-3</v>
      </c>
      <c r="G13" s="145">
        <v>379909.39</v>
      </c>
      <c r="H13" s="83"/>
    </row>
    <row r="14" spans="1:8" ht="14.4" x14ac:dyDescent="0.3">
      <c r="A14" s="81"/>
      <c r="B14" s="107" t="s">
        <v>182</v>
      </c>
      <c r="C14" s="143">
        <v>1522116076.3257599</v>
      </c>
      <c r="D14" s="144">
        <f>+C14/$C$12</f>
        <v>0.63791837542791985</v>
      </c>
      <c r="E14" s="145">
        <v>790916.69082982105</v>
      </c>
      <c r="F14" s="144">
        <f>+E14/$E$12</f>
        <v>0.94757391367199362</v>
      </c>
      <c r="G14" s="145">
        <v>16018586.869999999</v>
      </c>
      <c r="H14" s="83"/>
    </row>
    <row r="15" spans="1:8" ht="14.4" x14ac:dyDescent="0.3">
      <c r="A15" s="81"/>
      <c r="B15" s="107" t="s">
        <v>183</v>
      </c>
      <c r="C15" s="143">
        <v>541425664.16458905</v>
      </c>
      <c r="D15" s="144">
        <f t="shared" ref="D15:D16" si="0">+C15/$C$12</f>
        <v>0.22691132790120966</v>
      </c>
      <c r="E15" s="145">
        <v>37241.120258311501</v>
      </c>
      <c r="F15" s="144">
        <f>+E15/$E$12</f>
        <v>4.4617485611124309E-2</v>
      </c>
      <c r="G15" s="146" t="s">
        <v>152</v>
      </c>
      <c r="H15" s="83"/>
    </row>
    <row r="16" spans="1:8" ht="14.4" x14ac:dyDescent="0.3">
      <c r="A16" s="81"/>
      <c r="B16" s="107" t="s">
        <v>175</v>
      </c>
      <c r="C16" s="126">
        <v>69788884.606699094</v>
      </c>
      <c r="D16" s="144">
        <f t="shared" si="0"/>
        <v>2.924849989016479E-2</v>
      </c>
      <c r="E16" s="146" t="s">
        <v>152</v>
      </c>
      <c r="F16" s="146" t="s">
        <v>152</v>
      </c>
      <c r="G16" s="146" t="s">
        <v>152</v>
      </c>
      <c r="H16" s="83"/>
    </row>
    <row r="17" spans="1:8" ht="14.4" x14ac:dyDescent="0.3">
      <c r="A17" s="81"/>
      <c r="B17" s="106" t="s">
        <v>16</v>
      </c>
      <c r="C17" s="163">
        <f>+SUM(C18:C21)</f>
        <v>23307117552.899601</v>
      </c>
      <c r="D17" s="141">
        <f>+C17/$C$22</f>
        <v>0.90713229315943056</v>
      </c>
      <c r="E17" s="142">
        <f>+SUM(E18:E21)</f>
        <v>422389.15387719858</v>
      </c>
      <c r="F17" s="141">
        <f>+E17/$E$22</f>
        <v>0.3360122858665166</v>
      </c>
      <c r="G17" s="142">
        <f>+SUM(G18:G21)</f>
        <v>29537894.210000001</v>
      </c>
      <c r="H17" s="83"/>
    </row>
    <row r="18" spans="1:8" ht="14.4" x14ac:dyDescent="0.3">
      <c r="A18" s="81"/>
      <c r="B18" s="107" t="s">
        <v>181</v>
      </c>
      <c r="C18" s="143">
        <v>12314289343.2414</v>
      </c>
      <c r="D18" s="144">
        <f>+C18/$C$17</f>
        <v>0.52834887520054574</v>
      </c>
      <c r="E18" s="145">
        <v>87350.829258739497</v>
      </c>
      <c r="F18" s="144">
        <f>+E18/$E$17</f>
        <v>0.20680178090968465</v>
      </c>
      <c r="G18" s="145">
        <v>9226649.7899999991</v>
      </c>
      <c r="H18" s="83"/>
    </row>
    <row r="19" spans="1:8" ht="14.4" x14ac:dyDescent="0.3">
      <c r="A19" s="81"/>
      <c r="B19" s="107" t="s">
        <v>182</v>
      </c>
      <c r="C19" s="143">
        <v>10464690414.8256</v>
      </c>
      <c r="D19" s="144">
        <f>+C19/$C$17</f>
        <v>0.44899118868191851</v>
      </c>
      <c r="E19" s="145">
        <v>317322.74944347702</v>
      </c>
      <c r="F19" s="144">
        <f>+E19/$E$17</f>
        <v>0.75125686000860814</v>
      </c>
      <c r="G19" s="145">
        <v>20311244.420000002</v>
      </c>
      <c r="H19" s="83"/>
    </row>
    <row r="20" spans="1:8" ht="14.4" x14ac:dyDescent="0.3">
      <c r="A20" s="81"/>
      <c r="B20" s="107" t="s">
        <v>183</v>
      </c>
      <c r="C20" s="143">
        <v>488523826.58202201</v>
      </c>
      <c r="D20" s="144">
        <f>+C20/$C$17</f>
        <v>2.0960285006210284E-2</v>
      </c>
      <c r="E20" s="145">
        <v>17715.575174982099</v>
      </c>
      <c r="F20" s="144">
        <f>+E20/$E$17</f>
        <v>4.1941359081707284E-2</v>
      </c>
      <c r="G20" s="144" t="s">
        <v>152</v>
      </c>
      <c r="H20" s="83"/>
    </row>
    <row r="21" spans="1:8" ht="14.4" x14ac:dyDescent="0.3">
      <c r="A21" s="81"/>
      <c r="B21" s="107" t="s">
        <v>175</v>
      </c>
      <c r="C21" s="126">
        <v>39613968.25057476</v>
      </c>
      <c r="D21" s="144">
        <f>+C21/$C$17</f>
        <v>1.6996511113252805E-3</v>
      </c>
      <c r="E21" s="146" t="s">
        <v>152</v>
      </c>
      <c r="F21" s="146" t="s">
        <v>152</v>
      </c>
      <c r="G21" s="146" t="s">
        <v>152</v>
      </c>
      <c r="H21" s="83"/>
    </row>
    <row r="22" spans="1:8" s="4" customFormat="1" ht="14.4" x14ac:dyDescent="0.3">
      <c r="A22" s="81"/>
      <c r="B22" s="122" t="s">
        <v>25</v>
      </c>
      <c r="C22" s="123">
        <f>+C17+C12</f>
        <v>25693184697.155659</v>
      </c>
      <c r="D22" s="147">
        <f>+D12+D17</f>
        <v>1</v>
      </c>
      <c r="E22" s="148">
        <f>+E17+E12</f>
        <v>1257064.6123487158</v>
      </c>
      <c r="F22" s="147">
        <f>+F12+F17</f>
        <v>1</v>
      </c>
      <c r="G22" s="148">
        <f>+G12+G17</f>
        <v>45936390.469999999</v>
      </c>
      <c r="H22" s="83"/>
    </row>
    <row r="23" spans="1:8" s="4" customFormat="1" ht="14.4" x14ac:dyDescent="0.3">
      <c r="A23" s="81"/>
      <c r="B23" s="81"/>
      <c r="C23" s="81"/>
      <c r="D23" s="81"/>
      <c r="E23" s="81"/>
      <c r="F23" s="81"/>
      <c r="G23" s="81"/>
      <c r="H23" s="81"/>
    </row>
    <row r="24" spans="1:8" s="4" customFormat="1" ht="14.4" hidden="1" x14ac:dyDescent="0.3">
      <c r="A24" s="81"/>
      <c r="B24" s="81"/>
      <c r="C24" s="81"/>
      <c r="D24" s="81"/>
      <c r="E24" s="81"/>
      <c r="F24" s="81"/>
      <c r="G24" s="81"/>
      <c r="H24" s="81"/>
    </row>
    <row r="25" spans="1:8" s="4" customFormat="1" ht="14.4" hidden="1" x14ac:dyDescent="0.3">
      <c r="B25" s="9"/>
      <c r="C25" s="9"/>
      <c r="D25" s="9"/>
      <c r="E25" s="9"/>
      <c r="F25"/>
      <c r="G25"/>
      <c r="H25"/>
    </row>
    <row r="26" spans="1:8" s="4" customFormat="1" ht="14.4" hidden="1" x14ac:dyDescent="0.3">
      <c r="B26" s="9"/>
      <c r="C26" s="9"/>
      <c r="D26" s="9"/>
      <c r="E26" s="9"/>
      <c r="F26"/>
      <c r="G26"/>
      <c r="H26"/>
    </row>
    <row r="27" spans="1:8" s="4" customFormat="1" ht="14.4" hidden="1" x14ac:dyDescent="0.3">
      <c r="F27"/>
      <c r="G27"/>
      <c r="H27"/>
    </row>
    <row r="28" spans="1:8" s="4" customFormat="1" ht="14.4" hidden="1" x14ac:dyDescent="0.3">
      <c r="F28"/>
      <c r="G28"/>
      <c r="H28"/>
    </row>
    <row r="29" spans="1:8" s="4" customFormat="1" ht="14.4" hidden="1" x14ac:dyDescent="0.3">
      <c r="F29"/>
      <c r="G29"/>
      <c r="H29"/>
    </row>
    <row r="30" spans="1:8" s="4" customFormat="1" ht="14.4" hidden="1" x14ac:dyDescent="0.3">
      <c r="F30"/>
      <c r="G30"/>
      <c r="H30"/>
    </row>
    <row r="31" spans="1:8" s="4" customFormat="1" ht="14.4" hidden="1" x14ac:dyDescent="0.3">
      <c r="F31" s="6"/>
      <c r="G31" s="6"/>
      <c r="H31"/>
    </row>
    <row r="32" spans="1:8" s="4" customFormat="1" ht="14.4" hidden="1" x14ac:dyDescent="0.3">
      <c r="F32"/>
      <c r="G32"/>
      <c r="H32"/>
    </row>
    <row r="33" spans="2:8" s="4" customFormat="1" ht="14.4" hidden="1" x14ac:dyDescent="0.3">
      <c r="F33"/>
      <c r="G33"/>
      <c r="H33"/>
    </row>
    <row r="34" spans="2:8" s="4" customFormat="1" ht="14.4" hidden="1" x14ac:dyDescent="0.3">
      <c r="F34"/>
      <c r="G34"/>
      <c r="H34"/>
    </row>
    <row r="35" spans="2:8" s="4" customFormat="1" ht="14.4" hidden="1" x14ac:dyDescent="0.3">
      <c r="F35"/>
      <c r="G35"/>
      <c r="H35"/>
    </row>
    <row r="36" spans="2:8" s="4" customFormat="1" ht="14.4" hidden="1" x14ac:dyDescent="0.3">
      <c r="F36"/>
      <c r="G36"/>
      <c r="H36"/>
    </row>
    <row r="37" spans="2:8" s="4" customFormat="1" ht="14.4" hidden="1" x14ac:dyDescent="0.3"/>
    <row r="38" spans="2:8" s="4" customFormat="1" ht="14.4" hidden="1" x14ac:dyDescent="0.3">
      <c r="B38" s="46"/>
      <c r="C38" s="56"/>
      <c r="D38" s="57"/>
    </row>
    <row r="39" spans="2:8" s="4" customFormat="1" ht="14.4" hidden="1" x14ac:dyDescent="0.3">
      <c r="B39" s="46"/>
      <c r="C39" s="46"/>
      <c r="D39" s="57"/>
    </row>
    <row r="40" spans="2:8" s="4" customFormat="1" ht="14.4" hidden="1" x14ac:dyDescent="0.3">
      <c r="B40" s="46"/>
      <c r="C40" s="56"/>
      <c r="D40" s="57"/>
    </row>
    <row r="41" spans="2:8" s="4" customFormat="1" ht="14.4" hidden="1" x14ac:dyDescent="0.3"/>
  </sheetData>
  <mergeCells count="6">
    <mergeCell ref="G10:G11"/>
    <mergeCell ref="B10:B11"/>
    <mergeCell ref="C10:C11"/>
    <mergeCell ref="E10:E11"/>
    <mergeCell ref="D10:D11"/>
    <mergeCell ref="F10:F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7F99-73F4-49D2-81DA-55BAB6D92F11}">
  <dimension ref="A1:D12"/>
  <sheetViews>
    <sheetView workbookViewId="0">
      <selection activeCell="B3" sqref="B3"/>
    </sheetView>
  </sheetViews>
  <sheetFormatPr defaultRowHeight="14.4" x14ac:dyDescent="0.3"/>
  <cols>
    <col min="1" max="1" width="25.5546875" bestFit="1" customWidth="1"/>
    <col min="2" max="2" width="46.5546875" bestFit="1" customWidth="1"/>
    <col min="3" max="3" width="18" bestFit="1" customWidth="1"/>
    <col min="4" max="4" width="23.21875" bestFit="1" customWidth="1"/>
  </cols>
  <sheetData>
    <row r="1" spans="1:4" x14ac:dyDescent="0.3">
      <c r="A1" s="23" t="s">
        <v>28</v>
      </c>
      <c r="B1" t="s">
        <v>15</v>
      </c>
      <c r="D1" s="9"/>
    </row>
    <row r="3" spans="1:4" x14ac:dyDescent="0.3">
      <c r="A3" s="23" t="s">
        <v>88</v>
      </c>
      <c r="B3" s="23" t="s">
        <v>90</v>
      </c>
      <c r="C3" t="s">
        <v>71</v>
      </c>
      <c r="D3" t="s">
        <v>72</v>
      </c>
    </row>
    <row r="4" spans="1:4" x14ac:dyDescent="0.3">
      <c r="A4" t="s">
        <v>93</v>
      </c>
      <c r="B4" t="s">
        <v>175</v>
      </c>
      <c r="C4" s="6">
        <v>44313.97</v>
      </c>
      <c r="D4" s="6">
        <v>0</v>
      </c>
    </row>
    <row r="5" spans="1:4" x14ac:dyDescent="0.3">
      <c r="A5" t="s">
        <v>92</v>
      </c>
      <c r="B5" t="s">
        <v>175</v>
      </c>
      <c r="C5" s="6">
        <v>2893663.8905747598</v>
      </c>
      <c r="D5" s="6">
        <v>0</v>
      </c>
    </row>
    <row r="6" spans="1:4" x14ac:dyDescent="0.3">
      <c r="A6" t="s">
        <v>40</v>
      </c>
      <c r="B6" t="s">
        <v>175</v>
      </c>
      <c r="C6" s="6">
        <v>36675990.390000001</v>
      </c>
      <c r="D6" s="6">
        <v>0</v>
      </c>
    </row>
    <row r="7" spans="1:4" x14ac:dyDescent="0.3">
      <c r="A7" t="s">
        <v>95</v>
      </c>
      <c r="B7" t="s">
        <v>148</v>
      </c>
      <c r="C7" s="6">
        <v>12314289343.2414</v>
      </c>
      <c r="D7" s="6">
        <v>87350.829258739497</v>
      </c>
    </row>
    <row r="8" spans="1:4" x14ac:dyDescent="0.3">
      <c r="A8" t="s">
        <v>94</v>
      </c>
      <c r="B8" t="s">
        <v>149</v>
      </c>
      <c r="C8" s="6">
        <v>10464690414.8256</v>
      </c>
      <c r="D8" s="6">
        <v>317322.74944347702</v>
      </c>
    </row>
    <row r="9" spans="1:4" x14ac:dyDescent="0.3">
      <c r="A9" t="s">
        <v>91</v>
      </c>
      <c r="B9" t="s">
        <v>150</v>
      </c>
      <c r="C9" s="6">
        <v>488523826.58202201</v>
      </c>
      <c r="D9" s="6">
        <v>17715.575174982099</v>
      </c>
    </row>
    <row r="10" spans="1:4" x14ac:dyDescent="0.3">
      <c r="A10" t="s">
        <v>70</v>
      </c>
      <c r="C10" s="6">
        <v>23307117552.899597</v>
      </c>
      <c r="D10" s="6">
        <v>422389.15387719858</v>
      </c>
    </row>
    <row r="12" spans="1:4" x14ac:dyDescent="0.3">
      <c r="C12" s="6">
        <f>SUM(C4:C6)</f>
        <v>39613968.25057476</v>
      </c>
      <c r="D12" s="6">
        <f>SUM(D4:D6)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3"/>
  <sheetViews>
    <sheetView showGridLines="0" zoomScale="80" zoomScaleNormal="80" workbookViewId="0">
      <selection activeCell="G6" sqref="G1:K1048576"/>
    </sheetView>
  </sheetViews>
  <sheetFormatPr defaultColWidth="0" defaultRowHeight="0" customHeight="1" zeroHeight="1" x14ac:dyDescent="0.3"/>
  <cols>
    <col min="1" max="1" width="3.5546875" customWidth="1"/>
    <col min="2" max="2" width="30.109375" bestFit="1" customWidth="1"/>
    <col min="3" max="3" width="47.33203125" bestFit="1" customWidth="1"/>
    <col min="4" max="5" width="23.109375" customWidth="1"/>
    <col min="6" max="6" width="3.77734375" customWidth="1"/>
    <col min="7" max="10" width="23.109375" hidden="1" customWidth="1"/>
    <col min="11" max="11" width="19.44140625" hidden="1" customWidth="1"/>
    <col min="12" max="47" width="0" hidden="1" customWidth="1"/>
    <col min="48" max="16384" width="9.109375" hidden="1"/>
  </cols>
  <sheetData>
    <row r="1" spans="1:11" ht="14.4" x14ac:dyDescent="0.3">
      <c r="A1" s="21"/>
      <c r="B1" s="21"/>
      <c r="C1" s="21"/>
      <c r="D1" s="21"/>
      <c r="E1" s="21"/>
      <c r="F1" s="21"/>
    </row>
    <row r="2" spans="1:11" ht="14.4" x14ac:dyDescent="0.3">
      <c r="A2" s="21"/>
      <c r="B2" s="21"/>
      <c r="C2" s="21"/>
      <c r="D2" s="21"/>
      <c r="E2" s="21"/>
      <c r="F2" s="21"/>
    </row>
    <row r="3" spans="1:11" ht="14.4" x14ac:dyDescent="0.3">
      <c r="A3" s="21"/>
      <c r="B3" s="21"/>
      <c r="C3" s="21"/>
      <c r="D3" s="21"/>
      <c r="E3" s="21"/>
      <c r="F3" s="21"/>
    </row>
    <row r="4" spans="1:11" ht="14.4" x14ac:dyDescent="0.3">
      <c r="A4" s="21"/>
      <c r="B4" s="21"/>
      <c r="C4" s="21"/>
      <c r="D4" s="21"/>
      <c r="E4" s="21"/>
      <c r="F4" s="21"/>
    </row>
    <row r="5" spans="1:11" ht="3" customHeight="1" x14ac:dyDescent="0.3">
      <c r="A5" s="3"/>
      <c r="B5" s="3"/>
      <c r="C5" s="3"/>
      <c r="D5" s="3"/>
      <c r="E5" s="3"/>
      <c r="F5" s="3"/>
    </row>
    <row r="6" spans="1:11" ht="14.4" x14ac:dyDescent="0.3">
      <c r="A6" s="83"/>
      <c r="B6" s="83"/>
      <c r="C6" s="83"/>
      <c r="D6" s="83"/>
      <c r="E6" s="83"/>
      <c r="F6" s="83"/>
    </row>
    <row r="7" spans="1:11" ht="14.4" x14ac:dyDescent="0.3">
      <c r="A7" s="83"/>
      <c r="B7" s="113" t="s">
        <v>184</v>
      </c>
      <c r="C7" s="83"/>
      <c r="D7" s="126"/>
      <c r="E7" s="126"/>
      <c r="F7" s="126"/>
      <c r="G7" s="19"/>
      <c r="H7" s="19"/>
      <c r="I7" s="19"/>
      <c r="J7" s="19"/>
    </row>
    <row r="8" spans="1:11" ht="4.95" customHeight="1" x14ac:dyDescent="0.3">
      <c r="A8" s="83"/>
      <c r="B8" s="149"/>
      <c r="C8" s="83"/>
      <c r="D8" s="126"/>
      <c r="E8" s="126"/>
      <c r="F8" s="126"/>
      <c r="G8" s="19"/>
      <c r="H8" s="19"/>
      <c r="I8" s="19"/>
      <c r="J8" s="19"/>
    </row>
    <row r="9" spans="1:11" ht="15" customHeight="1" x14ac:dyDescent="0.3">
      <c r="A9" s="83"/>
      <c r="B9" s="183" t="s">
        <v>96</v>
      </c>
      <c r="C9" s="185" t="s">
        <v>99</v>
      </c>
      <c r="D9" s="172" t="s">
        <v>100</v>
      </c>
      <c r="E9" s="172" t="s">
        <v>4</v>
      </c>
      <c r="F9" s="82"/>
      <c r="G9" s="7" t="s">
        <v>28</v>
      </c>
      <c r="H9" s="7" t="s">
        <v>151</v>
      </c>
      <c r="I9" s="7" t="s">
        <v>37</v>
      </c>
      <c r="J9" s="7" t="s">
        <v>63</v>
      </c>
    </row>
    <row r="10" spans="1:11" ht="15" customHeight="1" x14ac:dyDescent="0.3">
      <c r="A10" s="83"/>
      <c r="B10" s="184"/>
      <c r="C10" s="186"/>
      <c r="D10" s="173"/>
      <c r="E10" s="173"/>
      <c r="F10" s="82"/>
      <c r="G10" s="7"/>
      <c r="H10" s="7"/>
      <c r="I10" s="7"/>
      <c r="J10" s="7"/>
    </row>
    <row r="11" spans="1:11" ht="14.4" x14ac:dyDescent="0.3">
      <c r="A11" s="83"/>
      <c r="B11" s="150" t="s">
        <v>6</v>
      </c>
      <c r="C11" s="150"/>
      <c r="D11" s="151">
        <f>(+SUM(D12:D24))</f>
        <v>2386067144.2560582</v>
      </c>
      <c r="E11" s="152">
        <f>+SUM(E12:E24)</f>
        <v>834675.45852442703</v>
      </c>
      <c r="F11" s="153"/>
      <c r="G11" s="47"/>
      <c r="H11" s="49"/>
      <c r="I11" s="47"/>
      <c r="J11" s="50"/>
    </row>
    <row r="12" spans="1:11" ht="14.4" x14ac:dyDescent="0.3">
      <c r="A12" s="83"/>
      <c r="B12" s="154" t="s">
        <v>102</v>
      </c>
      <c r="C12" s="154" t="s">
        <v>15</v>
      </c>
      <c r="D12" s="155">
        <v>464990948.11473107</v>
      </c>
      <c r="E12" s="156">
        <v>16299.99791</v>
      </c>
      <c r="F12" s="157"/>
      <c r="G12" s="43"/>
      <c r="H12" s="45"/>
      <c r="I12" s="47"/>
      <c r="J12" s="44"/>
      <c r="K12" s="40"/>
    </row>
    <row r="13" spans="1:11" ht="14.4" x14ac:dyDescent="0.3">
      <c r="A13" s="83"/>
      <c r="B13" s="154" t="s">
        <v>108</v>
      </c>
      <c r="C13" s="154" t="s">
        <v>109</v>
      </c>
      <c r="D13" s="155">
        <v>1251066674.6644807</v>
      </c>
      <c r="E13" s="156">
        <v>641082.75190000003</v>
      </c>
      <c r="F13" s="157"/>
      <c r="G13" s="43"/>
      <c r="H13" s="45"/>
      <c r="I13" s="47"/>
      <c r="J13" s="44"/>
      <c r="K13" s="40"/>
    </row>
    <row r="14" spans="1:11" ht="14.4" x14ac:dyDescent="0.3">
      <c r="A14" s="83"/>
      <c r="B14" s="154" t="s">
        <v>113</v>
      </c>
      <c r="C14" s="154" t="s">
        <v>114</v>
      </c>
      <c r="D14" s="155">
        <v>111864493.14043665</v>
      </c>
      <c r="E14" s="156">
        <v>4895.9557089999998</v>
      </c>
      <c r="F14" s="157"/>
      <c r="G14" s="43"/>
      <c r="H14" s="45"/>
      <c r="I14" s="47"/>
      <c r="J14" s="44"/>
      <c r="K14" s="40"/>
    </row>
    <row r="15" spans="1:11" ht="14.4" x14ac:dyDescent="0.3">
      <c r="A15" s="83"/>
      <c r="B15" s="154" t="s">
        <v>110</v>
      </c>
      <c r="C15" s="154" t="s">
        <v>111</v>
      </c>
      <c r="D15" s="155">
        <v>302492531.31652802</v>
      </c>
      <c r="E15" s="156">
        <v>62565.588920000002</v>
      </c>
      <c r="F15" s="157"/>
      <c r="G15" s="43"/>
      <c r="H15" s="45"/>
      <c r="I15" s="47"/>
      <c r="J15" s="44"/>
      <c r="K15" s="40"/>
    </row>
    <row r="16" spans="1:11" ht="14.4" x14ac:dyDescent="0.3">
      <c r="A16" s="83"/>
      <c r="B16" s="154" t="s">
        <v>116</v>
      </c>
      <c r="C16" s="154" t="s">
        <v>117</v>
      </c>
      <c r="D16" s="155">
        <v>73925219.673434094</v>
      </c>
      <c r="E16" s="156">
        <v>18319.395929999999</v>
      </c>
      <c r="F16" s="157"/>
      <c r="G16" s="43"/>
      <c r="H16" s="45"/>
      <c r="I16" s="47"/>
      <c r="J16" s="44"/>
      <c r="K16" s="40"/>
    </row>
    <row r="17" spans="1:11" ht="14.4" x14ac:dyDescent="0.3">
      <c r="A17" s="83"/>
      <c r="B17" s="154" t="s">
        <v>127</v>
      </c>
      <c r="C17" s="154" t="s">
        <v>128</v>
      </c>
      <c r="D17" s="155">
        <v>11962007.295624334</v>
      </c>
      <c r="E17" s="156" t="s">
        <v>152</v>
      </c>
      <c r="F17" s="157"/>
      <c r="G17" s="43"/>
      <c r="H17" s="45"/>
      <c r="I17" s="47"/>
      <c r="J17" s="44"/>
      <c r="K17" s="40"/>
    </row>
    <row r="18" spans="1:11" ht="14.4" x14ac:dyDescent="0.3">
      <c r="A18" s="83"/>
      <c r="B18" s="154" t="s">
        <v>132</v>
      </c>
      <c r="C18" s="154" t="s">
        <v>133</v>
      </c>
      <c r="D18" s="155">
        <v>4482250.4710747199</v>
      </c>
      <c r="E18" s="156" t="s">
        <v>152</v>
      </c>
      <c r="F18" s="157"/>
      <c r="G18" s="43"/>
      <c r="H18" s="45"/>
      <c r="I18" s="47"/>
      <c r="J18" s="44"/>
      <c r="K18" s="40"/>
    </row>
    <row r="19" spans="1:11" ht="14.4" x14ac:dyDescent="0.3">
      <c r="A19" s="83"/>
      <c r="B19" s="154" t="s">
        <v>105</v>
      </c>
      <c r="C19" s="154" t="s">
        <v>106</v>
      </c>
      <c r="D19" s="155">
        <v>37210919.769085631</v>
      </c>
      <c r="E19" s="156">
        <v>90491.744733899992</v>
      </c>
      <c r="F19" s="157"/>
      <c r="G19" s="43"/>
      <c r="H19" s="45"/>
      <c r="I19" s="47"/>
      <c r="J19" s="44"/>
      <c r="K19" s="40"/>
    </row>
    <row r="20" spans="1:11" ht="14.4" x14ac:dyDescent="0.3">
      <c r="A20" s="83"/>
      <c r="B20" s="154" t="s">
        <v>122</v>
      </c>
      <c r="C20" s="154" t="s">
        <v>123</v>
      </c>
      <c r="D20" s="155">
        <v>35998423.102054596</v>
      </c>
      <c r="E20" s="156">
        <v>465.8249477</v>
      </c>
      <c r="F20" s="157"/>
      <c r="G20" s="43"/>
      <c r="H20" s="45"/>
      <c r="I20" s="47"/>
      <c r="J20" s="44"/>
      <c r="K20" s="40"/>
    </row>
    <row r="21" spans="1:11" ht="14.4" x14ac:dyDescent="0.3">
      <c r="A21" s="83"/>
      <c r="B21" s="154" t="s">
        <v>136</v>
      </c>
      <c r="C21" s="154" t="s">
        <v>137</v>
      </c>
      <c r="D21" s="155">
        <v>2153029.7114285701</v>
      </c>
      <c r="E21" s="156">
        <v>130.6651454</v>
      </c>
      <c r="F21" s="157"/>
      <c r="G21" s="43"/>
      <c r="H21" s="45"/>
      <c r="I21" s="47"/>
      <c r="J21" s="44"/>
      <c r="K21" s="40"/>
    </row>
    <row r="22" spans="1:11" ht="14.4" x14ac:dyDescent="0.3">
      <c r="A22" s="83"/>
      <c r="B22" s="154">
        <v>11</v>
      </c>
      <c r="C22" s="154" t="s">
        <v>120</v>
      </c>
      <c r="D22" s="155">
        <v>36524098.489999898</v>
      </c>
      <c r="E22" s="156">
        <v>421.47724190000002</v>
      </c>
      <c r="F22" s="157"/>
      <c r="G22" s="43"/>
      <c r="H22" s="45"/>
      <c r="I22" s="47"/>
      <c r="J22" s="44"/>
      <c r="K22" s="40"/>
    </row>
    <row r="23" spans="1:11" ht="14.4" customHeight="1" x14ac:dyDescent="0.3">
      <c r="A23" s="83"/>
      <c r="B23" s="154" t="s">
        <v>141</v>
      </c>
      <c r="C23" s="154" t="s">
        <v>142</v>
      </c>
      <c r="D23" s="155">
        <v>609008.20718012005</v>
      </c>
      <c r="E23" s="156">
        <v>2.0560865270000002</v>
      </c>
      <c r="F23" s="157"/>
      <c r="G23" s="43"/>
      <c r="H23" s="45"/>
      <c r="I23" s="47"/>
      <c r="J23" s="43"/>
      <c r="K23" s="40"/>
    </row>
    <row r="24" spans="1:11" ht="14.4" customHeight="1" x14ac:dyDescent="0.3">
      <c r="A24" s="83"/>
      <c r="B24" s="154" t="s">
        <v>143</v>
      </c>
      <c r="C24" s="154"/>
      <c r="D24" s="155">
        <v>52787540.299999997</v>
      </c>
      <c r="E24" s="156" t="s">
        <v>152</v>
      </c>
      <c r="F24" s="158"/>
      <c r="G24" s="48"/>
      <c r="H24" s="52"/>
      <c r="I24" s="47"/>
      <c r="J24" s="48"/>
      <c r="K24" s="40"/>
    </row>
    <row r="25" spans="1:11" ht="4.95" customHeight="1" x14ac:dyDescent="0.3">
      <c r="A25" s="83"/>
      <c r="B25" s="83"/>
      <c r="C25" s="83"/>
      <c r="D25" s="83"/>
      <c r="E25" s="83"/>
      <c r="F25" s="159"/>
      <c r="G25" s="43"/>
      <c r="H25" s="45"/>
      <c r="I25" s="47"/>
      <c r="J25" s="43"/>
      <c r="K25" s="40"/>
    </row>
    <row r="26" spans="1:11" ht="14.4" x14ac:dyDescent="0.3">
      <c r="A26" s="83"/>
      <c r="B26" s="160"/>
      <c r="C26" s="160"/>
      <c r="D26" s="157"/>
      <c r="E26" s="157"/>
      <c r="F26" s="157"/>
      <c r="G26" s="43"/>
      <c r="H26" s="45"/>
      <c r="I26" s="47"/>
      <c r="J26" s="43"/>
    </row>
    <row r="27" spans="1:11" ht="14.4" x14ac:dyDescent="0.3">
      <c r="A27" s="83"/>
      <c r="B27" s="113" t="s">
        <v>185</v>
      </c>
      <c r="C27" s="83"/>
      <c r="D27" s="126"/>
      <c r="E27" s="126"/>
      <c r="F27" s="126"/>
      <c r="G27" s="53"/>
      <c r="H27" s="52"/>
      <c r="I27" s="47"/>
      <c r="J27" s="53"/>
    </row>
    <row r="28" spans="1:11" ht="4.95" customHeight="1" x14ac:dyDescent="0.3">
      <c r="A28" s="83"/>
      <c r="B28" s="149"/>
      <c r="C28" s="83"/>
      <c r="D28" s="126"/>
      <c r="E28" s="126"/>
      <c r="F28" s="126"/>
      <c r="G28" s="53"/>
      <c r="H28" s="52"/>
      <c r="I28" s="47"/>
      <c r="J28" s="53"/>
    </row>
    <row r="29" spans="1:11" ht="15" customHeight="1" x14ac:dyDescent="0.3">
      <c r="A29" s="83"/>
      <c r="B29" s="183" t="s">
        <v>96</v>
      </c>
      <c r="C29" s="185" t="s">
        <v>99</v>
      </c>
      <c r="D29" s="172" t="s">
        <v>100</v>
      </c>
      <c r="E29" s="172" t="s">
        <v>4</v>
      </c>
      <c r="F29" s="161"/>
      <c r="G29" s="54"/>
      <c r="H29" s="55"/>
      <c r="I29" s="47"/>
      <c r="J29" s="54"/>
    </row>
    <row r="30" spans="1:11" ht="15" customHeight="1" x14ac:dyDescent="0.3">
      <c r="A30" s="83"/>
      <c r="B30" s="184"/>
      <c r="C30" s="186"/>
      <c r="D30" s="173"/>
      <c r="E30" s="173"/>
      <c r="F30" s="161"/>
      <c r="G30" s="54"/>
      <c r="H30" s="55"/>
      <c r="I30" s="47"/>
      <c r="J30" s="54"/>
    </row>
    <row r="31" spans="1:11" ht="14.4" customHeight="1" x14ac:dyDescent="0.3">
      <c r="A31" s="83"/>
      <c r="B31" s="150" t="s">
        <v>144</v>
      </c>
      <c r="C31" s="150"/>
      <c r="D31" s="151">
        <f>(+SUM(D32:D42))</f>
        <v>23307117552.899647</v>
      </c>
      <c r="E31" s="152">
        <f>+SUM(E32:E44)</f>
        <v>422389.15389013512</v>
      </c>
      <c r="F31" s="153"/>
      <c r="G31" s="47"/>
      <c r="H31" s="49"/>
      <c r="I31" s="47"/>
      <c r="J31" s="50"/>
    </row>
    <row r="32" spans="1:11" ht="14.4" customHeight="1" x14ac:dyDescent="0.3">
      <c r="A32" s="83"/>
      <c r="B32" s="154" t="s">
        <v>102</v>
      </c>
      <c r="C32" s="154" t="s">
        <v>15</v>
      </c>
      <c r="D32" s="155">
        <v>23225311624.988285</v>
      </c>
      <c r="E32" s="156">
        <v>396765.99810000003</v>
      </c>
      <c r="F32" s="157"/>
      <c r="G32" s="43"/>
      <c r="H32" s="45"/>
      <c r="I32" s="47"/>
      <c r="J32" s="44"/>
    </row>
    <row r="33" spans="1:11" ht="14.4" x14ac:dyDescent="0.3">
      <c r="A33" s="83"/>
      <c r="B33" s="154" t="s">
        <v>108</v>
      </c>
      <c r="C33" s="154" t="s">
        <v>109</v>
      </c>
      <c r="D33" s="155">
        <v>30635871.972419348</v>
      </c>
      <c r="E33" s="156">
        <v>19066.79624</v>
      </c>
      <c r="F33" s="157"/>
      <c r="G33" s="43"/>
      <c r="H33" s="45"/>
      <c r="I33" s="47"/>
      <c r="J33" s="44"/>
    </row>
    <row r="34" spans="1:11" ht="14.4" x14ac:dyDescent="0.3">
      <c r="A34" s="83"/>
      <c r="B34" s="154" t="s">
        <v>113</v>
      </c>
      <c r="C34" s="154" t="s">
        <v>114</v>
      </c>
      <c r="D34" s="155">
        <v>4097961.0242947899</v>
      </c>
      <c r="E34" s="156">
        <v>986.00506819999998</v>
      </c>
      <c r="F34" s="157"/>
      <c r="G34" s="43"/>
      <c r="H34" s="45"/>
      <c r="I34" s="47"/>
      <c r="J34" s="44"/>
    </row>
    <row r="35" spans="1:11" ht="14.4" x14ac:dyDescent="0.3">
      <c r="A35" s="83"/>
      <c r="B35" s="154" t="s">
        <v>110</v>
      </c>
      <c r="C35" s="154" t="s">
        <v>111</v>
      </c>
      <c r="D35" s="155">
        <v>6162600.2846490601</v>
      </c>
      <c r="E35" s="156">
        <v>1284.1378460000001</v>
      </c>
      <c r="F35" s="157"/>
      <c r="G35" s="43"/>
      <c r="H35" s="45"/>
      <c r="I35" s="47"/>
      <c r="J35" s="44"/>
    </row>
    <row r="36" spans="1:11" ht="14.4" x14ac:dyDescent="0.3">
      <c r="A36" s="83"/>
      <c r="B36" s="154" t="s">
        <v>116</v>
      </c>
      <c r="C36" s="154" t="s">
        <v>117</v>
      </c>
      <c r="D36" s="155">
        <v>168410.06315332401</v>
      </c>
      <c r="E36" s="156">
        <v>43.465183340000003</v>
      </c>
      <c r="F36" s="157"/>
      <c r="G36" s="43"/>
      <c r="H36" s="45"/>
      <c r="I36" s="47"/>
      <c r="J36" s="44"/>
    </row>
    <row r="37" spans="1:11" ht="14.4" x14ac:dyDescent="0.3">
      <c r="A37" s="83"/>
      <c r="B37" s="154" t="s">
        <v>127</v>
      </c>
      <c r="C37" s="154" t="s">
        <v>128</v>
      </c>
      <c r="D37" s="155">
        <v>1053445.7723664411</v>
      </c>
      <c r="E37" s="156" t="s">
        <v>152</v>
      </c>
      <c r="F37" s="157"/>
      <c r="G37" s="43"/>
      <c r="H37" s="45"/>
      <c r="I37" s="47"/>
      <c r="J37" s="44"/>
    </row>
    <row r="38" spans="1:11" ht="14.4" x14ac:dyDescent="0.3">
      <c r="A38" s="83"/>
      <c r="B38" s="154" t="s">
        <v>132</v>
      </c>
      <c r="C38" s="154" t="s">
        <v>133</v>
      </c>
      <c r="D38" s="155">
        <v>1840218.1182083169</v>
      </c>
      <c r="E38" s="156" t="s">
        <v>152</v>
      </c>
      <c r="F38" s="157"/>
      <c r="G38" s="43"/>
      <c r="H38" s="45"/>
      <c r="I38" s="47"/>
      <c r="J38" s="44"/>
    </row>
    <row r="39" spans="1:11" ht="14.4" x14ac:dyDescent="0.3">
      <c r="A39" s="83"/>
      <c r="B39" s="154" t="s">
        <v>105</v>
      </c>
      <c r="C39" s="154" t="s">
        <v>106</v>
      </c>
      <c r="D39" s="155">
        <v>1074012.7162694666</v>
      </c>
      <c r="E39" s="156">
        <v>4229.9626598000004</v>
      </c>
      <c r="F39" s="157"/>
      <c r="G39" s="43"/>
      <c r="H39" s="45"/>
      <c r="I39" s="47"/>
      <c r="J39" s="44"/>
      <c r="K39" s="19"/>
    </row>
    <row r="40" spans="1:11" ht="14.4" x14ac:dyDescent="0.3">
      <c r="A40" s="83"/>
      <c r="B40" s="154" t="s">
        <v>136</v>
      </c>
      <c r="C40" s="154" t="s">
        <v>137</v>
      </c>
      <c r="D40" s="155">
        <v>93777.47</v>
      </c>
      <c r="E40" s="156">
        <v>9.9314130130000002</v>
      </c>
      <c r="F40" s="157"/>
      <c r="G40" s="43"/>
      <c r="H40" s="45"/>
      <c r="I40" s="47"/>
      <c r="J40" s="44"/>
    </row>
    <row r="41" spans="1:11" ht="14.4" x14ac:dyDescent="0.3">
      <c r="A41" s="83"/>
      <c r="B41" s="154">
        <v>11</v>
      </c>
      <c r="C41" s="154" t="s">
        <v>120</v>
      </c>
      <c r="D41" s="155">
        <v>3640.1</v>
      </c>
      <c r="E41" s="156">
        <v>2.8573797820000002</v>
      </c>
      <c r="F41" s="157"/>
      <c r="G41" s="43"/>
      <c r="H41" s="43"/>
      <c r="I41" s="47"/>
      <c r="J41" s="44"/>
    </row>
    <row r="42" spans="1:11" ht="14.4" x14ac:dyDescent="0.3">
      <c r="A42" s="83"/>
      <c r="B42" s="154" t="s">
        <v>143</v>
      </c>
      <c r="C42" s="154"/>
      <c r="D42" s="155">
        <v>36675990.390000001</v>
      </c>
      <c r="E42" s="156" t="s">
        <v>152</v>
      </c>
      <c r="F42" s="157"/>
      <c r="G42" s="51"/>
      <c r="H42" s="41"/>
      <c r="I42" s="47"/>
      <c r="J42" s="41"/>
    </row>
    <row r="43" spans="1:11" ht="14.4" x14ac:dyDescent="0.3">
      <c r="A43" s="83"/>
      <c r="B43" s="83"/>
      <c r="C43" s="83"/>
      <c r="D43" s="126"/>
      <c r="E43" s="126"/>
      <c r="F43" s="126"/>
      <c r="G43" s="51"/>
      <c r="H43" s="19"/>
      <c r="I43" s="47"/>
      <c r="J43" s="19"/>
      <c r="K43" s="6"/>
    </row>
  </sheetData>
  <mergeCells count="8">
    <mergeCell ref="B9:B10"/>
    <mergeCell ref="C9:C10"/>
    <mergeCell ref="D9:D10"/>
    <mergeCell ref="E9:E10"/>
    <mergeCell ref="B29:B30"/>
    <mergeCell ref="C29:C30"/>
    <mergeCell ref="D29:D30"/>
    <mergeCell ref="E29:E30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21D5-4B25-485C-B4EB-30B180047BEB}">
  <sheetPr filterMode="1"/>
  <dimension ref="A1:J89"/>
  <sheetViews>
    <sheetView showGridLines="0" zoomScale="80" zoomScaleNormal="80" workbookViewId="0">
      <selection activeCell="B7" sqref="B7"/>
    </sheetView>
  </sheetViews>
  <sheetFormatPr defaultColWidth="9.109375" defaultRowHeight="0" customHeight="1" zeroHeight="1" x14ac:dyDescent="0.3"/>
  <cols>
    <col min="1" max="1" width="3.6640625" style="4" customWidth="1"/>
    <col min="2" max="2" width="55.88671875" customWidth="1"/>
    <col min="3" max="5" width="19.44140625" customWidth="1"/>
    <col min="6" max="6" width="50.109375" bestFit="1" customWidth="1"/>
    <col min="7" max="7" width="30.77734375" bestFit="1" customWidth="1"/>
    <col min="8" max="8" width="38.6640625" bestFit="1" customWidth="1"/>
    <col min="9" max="9" width="35.88671875" bestFit="1" customWidth="1"/>
    <col min="10" max="10" width="3.77734375" customWidth="1"/>
  </cols>
  <sheetData>
    <row r="1" spans="1:10" ht="14.4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4.4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4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4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2.6" customHeight="1" x14ac:dyDescent="0.3"/>
    <row r="7" spans="1:10" ht="14.4" customHeight="1" x14ac:dyDescent="0.3">
      <c r="B7" s="29" t="s">
        <v>28</v>
      </c>
      <c r="C7" s="29" t="s">
        <v>96</v>
      </c>
      <c r="D7" s="29" t="s">
        <v>97</v>
      </c>
      <c r="E7" s="29" t="s">
        <v>98</v>
      </c>
      <c r="F7" s="29" t="s">
        <v>99</v>
      </c>
      <c r="G7" s="29" t="s">
        <v>147</v>
      </c>
      <c r="H7" s="29" t="s">
        <v>100</v>
      </c>
      <c r="I7" s="29" t="s">
        <v>101</v>
      </c>
    </row>
    <row r="8" spans="1:10" ht="14.4" hidden="1" customHeight="1" x14ac:dyDescent="0.3">
      <c r="B8" s="30" t="s">
        <v>15</v>
      </c>
      <c r="C8" s="30" t="s">
        <v>102</v>
      </c>
      <c r="D8" s="30" t="s">
        <v>15</v>
      </c>
      <c r="E8" s="30">
        <v>5101</v>
      </c>
      <c r="F8" s="30" t="s">
        <v>103</v>
      </c>
      <c r="G8" s="30" t="str">
        <f>+IF(C8="08",E8,C8)</f>
        <v>01</v>
      </c>
      <c r="H8" s="31">
        <v>-22483765008.3773</v>
      </c>
      <c r="I8" s="32">
        <v>253191</v>
      </c>
    </row>
    <row r="9" spans="1:10" ht="14.4" hidden="1" customHeight="1" x14ac:dyDescent="0.3">
      <c r="B9" s="30" t="s">
        <v>15</v>
      </c>
      <c r="C9" s="30" t="s">
        <v>102</v>
      </c>
      <c r="D9" s="30" t="s">
        <v>15</v>
      </c>
      <c r="E9" s="30">
        <v>5102</v>
      </c>
      <c r="F9" s="30" t="s">
        <v>104</v>
      </c>
      <c r="G9" s="30" t="str">
        <f>+IF(C9="08",E9,C9)</f>
        <v>01</v>
      </c>
      <c r="H9" s="31">
        <v>-709085121.96771395</v>
      </c>
      <c r="I9" s="32">
        <v>7175</v>
      </c>
    </row>
    <row r="10" spans="1:10" ht="14.4" customHeight="1" x14ac:dyDescent="0.3">
      <c r="B10" s="30" t="s">
        <v>6</v>
      </c>
      <c r="C10" s="30" t="s">
        <v>105</v>
      </c>
      <c r="D10" s="30" t="s">
        <v>106</v>
      </c>
      <c r="E10" s="30">
        <v>5201</v>
      </c>
      <c r="F10" s="30" t="s">
        <v>107</v>
      </c>
      <c r="G10" s="42" t="s">
        <v>108</v>
      </c>
      <c r="H10" s="31">
        <v>-649015587.91307998</v>
      </c>
      <c r="I10" s="32">
        <v>592</v>
      </c>
    </row>
    <row r="11" spans="1:10" ht="14.4" hidden="1" customHeight="1" x14ac:dyDescent="0.3">
      <c r="B11" s="30" t="s">
        <v>6</v>
      </c>
      <c r="C11" s="30" t="s">
        <v>108</v>
      </c>
      <c r="D11" s="30" t="s">
        <v>109</v>
      </c>
      <c r="E11" s="30">
        <v>5201</v>
      </c>
      <c r="F11" s="30" t="s">
        <v>107</v>
      </c>
      <c r="G11" s="30" t="str">
        <f t="shared" ref="G11:G63" si="0">+IF(C11="08",E11,C11)</f>
        <v>02</v>
      </c>
      <c r="H11" s="31">
        <v>-576428862.22294295</v>
      </c>
      <c r="I11" s="32">
        <v>1960</v>
      </c>
    </row>
    <row r="12" spans="1:10" ht="14.4" hidden="1" customHeight="1" x14ac:dyDescent="0.3">
      <c r="B12" s="30" t="s">
        <v>6</v>
      </c>
      <c r="C12" s="30" t="s">
        <v>102</v>
      </c>
      <c r="D12" s="30" t="s">
        <v>15</v>
      </c>
      <c r="E12" s="30">
        <v>5101</v>
      </c>
      <c r="F12" s="30" t="s">
        <v>103</v>
      </c>
      <c r="G12" s="30" t="str">
        <f t="shared" si="0"/>
        <v>01</v>
      </c>
      <c r="H12" s="31">
        <v>-355860056.58960098</v>
      </c>
      <c r="I12" s="32">
        <v>1640</v>
      </c>
    </row>
    <row r="13" spans="1:10" ht="14.4" hidden="1" customHeight="1" x14ac:dyDescent="0.3">
      <c r="B13" s="30" t="s">
        <v>6</v>
      </c>
      <c r="C13" s="30" t="s">
        <v>110</v>
      </c>
      <c r="D13" s="30" t="s">
        <v>111</v>
      </c>
      <c r="E13" s="30">
        <v>5205</v>
      </c>
      <c r="F13" s="30" t="s">
        <v>112</v>
      </c>
      <c r="G13" s="30" t="str">
        <f t="shared" si="0"/>
        <v>04</v>
      </c>
      <c r="H13" s="31">
        <v>-298671010.88652802</v>
      </c>
      <c r="I13" s="32">
        <v>1364</v>
      </c>
    </row>
    <row r="14" spans="1:10" ht="14.4" hidden="1" customHeight="1" x14ac:dyDescent="0.3">
      <c r="B14" s="30" t="s">
        <v>6</v>
      </c>
      <c r="C14" s="30" t="s">
        <v>113</v>
      </c>
      <c r="D14" s="30" t="s">
        <v>114</v>
      </c>
      <c r="E14" s="30">
        <v>5203</v>
      </c>
      <c r="F14" s="30" t="s">
        <v>115</v>
      </c>
      <c r="G14" s="30" t="str">
        <f t="shared" si="0"/>
        <v>03</v>
      </c>
      <c r="H14" s="31">
        <v>-105843613.05870201</v>
      </c>
      <c r="I14" s="32">
        <v>428</v>
      </c>
    </row>
    <row r="15" spans="1:10" ht="14.4" customHeight="1" x14ac:dyDescent="0.3">
      <c r="B15" s="30" t="s">
        <v>6</v>
      </c>
      <c r="C15" s="30" t="s">
        <v>105</v>
      </c>
      <c r="D15" s="30" t="s">
        <v>106</v>
      </c>
      <c r="E15" s="30">
        <v>5101</v>
      </c>
      <c r="F15" s="30" t="s">
        <v>103</v>
      </c>
      <c r="G15" s="42" t="s">
        <v>102</v>
      </c>
      <c r="H15" s="31">
        <v>-102760923.08102401</v>
      </c>
      <c r="I15" s="32">
        <v>153</v>
      </c>
    </row>
    <row r="16" spans="1:10" ht="14.4" hidden="1" customHeight="1" x14ac:dyDescent="0.3">
      <c r="B16" s="30" t="s">
        <v>6</v>
      </c>
      <c r="C16" s="30" t="s">
        <v>116</v>
      </c>
      <c r="D16" s="30" t="s">
        <v>117</v>
      </c>
      <c r="E16" s="30">
        <v>5207</v>
      </c>
      <c r="F16" s="30" t="s">
        <v>118</v>
      </c>
      <c r="G16" s="30" t="str">
        <f t="shared" si="0"/>
        <v>05</v>
      </c>
      <c r="H16" s="31">
        <v>-72340117.283434093</v>
      </c>
      <c r="I16" s="32">
        <v>137</v>
      </c>
    </row>
    <row r="17" spans="2:10" ht="14.4" hidden="1" customHeight="1" x14ac:dyDescent="0.3">
      <c r="B17" s="30" t="s">
        <v>6</v>
      </c>
      <c r="C17" s="30" t="s">
        <v>40</v>
      </c>
      <c r="D17" s="30"/>
      <c r="E17" s="30" t="s">
        <v>40</v>
      </c>
      <c r="F17" s="30"/>
      <c r="G17" s="30" t="str">
        <f t="shared" si="0"/>
        <v>NULL</v>
      </c>
      <c r="H17" s="31">
        <v>-52787540.299999997</v>
      </c>
      <c r="I17" s="32">
        <v>0</v>
      </c>
    </row>
    <row r="18" spans="2:10" ht="14.4" hidden="1" customHeight="1" x14ac:dyDescent="0.3">
      <c r="B18" s="30" t="s">
        <v>15</v>
      </c>
      <c r="C18" s="30" t="s">
        <v>40</v>
      </c>
      <c r="D18" s="30"/>
      <c r="E18" s="30" t="s">
        <v>40</v>
      </c>
      <c r="F18" s="30"/>
      <c r="G18" s="30" t="str">
        <f t="shared" si="0"/>
        <v>NULL</v>
      </c>
      <c r="H18" s="31">
        <v>-36675990.390000001</v>
      </c>
      <c r="I18" s="32">
        <v>0</v>
      </c>
    </row>
    <row r="19" spans="2:10" ht="14.4" hidden="1" customHeight="1" x14ac:dyDescent="0.3">
      <c r="B19" s="30" t="s">
        <v>6</v>
      </c>
      <c r="C19" s="30" t="s">
        <v>119</v>
      </c>
      <c r="D19" s="30" t="s">
        <v>120</v>
      </c>
      <c r="E19" s="30">
        <v>5215</v>
      </c>
      <c r="F19" s="30" t="s">
        <v>121</v>
      </c>
      <c r="G19" s="30" t="str">
        <f t="shared" si="0"/>
        <v>11</v>
      </c>
      <c r="H19" s="31">
        <v>-36524052.3699999</v>
      </c>
      <c r="I19" s="32">
        <v>11</v>
      </c>
    </row>
    <row r="20" spans="2:10" ht="14.4" customHeight="1" x14ac:dyDescent="0.3">
      <c r="B20" s="30" t="s">
        <v>15</v>
      </c>
      <c r="C20" s="30" t="s">
        <v>105</v>
      </c>
      <c r="D20" s="30" t="s">
        <v>106</v>
      </c>
      <c r="E20" s="30">
        <v>5101</v>
      </c>
      <c r="F20" s="30" t="s">
        <v>103</v>
      </c>
      <c r="G20" s="42" t="s">
        <v>102</v>
      </c>
      <c r="H20" s="31">
        <v>-31961416.094600499</v>
      </c>
      <c r="I20" s="32">
        <v>1445</v>
      </c>
    </row>
    <row r="21" spans="2:10" ht="14.4" hidden="1" customHeight="1" x14ac:dyDescent="0.3">
      <c r="B21" s="30" t="s">
        <v>6</v>
      </c>
      <c r="C21" s="30" t="s">
        <v>122</v>
      </c>
      <c r="D21" s="30" t="s">
        <v>123</v>
      </c>
      <c r="E21" s="30">
        <v>5211</v>
      </c>
      <c r="F21" s="30" t="s">
        <v>124</v>
      </c>
      <c r="G21" s="30" t="str">
        <f t="shared" si="0"/>
        <v>09</v>
      </c>
      <c r="H21" s="31">
        <v>-27611413.8320546</v>
      </c>
      <c r="I21" s="32">
        <v>18</v>
      </c>
    </row>
    <row r="22" spans="2:10" ht="14.4" hidden="1" customHeight="1" x14ac:dyDescent="0.3">
      <c r="B22" s="30" t="s">
        <v>15</v>
      </c>
      <c r="C22" s="30" t="s">
        <v>108</v>
      </c>
      <c r="D22" s="30" t="s">
        <v>109</v>
      </c>
      <c r="E22" s="30">
        <v>5201</v>
      </c>
      <c r="F22" s="30" t="s">
        <v>107</v>
      </c>
      <c r="G22" s="30" t="str">
        <f t="shared" si="0"/>
        <v>02</v>
      </c>
      <c r="H22" s="31">
        <v>-25907409.804633599</v>
      </c>
      <c r="I22" s="32">
        <v>666</v>
      </c>
    </row>
    <row r="23" spans="2:10" ht="14.4" customHeight="1" x14ac:dyDescent="0.3">
      <c r="B23" s="30" t="s">
        <v>6</v>
      </c>
      <c r="C23" s="30" t="s">
        <v>105</v>
      </c>
      <c r="D23" s="30" t="s">
        <v>106</v>
      </c>
      <c r="E23" s="30">
        <v>5202</v>
      </c>
      <c r="F23" s="30" t="s">
        <v>125</v>
      </c>
      <c r="G23" s="42" t="s">
        <v>108</v>
      </c>
      <c r="H23" s="31">
        <v>-21878544.7184579</v>
      </c>
      <c r="I23" s="32">
        <v>8</v>
      </c>
    </row>
    <row r="24" spans="2:10" ht="14.4" hidden="1" customHeight="1" x14ac:dyDescent="0.3">
      <c r="B24" s="30" t="s">
        <v>6</v>
      </c>
      <c r="C24" s="30"/>
      <c r="D24" s="30"/>
      <c r="E24" s="30">
        <v>5201</v>
      </c>
      <c r="F24" s="30" t="s">
        <v>107</v>
      </c>
      <c r="G24" s="30">
        <f t="shared" si="0"/>
        <v>0</v>
      </c>
      <c r="H24" s="31">
        <v>-18368292.5926334</v>
      </c>
      <c r="I24" s="32">
        <v>93</v>
      </c>
    </row>
    <row r="25" spans="2:10" ht="14.4" customHeight="1" x14ac:dyDescent="0.3">
      <c r="B25" s="30" t="s">
        <v>6</v>
      </c>
      <c r="C25" s="30" t="s">
        <v>105</v>
      </c>
      <c r="D25" s="30" t="s">
        <v>106</v>
      </c>
      <c r="E25" s="30">
        <v>5300</v>
      </c>
      <c r="F25" s="30" t="s">
        <v>126</v>
      </c>
      <c r="G25" s="42" t="s">
        <v>105</v>
      </c>
      <c r="H25" s="31">
        <v>-15367333.7534448</v>
      </c>
      <c r="I25" s="32">
        <v>156</v>
      </c>
    </row>
    <row r="26" spans="2:10" ht="14.4" hidden="1" customHeight="1" x14ac:dyDescent="0.3">
      <c r="B26" s="30" t="s">
        <v>6</v>
      </c>
      <c r="C26" s="30" t="s">
        <v>127</v>
      </c>
      <c r="D26" s="30" t="s">
        <v>128</v>
      </c>
      <c r="E26" s="30">
        <v>5209</v>
      </c>
      <c r="F26" s="30" t="s">
        <v>129</v>
      </c>
      <c r="G26" s="30" t="str">
        <f t="shared" si="0"/>
        <v>06</v>
      </c>
      <c r="H26" s="31">
        <v>-11011710.6119837</v>
      </c>
      <c r="I26" s="32">
        <v>144</v>
      </c>
    </row>
    <row r="27" spans="2:10" ht="14.4" hidden="1" x14ac:dyDescent="0.3">
      <c r="B27" s="30" t="s">
        <v>6</v>
      </c>
      <c r="C27" s="30" t="s">
        <v>122</v>
      </c>
      <c r="D27" s="30" t="s">
        <v>123</v>
      </c>
      <c r="E27" s="30">
        <v>5212</v>
      </c>
      <c r="F27" s="30" t="s">
        <v>130</v>
      </c>
      <c r="G27" s="30" t="str">
        <f t="shared" si="0"/>
        <v>09</v>
      </c>
      <c r="H27" s="31">
        <v>-8387009.2699999996</v>
      </c>
      <c r="I27" s="32">
        <v>2</v>
      </c>
    </row>
    <row r="28" spans="2:10" ht="14.4" hidden="1" customHeight="1" x14ac:dyDescent="0.3">
      <c r="B28" s="30" t="s">
        <v>15</v>
      </c>
      <c r="C28" s="30" t="s">
        <v>110</v>
      </c>
      <c r="D28" s="30" t="s">
        <v>111</v>
      </c>
      <c r="E28" s="30">
        <v>5205</v>
      </c>
      <c r="F28" s="30" t="s">
        <v>112</v>
      </c>
      <c r="G28" s="30" t="str">
        <f t="shared" si="0"/>
        <v>04</v>
      </c>
      <c r="H28" s="31">
        <v>-6162600.2846490601</v>
      </c>
      <c r="I28" s="32">
        <v>138</v>
      </c>
    </row>
    <row r="29" spans="2:10" ht="14.4" hidden="1" customHeight="1" x14ac:dyDescent="0.3">
      <c r="B29" s="30" t="s">
        <v>6</v>
      </c>
      <c r="C29" s="30" t="s">
        <v>102</v>
      </c>
      <c r="D29" s="30" t="s">
        <v>15</v>
      </c>
      <c r="E29" s="30">
        <v>5102</v>
      </c>
      <c r="F29" s="30" t="s">
        <v>104</v>
      </c>
      <c r="G29" s="30" t="str">
        <f t="shared" si="0"/>
        <v>01</v>
      </c>
      <c r="H29" s="31">
        <v>-6046537.9941060897</v>
      </c>
      <c r="I29" s="32">
        <v>16</v>
      </c>
    </row>
    <row r="30" spans="2:10" ht="14.4" hidden="1" customHeight="1" x14ac:dyDescent="0.3">
      <c r="B30" s="30" t="s">
        <v>6</v>
      </c>
      <c r="C30" s="30" t="s">
        <v>113</v>
      </c>
      <c r="D30" s="30" t="s">
        <v>114</v>
      </c>
      <c r="E30" s="30">
        <v>5204</v>
      </c>
      <c r="F30" s="30" t="s">
        <v>131</v>
      </c>
      <c r="G30" s="30" t="str">
        <f t="shared" si="0"/>
        <v>03</v>
      </c>
      <c r="H30" s="31">
        <v>-6020880.0817346396</v>
      </c>
      <c r="I30" s="32">
        <v>2</v>
      </c>
    </row>
    <row r="31" spans="2:10" ht="14.4" customHeight="1" x14ac:dyDescent="0.3">
      <c r="B31" s="30" t="s">
        <v>15</v>
      </c>
      <c r="C31" s="30" t="s">
        <v>105</v>
      </c>
      <c r="D31" s="30" t="s">
        <v>106</v>
      </c>
      <c r="E31" s="30">
        <v>5201</v>
      </c>
      <c r="F31" s="30" t="s">
        <v>107</v>
      </c>
      <c r="G31" s="42" t="s">
        <v>108</v>
      </c>
      <c r="H31" s="31">
        <v>-4663532.5177857503</v>
      </c>
      <c r="I31" s="32">
        <v>132</v>
      </c>
    </row>
    <row r="32" spans="2:10" ht="14.4" hidden="1" customHeight="1" x14ac:dyDescent="0.3">
      <c r="B32" s="30" t="s">
        <v>6</v>
      </c>
      <c r="C32" s="30" t="s">
        <v>132</v>
      </c>
      <c r="D32" s="30" t="s">
        <v>133</v>
      </c>
      <c r="E32" s="30">
        <v>5209</v>
      </c>
      <c r="F32" s="30" t="s">
        <v>129</v>
      </c>
      <c r="G32" s="30" t="str">
        <f t="shared" si="0"/>
        <v>07</v>
      </c>
      <c r="H32" s="31">
        <v>-4482250.4710747199</v>
      </c>
      <c r="I32" s="32">
        <v>96</v>
      </c>
      <c r="J32" s="187"/>
    </row>
    <row r="33" spans="2:10" ht="14.4" hidden="1" customHeight="1" x14ac:dyDescent="0.3">
      <c r="B33" s="30" t="s">
        <v>15</v>
      </c>
      <c r="C33" s="30" t="s">
        <v>113</v>
      </c>
      <c r="D33" s="30" t="s">
        <v>114</v>
      </c>
      <c r="E33" s="30">
        <v>5203</v>
      </c>
      <c r="F33" s="30" t="s">
        <v>115</v>
      </c>
      <c r="G33" s="30" t="str">
        <f t="shared" si="0"/>
        <v>03</v>
      </c>
      <c r="H33" s="31">
        <v>-4097961.0242947899</v>
      </c>
      <c r="I33" s="32">
        <v>103</v>
      </c>
      <c r="J33" s="187"/>
    </row>
    <row r="34" spans="2:10" ht="14.4" hidden="1" customHeight="1" x14ac:dyDescent="0.3">
      <c r="B34" s="30" t="s">
        <v>6</v>
      </c>
      <c r="C34" s="30" t="s">
        <v>110</v>
      </c>
      <c r="D34" s="30" t="s">
        <v>111</v>
      </c>
      <c r="E34" s="30">
        <v>5206</v>
      </c>
      <c r="F34" s="30" t="s">
        <v>134</v>
      </c>
      <c r="G34" s="30" t="str">
        <f t="shared" si="0"/>
        <v>04</v>
      </c>
      <c r="H34" s="31">
        <v>-3821520.43</v>
      </c>
      <c r="I34" s="32">
        <v>9</v>
      </c>
      <c r="J34" s="8"/>
    </row>
    <row r="35" spans="2:10" ht="14.4" hidden="1" customHeight="1" x14ac:dyDescent="0.3">
      <c r="B35" s="30" t="s">
        <v>6</v>
      </c>
      <c r="C35" s="30" t="s">
        <v>108</v>
      </c>
      <c r="D35" s="30" t="s">
        <v>109</v>
      </c>
      <c r="E35" s="30">
        <v>5202</v>
      </c>
      <c r="F35" s="30" t="s">
        <v>125</v>
      </c>
      <c r="G35" s="30" t="str">
        <f t="shared" si="0"/>
        <v>02</v>
      </c>
      <c r="H35" s="31">
        <v>-3743679.81</v>
      </c>
      <c r="I35" s="32">
        <v>3</v>
      </c>
      <c r="J35" s="8"/>
    </row>
    <row r="36" spans="2:10" ht="14.4" customHeight="1" x14ac:dyDescent="0.3">
      <c r="B36" s="30" t="s">
        <v>6</v>
      </c>
      <c r="C36" s="30" t="s">
        <v>105</v>
      </c>
      <c r="D36" s="30" t="s">
        <v>106</v>
      </c>
      <c r="E36" s="30">
        <v>5000</v>
      </c>
      <c r="F36" s="30" t="s">
        <v>135</v>
      </c>
      <c r="G36" s="42" t="s">
        <v>105</v>
      </c>
      <c r="H36" s="31">
        <v>-3399958.4130074298</v>
      </c>
      <c r="I36" s="32">
        <v>5</v>
      </c>
    </row>
    <row r="37" spans="2:10" ht="14.4" hidden="1" customHeight="1" x14ac:dyDescent="0.3">
      <c r="B37" s="30" t="s">
        <v>6</v>
      </c>
      <c r="C37" s="30" t="s">
        <v>136</v>
      </c>
      <c r="D37" s="30" t="s">
        <v>137</v>
      </c>
      <c r="E37" s="30">
        <v>5213</v>
      </c>
      <c r="F37" s="30" t="s">
        <v>138</v>
      </c>
      <c r="G37" s="30" t="str">
        <f t="shared" si="0"/>
        <v>10</v>
      </c>
      <c r="H37" s="31">
        <v>-2152835.1914285701</v>
      </c>
      <c r="I37" s="32">
        <v>5</v>
      </c>
    </row>
    <row r="38" spans="2:10" ht="14.4" hidden="1" customHeight="1" x14ac:dyDescent="0.3">
      <c r="B38" s="30" t="s">
        <v>6</v>
      </c>
      <c r="C38" s="30" t="s">
        <v>116</v>
      </c>
      <c r="D38" s="30" t="s">
        <v>117</v>
      </c>
      <c r="E38" s="30">
        <v>5208</v>
      </c>
      <c r="F38" s="30" t="s">
        <v>139</v>
      </c>
      <c r="G38" s="30" t="str">
        <f t="shared" si="0"/>
        <v>05</v>
      </c>
      <c r="H38" s="31">
        <v>-1585102.39</v>
      </c>
      <c r="I38" s="32">
        <v>2</v>
      </c>
    </row>
    <row r="39" spans="2:10" ht="14.4" hidden="1" customHeight="1" x14ac:dyDescent="0.3">
      <c r="B39" s="30" t="s">
        <v>15</v>
      </c>
      <c r="C39" s="30" t="s">
        <v>132</v>
      </c>
      <c r="D39" s="30" t="s">
        <v>133</v>
      </c>
      <c r="E39" s="30">
        <v>5103</v>
      </c>
      <c r="F39" s="30" t="s">
        <v>140</v>
      </c>
      <c r="G39" s="30" t="str">
        <f t="shared" si="0"/>
        <v>07</v>
      </c>
      <c r="H39" s="31">
        <v>-1507872.6469012799</v>
      </c>
      <c r="I39" s="32">
        <v>299</v>
      </c>
    </row>
    <row r="40" spans="2:10" ht="14.4" customHeight="1" x14ac:dyDescent="0.3">
      <c r="B40" s="30" t="s">
        <v>15</v>
      </c>
      <c r="C40" s="30" t="s">
        <v>105</v>
      </c>
      <c r="D40" s="30" t="s">
        <v>106</v>
      </c>
      <c r="E40" s="30">
        <v>5300</v>
      </c>
      <c r="F40" s="30" t="s">
        <v>126</v>
      </c>
      <c r="G40" s="42" t="s">
        <v>105</v>
      </c>
      <c r="H40" s="31">
        <v>-1038375.25150912</v>
      </c>
      <c r="I40" s="32">
        <v>31</v>
      </c>
    </row>
    <row r="41" spans="2:10" ht="14.4" hidden="1" customHeight="1" x14ac:dyDescent="0.3">
      <c r="B41" s="30" t="s">
        <v>15</v>
      </c>
      <c r="C41" s="30" t="s">
        <v>127</v>
      </c>
      <c r="D41" s="30" t="s">
        <v>128</v>
      </c>
      <c r="E41" s="30">
        <v>5103</v>
      </c>
      <c r="F41" s="30" t="s">
        <v>140</v>
      </c>
      <c r="G41" s="30" t="str">
        <f t="shared" si="0"/>
        <v>06</v>
      </c>
      <c r="H41" s="31">
        <v>-1030086.6063682101</v>
      </c>
      <c r="I41" s="32">
        <v>197</v>
      </c>
    </row>
    <row r="42" spans="2:10" ht="14.4" hidden="1" customHeight="1" x14ac:dyDescent="0.3">
      <c r="B42" s="30" t="s">
        <v>6</v>
      </c>
      <c r="C42" s="30" t="s">
        <v>127</v>
      </c>
      <c r="D42" s="30" t="s">
        <v>128</v>
      </c>
      <c r="E42" s="30">
        <v>5103</v>
      </c>
      <c r="F42" s="30" t="s">
        <v>140</v>
      </c>
      <c r="G42" s="30" t="str">
        <f t="shared" si="0"/>
        <v>06</v>
      </c>
      <c r="H42" s="31">
        <v>-949729.37</v>
      </c>
      <c r="I42" s="32">
        <v>3</v>
      </c>
    </row>
    <row r="43" spans="2:10" ht="14.4" hidden="1" customHeight="1" x14ac:dyDescent="0.3">
      <c r="B43" s="30" t="s">
        <v>6</v>
      </c>
      <c r="C43" s="30" t="s">
        <v>141</v>
      </c>
      <c r="D43" s="30" t="s">
        <v>142</v>
      </c>
      <c r="E43" s="30">
        <v>89</v>
      </c>
      <c r="F43" s="30"/>
      <c r="G43" s="30" t="str">
        <f t="shared" si="0"/>
        <v>13</v>
      </c>
      <c r="H43" s="31">
        <v>-408890.18718012102</v>
      </c>
      <c r="I43" s="32">
        <v>1</v>
      </c>
    </row>
    <row r="44" spans="2:10" ht="14.4" customHeight="1" x14ac:dyDescent="0.3">
      <c r="B44" s="30" t="s">
        <v>15</v>
      </c>
      <c r="C44" s="30" t="s">
        <v>105</v>
      </c>
      <c r="D44" s="30" t="s">
        <v>106</v>
      </c>
      <c r="E44" s="30">
        <v>5102</v>
      </c>
      <c r="F44" s="30" t="s">
        <v>104</v>
      </c>
      <c r="G44" s="42" t="s">
        <v>102</v>
      </c>
      <c r="H44" s="31">
        <v>-361042.22</v>
      </c>
      <c r="I44" s="32">
        <v>25</v>
      </c>
    </row>
    <row r="45" spans="2:10" ht="14.4" hidden="1" customHeight="1" x14ac:dyDescent="0.3">
      <c r="B45" s="30" t="s">
        <v>15</v>
      </c>
      <c r="C45" s="30" t="s">
        <v>132</v>
      </c>
      <c r="D45" s="30" t="s">
        <v>133</v>
      </c>
      <c r="E45" s="30">
        <v>5209</v>
      </c>
      <c r="F45" s="30" t="s">
        <v>129</v>
      </c>
      <c r="G45" s="30" t="str">
        <f t="shared" si="0"/>
        <v>07</v>
      </c>
      <c r="H45" s="31">
        <v>-327201.31120385398</v>
      </c>
      <c r="I45" s="32">
        <v>32</v>
      </c>
    </row>
    <row r="46" spans="2:10" ht="14.4" customHeight="1" x14ac:dyDescent="0.3">
      <c r="B46" s="30" t="s">
        <v>6</v>
      </c>
      <c r="C46" s="30" t="s">
        <v>105</v>
      </c>
      <c r="D46" s="30" t="s">
        <v>106</v>
      </c>
      <c r="E46" s="30">
        <v>5102</v>
      </c>
      <c r="F46" s="30" t="s">
        <v>104</v>
      </c>
      <c r="G46" s="42" t="s">
        <v>102</v>
      </c>
      <c r="H46" s="31">
        <v>-323430.45</v>
      </c>
      <c r="I46" s="32">
        <v>2</v>
      </c>
    </row>
    <row r="47" spans="2:10" ht="14.4" hidden="1" customHeight="1" x14ac:dyDescent="0.3">
      <c r="B47" s="30" t="s">
        <v>6</v>
      </c>
      <c r="C47" s="30" t="s">
        <v>141</v>
      </c>
      <c r="D47" s="30" t="s">
        <v>142</v>
      </c>
      <c r="E47" s="30">
        <v>82</v>
      </c>
      <c r="F47" s="30"/>
      <c r="G47" s="30" t="str">
        <f t="shared" si="0"/>
        <v>13</v>
      </c>
      <c r="H47" s="31">
        <v>-200118.019999999</v>
      </c>
      <c r="I47" s="32">
        <v>4</v>
      </c>
    </row>
    <row r="48" spans="2:10" ht="14.4" hidden="1" customHeight="1" x14ac:dyDescent="0.3">
      <c r="B48" s="30" t="s">
        <v>15</v>
      </c>
      <c r="C48" s="30" t="s">
        <v>116</v>
      </c>
      <c r="D48" s="30" t="s">
        <v>117</v>
      </c>
      <c r="E48" s="30">
        <v>5207</v>
      </c>
      <c r="F48" s="30" t="s">
        <v>118</v>
      </c>
      <c r="G48" s="30" t="str">
        <f t="shared" si="0"/>
        <v>05</v>
      </c>
      <c r="H48" s="31">
        <v>-168410.06315332401</v>
      </c>
      <c r="I48" s="32">
        <v>4</v>
      </c>
    </row>
    <row r="49" spans="2:9" ht="14.4" hidden="1" customHeight="1" x14ac:dyDescent="0.3">
      <c r="B49" s="30" t="s">
        <v>15</v>
      </c>
      <c r="C49" s="30" t="s">
        <v>102</v>
      </c>
      <c r="D49" s="30" t="s">
        <v>15</v>
      </c>
      <c r="E49" s="30">
        <v>5000</v>
      </c>
      <c r="F49" s="30" t="s">
        <v>135</v>
      </c>
      <c r="G49" s="30" t="str">
        <f t="shared" si="0"/>
        <v>01</v>
      </c>
      <c r="H49" s="31">
        <v>-139036.328669551</v>
      </c>
      <c r="I49" s="32">
        <v>2</v>
      </c>
    </row>
    <row r="50" spans="2:9" ht="14.4" hidden="1" customHeight="1" x14ac:dyDescent="0.3">
      <c r="B50" s="30" t="s">
        <v>15</v>
      </c>
      <c r="C50" s="30" t="s">
        <v>136</v>
      </c>
      <c r="D50" s="30" t="s">
        <v>137</v>
      </c>
      <c r="E50" s="30">
        <v>5213</v>
      </c>
      <c r="F50" s="30" t="s">
        <v>138</v>
      </c>
      <c r="G50" s="30" t="str">
        <f t="shared" si="0"/>
        <v>10</v>
      </c>
      <c r="H50" s="31">
        <v>-93777.47</v>
      </c>
      <c r="I50" s="32">
        <v>1</v>
      </c>
    </row>
    <row r="51" spans="2:9" ht="14.4" hidden="1" customHeight="1" x14ac:dyDescent="0.3">
      <c r="B51" s="30" t="s">
        <v>6</v>
      </c>
      <c r="C51" s="30"/>
      <c r="D51" s="30"/>
      <c r="E51" s="30">
        <v>5101</v>
      </c>
      <c r="F51" s="30" t="s">
        <v>103</v>
      </c>
      <c r="G51" s="30">
        <f t="shared" si="0"/>
        <v>0</v>
      </c>
      <c r="H51" s="31">
        <v>-75319.89</v>
      </c>
      <c r="I51" s="32">
        <v>15</v>
      </c>
    </row>
    <row r="52" spans="2:9" ht="14.4" hidden="1" customHeight="1" x14ac:dyDescent="0.3">
      <c r="B52" s="30" t="s">
        <v>15</v>
      </c>
      <c r="C52" s="30" t="s">
        <v>108</v>
      </c>
      <c r="D52" s="30" t="s">
        <v>109</v>
      </c>
      <c r="E52" s="30">
        <v>5202</v>
      </c>
      <c r="F52" s="30" t="s">
        <v>125</v>
      </c>
      <c r="G52" s="30" t="str">
        <f t="shared" si="0"/>
        <v>02</v>
      </c>
      <c r="H52" s="31">
        <v>-64929.65</v>
      </c>
      <c r="I52" s="32">
        <v>1</v>
      </c>
    </row>
    <row r="53" spans="2:9" ht="14.4" hidden="1" customHeight="1" x14ac:dyDescent="0.3">
      <c r="B53" s="30" t="s">
        <v>15</v>
      </c>
      <c r="C53" s="30"/>
      <c r="D53" s="30"/>
      <c r="E53" s="30">
        <v>5101</v>
      </c>
      <c r="F53" s="30" t="s">
        <v>103</v>
      </c>
      <c r="G53" s="30">
        <f t="shared" si="0"/>
        <v>0</v>
      </c>
      <c r="H53" s="31">
        <v>-33082.684760346601</v>
      </c>
      <c r="I53" s="32">
        <v>11</v>
      </c>
    </row>
    <row r="54" spans="2:9" ht="14.4" hidden="1" customHeight="1" x14ac:dyDescent="0.3">
      <c r="B54" s="30" t="s">
        <v>15</v>
      </c>
      <c r="C54" s="30" t="s">
        <v>127</v>
      </c>
      <c r="D54" s="30" t="s">
        <v>128</v>
      </c>
      <c r="E54" s="30">
        <v>5209</v>
      </c>
      <c r="F54" s="30" t="s">
        <v>129</v>
      </c>
      <c r="G54" s="30" t="str">
        <f t="shared" si="0"/>
        <v>06</v>
      </c>
      <c r="H54" s="31">
        <v>-23359.165998231099</v>
      </c>
      <c r="I54" s="32">
        <v>5</v>
      </c>
    </row>
    <row r="55" spans="2:9" ht="14.4" hidden="1" customHeight="1" x14ac:dyDescent="0.3">
      <c r="B55" s="30" t="s">
        <v>15</v>
      </c>
      <c r="C55" s="30" t="s">
        <v>132</v>
      </c>
      <c r="D55" s="30" t="s">
        <v>133</v>
      </c>
      <c r="E55" s="30">
        <v>5000</v>
      </c>
      <c r="F55" s="30" t="s">
        <v>135</v>
      </c>
      <c r="G55" s="30" t="str">
        <f t="shared" si="0"/>
        <v>07</v>
      </c>
      <c r="H55" s="31">
        <v>-5144.1601031829596</v>
      </c>
      <c r="I55" s="32">
        <v>1</v>
      </c>
    </row>
    <row r="56" spans="2:9" ht="14.4" hidden="1" customHeight="1" x14ac:dyDescent="0.3">
      <c r="B56" s="30" t="s">
        <v>15</v>
      </c>
      <c r="C56" s="30" t="s">
        <v>119</v>
      </c>
      <c r="D56" s="30" t="s">
        <v>120</v>
      </c>
      <c r="E56" s="30">
        <v>5215</v>
      </c>
      <c r="F56" s="30" t="s">
        <v>121</v>
      </c>
      <c r="G56" s="30" t="str">
        <f t="shared" si="0"/>
        <v>11</v>
      </c>
      <c r="H56" s="31">
        <v>-3640.1</v>
      </c>
      <c r="I56" s="32">
        <v>1</v>
      </c>
    </row>
    <row r="57" spans="2:9" ht="14.4" hidden="1" customHeight="1" x14ac:dyDescent="0.3">
      <c r="B57" s="30" t="s">
        <v>15</v>
      </c>
      <c r="C57" s="30"/>
      <c r="D57" s="30"/>
      <c r="E57" s="30">
        <v>5201</v>
      </c>
      <c r="F57" s="30" t="s">
        <v>107</v>
      </c>
      <c r="G57" s="30">
        <f t="shared" si="0"/>
        <v>0</v>
      </c>
      <c r="H57" s="31">
        <v>-2554.7800000000002</v>
      </c>
      <c r="I57" s="32">
        <v>29</v>
      </c>
    </row>
    <row r="58" spans="2:9" ht="14.4" hidden="1" customHeight="1" x14ac:dyDescent="0.3">
      <c r="B58" s="30" t="s">
        <v>6</v>
      </c>
      <c r="C58" s="30" t="s">
        <v>127</v>
      </c>
      <c r="D58" s="30" t="s">
        <v>128</v>
      </c>
      <c r="E58" s="30">
        <v>5000</v>
      </c>
      <c r="F58" s="30" t="s">
        <v>135</v>
      </c>
      <c r="G58" s="30" t="str">
        <f t="shared" si="0"/>
        <v>06</v>
      </c>
      <c r="H58" s="31">
        <v>-567.31364063622505</v>
      </c>
      <c r="I58" s="32">
        <v>1</v>
      </c>
    </row>
    <row r="59" spans="2:9" ht="14.4" customHeight="1" x14ac:dyDescent="0.3">
      <c r="B59" s="30" t="s">
        <v>6</v>
      </c>
      <c r="C59" s="30" t="s">
        <v>105</v>
      </c>
      <c r="D59" s="30" t="s">
        <v>106</v>
      </c>
      <c r="E59" s="30">
        <v>5213</v>
      </c>
      <c r="F59" s="30" t="s">
        <v>138</v>
      </c>
      <c r="G59" s="30">
        <v>10</v>
      </c>
      <c r="H59" s="31">
        <v>-194.52</v>
      </c>
      <c r="I59" s="32">
        <v>1</v>
      </c>
    </row>
    <row r="60" spans="2:9" ht="14.4" customHeight="1" x14ac:dyDescent="0.3">
      <c r="B60" s="30" t="s">
        <v>6</v>
      </c>
      <c r="C60" s="30" t="s">
        <v>105</v>
      </c>
      <c r="D60" s="30" t="s">
        <v>106</v>
      </c>
      <c r="E60" s="30">
        <v>5215</v>
      </c>
      <c r="F60" s="30" t="s">
        <v>121</v>
      </c>
      <c r="G60" s="30">
        <v>11</v>
      </c>
      <c r="H60" s="31">
        <v>-46.12</v>
      </c>
      <c r="I60" s="32">
        <v>1</v>
      </c>
    </row>
    <row r="61" spans="2:9" ht="14.4" hidden="1" customHeight="1" x14ac:dyDescent="0.3">
      <c r="B61" s="30" t="s">
        <v>6</v>
      </c>
      <c r="C61" s="30"/>
      <c r="D61" s="30"/>
      <c r="E61" s="30">
        <v>5300</v>
      </c>
      <c r="F61" s="30" t="s">
        <v>126</v>
      </c>
      <c r="G61" s="30">
        <f t="shared" si="0"/>
        <v>0</v>
      </c>
      <c r="H61" s="31">
        <v>-15.1199999999999</v>
      </c>
      <c r="I61" s="32">
        <v>19</v>
      </c>
    </row>
    <row r="62" spans="2:9" ht="14.4" hidden="1" customHeight="1" x14ac:dyDescent="0.3">
      <c r="B62" s="30" t="s">
        <v>15</v>
      </c>
      <c r="C62" s="30"/>
      <c r="D62" s="30"/>
      <c r="E62" s="30">
        <v>5300</v>
      </c>
      <c r="F62" s="30" t="s">
        <v>126</v>
      </c>
      <c r="G62" s="30">
        <f t="shared" si="0"/>
        <v>0</v>
      </c>
      <c r="H62" s="31">
        <v>0</v>
      </c>
      <c r="I62" s="32">
        <v>1</v>
      </c>
    </row>
    <row r="63" spans="2:9" ht="14.4" hidden="1" customHeight="1" x14ac:dyDescent="0.3">
      <c r="B63" s="30" t="s">
        <v>6</v>
      </c>
      <c r="C63" s="30"/>
      <c r="D63" s="30"/>
      <c r="E63" s="30">
        <v>5000</v>
      </c>
      <c r="F63" s="30" t="s">
        <v>135</v>
      </c>
      <c r="G63" s="30">
        <f t="shared" si="0"/>
        <v>0</v>
      </c>
      <c r="H63" s="31">
        <v>0</v>
      </c>
      <c r="I63" s="32">
        <v>3</v>
      </c>
    </row>
    <row r="64" spans="2:9" ht="14.4" customHeight="1" x14ac:dyDescent="0.3">
      <c r="B64" s="33"/>
      <c r="C64" s="33"/>
      <c r="D64" s="33"/>
      <c r="E64" s="33"/>
      <c r="F64" s="33"/>
      <c r="G64" s="33"/>
      <c r="H64" s="34"/>
      <c r="I64" s="35"/>
    </row>
    <row r="65" spans="2:9" ht="0" hidden="1" customHeight="1" x14ac:dyDescent="0.3">
      <c r="B65" s="36" t="s">
        <v>15</v>
      </c>
      <c r="C65" s="36" t="s">
        <v>132</v>
      </c>
      <c r="D65" s="37" t="s">
        <v>133</v>
      </c>
      <c r="E65" s="37">
        <v>5103</v>
      </c>
      <c r="F65" s="37" t="s">
        <v>140</v>
      </c>
      <c r="G65" s="37"/>
      <c r="H65" s="38">
        <v>-1507872.6469012799</v>
      </c>
      <c r="I65" s="39">
        <v>299</v>
      </c>
    </row>
    <row r="66" spans="2:9" ht="0" hidden="1" customHeight="1" x14ac:dyDescent="0.3">
      <c r="B66" s="25" t="s">
        <v>15</v>
      </c>
      <c r="C66" s="25" t="s">
        <v>105</v>
      </c>
      <c r="D66" s="26" t="s">
        <v>106</v>
      </c>
      <c r="E66" s="26">
        <v>5300</v>
      </c>
      <c r="F66" s="26" t="s">
        <v>126</v>
      </c>
      <c r="G66" s="26"/>
      <c r="H66" s="27">
        <v>-1038375.25150912</v>
      </c>
      <c r="I66" s="28">
        <v>31</v>
      </c>
    </row>
    <row r="67" spans="2:9" ht="0" hidden="1" customHeight="1" x14ac:dyDescent="0.3">
      <c r="B67" s="25" t="s">
        <v>15</v>
      </c>
      <c r="C67" s="25" t="s">
        <v>127</v>
      </c>
      <c r="D67" s="26" t="s">
        <v>128</v>
      </c>
      <c r="E67" s="26">
        <v>5103</v>
      </c>
      <c r="F67" s="26" t="s">
        <v>140</v>
      </c>
      <c r="G67" s="26"/>
      <c r="H67" s="27">
        <v>-1030086.6063682101</v>
      </c>
      <c r="I67" s="28">
        <v>197</v>
      </c>
    </row>
    <row r="68" spans="2:9" ht="0" hidden="1" customHeight="1" x14ac:dyDescent="0.3">
      <c r="B68" s="25" t="s">
        <v>6</v>
      </c>
      <c r="C68" s="25" t="s">
        <v>127</v>
      </c>
      <c r="D68" s="26" t="s">
        <v>128</v>
      </c>
      <c r="E68" s="26">
        <v>5103</v>
      </c>
      <c r="F68" s="26" t="s">
        <v>140</v>
      </c>
      <c r="G68" s="26"/>
      <c r="H68" s="27">
        <v>-949729.37</v>
      </c>
      <c r="I68" s="28">
        <v>3</v>
      </c>
    </row>
    <row r="69" spans="2:9" ht="0" hidden="1" customHeight="1" x14ac:dyDescent="0.3">
      <c r="B69" s="25" t="s">
        <v>6</v>
      </c>
      <c r="C69" s="25" t="s">
        <v>141</v>
      </c>
      <c r="D69" s="26" t="s">
        <v>142</v>
      </c>
      <c r="E69" s="26">
        <v>89</v>
      </c>
      <c r="F69" s="26"/>
      <c r="G69" s="26"/>
      <c r="H69" s="27">
        <v>-408890.18718012102</v>
      </c>
      <c r="I69" s="28">
        <v>1</v>
      </c>
    </row>
    <row r="70" spans="2:9" ht="0" hidden="1" customHeight="1" x14ac:dyDescent="0.3">
      <c r="B70" s="25" t="s">
        <v>15</v>
      </c>
      <c r="C70" s="25" t="s">
        <v>105</v>
      </c>
      <c r="D70" s="26" t="s">
        <v>106</v>
      </c>
      <c r="E70" s="26">
        <v>5102</v>
      </c>
      <c r="F70" s="26" t="s">
        <v>104</v>
      </c>
      <c r="G70" s="26"/>
      <c r="H70" s="27">
        <v>-361042.22</v>
      </c>
      <c r="I70" s="28">
        <v>25</v>
      </c>
    </row>
    <row r="71" spans="2:9" ht="0" hidden="1" customHeight="1" x14ac:dyDescent="0.3">
      <c r="B71" s="25" t="s">
        <v>15</v>
      </c>
      <c r="C71" s="25" t="s">
        <v>132</v>
      </c>
      <c r="D71" s="26" t="s">
        <v>133</v>
      </c>
      <c r="E71" s="26">
        <v>5209</v>
      </c>
      <c r="F71" s="26" t="s">
        <v>129</v>
      </c>
      <c r="G71" s="26"/>
      <c r="H71" s="27">
        <v>-327201.31120385398</v>
      </c>
      <c r="I71" s="28">
        <v>32</v>
      </c>
    </row>
    <row r="72" spans="2:9" ht="0" hidden="1" customHeight="1" x14ac:dyDescent="0.3">
      <c r="B72" s="25" t="s">
        <v>6</v>
      </c>
      <c r="C72" s="25" t="s">
        <v>105</v>
      </c>
      <c r="D72" s="26" t="s">
        <v>106</v>
      </c>
      <c r="E72" s="26">
        <v>5102</v>
      </c>
      <c r="F72" s="26" t="s">
        <v>104</v>
      </c>
      <c r="G72" s="26"/>
      <c r="H72" s="27">
        <v>-323430.45</v>
      </c>
      <c r="I72" s="28">
        <v>2</v>
      </c>
    </row>
    <row r="73" spans="2:9" ht="0" hidden="1" customHeight="1" x14ac:dyDescent="0.3">
      <c r="B73" s="25" t="s">
        <v>6</v>
      </c>
      <c r="C73" s="25" t="s">
        <v>141</v>
      </c>
      <c r="D73" s="26" t="s">
        <v>142</v>
      </c>
      <c r="E73" s="26">
        <v>82</v>
      </c>
      <c r="F73" s="26"/>
      <c r="G73" s="26"/>
      <c r="H73" s="27">
        <v>-200118.019999999</v>
      </c>
      <c r="I73" s="28">
        <v>4</v>
      </c>
    </row>
    <row r="74" spans="2:9" ht="0" hidden="1" customHeight="1" x14ac:dyDescent="0.3">
      <c r="B74" s="25" t="s">
        <v>15</v>
      </c>
      <c r="C74" s="25" t="s">
        <v>116</v>
      </c>
      <c r="D74" s="26" t="s">
        <v>117</v>
      </c>
      <c r="E74" s="26">
        <v>5207</v>
      </c>
      <c r="F74" s="26" t="s">
        <v>118</v>
      </c>
      <c r="G74" s="26"/>
      <c r="H74" s="27">
        <v>-168410.06315332401</v>
      </c>
      <c r="I74" s="28">
        <v>4</v>
      </c>
    </row>
    <row r="75" spans="2:9" ht="0" hidden="1" customHeight="1" x14ac:dyDescent="0.3">
      <c r="B75" s="25" t="s">
        <v>15</v>
      </c>
      <c r="C75" s="25" t="s">
        <v>102</v>
      </c>
      <c r="D75" s="26" t="s">
        <v>15</v>
      </c>
      <c r="E75" s="26">
        <v>5000</v>
      </c>
      <c r="F75" s="26" t="s">
        <v>135</v>
      </c>
      <c r="G75" s="26"/>
      <c r="H75" s="27">
        <v>-139036.328669551</v>
      </c>
      <c r="I75" s="28">
        <v>2</v>
      </c>
    </row>
    <row r="76" spans="2:9" ht="0" hidden="1" customHeight="1" x14ac:dyDescent="0.3">
      <c r="B76" s="25" t="s">
        <v>15</v>
      </c>
      <c r="C76" s="25" t="s">
        <v>136</v>
      </c>
      <c r="D76" s="26" t="s">
        <v>137</v>
      </c>
      <c r="E76" s="26">
        <v>5213</v>
      </c>
      <c r="F76" s="26" t="s">
        <v>138</v>
      </c>
      <c r="G76" s="26"/>
      <c r="H76" s="27">
        <v>-93777.47</v>
      </c>
      <c r="I76" s="28">
        <v>1</v>
      </c>
    </row>
    <row r="77" spans="2:9" ht="0" hidden="1" customHeight="1" x14ac:dyDescent="0.3">
      <c r="B77" s="25" t="s">
        <v>6</v>
      </c>
      <c r="C77" s="25"/>
      <c r="D77" s="26"/>
      <c r="E77" s="26">
        <v>5101</v>
      </c>
      <c r="F77" s="26" t="s">
        <v>103</v>
      </c>
      <c r="G77" s="26"/>
      <c r="H77" s="27">
        <v>-75319.89</v>
      </c>
      <c r="I77" s="28">
        <v>15</v>
      </c>
    </row>
    <row r="78" spans="2:9" ht="0" hidden="1" customHeight="1" x14ac:dyDescent="0.3">
      <c r="B78" s="25" t="s">
        <v>15</v>
      </c>
      <c r="C78" s="25" t="s">
        <v>108</v>
      </c>
      <c r="D78" s="26" t="s">
        <v>109</v>
      </c>
      <c r="E78" s="26">
        <v>5202</v>
      </c>
      <c r="F78" s="26" t="s">
        <v>125</v>
      </c>
      <c r="G78" s="26"/>
      <c r="H78" s="27">
        <v>-64929.65</v>
      </c>
      <c r="I78" s="28">
        <v>1</v>
      </c>
    </row>
    <row r="79" spans="2:9" ht="0" hidden="1" customHeight="1" x14ac:dyDescent="0.3">
      <c r="B79" s="25" t="s">
        <v>15</v>
      </c>
      <c r="C79" s="25"/>
      <c r="D79" s="26"/>
      <c r="E79" s="26">
        <v>5101</v>
      </c>
      <c r="F79" s="26" t="s">
        <v>103</v>
      </c>
      <c r="G79" s="26"/>
      <c r="H79" s="27">
        <v>-33082.684760346601</v>
      </c>
      <c r="I79" s="28">
        <v>11</v>
      </c>
    </row>
    <row r="80" spans="2:9" ht="0" hidden="1" customHeight="1" x14ac:dyDescent="0.3">
      <c r="B80" s="25" t="s">
        <v>15</v>
      </c>
      <c r="C80" s="25" t="s">
        <v>127</v>
      </c>
      <c r="D80" s="26" t="s">
        <v>128</v>
      </c>
      <c r="E80" s="26">
        <v>5209</v>
      </c>
      <c r="F80" s="26" t="s">
        <v>129</v>
      </c>
      <c r="G80" s="26"/>
      <c r="H80" s="27">
        <v>-23359.165998231099</v>
      </c>
      <c r="I80" s="28">
        <v>5</v>
      </c>
    </row>
    <row r="81" spans="2:9" ht="0" hidden="1" customHeight="1" x14ac:dyDescent="0.3">
      <c r="B81" s="25" t="s">
        <v>15</v>
      </c>
      <c r="C81" s="25" t="s">
        <v>132</v>
      </c>
      <c r="D81" s="26" t="s">
        <v>133</v>
      </c>
      <c r="E81" s="26">
        <v>5000</v>
      </c>
      <c r="F81" s="26" t="s">
        <v>135</v>
      </c>
      <c r="G81" s="26"/>
      <c r="H81" s="27">
        <v>-5144.1601031829596</v>
      </c>
      <c r="I81" s="28">
        <v>1</v>
      </c>
    </row>
    <row r="82" spans="2:9" ht="0" hidden="1" customHeight="1" x14ac:dyDescent="0.3">
      <c r="B82" s="25" t="s">
        <v>15</v>
      </c>
      <c r="C82" s="25" t="s">
        <v>119</v>
      </c>
      <c r="D82" s="26" t="s">
        <v>120</v>
      </c>
      <c r="E82" s="26">
        <v>5215</v>
      </c>
      <c r="F82" s="26" t="s">
        <v>121</v>
      </c>
      <c r="G82" s="26"/>
      <c r="H82" s="27">
        <v>-3640.1</v>
      </c>
      <c r="I82" s="28">
        <v>1</v>
      </c>
    </row>
    <row r="83" spans="2:9" ht="0" hidden="1" customHeight="1" x14ac:dyDescent="0.3">
      <c r="B83" s="25" t="s">
        <v>15</v>
      </c>
      <c r="C83" s="25"/>
      <c r="D83" s="26"/>
      <c r="E83" s="26">
        <v>5201</v>
      </c>
      <c r="F83" s="26" t="s">
        <v>107</v>
      </c>
      <c r="G83" s="26"/>
      <c r="H83" s="27">
        <v>-2554.7800000000002</v>
      </c>
      <c r="I83" s="28">
        <v>29</v>
      </c>
    </row>
    <row r="84" spans="2:9" ht="0" hidden="1" customHeight="1" x14ac:dyDescent="0.3">
      <c r="B84" s="25" t="s">
        <v>6</v>
      </c>
      <c r="C84" s="25" t="s">
        <v>127</v>
      </c>
      <c r="D84" s="26" t="s">
        <v>128</v>
      </c>
      <c r="E84" s="26">
        <v>5000</v>
      </c>
      <c r="F84" s="26" t="s">
        <v>135</v>
      </c>
      <c r="G84" s="26"/>
      <c r="H84" s="27">
        <v>-567.31364063622505</v>
      </c>
      <c r="I84" s="28">
        <v>1</v>
      </c>
    </row>
    <row r="85" spans="2:9" ht="0" hidden="1" customHeight="1" x14ac:dyDescent="0.3">
      <c r="B85" s="25" t="s">
        <v>6</v>
      </c>
      <c r="C85" s="25" t="s">
        <v>105</v>
      </c>
      <c r="D85" s="26" t="s">
        <v>106</v>
      </c>
      <c r="E85" s="26">
        <v>5213</v>
      </c>
      <c r="F85" s="26" t="s">
        <v>138</v>
      </c>
      <c r="G85" s="26"/>
      <c r="H85" s="27">
        <v>-194.52</v>
      </c>
      <c r="I85" s="28">
        <v>1</v>
      </c>
    </row>
    <row r="86" spans="2:9" ht="0" hidden="1" customHeight="1" x14ac:dyDescent="0.3">
      <c r="B86" s="25" t="s">
        <v>6</v>
      </c>
      <c r="C86" s="25" t="s">
        <v>105</v>
      </c>
      <c r="D86" s="26" t="s">
        <v>106</v>
      </c>
      <c r="E86" s="26">
        <v>5215</v>
      </c>
      <c r="F86" s="26" t="s">
        <v>121</v>
      </c>
      <c r="G86" s="26"/>
      <c r="H86" s="27">
        <v>-46.12</v>
      </c>
      <c r="I86" s="28">
        <v>1</v>
      </c>
    </row>
    <row r="87" spans="2:9" ht="0" hidden="1" customHeight="1" x14ac:dyDescent="0.3">
      <c r="B87" s="25" t="s">
        <v>6</v>
      </c>
      <c r="C87" s="25"/>
      <c r="D87" s="26"/>
      <c r="E87" s="26">
        <v>5300</v>
      </c>
      <c r="F87" s="26" t="s">
        <v>126</v>
      </c>
      <c r="G87" s="26"/>
      <c r="H87" s="27">
        <v>-15.1199999999999</v>
      </c>
      <c r="I87" s="28">
        <v>19</v>
      </c>
    </row>
    <row r="88" spans="2:9" ht="0" hidden="1" customHeight="1" x14ac:dyDescent="0.3">
      <c r="B88" s="25" t="s">
        <v>15</v>
      </c>
      <c r="C88" s="25"/>
      <c r="D88" s="26"/>
      <c r="E88" s="26">
        <v>5300</v>
      </c>
      <c r="F88" s="26" t="s">
        <v>126</v>
      </c>
      <c r="G88" s="26"/>
      <c r="H88" s="27">
        <v>0</v>
      </c>
      <c r="I88" s="28">
        <v>1</v>
      </c>
    </row>
    <row r="89" spans="2:9" ht="0" hidden="1" customHeight="1" x14ac:dyDescent="0.3">
      <c r="B89" s="25" t="s">
        <v>6</v>
      </c>
      <c r="C89" s="25"/>
      <c r="D89" s="26"/>
      <c r="E89" s="26">
        <v>5000</v>
      </c>
      <c r="F89" s="26" t="s">
        <v>135</v>
      </c>
      <c r="G89" s="26"/>
      <c r="H89" s="27">
        <v>0</v>
      </c>
      <c r="I89" s="28">
        <v>3</v>
      </c>
    </row>
  </sheetData>
  <autoFilter ref="B7:I63" xr:uid="{35A521D5-4B25-485C-B4EB-30B180047BEB}">
    <filterColumn colId="1">
      <filters>
        <filter val="08"/>
      </filters>
    </filterColumn>
  </autoFilter>
  <mergeCells count="1">
    <mergeCell ref="J32:J33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2A25-95BD-4426-B276-BFC76C4E1455}">
  <dimension ref="A1:AK2803"/>
  <sheetViews>
    <sheetView showGridLines="0" workbookViewId="0">
      <selection activeCell="D7" sqref="D7"/>
    </sheetView>
  </sheetViews>
  <sheetFormatPr defaultColWidth="0" defaultRowHeight="0" customHeight="1" zeroHeight="1" x14ac:dyDescent="0.3"/>
  <cols>
    <col min="1" max="1" width="3.6640625" customWidth="1"/>
    <col min="2" max="2" width="30.109375" bestFit="1" customWidth="1"/>
    <col min="3" max="3" width="10.44140625" bestFit="1" customWidth="1"/>
    <col min="4" max="4" width="13.6640625" bestFit="1" customWidth="1"/>
    <col min="5" max="5" width="21.44140625" bestFit="1" customWidth="1"/>
    <col min="6" max="6" width="13.109375" bestFit="1" customWidth="1"/>
    <col min="7" max="7" width="13.109375" customWidth="1"/>
    <col min="8" max="8" width="10.6640625" bestFit="1" customWidth="1"/>
    <col min="9" max="9" width="10.6640625" customWidth="1"/>
    <col min="10" max="13" width="13.6640625" customWidth="1"/>
    <col min="14" max="14" width="16.6640625" bestFit="1" customWidth="1"/>
    <col min="15" max="15" width="10.33203125" customWidth="1"/>
    <col min="16" max="16" width="3.6640625" customWidth="1"/>
    <col min="17" max="37" width="0" hidden="1" customWidth="1"/>
    <col min="38" max="16384" width="9.109375" hidden="1"/>
  </cols>
  <sheetData>
    <row r="1" spans="1:1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4.4" x14ac:dyDescent="0.3">
      <c r="O6" s="10">
        <f>+IF(AND(E6="SUM_COLAT_N_COBRE",H6="NULL"),0,N6)</f>
        <v>0</v>
      </c>
    </row>
    <row r="7" spans="1:16" ht="14.4" x14ac:dyDescent="0.3">
      <c r="B7" s="11" t="s">
        <v>26</v>
      </c>
      <c r="C7" s="11" t="s">
        <v>27</v>
      </c>
      <c r="D7" s="11" t="s">
        <v>28</v>
      </c>
      <c r="E7" s="11" t="s">
        <v>29</v>
      </c>
      <c r="F7" s="11" t="s">
        <v>30</v>
      </c>
      <c r="G7" s="11" t="s">
        <v>31</v>
      </c>
      <c r="H7" s="12" t="s">
        <v>32</v>
      </c>
      <c r="I7" s="12" t="s">
        <v>33</v>
      </c>
      <c r="J7" s="12" t="s">
        <v>34</v>
      </c>
      <c r="K7" s="12" t="s">
        <v>35</v>
      </c>
      <c r="L7" s="12" t="s">
        <v>36</v>
      </c>
      <c r="M7" s="12" t="s">
        <v>37</v>
      </c>
      <c r="N7" s="12" t="s">
        <v>38</v>
      </c>
      <c r="O7" s="13"/>
    </row>
    <row r="8" spans="1:16" ht="14.4" x14ac:dyDescent="0.3">
      <c r="B8" s="14" t="s">
        <v>17</v>
      </c>
      <c r="C8" s="14"/>
      <c r="D8" s="15" t="s">
        <v>22</v>
      </c>
      <c r="E8" s="14" t="s">
        <v>39</v>
      </c>
      <c r="F8" s="14" t="s">
        <v>5</v>
      </c>
      <c r="G8" s="14" t="s">
        <v>5</v>
      </c>
      <c r="H8" s="16" t="s">
        <v>40</v>
      </c>
      <c r="I8" s="16" t="s">
        <v>40</v>
      </c>
      <c r="J8" s="16" t="s">
        <v>40</v>
      </c>
      <c r="K8" s="16" t="s">
        <v>40</v>
      </c>
      <c r="L8" s="16" t="s">
        <v>40</v>
      </c>
      <c r="M8" s="16">
        <v>2887531.6</v>
      </c>
      <c r="N8" s="16">
        <v>8</v>
      </c>
      <c r="O8" s="10">
        <f t="shared" ref="O8:O39" si="0">+IF(AND(E8="SUM_COLAT_N_COBRE",H8="NULL"),0,N8)</f>
        <v>0</v>
      </c>
    </row>
    <row r="9" spans="1:16" ht="14.4" x14ac:dyDescent="0.3">
      <c r="B9" s="14" t="s">
        <v>10</v>
      </c>
      <c r="C9" s="14"/>
      <c r="D9" s="15" t="s">
        <v>23</v>
      </c>
      <c r="E9" s="14" t="s">
        <v>39</v>
      </c>
      <c r="F9" s="14" t="s">
        <v>24</v>
      </c>
      <c r="G9" s="14" t="s">
        <v>41</v>
      </c>
      <c r="H9" s="16" t="s">
        <v>42</v>
      </c>
      <c r="I9" s="16" t="s">
        <v>40</v>
      </c>
      <c r="J9" s="16" t="s">
        <v>40</v>
      </c>
      <c r="K9" s="16" t="s">
        <v>40</v>
      </c>
      <c r="L9" s="16" t="s">
        <v>40</v>
      </c>
      <c r="M9" s="16">
        <v>1579507.96999999</v>
      </c>
      <c r="N9" s="16">
        <v>76</v>
      </c>
      <c r="O9" s="10">
        <f t="shared" si="0"/>
        <v>76</v>
      </c>
    </row>
    <row r="10" spans="1:16" ht="14.4" x14ac:dyDescent="0.3">
      <c r="B10" s="14" t="s">
        <v>17</v>
      </c>
      <c r="C10" s="14"/>
      <c r="D10" s="15" t="s">
        <v>23</v>
      </c>
      <c r="E10" s="14" t="s">
        <v>43</v>
      </c>
      <c r="F10" s="14" t="s">
        <v>5</v>
      </c>
      <c r="G10" s="14" t="s">
        <v>5</v>
      </c>
      <c r="H10" s="16" t="s">
        <v>44</v>
      </c>
      <c r="I10" s="16">
        <v>234</v>
      </c>
      <c r="J10" s="16">
        <v>1.1466000000000001</v>
      </c>
      <c r="K10" s="16">
        <v>2.3633999999999999</v>
      </c>
      <c r="L10" s="16">
        <v>2.8431000000000002E-4</v>
      </c>
      <c r="M10" s="16">
        <v>12.2</v>
      </c>
      <c r="N10" s="16">
        <v>1</v>
      </c>
      <c r="O10" s="10">
        <f t="shared" si="0"/>
        <v>1</v>
      </c>
    </row>
    <row r="11" spans="1:16" ht="14.4" x14ac:dyDescent="0.3">
      <c r="B11" s="14" t="s">
        <v>13</v>
      </c>
      <c r="C11" s="14"/>
      <c r="D11" s="15" t="s">
        <v>23</v>
      </c>
      <c r="E11" s="14" t="s">
        <v>39</v>
      </c>
      <c r="F11" s="14" t="s">
        <v>24</v>
      </c>
      <c r="G11" s="14" t="s">
        <v>41</v>
      </c>
      <c r="H11" s="16" t="s">
        <v>40</v>
      </c>
      <c r="I11" s="16" t="s">
        <v>40</v>
      </c>
      <c r="J11" s="16" t="s">
        <v>40</v>
      </c>
      <c r="K11" s="16" t="s">
        <v>40</v>
      </c>
      <c r="L11" s="16" t="s">
        <v>40</v>
      </c>
      <c r="M11" s="16">
        <v>1647.47</v>
      </c>
      <c r="N11" s="16">
        <v>18</v>
      </c>
      <c r="O11" s="10">
        <f t="shared" si="0"/>
        <v>0</v>
      </c>
    </row>
    <row r="12" spans="1:16" ht="14.4" x14ac:dyDescent="0.3">
      <c r="B12" s="14" t="s">
        <v>8</v>
      </c>
      <c r="C12" s="14"/>
      <c r="D12" s="15" t="s">
        <v>19</v>
      </c>
      <c r="E12" s="14" t="s">
        <v>39</v>
      </c>
      <c r="F12" s="14" t="s">
        <v>5</v>
      </c>
      <c r="G12" s="14" t="s">
        <v>5</v>
      </c>
      <c r="H12" s="16" t="s">
        <v>40</v>
      </c>
      <c r="I12" s="16" t="s">
        <v>40</v>
      </c>
      <c r="J12" s="16" t="s">
        <v>40</v>
      </c>
      <c r="K12" s="16" t="s">
        <v>40</v>
      </c>
      <c r="L12" s="16" t="s">
        <v>40</v>
      </c>
      <c r="M12" s="16">
        <v>5556041.2300000004</v>
      </c>
      <c r="N12" s="16">
        <v>4</v>
      </c>
      <c r="O12" s="10">
        <f t="shared" si="0"/>
        <v>0</v>
      </c>
    </row>
    <row r="13" spans="1:16" ht="14.4" x14ac:dyDescent="0.3">
      <c r="B13" s="14" t="s">
        <v>17</v>
      </c>
      <c r="C13" s="14"/>
      <c r="D13" s="15" t="s">
        <v>21</v>
      </c>
      <c r="E13" s="14" t="s">
        <v>39</v>
      </c>
      <c r="F13" s="14" t="s">
        <v>24</v>
      </c>
      <c r="G13" s="14" t="s">
        <v>41</v>
      </c>
      <c r="H13" s="16" t="s">
        <v>40</v>
      </c>
      <c r="I13" s="16" t="s">
        <v>40</v>
      </c>
      <c r="J13" s="16" t="s">
        <v>40</v>
      </c>
      <c r="K13" s="16" t="s">
        <v>40</v>
      </c>
      <c r="L13" s="16" t="s">
        <v>40</v>
      </c>
      <c r="M13" s="16">
        <v>69636.69</v>
      </c>
      <c r="N13" s="16">
        <v>2457</v>
      </c>
      <c r="O13" s="10">
        <f t="shared" si="0"/>
        <v>0</v>
      </c>
    </row>
    <row r="14" spans="1:16" ht="14.4" x14ac:dyDescent="0.3">
      <c r="B14" s="14" t="s">
        <v>8</v>
      </c>
      <c r="C14" s="14"/>
      <c r="D14" s="15" t="s">
        <v>19</v>
      </c>
      <c r="E14" s="14" t="s">
        <v>43</v>
      </c>
      <c r="F14" s="14" t="s">
        <v>5</v>
      </c>
      <c r="G14" s="14" t="s">
        <v>5</v>
      </c>
      <c r="H14" s="16" t="s">
        <v>44</v>
      </c>
      <c r="I14" s="16">
        <v>1463227</v>
      </c>
      <c r="J14" s="16">
        <v>11446.0401728998</v>
      </c>
      <c r="K14" s="16">
        <v>27504.273428790599</v>
      </c>
      <c r="L14" s="16">
        <v>10672.864937444099</v>
      </c>
      <c r="M14" s="16">
        <v>745977921.22999895</v>
      </c>
      <c r="N14" s="16">
        <v>486</v>
      </c>
      <c r="O14" s="10">
        <f t="shared" si="0"/>
        <v>486</v>
      </c>
    </row>
    <row r="15" spans="1:16" ht="14.4" x14ac:dyDescent="0.3">
      <c r="B15" s="14" t="s">
        <v>17</v>
      </c>
      <c r="C15" s="14" t="s">
        <v>45</v>
      </c>
      <c r="D15" s="15" t="s">
        <v>15</v>
      </c>
      <c r="E15" s="14" t="s">
        <v>46</v>
      </c>
      <c r="F15" s="14" t="s">
        <v>24</v>
      </c>
      <c r="G15" s="14" t="s">
        <v>47</v>
      </c>
      <c r="H15" s="16" t="s">
        <v>40</v>
      </c>
      <c r="I15" s="16" t="s">
        <v>40</v>
      </c>
      <c r="J15" s="16" t="s">
        <v>40</v>
      </c>
      <c r="K15" s="16" t="s">
        <v>40</v>
      </c>
      <c r="L15" s="16" t="s">
        <v>40</v>
      </c>
      <c r="M15" s="16">
        <v>26610736.539999999</v>
      </c>
      <c r="N15" s="16">
        <v>1397</v>
      </c>
      <c r="O15" s="10">
        <f t="shared" si="0"/>
        <v>1397</v>
      </c>
    </row>
    <row r="16" spans="1:16" ht="14.4" x14ac:dyDescent="0.3">
      <c r="B16" s="14" t="s">
        <v>10</v>
      </c>
      <c r="C16" s="14" t="s">
        <v>0</v>
      </c>
      <c r="D16" s="15" t="s">
        <v>6</v>
      </c>
      <c r="E16" s="14" t="s">
        <v>39</v>
      </c>
      <c r="F16" s="14" t="s">
        <v>5</v>
      </c>
      <c r="G16" s="14" t="s">
        <v>5</v>
      </c>
      <c r="H16" s="16" t="s">
        <v>44</v>
      </c>
      <c r="I16" s="16">
        <v>174950</v>
      </c>
      <c r="J16" s="16">
        <v>1898.3985150000001</v>
      </c>
      <c r="K16" s="16">
        <v>10192.536265000001</v>
      </c>
      <c r="L16" s="16">
        <v>12090.93478</v>
      </c>
      <c r="M16" s="16">
        <v>1502999.99999999</v>
      </c>
      <c r="N16" s="16">
        <v>2</v>
      </c>
      <c r="O16" s="10">
        <f t="shared" si="0"/>
        <v>2</v>
      </c>
    </row>
    <row r="17" spans="2:16" ht="14.4" x14ac:dyDescent="0.3">
      <c r="B17" s="14" t="s">
        <v>12</v>
      </c>
      <c r="C17" s="14" t="s">
        <v>0</v>
      </c>
      <c r="D17" s="15" t="s">
        <v>6</v>
      </c>
      <c r="E17" s="14" t="s">
        <v>43</v>
      </c>
      <c r="F17" s="14" t="s">
        <v>5</v>
      </c>
      <c r="G17" s="14" t="s">
        <v>5</v>
      </c>
      <c r="H17" s="16" t="s">
        <v>44</v>
      </c>
      <c r="I17" s="16">
        <v>0</v>
      </c>
      <c r="J17" s="16">
        <v>39.277349999999998</v>
      </c>
      <c r="K17" s="16">
        <v>210.9213</v>
      </c>
      <c r="L17" s="16">
        <v>84.114311943350003</v>
      </c>
      <c r="M17" s="16">
        <v>814503.41999999899</v>
      </c>
      <c r="N17" s="16">
        <v>6</v>
      </c>
      <c r="O17" s="10">
        <f t="shared" si="0"/>
        <v>6</v>
      </c>
    </row>
    <row r="18" spans="2:16" ht="14.4" x14ac:dyDescent="0.3">
      <c r="B18" s="14" t="s">
        <v>12</v>
      </c>
      <c r="C18" s="14" t="s">
        <v>0</v>
      </c>
      <c r="D18" s="15" t="s">
        <v>6</v>
      </c>
      <c r="E18" s="14" t="s">
        <v>39</v>
      </c>
      <c r="F18" s="14" t="s">
        <v>5</v>
      </c>
      <c r="G18" s="14" t="s">
        <v>5</v>
      </c>
      <c r="H18" s="16" t="s">
        <v>44</v>
      </c>
      <c r="I18" s="16">
        <v>0</v>
      </c>
      <c r="J18" s="16">
        <v>8.7283000000000008</v>
      </c>
      <c r="K18" s="16">
        <v>46.871400000000001</v>
      </c>
      <c r="L18" s="16" t="s">
        <v>40</v>
      </c>
      <c r="M18" s="16">
        <v>0</v>
      </c>
      <c r="N18" s="16">
        <v>2</v>
      </c>
      <c r="O18" s="10">
        <f t="shared" si="0"/>
        <v>2</v>
      </c>
    </row>
    <row r="19" spans="2:16" ht="14.4" x14ac:dyDescent="0.3">
      <c r="B19" s="14" t="s">
        <v>13</v>
      </c>
      <c r="C19" s="14"/>
      <c r="D19" s="15" t="s">
        <v>23</v>
      </c>
      <c r="E19" s="14" t="s">
        <v>46</v>
      </c>
      <c r="F19" s="14" t="s">
        <v>24</v>
      </c>
      <c r="G19" s="14" t="s">
        <v>47</v>
      </c>
      <c r="H19" s="16" t="s">
        <v>40</v>
      </c>
      <c r="I19" s="16" t="s">
        <v>40</v>
      </c>
      <c r="J19" s="16" t="s">
        <v>40</v>
      </c>
      <c r="K19" s="16" t="s">
        <v>40</v>
      </c>
      <c r="L19" s="16" t="s">
        <v>40</v>
      </c>
      <c r="M19" s="16">
        <v>12515219478.6</v>
      </c>
      <c r="N19" s="16">
        <v>12483</v>
      </c>
      <c r="O19" s="10">
        <f t="shared" si="0"/>
        <v>12483</v>
      </c>
    </row>
    <row r="20" spans="2:16" ht="14.4" x14ac:dyDescent="0.3">
      <c r="B20" s="14" t="s">
        <v>10</v>
      </c>
      <c r="C20" s="14" t="s">
        <v>0</v>
      </c>
      <c r="D20" s="15" t="s">
        <v>6</v>
      </c>
      <c r="E20" s="14" t="s">
        <v>46</v>
      </c>
      <c r="F20" s="14" t="s">
        <v>24</v>
      </c>
      <c r="G20" s="14" t="s">
        <v>47</v>
      </c>
      <c r="H20" s="16" t="s">
        <v>40</v>
      </c>
      <c r="I20" s="16" t="s">
        <v>40</v>
      </c>
      <c r="J20" s="16" t="s">
        <v>40</v>
      </c>
      <c r="K20" s="16" t="s">
        <v>40</v>
      </c>
      <c r="L20" s="16" t="s">
        <v>40</v>
      </c>
      <c r="M20" s="16">
        <v>13594120.310000001</v>
      </c>
      <c r="N20" s="16">
        <v>1</v>
      </c>
      <c r="O20" s="10">
        <f t="shared" si="0"/>
        <v>1</v>
      </c>
    </row>
    <row r="21" spans="2:16" ht="14.4" x14ac:dyDescent="0.3">
      <c r="B21" s="14" t="s">
        <v>17</v>
      </c>
      <c r="C21" s="14"/>
      <c r="D21" s="15" t="s">
        <v>21</v>
      </c>
      <c r="E21" s="14" t="s">
        <v>39</v>
      </c>
      <c r="F21" s="14" t="s">
        <v>24</v>
      </c>
      <c r="G21" s="14" t="s">
        <v>41</v>
      </c>
      <c r="H21" s="16" t="s">
        <v>42</v>
      </c>
      <c r="I21" s="16" t="s">
        <v>40</v>
      </c>
      <c r="J21" s="16" t="s">
        <v>40</v>
      </c>
      <c r="K21" s="16" t="s">
        <v>40</v>
      </c>
      <c r="L21" s="16" t="s">
        <v>40</v>
      </c>
      <c r="M21" s="16">
        <v>24971771.809999902</v>
      </c>
      <c r="N21" s="16">
        <v>2457</v>
      </c>
      <c r="O21" s="10">
        <f t="shared" si="0"/>
        <v>2457</v>
      </c>
    </row>
    <row r="22" spans="2:16" ht="14.4" x14ac:dyDescent="0.3">
      <c r="B22" s="14" t="s">
        <v>17</v>
      </c>
      <c r="C22" s="14" t="s">
        <v>45</v>
      </c>
      <c r="D22" s="15" t="s">
        <v>15</v>
      </c>
      <c r="E22" s="14" t="s">
        <v>39</v>
      </c>
      <c r="F22" s="14" t="s">
        <v>5</v>
      </c>
      <c r="G22" s="14" t="s">
        <v>5</v>
      </c>
      <c r="H22" s="16" t="s">
        <v>40</v>
      </c>
      <c r="I22" s="16" t="s">
        <v>40</v>
      </c>
      <c r="J22" s="16" t="s">
        <v>40</v>
      </c>
      <c r="K22" s="16" t="s">
        <v>40</v>
      </c>
      <c r="L22" s="16" t="s">
        <v>40</v>
      </c>
      <c r="M22" s="16">
        <v>36675990.390000001</v>
      </c>
      <c r="N22" s="16">
        <v>2026</v>
      </c>
      <c r="O22" s="10">
        <f t="shared" si="0"/>
        <v>0</v>
      </c>
    </row>
    <row r="23" spans="2:16" ht="14.4" x14ac:dyDescent="0.3">
      <c r="B23" s="14" t="s">
        <v>8</v>
      </c>
      <c r="C23" s="14" t="s">
        <v>0</v>
      </c>
      <c r="D23" s="15" t="s">
        <v>6</v>
      </c>
      <c r="E23" s="14" t="s">
        <v>43</v>
      </c>
      <c r="F23" s="14" t="s">
        <v>5</v>
      </c>
      <c r="G23" s="14" t="s">
        <v>5</v>
      </c>
      <c r="H23" s="16" t="s">
        <v>44</v>
      </c>
      <c r="I23" s="16">
        <v>95335500</v>
      </c>
      <c r="J23" s="16">
        <v>1190124.42578226</v>
      </c>
      <c r="K23" s="16">
        <v>4160712.7938846699</v>
      </c>
      <c r="L23" s="16">
        <v>748304.79206479399</v>
      </c>
      <c r="M23" s="16">
        <v>2111061690.39606</v>
      </c>
      <c r="N23" s="16">
        <v>5304</v>
      </c>
      <c r="O23" s="10">
        <f t="shared" si="0"/>
        <v>5304</v>
      </c>
    </row>
    <row r="24" spans="2:16" ht="14.4" x14ac:dyDescent="0.3">
      <c r="B24" s="14" t="s">
        <v>17</v>
      </c>
      <c r="C24" s="14"/>
      <c r="D24" s="15" t="s">
        <v>21</v>
      </c>
      <c r="E24" s="14" t="s">
        <v>39</v>
      </c>
      <c r="F24" s="14" t="s">
        <v>5</v>
      </c>
      <c r="G24" s="14" t="s">
        <v>5</v>
      </c>
      <c r="H24" s="16" t="s">
        <v>44</v>
      </c>
      <c r="I24" s="16">
        <v>4823</v>
      </c>
      <c r="J24" s="16">
        <v>51.012699577580101</v>
      </c>
      <c r="K24" s="16">
        <v>257.50983989816598</v>
      </c>
      <c r="L24" s="16">
        <v>308.52253947574599</v>
      </c>
      <c r="M24" s="16">
        <v>783623.99999999895</v>
      </c>
      <c r="N24" s="16">
        <v>2</v>
      </c>
      <c r="O24" s="10">
        <f t="shared" si="0"/>
        <v>2</v>
      </c>
    </row>
    <row r="25" spans="2:16" ht="14.4" x14ac:dyDescent="0.3">
      <c r="B25" s="14" t="s">
        <v>10</v>
      </c>
      <c r="C25" s="14" t="s">
        <v>0</v>
      </c>
      <c r="D25" s="15" t="s">
        <v>6</v>
      </c>
      <c r="E25" s="14" t="s">
        <v>39</v>
      </c>
      <c r="F25" s="14" t="s">
        <v>5</v>
      </c>
      <c r="G25" s="14" t="s">
        <v>5</v>
      </c>
      <c r="H25" s="16" t="s">
        <v>40</v>
      </c>
      <c r="I25" s="16" t="s">
        <v>40</v>
      </c>
      <c r="J25" s="16" t="s">
        <v>40</v>
      </c>
      <c r="K25" s="16" t="s">
        <v>40</v>
      </c>
      <c r="L25" s="16" t="s">
        <v>40</v>
      </c>
      <c r="M25" s="16">
        <v>266010.32</v>
      </c>
      <c r="N25" s="16">
        <v>2</v>
      </c>
      <c r="O25" s="10">
        <f t="shared" si="0"/>
        <v>0</v>
      </c>
    </row>
    <row r="26" spans="2:16" ht="14.4" x14ac:dyDescent="0.3">
      <c r="B26" s="14" t="s">
        <v>17</v>
      </c>
      <c r="C26" s="14"/>
      <c r="D26" s="15" t="s">
        <v>21</v>
      </c>
      <c r="E26" s="14" t="s">
        <v>46</v>
      </c>
      <c r="F26" s="14" t="s">
        <v>24</v>
      </c>
      <c r="G26" s="14" t="s">
        <v>47</v>
      </c>
      <c r="H26" s="16" t="s">
        <v>40</v>
      </c>
      <c r="I26" s="16" t="s">
        <v>40</v>
      </c>
      <c r="J26" s="16" t="s">
        <v>40</v>
      </c>
      <c r="K26" s="16" t="s">
        <v>40</v>
      </c>
      <c r="L26" s="16" t="s">
        <v>40</v>
      </c>
      <c r="M26" s="16">
        <v>1931682831.0155201</v>
      </c>
      <c r="N26" s="16">
        <v>1076195</v>
      </c>
      <c r="O26" s="10">
        <f t="shared" si="0"/>
        <v>1076195</v>
      </c>
    </row>
    <row r="27" spans="2:16" ht="14.4" x14ac:dyDescent="0.3">
      <c r="B27" s="14" t="s">
        <v>10</v>
      </c>
      <c r="C27" s="14" t="s">
        <v>0</v>
      </c>
      <c r="D27" s="15" t="s">
        <v>6</v>
      </c>
      <c r="E27" s="14" t="s">
        <v>43</v>
      </c>
      <c r="F27" s="14" t="s">
        <v>5</v>
      </c>
      <c r="G27" s="14" t="s">
        <v>5</v>
      </c>
      <c r="H27" s="16" t="s">
        <v>44</v>
      </c>
      <c r="I27" s="16">
        <v>443894</v>
      </c>
      <c r="J27" s="16">
        <v>5875.9697351988898</v>
      </c>
      <c r="K27" s="16">
        <v>15292.3122218802</v>
      </c>
      <c r="L27" s="16">
        <v>3264.0079591183198</v>
      </c>
      <c r="M27" s="16">
        <v>138770832.829999</v>
      </c>
      <c r="N27" s="16">
        <v>75</v>
      </c>
      <c r="O27" s="10">
        <f t="shared" si="0"/>
        <v>75</v>
      </c>
    </row>
    <row r="28" spans="2:16" ht="14.4" x14ac:dyDescent="0.3">
      <c r="B28" s="14" t="s">
        <v>8</v>
      </c>
      <c r="C28" s="14" t="s">
        <v>0</v>
      </c>
      <c r="D28" s="15" t="s">
        <v>6</v>
      </c>
      <c r="E28" s="14" t="s">
        <v>39</v>
      </c>
      <c r="F28" s="14" t="s">
        <v>5</v>
      </c>
      <c r="G28" s="14" t="s">
        <v>5</v>
      </c>
      <c r="H28" s="16" t="s">
        <v>44</v>
      </c>
      <c r="I28" s="16">
        <v>1547748</v>
      </c>
      <c r="J28" s="16">
        <v>18434.921875170599</v>
      </c>
      <c r="K28" s="16">
        <v>56810.649341649099</v>
      </c>
      <c r="L28" s="16">
        <v>70896.672868407099</v>
      </c>
      <c r="M28" s="16">
        <v>80773906.999999896</v>
      </c>
      <c r="N28" s="16">
        <v>156</v>
      </c>
      <c r="O28" s="10">
        <f t="shared" si="0"/>
        <v>156</v>
      </c>
      <c r="P28" s="6"/>
    </row>
    <row r="29" spans="2:16" ht="14.4" x14ac:dyDescent="0.3">
      <c r="B29" s="14" t="s">
        <v>12</v>
      </c>
      <c r="C29" s="14" t="s">
        <v>0</v>
      </c>
      <c r="D29" s="15" t="s">
        <v>6</v>
      </c>
      <c r="E29" s="14" t="s">
        <v>39</v>
      </c>
      <c r="F29" s="14" t="s">
        <v>5</v>
      </c>
      <c r="G29" s="14" t="s">
        <v>5</v>
      </c>
      <c r="H29" s="16" t="s">
        <v>40</v>
      </c>
      <c r="I29" s="16" t="s">
        <v>40</v>
      </c>
      <c r="J29" s="16" t="s">
        <v>40</v>
      </c>
      <c r="K29" s="16" t="s">
        <v>40</v>
      </c>
      <c r="L29" s="16" t="s">
        <v>40</v>
      </c>
      <c r="M29" s="16">
        <v>9</v>
      </c>
      <c r="N29" s="16">
        <v>2</v>
      </c>
      <c r="O29" s="10">
        <f t="shared" si="0"/>
        <v>0</v>
      </c>
    </row>
    <row r="30" spans="2:16" ht="14.4" x14ac:dyDescent="0.3">
      <c r="B30" s="14" t="s">
        <v>8</v>
      </c>
      <c r="C30" s="14" t="s">
        <v>0</v>
      </c>
      <c r="D30" s="15" t="s">
        <v>6</v>
      </c>
      <c r="E30" s="14" t="s">
        <v>39</v>
      </c>
      <c r="F30" s="14" t="s">
        <v>5</v>
      </c>
      <c r="G30" s="14" t="s">
        <v>5</v>
      </c>
      <c r="H30" s="16" t="s">
        <v>40</v>
      </c>
      <c r="I30" s="16" t="s">
        <v>40</v>
      </c>
      <c r="J30" s="16" t="s">
        <v>40</v>
      </c>
      <c r="K30" s="16" t="s">
        <v>40</v>
      </c>
      <c r="L30" s="16" t="s">
        <v>40</v>
      </c>
      <c r="M30" s="16">
        <v>52521520.979999997</v>
      </c>
      <c r="N30" s="16">
        <v>156</v>
      </c>
      <c r="O30" s="10">
        <f t="shared" si="0"/>
        <v>0</v>
      </c>
    </row>
    <row r="31" spans="2:16" ht="14.4" x14ac:dyDescent="0.3">
      <c r="B31" s="14" t="s">
        <v>17</v>
      </c>
      <c r="C31" s="14"/>
      <c r="D31" s="15" t="s">
        <v>22</v>
      </c>
      <c r="E31" s="14" t="s">
        <v>43</v>
      </c>
      <c r="F31" s="14" t="s">
        <v>5</v>
      </c>
      <c r="G31" s="14" t="s">
        <v>5</v>
      </c>
      <c r="H31" s="16" t="s">
        <v>44</v>
      </c>
      <c r="I31" s="16">
        <v>2222610</v>
      </c>
      <c r="J31" s="16">
        <v>28918.789042023102</v>
      </c>
      <c r="K31" s="16">
        <v>79623.683392227598</v>
      </c>
      <c r="L31" s="16">
        <v>22237.5140228817</v>
      </c>
      <c r="M31" s="16">
        <v>142258352.049999</v>
      </c>
      <c r="N31" s="16">
        <v>638</v>
      </c>
      <c r="O31" s="10">
        <f t="shared" si="0"/>
        <v>638</v>
      </c>
      <c r="P31" s="6"/>
    </row>
    <row r="32" spans="2:16" ht="14.4" x14ac:dyDescent="0.3">
      <c r="B32" s="14" t="s">
        <v>17</v>
      </c>
      <c r="C32" s="14"/>
      <c r="D32" s="15" t="s">
        <v>22</v>
      </c>
      <c r="E32" s="14" t="s">
        <v>43</v>
      </c>
      <c r="F32" s="14" t="s">
        <v>24</v>
      </c>
      <c r="G32" s="14" t="s">
        <v>41</v>
      </c>
      <c r="H32" s="16" t="s">
        <v>42</v>
      </c>
      <c r="I32" s="16" t="s">
        <v>40</v>
      </c>
      <c r="J32" s="16" t="s">
        <v>40</v>
      </c>
      <c r="K32" s="16" t="s">
        <v>40</v>
      </c>
      <c r="L32" s="16" t="s">
        <v>40</v>
      </c>
      <c r="M32" s="16">
        <v>45023.749999999898</v>
      </c>
      <c r="N32" s="16">
        <v>1</v>
      </c>
      <c r="O32" s="10">
        <f t="shared" si="0"/>
        <v>1</v>
      </c>
    </row>
    <row r="33" spans="2:16" ht="14.4" x14ac:dyDescent="0.3">
      <c r="B33" s="14" t="s">
        <v>17</v>
      </c>
      <c r="C33" s="14"/>
      <c r="D33" s="15" t="s">
        <v>21</v>
      </c>
      <c r="E33" s="14" t="s">
        <v>43</v>
      </c>
      <c r="F33" s="14" t="s">
        <v>24</v>
      </c>
      <c r="G33" s="14" t="s">
        <v>41</v>
      </c>
      <c r="H33" s="16" t="s">
        <v>42</v>
      </c>
      <c r="I33" s="16" t="s">
        <v>40</v>
      </c>
      <c r="J33" s="16" t="s">
        <v>40</v>
      </c>
      <c r="K33" s="16" t="s">
        <v>40</v>
      </c>
      <c r="L33" s="16" t="s">
        <v>40</v>
      </c>
      <c r="M33" s="16">
        <v>9901232.7599999998</v>
      </c>
      <c r="N33" s="16">
        <v>937</v>
      </c>
      <c r="O33" s="10">
        <f t="shared" si="0"/>
        <v>937</v>
      </c>
      <c r="P33" s="6"/>
    </row>
    <row r="34" spans="2:16" ht="14.4" x14ac:dyDescent="0.3">
      <c r="B34" s="14" t="s">
        <v>17</v>
      </c>
      <c r="C34" s="14"/>
      <c r="D34" s="15" t="s">
        <v>21</v>
      </c>
      <c r="E34" s="14" t="s">
        <v>43</v>
      </c>
      <c r="F34" s="14" t="s">
        <v>5</v>
      </c>
      <c r="G34" s="14" t="s">
        <v>5</v>
      </c>
      <c r="H34" s="16" t="s">
        <v>44</v>
      </c>
      <c r="I34" s="16">
        <v>106867</v>
      </c>
      <c r="J34" s="16">
        <v>1172.8669702237</v>
      </c>
      <c r="K34" s="16">
        <v>6123.7153115627698</v>
      </c>
      <c r="L34" s="16">
        <v>2366.9465232483699</v>
      </c>
      <c r="M34" s="16">
        <v>4420950.2699999902</v>
      </c>
      <c r="N34" s="16">
        <v>30</v>
      </c>
      <c r="O34" s="10">
        <f t="shared" si="0"/>
        <v>30</v>
      </c>
    </row>
    <row r="35" spans="2:16" ht="14.4" x14ac:dyDescent="0.3">
      <c r="B35" s="14" t="s">
        <v>48</v>
      </c>
      <c r="C35" s="14"/>
      <c r="D35" s="15" t="s">
        <v>23</v>
      </c>
      <c r="E35" s="14" t="s">
        <v>46</v>
      </c>
      <c r="F35" s="14" t="s">
        <v>24</v>
      </c>
      <c r="G35" s="14" t="s">
        <v>47</v>
      </c>
      <c r="H35" s="16" t="s">
        <v>40</v>
      </c>
      <c r="I35" s="16" t="s">
        <v>40</v>
      </c>
      <c r="J35" s="16" t="s">
        <v>40</v>
      </c>
      <c r="K35" s="16" t="s">
        <v>40</v>
      </c>
      <c r="L35" s="16" t="s">
        <v>40</v>
      </c>
      <c r="M35" s="16">
        <v>1338375489.6500001</v>
      </c>
      <c r="N35" s="16">
        <v>9</v>
      </c>
      <c r="O35" s="10">
        <f t="shared" si="0"/>
        <v>9</v>
      </c>
    </row>
    <row r="36" spans="2:16" ht="14.4" x14ac:dyDescent="0.3">
      <c r="B36" s="14" t="s">
        <v>17</v>
      </c>
      <c r="C36" s="14"/>
      <c r="D36" s="15" t="s">
        <v>23</v>
      </c>
      <c r="E36" s="14" t="s">
        <v>39</v>
      </c>
      <c r="F36" s="14" t="s">
        <v>24</v>
      </c>
      <c r="G36" s="14" t="s">
        <v>41</v>
      </c>
      <c r="H36" s="16" t="s">
        <v>40</v>
      </c>
      <c r="I36" s="16" t="s">
        <v>40</v>
      </c>
      <c r="J36" s="16" t="s">
        <v>40</v>
      </c>
      <c r="K36" s="16" t="s">
        <v>40</v>
      </c>
      <c r="L36" s="16" t="s">
        <v>40</v>
      </c>
      <c r="M36" s="16">
        <v>3681.48</v>
      </c>
      <c r="N36" s="16">
        <v>62</v>
      </c>
      <c r="O36" s="10">
        <f t="shared" si="0"/>
        <v>0</v>
      </c>
      <c r="P36" s="6"/>
    </row>
    <row r="37" spans="2:16" ht="14.4" x14ac:dyDescent="0.3">
      <c r="B37" s="14" t="s">
        <v>17</v>
      </c>
      <c r="C37" s="14"/>
      <c r="D37" s="15" t="s">
        <v>23</v>
      </c>
      <c r="E37" s="14" t="s">
        <v>43</v>
      </c>
      <c r="F37" s="14" t="s">
        <v>24</v>
      </c>
      <c r="G37" s="14" t="s">
        <v>41</v>
      </c>
      <c r="H37" s="16" t="s">
        <v>42</v>
      </c>
      <c r="I37" s="16" t="s">
        <v>40</v>
      </c>
      <c r="J37" s="16" t="s">
        <v>40</v>
      </c>
      <c r="K37" s="16" t="s">
        <v>40</v>
      </c>
      <c r="L37" s="16" t="s">
        <v>40</v>
      </c>
      <c r="M37" s="16">
        <v>104444.97</v>
      </c>
      <c r="N37" s="16">
        <v>12</v>
      </c>
      <c r="O37" s="10">
        <f t="shared" si="0"/>
        <v>12</v>
      </c>
    </row>
    <row r="38" spans="2:16" ht="14.4" x14ac:dyDescent="0.3">
      <c r="B38" s="14" t="s">
        <v>13</v>
      </c>
      <c r="C38" s="14" t="s">
        <v>0</v>
      </c>
      <c r="D38" s="15" t="s">
        <v>6</v>
      </c>
      <c r="E38" s="14" t="s">
        <v>43</v>
      </c>
      <c r="F38" s="14" t="s">
        <v>5</v>
      </c>
      <c r="G38" s="14" t="s">
        <v>5</v>
      </c>
      <c r="H38" s="16" t="s">
        <v>44</v>
      </c>
      <c r="I38" s="16">
        <v>13136</v>
      </c>
      <c r="J38" s="16">
        <v>143.08031749468699</v>
      </c>
      <c r="K38" s="16">
        <v>557.07118133512495</v>
      </c>
      <c r="L38" s="16">
        <v>34.936487253698999</v>
      </c>
      <c r="M38" s="16">
        <v>355670.30999999901</v>
      </c>
      <c r="N38" s="16">
        <v>7</v>
      </c>
      <c r="O38" s="10">
        <f t="shared" si="0"/>
        <v>7</v>
      </c>
      <c r="P38" s="6"/>
    </row>
    <row r="39" spans="2:16" ht="14.4" x14ac:dyDescent="0.3">
      <c r="B39" s="14" t="s">
        <v>17</v>
      </c>
      <c r="C39" s="14"/>
      <c r="D39" s="15" t="s">
        <v>23</v>
      </c>
      <c r="E39" s="14" t="s">
        <v>39</v>
      </c>
      <c r="F39" s="14" t="s">
        <v>24</v>
      </c>
      <c r="G39" s="14" t="s">
        <v>41</v>
      </c>
      <c r="H39" s="16" t="s">
        <v>42</v>
      </c>
      <c r="I39" s="16" t="s">
        <v>40</v>
      </c>
      <c r="J39" s="16" t="s">
        <v>40</v>
      </c>
      <c r="K39" s="16" t="s">
        <v>40</v>
      </c>
      <c r="L39" s="16" t="s">
        <v>40</v>
      </c>
      <c r="M39" s="16">
        <v>799970.12999999896</v>
      </c>
      <c r="N39" s="16">
        <v>62</v>
      </c>
      <c r="O39" s="10">
        <f t="shared" si="0"/>
        <v>62</v>
      </c>
    </row>
    <row r="40" spans="2:16" ht="14.4" x14ac:dyDescent="0.3">
      <c r="B40" s="14" t="s">
        <v>8</v>
      </c>
      <c r="C40" s="14"/>
      <c r="D40" s="15" t="s">
        <v>23</v>
      </c>
      <c r="E40" s="14" t="s">
        <v>39</v>
      </c>
      <c r="F40" s="14" t="s">
        <v>24</v>
      </c>
      <c r="G40" s="14" t="s">
        <v>41</v>
      </c>
      <c r="H40" s="16" t="s">
        <v>40</v>
      </c>
      <c r="I40" s="16" t="s">
        <v>40</v>
      </c>
      <c r="J40" s="16" t="s">
        <v>40</v>
      </c>
      <c r="K40" s="16" t="s">
        <v>40</v>
      </c>
      <c r="L40" s="16" t="s">
        <v>40</v>
      </c>
      <c r="M40" s="16">
        <v>1386827.02</v>
      </c>
      <c r="N40" s="16">
        <v>15851</v>
      </c>
      <c r="O40" s="10">
        <f t="shared" ref="O40:O61" si="1">+IF(AND(E40="SUM_COLAT_N_COBRE",H40="NULL"),0,N40)</f>
        <v>0</v>
      </c>
    </row>
    <row r="41" spans="2:16" ht="14.4" x14ac:dyDescent="0.3">
      <c r="B41" s="14" t="s">
        <v>17</v>
      </c>
      <c r="C41" s="14" t="s">
        <v>45</v>
      </c>
      <c r="D41" s="15" t="s">
        <v>15</v>
      </c>
      <c r="E41" s="14" t="s">
        <v>39</v>
      </c>
      <c r="F41" s="14" t="s">
        <v>5</v>
      </c>
      <c r="G41" s="14" t="s">
        <v>5</v>
      </c>
      <c r="H41" s="16" t="s">
        <v>44</v>
      </c>
      <c r="I41" s="16">
        <v>379788</v>
      </c>
      <c r="J41" s="16">
        <v>2320.60642714712</v>
      </c>
      <c r="K41" s="16">
        <v>7162.77872749573</v>
      </c>
      <c r="L41" s="16">
        <v>6618.6871437920499</v>
      </c>
      <c r="M41" s="16">
        <v>143950509.87999901</v>
      </c>
      <c r="N41" s="16">
        <v>2026</v>
      </c>
      <c r="O41" s="10">
        <f t="shared" si="1"/>
        <v>2026</v>
      </c>
      <c r="P41" s="6"/>
    </row>
    <row r="42" spans="2:16" ht="14.4" x14ac:dyDescent="0.3">
      <c r="B42" s="14" t="s">
        <v>17</v>
      </c>
      <c r="C42" s="14"/>
      <c r="D42" s="15" t="s">
        <v>23</v>
      </c>
      <c r="E42" s="14" t="s">
        <v>46</v>
      </c>
      <c r="F42" s="14" t="s">
        <v>24</v>
      </c>
      <c r="G42" s="14" t="s">
        <v>47</v>
      </c>
      <c r="H42" s="16" t="s">
        <v>40</v>
      </c>
      <c r="I42" s="16" t="s">
        <v>40</v>
      </c>
      <c r="J42" s="16" t="s">
        <v>40</v>
      </c>
      <c r="K42" s="16" t="s">
        <v>40</v>
      </c>
      <c r="L42" s="16" t="s">
        <v>40</v>
      </c>
      <c r="M42" s="16">
        <v>12366504.153542999</v>
      </c>
      <c r="N42" s="16">
        <v>4866</v>
      </c>
      <c r="O42" s="10">
        <f t="shared" si="1"/>
        <v>4866</v>
      </c>
    </row>
    <row r="43" spans="2:16" ht="14.4" x14ac:dyDescent="0.3">
      <c r="B43" s="14" t="s">
        <v>10</v>
      </c>
      <c r="C43" s="14"/>
      <c r="D43" s="15" t="s">
        <v>19</v>
      </c>
      <c r="E43" s="14" t="s">
        <v>43</v>
      </c>
      <c r="F43" s="14" t="s">
        <v>5</v>
      </c>
      <c r="G43" s="14" t="s">
        <v>5</v>
      </c>
      <c r="H43" s="16" t="s">
        <v>44</v>
      </c>
      <c r="I43" s="16">
        <v>139868</v>
      </c>
      <c r="J43" s="16">
        <v>770.48000937484403</v>
      </c>
      <c r="K43" s="16">
        <v>2086.8770824336698</v>
      </c>
      <c r="L43" s="16">
        <v>706.36290119201499</v>
      </c>
      <c r="M43" s="16">
        <v>118273660.64999899</v>
      </c>
      <c r="N43" s="16">
        <v>20</v>
      </c>
      <c r="O43" s="10">
        <f t="shared" si="1"/>
        <v>20</v>
      </c>
    </row>
    <row r="44" spans="2:16" ht="14.4" x14ac:dyDescent="0.3">
      <c r="B44" s="14" t="s">
        <v>10</v>
      </c>
      <c r="C44" s="14"/>
      <c r="D44" s="15" t="s">
        <v>23</v>
      </c>
      <c r="E44" s="14" t="s">
        <v>43</v>
      </c>
      <c r="F44" s="14" t="s">
        <v>24</v>
      </c>
      <c r="G44" s="14" t="s">
        <v>41</v>
      </c>
      <c r="H44" s="16" t="s">
        <v>42</v>
      </c>
      <c r="I44" s="16" t="s">
        <v>40</v>
      </c>
      <c r="J44" s="16" t="s">
        <v>40</v>
      </c>
      <c r="K44" s="16" t="s">
        <v>40</v>
      </c>
      <c r="L44" s="16" t="s">
        <v>40</v>
      </c>
      <c r="M44" s="16">
        <v>342441.33</v>
      </c>
      <c r="N44" s="16">
        <v>20</v>
      </c>
      <c r="O44" s="10">
        <f t="shared" si="1"/>
        <v>20</v>
      </c>
    </row>
    <row r="45" spans="2:16" ht="14.4" x14ac:dyDescent="0.3">
      <c r="B45" s="14" t="s">
        <v>17</v>
      </c>
      <c r="C45" s="14" t="s">
        <v>45</v>
      </c>
      <c r="D45" s="15" t="s">
        <v>15</v>
      </c>
      <c r="E45" s="14" t="s">
        <v>43</v>
      </c>
      <c r="F45" s="14" t="s">
        <v>5</v>
      </c>
      <c r="G45" s="14" t="s">
        <v>5</v>
      </c>
      <c r="H45" s="16" t="s">
        <v>44</v>
      </c>
      <c r="I45" s="16">
        <v>66810006</v>
      </c>
      <c r="J45" s="16">
        <v>319179.48189044499</v>
      </c>
      <c r="K45" s="16">
        <v>666223.49474104703</v>
      </c>
      <c r="L45" s="16">
        <v>415770.466733407</v>
      </c>
      <c r="M45" s="16">
        <v>23126491052.6297</v>
      </c>
      <c r="N45" s="16">
        <v>348859</v>
      </c>
      <c r="O45" s="10">
        <f t="shared" si="1"/>
        <v>348859</v>
      </c>
    </row>
    <row r="46" spans="2:16" ht="14.4" x14ac:dyDescent="0.3">
      <c r="B46" s="14" t="s">
        <v>12</v>
      </c>
      <c r="C46" s="14"/>
      <c r="D46" s="15" t="s">
        <v>23</v>
      </c>
      <c r="E46" s="14" t="s">
        <v>46</v>
      </c>
      <c r="F46" s="14" t="s">
        <v>24</v>
      </c>
      <c r="G46" s="14" t="s">
        <v>47</v>
      </c>
      <c r="H46" s="16" t="s">
        <v>40</v>
      </c>
      <c r="I46" s="16" t="s">
        <v>40</v>
      </c>
      <c r="J46" s="16" t="s">
        <v>40</v>
      </c>
      <c r="K46" s="16" t="s">
        <v>40</v>
      </c>
      <c r="L46" s="16" t="s">
        <v>40</v>
      </c>
      <c r="M46" s="16">
        <v>3711461931.3614898</v>
      </c>
      <c r="N46" s="16">
        <v>623</v>
      </c>
      <c r="O46" s="10">
        <f t="shared" si="1"/>
        <v>623</v>
      </c>
    </row>
    <row r="47" spans="2:16" ht="14.4" x14ac:dyDescent="0.3">
      <c r="B47" s="14" t="s">
        <v>10</v>
      </c>
      <c r="C47" s="14"/>
      <c r="D47" s="15" t="s">
        <v>23</v>
      </c>
      <c r="E47" s="14" t="s">
        <v>46</v>
      </c>
      <c r="F47" s="14" t="s">
        <v>24</v>
      </c>
      <c r="G47" s="14" t="s">
        <v>47</v>
      </c>
      <c r="H47" s="16" t="s">
        <v>40</v>
      </c>
      <c r="I47" s="16" t="s">
        <v>40</v>
      </c>
      <c r="J47" s="16" t="s">
        <v>40</v>
      </c>
      <c r="K47" s="16" t="s">
        <v>40</v>
      </c>
      <c r="L47" s="16" t="s">
        <v>40</v>
      </c>
      <c r="M47" s="16">
        <v>2867456293.36693</v>
      </c>
      <c r="N47" s="16">
        <v>6502</v>
      </c>
      <c r="O47" s="10">
        <f t="shared" si="1"/>
        <v>6502</v>
      </c>
    </row>
    <row r="48" spans="2:16" ht="14.4" x14ac:dyDescent="0.3">
      <c r="B48" s="14" t="s">
        <v>8</v>
      </c>
      <c r="C48" s="14"/>
      <c r="D48" s="15" t="s">
        <v>19</v>
      </c>
      <c r="E48" s="14" t="s">
        <v>46</v>
      </c>
      <c r="F48" s="14" t="s">
        <v>24</v>
      </c>
      <c r="G48" s="14" t="s">
        <v>47</v>
      </c>
      <c r="H48" s="16" t="s">
        <v>40</v>
      </c>
      <c r="I48" s="16" t="s">
        <v>40</v>
      </c>
      <c r="J48" s="16" t="s">
        <v>40</v>
      </c>
      <c r="K48" s="16" t="s">
        <v>40</v>
      </c>
      <c r="L48" s="16" t="s">
        <v>40</v>
      </c>
      <c r="M48" s="16">
        <v>119379048.48999999</v>
      </c>
      <c r="N48" s="16">
        <v>7</v>
      </c>
      <c r="O48" s="10">
        <f t="shared" si="1"/>
        <v>7</v>
      </c>
    </row>
    <row r="49" spans="2:16" ht="14.4" x14ac:dyDescent="0.3">
      <c r="B49" s="14" t="s">
        <v>17</v>
      </c>
      <c r="C49" s="14"/>
      <c r="D49" s="15" t="s">
        <v>21</v>
      </c>
      <c r="E49" s="14" t="s">
        <v>39</v>
      </c>
      <c r="F49" s="14" t="s">
        <v>5</v>
      </c>
      <c r="G49" s="14" t="s">
        <v>5</v>
      </c>
      <c r="H49" s="14" t="s">
        <v>40</v>
      </c>
      <c r="I49" s="14" t="s">
        <v>40</v>
      </c>
      <c r="J49" t="s">
        <v>40</v>
      </c>
      <c r="K49" t="s">
        <v>40</v>
      </c>
      <c r="L49" t="s">
        <v>40</v>
      </c>
      <c r="M49">
        <v>343315.78</v>
      </c>
      <c r="N49" s="6">
        <v>2</v>
      </c>
      <c r="O49" s="10">
        <f t="shared" si="1"/>
        <v>0</v>
      </c>
    </row>
    <row r="50" spans="2:16" ht="14.4" x14ac:dyDescent="0.3">
      <c r="B50" s="14" t="s">
        <v>8</v>
      </c>
      <c r="C50" s="14"/>
      <c r="D50" s="15" t="s">
        <v>23</v>
      </c>
      <c r="E50" s="14" t="s">
        <v>43</v>
      </c>
      <c r="F50" s="14" t="s">
        <v>24</v>
      </c>
      <c r="G50" s="14" t="s">
        <v>41</v>
      </c>
      <c r="H50" s="14" t="s">
        <v>42</v>
      </c>
      <c r="I50" s="14" t="s">
        <v>40</v>
      </c>
      <c r="J50" t="s">
        <v>40</v>
      </c>
      <c r="K50" t="s">
        <v>40</v>
      </c>
      <c r="L50" t="s">
        <v>40</v>
      </c>
      <c r="M50">
        <v>28959189.199999899</v>
      </c>
      <c r="N50">
        <v>1201</v>
      </c>
      <c r="O50" s="10">
        <f t="shared" si="1"/>
        <v>1201</v>
      </c>
    </row>
    <row r="51" spans="2:16" ht="14.4" x14ac:dyDescent="0.3">
      <c r="B51" s="14" t="s">
        <v>10</v>
      </c>
      <c r="C51" s="14"/>
      <c r="D51" s="15" t="s">
        <v>23</v>
      </c>
      <c r="E51" s="14" t="s">
        <v>39</v>
      </c>
      <c r="F51" s="14" t="s">
        <v>24</v>
      </c>
      <c r="G51" s="14" t="s">
        <v>41</v>
      </c>
      <c r="H51" s="14" t="s">
        <v>40</v>
      </c>
      <c r="I51" s="14" t="s">
        <v>40</v>
      </c>
      <c r="J51" t="s">
        <v>40</v>
      </c>
      <c r="K51" t="s">
        <v>40</v>
      </c>
      <c r="L51" t="s">
        <v>40</v>
      </c>
      <c r="M51">
        <v>4705.05</v>
      </c>
      <c r="N51">
        <v>76</v>
      </c>
      <c r="O51" s="10">
        <f t="shared" si="1"/>
        <v>0</v>
      </c>
    </row>
    <row r="52" spans="2:16" ht="14.4" x14ac:dyDescent="0.3">
      <c r="B52" s="14" t="s">
        <v>8</v>
      </c>
      <c r="C52" s="14" t="s">
        <v>0</v>
      </c>
      <c r="D52" s="15" t="s">
        <v>6</v>
      </c>
      <c r="E52" s="14" t="s">
        <v>46</v>
      </c>
      <c r="F52" s="14" t="s">
        <v>24</v>
      </c>
      <c r="G52" s="14" t="s">
        <v>47</v>
      </c>
      <c r="H52" s="14" t="s">
        <v>40</v>
      </c>
      <c r="I52" s="14" t="s">
        <v>40</v>
      </c>
      <c r="J52" t="s">
        <v>40</v>
      </c>
      <c r="K52" t="s">
        <v>40</v>
      </c>
      <c r="L52" t="s">
        <v>40</v>
      </c>
      <c r="M52">
        <v>24490525.16</v>
      </c>
      <c r="N52">
        <v>6</v>
      </c>
      <c r="O52" s="10">
        <f t="shared" si="1"/>
        <v>6</v>
      </c>
    </row>
    <row r="53" spans="2:16" ht="14.4" x14ac:dyDescent="0.3">
      <c r="B53" s="14" t="s">
        <v>17</v>
      </c>
      <c r="C53" s="14"/>
      <c r="D53" s="15" t="s">
        <v>22</v>
      </c>
      <c r="E53" s="14" t="s">
        <v>39</v>
      </c>
      <c r="F53" s="14" t="s">
        <v>24</v>
      </c>
      <c r="G53" s="14" t="s">
        <v>41</v>
      </c>
      <c r="H53" s="14" t="s">
        <v>42</v>
      </c>
      <c r="I53" s="14" t="s">
        <v>40</v>
      </c>
      <c r="J53" t="s">
        <v>40</v>
      </c>
      <c r="K53" t="s">
        <v>40</v>
      </c>
      <c r="L53" t="s">
        <v>40</v>
      </c>
      <c r="M53">
        <v>8284424.1899999902</v>
      </c>
      <c r="N53" s="6">
        <v>42</v>
      </c>
      <c r="O53" s="10">
        <f t="shared" si="1"/>
        <v>42</v>
      </c>
    </row>
    <row r="54" spans="2:16" ht="14.4" x14ac:dyDescent="0.3">
      <c r="B54" s="14" t="s">
        <v>17</v>
      </c>
      <c r="C54" s="14"/>
      <c r="D54" s="15" t="s">
        <v>22</v>
      </c>
      <c r="E54" s="14" t="s">
        <v>39</v>
      </c>
      <c r="F54" s="14" t="s">
        <v>24</v>
      </c>
      <c r="G54" s="14" t="s">
        <v>41</v>
      </c>
      <c r="H54" s="14" t="s">
        <v>40</v>
      </c>
      <c r="I54" s="14" t="s">
        <v>40</v>
      </c>
      <c r="J54" t="s">
        <v>40</v>
      </c>
      <c r="K54" t="s">
        <v>40</v>
      </c>
      <c r="L54" t="s">
        <v>40</v>
      </c>
      <c r="M54">
        <v>20714.37</v>
      </c>
      <c r="N54">
        <v>42</v>
      </c>
      <c r="O54" s="10">
        <f t="shared" si="1"/>
        <v>0</v>
      </c>
    </row>
    <row r="55" spans="2:16" ht="14.4" x14ac:dyDescent="0.3">
      <c r="B55" s="14" t="s">
        <v>8</v>
      </c>
      <c r="C55" s="14"/>
      <c r="D55" s="15" t="s">
        <v>19</v>
      </c>
      <c r="E55" s="14" t="s">
        <v>39</v>
      </c>
      <c r="F55" s="14" t="s">
        <v>5</v>
      </c>
      <c r="G55" s="14" t="s">
        <v>5</v>
      </c>
      <c r="H55" s="14" t="s">
        <v>44</v>
      </c>
      <c r="I55" s="14">
        <v>13631</v>
      </c>
      <c r="J55">
        <v>174.978817049539</v>
      </c>
      <c r="K55">
        <v>594.64399283398495</v>
      </c>
      <c r="L55">
        <v>769.62280988352495</v>
      </c>
      <c r="M55">
        <v>6599111.5499999896</v>
      </c>
      <c r="N55">
        <v>4</v>
      </c>
      <c r="O55" s="10">
        <f t="shared" si="1"/>
        <v>4</v>
      </c>
    </row>
    <row r="56" spans="2:16" ht="14.4" x14ac:dyDescent="0.3">
      <c r="B56" s="14" t="s">
        <v>17</v>
      </c>
      <c r="C56" s="14"/>
      <c r="D56" s="15" t="s">
        <v>22</v>
      </c>
      <c r="E56" s="14" t="s">
        <v>39</v>
      </c>
      <c r="F56" s="14" t="s">
        <v>5</v>
      </c>
      <c r="G56" s="14" t="s">
        <v>5</v>
      </c>
      <c r="H56" s="14" t="s">
        <v>44</v>
      </c>
      <c r="I56" s="14">
        <v>1460691</v>
      </c>
      <c r="J56">
        <v>12074.094584693799</v>
      </c>
      <c r="K56">
        <v>31148.408700438398</v>
      </c>
      <c r="L56">
        <v>42465.285446528796</v>
      </c>
      <c r="M56">
        <v>6445198.3699999899</v>
      </c>
      <c r="N56">
        <v>8</v>
      </c>
      <c r="O56" s="10">
        <f t="shared" si="1"/>
        <v>8</v>
      </c>
    </row>
    <row r="57" spans="2:16" ht="14.4" x14ac:dyDescent="0.3">
      <c r="B57" s="14" t="s">
        <v>13</v>
      </c>
      <c r="C57" s="14"/>
      <c r="D57" s="15" t="s">
        <v>19</v>
      </c>
      <c r="E57" s="14" t="s">
        <v>46</v>
      </c>
      <c r="F57" s="14" t="s">
        <v>24</v>
      </c>
      <c r="G57" s="14" t="s">
        <v>47</v>
      </c>
      <c r="H57" s="14" t="s">
        <v>40</v>
      </c>
      <c r="I57" s="14" t="s">
        <v>40</v>
      </c>
      <c r="J57" t="s">
        <v>40</v>
      </c>
      <c r="K57" t="s">
        <v>40</v>
      </c>
      <c r="L57" t="s">
        <v>40</v>
      </c>
      <c r="M57">
        <v>5255824.79</v>
      </c>
      <c r="N57">
        <v>10</v>
      </c>
      <c r="O57" s="10">
        <f t="shared" si="1"/>
        <v>10</v>
      </c>
    </row>
    <row r="58" spans="2:16" ht="14.4" x14ac:dyDescent="0.3">
      <c r="B58" s="14" t="s">
        <v>13</v>
      </c>
      <c r="C58" s="14"/>
      <c r="D58" s="15" t="s">
        <v>23</v>
      </c>
      <c r="E58" s="14" t="s">
        <v>39</v>
      </c>
      <c r="F58" s="14" t="s">
        <v>24</v>
      </c>
      <c r="G58" s="14" t="s">
        <v>41</v>
      </c>
      <c r="H58" s="14" t="s">
        <v>42</v>
      </c>
      <c r="I58" s="14" t="s">
        <v>40</v>
      </c>
      <c r="J58" t="s">
        <v>40</v>
      </c>
      <c r="K58" t="s">
        <v>40</v>
      </c>
      <c r="L58" t="s">
        <v>40</v>
      </c>
      <c r="M58">
        <v>478483.09999999899</v>
      </c>
      <c r="N58">
        <v>18</v>
      </c>
      <c r="O58" s="10">
        <f t="shared" si="1"/>
        <v>18</v>
      </c>
    </row>
    <row r="59" spans="2:16" ht="14.4" x14ac:dyDescent="0.3">
      <c r="B59" s="14" t="s">
        <v>17</v>
      </c>
      <c r="C59" s="14"/>
      <c r="D59" s="15" t="s">
        <v>22</v>
      </c>
      <c r="E59" s="14" t="s">
        <v>46</v>
      </c>
      <c r="F59" s="14" t="s">
        <v>24</v>
      </c>
      <c r="G59" s="14" t="s">
        <v>47</v>
      </c>
      <c r="H59" s="14" t="s">
        <v>40</v>
      </c>
      <c r="I59" s="14" t="s">
        <v>40</v>
      </c>
      <c r="J59" t="s">
        <v>40</v>
      </c>
      <c r="K59" t="s">
        <v>40</v>
      </c>
      <c r="L59" t="s">
        <v>40</v>
      </c>
      <c r="M59">
        <v>261603249.921857</v>
      </c>
      <c r="N59">
        <v>52850</v>
      </c>
      <c r="O59" s="10">
        <f t="shared" si="1"/>
        <v>52850</v>
      </c>
      <c r="P59" s="6"/>
    </row>
    <row r="60" spans="2:16" ht="14.4" x14ac:dyDescent="0.3">
      <c r="B60" s="14" t="s">
        <v>8</v>
      </c>
      <c r="C60" s="14"/>
      <c r="D60" s="15" t="s">
        <v>23</v>
      </c>
      <c r="E60" s="14" t="s">
        <v>39</v>
      </c>
      <c r="F60" s="14" t="s">
        <v>24</v>
      </c>
      <c r="G60" s="14" t="s">
        <v>41</v>
      </c>
      <c r="H60" s="14" t="s">
        <v>42</v>
      </c>
      <c r="I60" s="14" t="s">
        <v>40</v>
      </c>
      <c r="J60" t="s">
        <v>40</v>
      </c>
      <c r="K60" t="s">
        <v>40</v>
      </c>
      <c r="L60" t="s">
        <v>40</v>
      </c>
      <c r="M60">
        <v>440792065.25999898</v>
      </c>
      <c r="N60">
        <v>15851</v>
      </c>
      <c r="O60" s="10">
        <f t="shared" si="1"/>
        <v>15851</v>
      </c>
    </row>
    <row r="61" spans="2:16" ht="14.4" x14ac:dyDescent="0.3">
      <c r="B61" s="14" t="s">
        <v>8</v>
      </c>
      <c r="C61" s="14"/>
      <c r="D61" s="15" t="s">
        <v>23</v>
      </c>
      <c r="E61" s="14" t="s">
        <v>46</v>
      </c>
      <c r="F61" s="14" t="s">
        <v>24</v>
      </c>
      <c r="G61" s="14" t="s">
        <v>47</v>
      </c>
      <c r="H61" s="14" t="s">
        <v>40</v>
      </c>
      <c r="I61" s="14" t="s">
        <v>40</v>
      </c>
      <c r="J61" t="s">
        <v>40</v>
      </c>
      <c r="K61" t="s">
        <v>40</v>
      </c>
      <c r="L61" t="s">
        <v>40</v>
      </c>
      <c r="M61">
        <v>9723567591.4468002</v>
      </c>
      <c r="N61">
        <v>310549</v>
      </c>
      <c r="O61" s="10">
        <f t="shared" si="1"/>
        <v>310549</v>
      </c>
    </row>
    <row r="62" spans="2:16" ht="14.4" x14ac:dyDescent="0.3">
      <c r="B62" s="14"/>
      <c r="C62" s="14"/>
      <c r="D62" s="15"/>
      <c r="E62" s="14"/>
      <c r="F62" s="14"/>
      <c r="G62" s="14"/>
      <c r="H62" s="14"/>
      <c r="I62" s="14"/>
    </row>
    <row r="63" spans="2:16" ht="14.4" x14ac:dyDescent="0.3">
      <c r="B63" s="14"/>
      <c r="C63" s="14"/>
      <c r="D63" s="15"/>
      <c r="E63" s="14"/>
      <c r="F63" s="14"/>
      <c r="G63" s="14"/>
      <c r="H63" s="14"/>
      <c r="I63" s="14"/>
    </row>
    <row r="64" spans="2:16" ht="14.4" x14ac:dyDescent="0.3">
      <c r="B64" s="14"/>
      <c r="C64" s="14"/>
      <c r="D64" s="15"/>
      <c r="E64" s="14"/>
      <c r="F64" s="14"/>
      <c r="G64" s="14"/>
      <c r="H64" s="14"/>
      <c r="I64" s="14"/>
    </row>
    <row r="65" spans="2:9" ht="14.4" x14ac:dyDescent="0.3">
      <c r="B65" s="14"/>
      <c r="C65" s="14"/>
      <c r="D65" s="15"/>
      <c r="E65" s="14"/>
      <c r="F65" s="14"/>
      <c r="G65" s="14"/>
      <c r="H65" s="14"/>
      <c r="I65" s="14"/>
    </row>
    <row r="66" spans="2:9" ht="14.4" x14ac:dyDescent="0.3">
      <c r="B66" s="14"/>
      <c r="C66" s="14"/>
      <c r="D66" s="15"/>
      <c r="E66" s="14"/>
      <c r="F66" s="14"/>
      <c r="G66" s="14"/>
      <c r="H66" s="14"/>
      <c r="I66" s="14"/>
    </row>
    <row r="67" spans="2:9" ht="14.4" x14ac:dyDescent="0.3">
      <c r="B67" s="14"/>
      <c r="C67" s="14"/>
      <c r="D67" s="15"/>
      <c r="E67" s="14"/>
      <c r="F67" s="14"/>
      <c r="G67" s="14"/>
      <c r="H67" s="14"/>
      <c r="I67" s="14"/>
    </row>
    <row r="68" spans="2:9" ht="14.4" x14ac:dyDescent="0.3">
      <c r="B68" s="14"/>
      <c r="C68" s="14"/>
      <c r="D68" s="15"/>
      <c r="E68" s="14"/>
      <c r="F68" s="14"/>
      <c r="G68" s="14"/>
      <c r="H68" s="14"/>
      <c r="I68" s="14"/>
    </row>
    <row r="69" spans="2:9" ht="14.4" x14ac:dyDescent="0.3">
      <c r="B69" s="14"/>
      <c r="C69" s="14"/>
      <c r="D69" s="15"/>
      <c r="E69" s="14"/>
      <c r="F69" s="14"/>
      <c r="G69" s="14"/>
      <c r="H69" s="14"/>
      <c r="I69" s="14"/>
    </row>
    <row r="70" spans="2:9" ht="14.4" x14ac:dyDescent="0.3">
      <c r="B70" s="14"/>
      <c r="C70" s="14"/>
      <c r="D70" s="15"/>
      <c r="E70" s="14"/>
      <c r="F70" s="14"/>
      <c r="G70" s="14"/>
      <c r="H70" s="14"/>
      <c r="I70" s="14"/>
    </row>
    <row r="71" spans="2:9" ht="14.4" x14ac:dyDescent="0.3">
      <c r="B71" s="14"/>
      <c r="C71" s="14"/>
      <c r="D71" s="15"/>
      <c r="E71" s="14"/>
      <c r="F71" s="14"/>
      <c r="G71" s="14"/>
      <c r="H71" s="14"/>
      <c r="I71" s="14"/>
    </row>
    <row r="72" spans="2:9" ht="14.4" x14ac:dyDescent="0.3">
      <c r="B72" s="14"/>
      <c r="C72" s="14"/>
      <c r="D72" s="15"/>
      <c r="E72" s="14"/>
      <c r="F72" s="14"/>
      <c r="G72" s="14"/>
      <c r="H72" s="14"/>
      <c r="I72" s="14"/>
    </row>
    <row r="73" spans="2:9" ht="14.4" x14ac:dyDescent="0.3">
      <c r="B73" s="14"/>
      <c r="C73" s="14"/>
      <c r="D73" s="15"/>
      <c r="E73" s="14"/>
      <c r="F73" s="14"/>
      <c r="G73" s="14"/>
      <c r="H73" s="14"/>
      <c r="I73" s="14"/>
    </row>
    <row r="74" spans="2:9" ht="14.4" x14ac:dyDescent="0.3">
      <c r="B74" s="14"/>
      <c r="C74" s="14"/>
      <c r="D74" s="15"/>
      <c r="E74" s="14"/>
      <c r="F74" s="14"/>
      <c r="G74" s="14"/>
      <c r="H74" s="14"/>
      <c r="I74" s="14"/>
    </row>
    <row r="75" spans="2:9" ht="14.4" x14ac:dyDescent="0.3">
      <c r="B75" s="14"/>
      <c r="C75" s="14"/>
      <c r="D75" s="15"/>
      <c r="E75" s="14"/>
      <c r="F75" s="14"/>
      <c r="G75" s="14"/>
      <c r="H75" s="14"/>
      <c r="I75" s="14"/>
    </row>
    <row r="76" spans="2:9" ht="14.4" x14ac:dyDescent="0.3">
      <c r="B76" s="14"/>
      <c r="C76" s="14"/>
      <c r="D76" s="15"/>
      <c r="E76" s="14"/>
      <c r="F76" s="14"/>
      <c r="G76" s="14"/>
      <c r="H76" s="14"/>
      <c r="I76" s="14"/>
    </row>
    <row r="77" spans="2:9" ht="14.4" x14ac:dyDescent="0.3">
      <c r="B77" s="14"/>
      <c r="C77" s="14"/>
      <c r="D77" s="15"/>
      <c r="E77" s="14"/>
      <c r="F77" s="14"/>
      <c r="G77" s="14"/>
      <c r="H77" s="14"/>
      <c r="I77" s="14"/>
    </row>
    <row r="78" spans="2:9" ht="14.4" x14ac:dyDescent="0.3">
      <c r="B78" s="14"/>
      <c r="C78" s="14"/>
      <c r="D78" s="15"/>
      <c r="E78" s="14"/>
      <c r="F78" s="14"/>
      <c r="G78" s="14"/>
      <c r="H78" s="14"/>
      <c r="I78" s="14"/>
    </row>
    <row r="79" spans="2:9" ht="14.4" x14ac:dyDescent="0.3">
      <c r="B79" s="14"/>
      <c r="C79" s="14"/>
      <c r="D79" s="15"/>
      <c r="E79" s="14"/>
      <c r="F79" s="14"/>
      <c r="G79" s="14"/>
      <c r="H79" s="14"/>
      <c r="I79" s="14"/>
    </row>
    <row r="80" spans="2:9" ht="14.4" x14ac:dyDescent="0.3">
      <c r="B80" s="14"/>
      <c r="C80" s="14"/>
      <c r="D80" s="15"/>
      <c r="E80" s="14"/>
      <c r="F80" s="14"/>
      <c r="G80" s="14"/>
      <c r="H80" s="14"/>
      <c r="I80" s="14"/>
    </row>
    <row r="81" spans="2:9" ht="14.4" x14ac:dyDescent="0.3">
      <c r="B81" s="14"/>
      <c r="C81" s="14"/>
      <c r="D81" s="15"/>
      <c r="E81" s="14"/>
      <c r="F81" s="14"/>
      <c r="G81" s="14"/>
      <c r="H81" s="14"/>
      <c r="I81" s="14"/>
    </row>
    <row r="82" spans="2:9" ht="14.4" x14ac:dyDescent="0.3">
      <c r="B82" s="14"/>
      <c r="C82" s="14"/>
      <c r="D82" s="15"/>
      <c r="E82" s="14"/>
      <c r="F82" s="14"/>
      <c r="G82" s="14"/>
      <c r="H82" s="14"/>
      <c r="I82" s="14"/>
    </row>
    <row r="83" spans="2:9" ht="14.4" x14ac:dyDescent="0.3">
      <c r="B83" s="14"/>
      <c r="C83" s="14"/>
      <c r="D83" s="15"/>
      <c r="E83" s="14"/>
      <c r="F83" s="14"/>
      <c r="G83" s="14"/>
      <c r="H83" s="14"/>
      <c r="I83" s="14"/>
    </row>
    <row r="84" spans="2:9" ht="14.4" x14ac:dyDescent="0.3">
      <c r="B84" s="14"/>
      <c r="C84" s="14"/>
      <c r="D84" s="15"/>
      <c r="E84" s="14"/>
      <c r="F84" s="14"/>
      <c r="G84" s="14"/>
      <c r="H84" s="14"/>
      <c r="I84" s="14"/>
    </row>
    <row r="85" spans="2:9" ht="14.4" x14ac:dyDescent="0.3">
      <c r="B85" s="14"/>
      <c r="C85" s="14"/>
      <c r="D85" s="15"/>
      <c r="E85" s="14"/>
      <c r="F85" s="14"/>
      <c r="G85" s="14"/>
      <c r="H85" s="14"/>
      <c r="I85" s="14"/>
    </row>
    <row r="86" spans="2:9" ht="14.4" x14ac:dyDescent="0.3">
      <c r="B86" s="14"/>
      <c r="C86" s="14"/>
      <c r="D86" s="15"/>
      <c r="E86" s="14"/>
      <c r="F86" s="14"/>
      <c r="G86" s="14"/>
      <c r="H86" s="14"/>
      <c r="I86" s="14"/>
    </row>
    <row r="87" spans="2:9" ht="14.4" x14ac:dyDescent="0.3">
      <c r="B87" s="14"/>
      <c r="C87" s="14"/>
      <c r="D87" s="15"/>
      <c r="E87" s="14"/>
      <c r="F87" s="14"/>
      <c r="G87" s="14"/>
      <c r="H87" s="14"/>
      <c r="I87" s="14"/>
    </row>
    <row r="88" spans="2:9" ht="14.4" x14ac:dyDescent="0.3">
      <c r="B88" s="14"/>
      <c r="C88" s="14"/>
      <c r="D88" s="15"/>
      <c r="E88" s="14"/>
      <c r="F88" s="14"/>
      <c r="G88" s="14"/>
      <c r="H88" s="14"/>
      <c r="I88" s="14"/>
    </row>
    <row r="89" spans="2:9" ht="14.4" x14ac:dyDescent="0.3">
      <c r="B89" s="14"/>
      <c r="C89" s="14"/>
      <c r="D89" s="15"/>
      <c r="E89" s="14"/>
      <c r="F89" s="14"/>
      <c r="G89" s="14"/>
      <c r="H89" s="14"/>
      <c r="I89" s="14"/>
    </row>
    <row r="90" spans="2:9" ht="14.4" x14ac:dyDescent="0.3">
      <c r="B90" s="14"/>
      <c r="C90" s="14"/>
      <c r="D90" s="15"/>
      <c r="E90" s="14"/>
      <c r="F90" s="14"/>
      <c r="G90" s="14"/>
      <c r="H90" s="14"/>
      <c r="I90" s="14"/>
    </row>
    <row r="91" spans="2:9" ht="14.4" x14ac:dyDescent="0.3">
      <c r="B91" s="14"/>
      <c r="C91" s="14"/>
      <c r="D91" s="15"/>
      <c r="E91" s="14"/>
      <c r="F91" s="14"/>
      <c r="G91" s="14"/>
      <c r="H91" s="14"/>
      <c r="I91" s="14"/>
    </row>
    <row r="92" spans="2:9" ht="14.4" x14ac:dyDescent="0.3">
      <c r="B92" s="14"/>
      <c r="C92" s="14"/>
      <c r="D92" s="15"/>
      <c r="E92" s="14"/>
      <c r="F92" s="14"/>
      <c r="G92" s="14"/>
      <c r="H92" s="14"/>
      <c r="I92" s="14"/>
    </row>
    <row r="93" spans="2:9" ht="14.4" x14ac:dyDescent="0.3">
      <c r="B93" s="14"/>
      <c r="C93" s="14"/>
      <c r="D93" s="15"/>
      <c r="E93" s="14"/>
      <c r="F93" s="14"/>
      <c r="G93" s="14"/>
      <c r="H93" s="14"/>
      <c r="I93" s="14"/>
    </row>
    <row r="94" spans="2:9" ht="14.4" x14ac:dyDescent="0.3">
      <c r="B94" s="14"/>
      <c r="C94" s="14"/>
      <c r="D94" s="15"/>
      <c r="E94" s="14"/>
      <c r="F94" s="14"/>
      <c r="G94" s="14"/>
      <c r="H94" s="14"/>
      <c r="I94" s="14"/>
    </row>
    <row r="95" spans="2:9" ht="14.4" x14ac:dyDescent="0.3">
      <c r="B95" s="14"/>
      <c r="C95" s="14"/>
      <c r="D95" s="15"/>
      <c r="E95" s="14"/>
      <c r="F95" s="14"/>
      <c r="G95" s="14"/>
      <c r="H95" s="14"/>
      <c r="I95" s="14"/>
    </row>
    <row r="96" spans="2:9" ht="14.4" x14ac:dyDescent="0.3">
      <c r="B96" s="14"/>
      <c r="C96" s="14"/>
      <c r="D96" s="15"/>
      <c r="E96" s="14"/>
      <c r="F96" s="14"/>
      <c r="G96" s="14"/>
      <c r="H96" s="14"/>
      <c r="I96" s="14"/>
    </row>
    <row r="97" spans="2:9" ht="14.4" x14ac:dyDescent="0.3">
      <c r="B97" s="14"/>
      <c r="C97" s="14"/>
      <c r="D97" s="15"/>
      <c r="E97" s="14"/>
      <c r="F97" s="14"/>
      <c r="G97" s="14"/>
      <c r="H97" s="14"/>
      <c r="I97" s="14"/>
    </row>
    <row r="98" spans="2:9" ht="14.4" x14ac:dyDescent="0.3">
      <c r="B98" s="14"/>
      <c r="C98" s="14"/>
      <c r="D98" s="15"/>
      <c r="E98" s="14"/>
      <c r="F98" s="14"/>
      <c r="G98" s="14"/>
      <c r="H98" s="14"/>
      <c r="I98" s="14"/>
    </row>
    <row r="99" spans="2:9" ht="14.4" x14ac:dyDescent="0.3">
      <c r="B99" s="14"/>
      <c r="C99" s="14"/>
      <c r="D99" s="15"/>
      <c r="E99" s="14"/>
      <c r="F99" s="14"/>
      <c r="G99" s="14"/>
      <c r="H99" s="14"/>
      <c r="I99" s="14"/>
    </row>
    <row r="100" spans="2:9" ht="14.4" x14ac:dyDescent="0.3">
      <c r="B100" s="14"/>
      <c r="C100" s="14"/>
      <c r="D100" s="15"/>
      <c r="E100" s="14"/>
      <c r="F100" s="14"/>
      <c r="G100" s="14"/>
      <c r="H100" s="14"/>
      <c r="I100" s="14"/>
    </row>
    <row r="101" spans="2:9" ht="14.4" x14ac:dyDescent="0.3">
      <c r="B101" s="14"/>
      <c r="C101" s="14"/>
      <c r="D101" s="15"/>
      <c r="E101" s="14"/>
      <c r="F101" s="14"/>
      <c r="G101" s="14"/>
      <c r="H101" s="14"/>
      <c r="I101" s="14"/>
    </row>
    <row r="102" spans="2:9" ht="14.4" x14ac:dyDescent="0.3">
      <c r="B102" s="14"/>
      <c r="C102" s="14"/>
      <c r="D102" s="15"/>
      <c r="E102" s="14"/>
      <c r="F102" s="14"/>
      <c r="G102" s="14"/>
      <c r="H102" s="14"/>
      <c r="I102" s="14"/>
    </row>
    <row r="103" spans="2:9" ht="14.4" x14ac:dyDescent="0.3">
      <c r="B103" s="14"/>
      <c r="C103" s="14"/>
      <c r="D103" s="15"/>
      <c r="E103" s="14"/>
      <c r="F103" s="14"/>
      <c r="G103" s="14"/>
      <c r="H103" s="14"/>
      <c r="I103" s="14"/>
    </row>
    <row r="104" spans="2:9" ht="14.4" x14ac:dyDescent="0.3">
      <c r="B104" s="14"/>
      <c r="C104" s="14"/>
      <c r="D104" s="15"/>
      <c r="E104" s="14"/>
      <c r="F104" s="14"/>
      <c r="G104" s="14"/>
      <c r="H104" s="14"/>
      <c r="I104" s="14"/>
    </row>
    <row r="105" spans="2:9" ht="14.4" x14ac:dyDescent="0.3">
      <c r="B105" s="14"/>
      <c r="C105" s="14"/>
      <c r="D105" s="15"/>
      <c r="E105" s="14"/>
      <c r="F105" s="14"/>
      <c r="G105" s="14"/>
      <c r="H105" s="14"/>
      <c r="I105" s="14"/>
    </row>
    <row r="106" spans="2:9" ht="14.4" x14ac:dyDescent="0.3">
      <c r="B106" s="14"/>
      <c r="C106" s="14"/>
      <c r="D106" s="15"/>
      <c r="E106" s="14"/>
      <c r="F106" s="14"/>
      <c r="G106" s="14"/>
      <c r="H106" s="14"/>
      <c r="I106" s="14"/>
    </row>
    <row r="107" spans="2:9" ht="14.4" x14ac:dyDescent="0.3">
      <c r="B107" s="14"/>
      <c r="C107" s="14"/>
      <c r="D107" s="15"/>
      <c r="E107" s="14"/>
      <c r="F107" s="14"/>
      <c r="G107" s="14"/>
      <c r="H107" s="14"/>
      <c r="I107" s="14"/>
    </row>
    <row r="108" spans="2:9" ht="14.4" x14ac:dyDescent="0.3">
      <c r="B108" s="14"/>
      <c r="C108" s="14"/>
      <c r="D108" s="15"/>
      <c r="E108" s="14"/>
      <c r="F108" s="14"/>
      <c r="G108" s="14"/>
      <c r="H108" s="14"/>
      <c r="I108" s="14"/>
    </row>
    <row r="109" spans="2:9" ht="14.4" x14ac:dyDescent="0.3">
      <c r="B109" s="14"/>
      <c r="C109" s="14"/>
      <c r="D109" s="15"/>
      <c r="E109" s="14"/>
      <c r="F109" s="14"/>
      <c r="G109" s="14"/>
      <c r="H109" s="14"/>
      <c r="I109" s="14"/>
    </row>
    <row r="110" spans="2:9" ht="14.4" x14ac:dyDescent="0.3">
      <c r="B110" s="14"/>
      <c r="C110" s="14"/>
      <c r="D110" s="15"/>
      <c r="E110" s="14"/>
      <c r="F110" s="14"/>
      <c r="G110" s="14"/>
      <c r="H110" s="14"/>
      <c r="I110" s="14"/>
    </row>
    <row r="111" spans="2:9" ht="14.4" x14ac:dyDescent="0.3">
      <c r="B111" s="14"/>
      <c r="C111" s="14"/>
      <c r="D111" s="15"/>
      <c r="E111" s="14"/>
      <c r="F111" s="14"/>
      <c r="G111" s="14"/>
      <c r="H111" s="14"/>
      <c r="I111" s="14"/>
    </row>
    <row r="112" spans="2:9" ht="14.4" x14ac:dyDescent="0.3">
      <c r="B112" s="14"/>
      <c r="C112" s="14"/>
      <c r="D112" s="15"/>
      <c r="E112" s="14"/>
      <c r="F112" s="14"/>
      <c r="G112" s="14"/>
      <c r="H112" s="14"/>
      <c r="I112" s="14"/>
    </row>
    <row r="113" spans="2:9" ht="14.4" x14ac:dyDescent="0.3">
      <c r="B113" s="14"/>
      <c r="C113" s="14"/>
      <c r="D113" s="15"/>
      <c r="E113" s="14"/>
      <c r="F113" s="14"/>
      <c r="G113" s="14"/>
      <c r="H113" s="14"/>
      <c r="I113" s="14"/>
    </row>
    <row r="114" spans="2:9" ht="14.4" x14ac:dyDescent="0.3">
      <c r="B114" s="14"/>
      <c r="C114" s="14"/>
      <c r="D114" s="15"/>
      <c r="E114" s="14"/>
      <c r="F114" s="14"/>
      <c r="G114" s="14"/>
      <c r="H114" s="14"/>
      <c r="I114" s="14"/>
    </row>
    <row r="115" spans="2:9" ht="14.4" x14ac:dyDescent="0.3">
      <c r="B115" s="14"/>
      <c r="C115" s="14"/>
      <c r="D115" s="15"/>
      <c r="E115" s="14"/>
      <c r="F115" s="14"/>
      <c r="G115" s="14"/>
      <c r="H115" s="14"/>
      <c r="I115" s="14"/>
    </row>
    <row r="116" spans="2:9" ht="14.4" x14ac:dyDescent="0.3">
      <c r="B116" s="14"/>
      <c r="C116" s="14"/>
      <c r="D116" s="15"/>
      <c r="E116" s="14"/>
      <c r="F116" s="14"/>
      <c r="G116" s="14"/>
      <c r="H116" s="14"/>
      <c r="I116" s="14"/>
    </row>
    <row r="117" spans="2:9" ht="14.4" x14ac:dyDescent="0.3">
      <c r="B117" s="14"/>
      <c r="C117" s="14"/>
      <c r="D117" s="15"/>
      <c r="E117" s="14"/>
      <c r="F117" s="14"/>
      <c r="G117" s="14"/>
      <c r="H117" s="14"/>
      <c r="I117" s="14"/>
    </row>
    <row r="118" spans="2:9" ht="14.4" x14ac:dyDescent="0.3">
      <c r="B118" s="14"/>
      <c r="C118" s="14"/>
      <c r="D118" s="15"/>
      <c r="E118" s="14"/>
      <c r="F118" s="14"/>
      <c r="G118" s="14"/>
      <c r="H118" s="14"/>
      <c r="I118" s="14"/>
    </row>
    <row r="119" spans="2:9" ht="14.4" x14ac:dyDescent="0.3">
      <c r="B119" s="14"/>
      <c r="C119" s="14"/>
      <c r="D119" s="15"/>
      <c r="E119" s="14"/>
      <c r="F119" s="14"/>
      <c r="G119" s="14"/>
      <c r="H119" s="14"/>
      <c r="I119" s="14"/>
    </row>
    <row r="120" spans="2:9" ht="14.4" x14ac:dyDescent="0.3">
      <c r="B120" s="14"/>
      <c r="C120" s="14"/>
      <c r="D120" s="15"/>
      <c r="E120" s="14"/>
      <c r="F120" s="14"/>
      <c r="G120" s="14"/>
      <c r="H120" s="14"/>
      <c r="I120" s="14"/>
    </row>
    <row r="121" spans="2:9" ht="14.4" x14ac:dyDescent="0.3">
      <c r="B121" s="14"/>
      <c r="C121" s="14"/>
      <c r="D121" s="15"/>
      <c r="E121" s="14"/>
      <c r="F121" s="14"/>
      <c r="G121" s="14"/>
      <c r="H121" s="14"/>
      <c r="I121" s="14"/>
    </row>
    <row r="122" spans="2:9" ht="14.4" x14ac:dyDescent="0.3">
      <c r="B122" s="14"/>
      <c r="C122" s="14"/>
      <c r="D122" s="15"/>
      <c r="E122" s="14"/>
      <c r="F122" s="14"/>
      <c r="G122" s="14"/>
      <c r="H122" s="14"/>
      <c r="I122" s="14"/>
    </row>
    <row r="123" spans="2:9" ht="14.4" x14ac:dyDescent="0.3">
      <c r="B123" s="14"/>
      <c r="C123" s="14"/>
      <c r="D123" s="15"/>
      <c r="E123" s="14"/>
      <c r="F123" s="14"/>
      <c r="G123" s="14"/>
      <c r="H123" s="14"/>
      <c r="I123" s="14"/>
    </row>
    <row r="124" spans="2:9" ht="14.4" x14ac:dyDescent="0.3">
      <c r="B124" s="17"/>
      <c r="C124" s="17"/>
      <c r="D124" s="18"/>
      <c r="E124" s="17"/>
      <c r="F124" s="17"/>
      <c r="G124" s="17"/>
      <c r="H124" s="17"/>
      <c r="I124" s="17"/>
    </row>
    <row r="125" spans="2:9" ht="14.4" x14ac:dyDescent="0.3">
      <c r="D125" s="19"/>
    </row>
    <row r="126" spans="2:9" ht="14.4" hidden="1" x14ac:dyDescent="0.3">
      <c r="D126" s="19"/>
    </row>
    <row r="127" spans="2:9" ht="14.4" hidden="1" x14ac:dyDescent="0.3">
      <c r="D127" s="19"/>
    </row>
    <row r="128" spans="2:9" ht="14.4" hidden="1" x14ac:dyDescent="0.3">
      <c r="D128" s="19"/>
    </row>
    <row r="129" spans="4:4" ht="14.4" hidden="1" x14ac:dyDescent="0.3">
      <c r="D129" s="19"/>
    </row>
    <row r="130" spans="4:4" ht="14.4" hidden="1" x14ac:dyDescent="0.3">
      <c r="D130" s="19"/>
    </row>
    <row r="131" spans="4:4" ht="14.4" hidden="1" x14ac:dyDescent="0.3">
      <c r="D131" s="19"/>
    </row>
    <row r="132" spans="4:4" ht="14.4" hidden="1" x14ac:dyDescent="0.3">
      <c r="D132" s="19"/>
    </row>
    <row r="133" spans="4:4" ht="14.4" hidden="1" x14ac:dyDescent="0.3">
      <c r="D133" s="19"/>
    </row>
    <row r="134" spans="4:4" ht="14.4" hidden="1" x14ac:dyDescent="0.3">
      <c r="D134" s="19"/>
    </row>
    <row r="135" spans="4:4" ht="14.4" hidden="1" x14ac:dyDescent="0.3">
      <c r="D135" s="19"/>
    </row>
    <row r="136" spans="4:4" ht="14.4" hidden="1" x14ac:dyDescent="0.3">
      <c r="D136" s="19"/>
    </row>
    <row r="137" spans="4:4" ht="14.4" hidden="1" x14ac:dyDescent="0.3">
      <c r="D137" s="19"/>
    </row>
    <row r="138" spans="4:4" ht="14.4" hidden="1" x14ac:dyDescent="0.3">
      <c r="D138" s="19"/>
    </row>
    <row r="139" spans="4:4" ht="14.4" hidden="1" x14ac:dyDescent="0.3">
      <c r="D139" s="19"/>
    </row>
    <row r="140" spans="4:4" ht="14.4" hidden="1" x14ac:dyDescent="0.3">
      <c r="D140" s="19"/>
    </row>
    <row r="141" spans="4:4" ht="14.4" hidden="1" x14ac:dyDescent="0.3">
      <c r="D141" s="19"/>
    </row>
    <row r="142" spans="4:4" ht="14.4" hidden="1" x14ac:dyDescent="0.3">
      <c r="D142" s="19"/>
    </row>
    <row r="143" spans="4:4" ht="14.4" hidden="1" x14ac:dyDescent="0.3">
      <c r="D143" s="19"/>
    </row>
    <row r="144" spans="4:4" ht="14.4" hidden="1" x14ac:dyDescent="0.3">
      <c r="D144" s="19"/>
    </row>
    <row r="145" spans="4:4" ht="14.4" hidden="1" x14ac:dyDescent="0.3">
      <c r="D145" s="19"/>
    </row>
    <row r="146" spans="4:4" ht="14.4" hidden="1" x14ac:dyDescent="0.3">
      <c r="D146" s="19"/>
    </row>
    <row r="147" spans="4:4" ht="14.4" hidden="1" x14ac:dyDescent="0.3">
      <c r="D147" s="19"/>
    </row>
    <row r="148" spans="4:4" ht="14.4" hidden="1" x14ac:dyDescent="0.3">
      <c r="D148" s="19"/>
    </row>
    <row r="149" spans="4:4" ht="14.4" hidden="1" x14ac:dyDescent="0.3">
      <c r="D149" s="19"/>
    </row>
    <row r="150" spans="4:4" ht="14.4" hidden="1" x14ac:dyDescent="0.3">
      <c r="D150" s="19"/>
    </row>
    <row r="151" spans="4:4" ht="14.4" hidden="1" x14ac:dyDescent="0.3">
      <c r="D151" s="19"/>
    </row>
    <row r="152" spans="4:4" ht="14.4" hidden="1" x14ac:dyDescent="0.3">
      <c r="D152" s="19"/>
    </row>
    <row r="153" spans="4:4" ht="14.4" hidden="1" x14ac:dyDescent="0.3">
      <c r="D153" s="19"/>
    </row>
    <row r="154" spans="4:4" ht="14.4" hidden="1" x14ac:dyDescent="0.3">
      <c r="D154" s="19"/>
    </row>
    <row r="155" spans="4:4" ht="14.4" hidden="1" x14ac:dyDescent="0.3">
      <c r="D155" s="19"/>
    </row>
    <row r="156" spans="4:4" ht="14.4" hidden="1" x14ac:dyDescent="0.3">
      <c r="D156" s="19"/>
    </row>
    <row r="157" spans="4:4" ht="14.4" hidden="1" x14ac:dyDescent="0.3">
      <c r="D157" s="19"/>
    </row>
    <row r="158" spans="4:4" ht="14.4" hidden="1" x14ac:dyDescent="0.3">
      <c r="D158" s="19"/>
    </row>
    <row r="159" spans="4:4" ht="14.4" hidden="1" x14ac:dyDescent="0.3">
      <c r="D159" s="19"/>
    </row>
    <row r="160" spans="4:4" ht="14.4" hidden="1" x14ac:dyDescent="0.3">
      <c r="D160" s="19"/>
    </row>
    <row r="161" spans="4:4" ht="14.4" hidden="1" x14ac:dyDescent="0.3">
      <c r="D161" s="19"/>
    </row>
    <row r="162" spans="4:4" ht="14.4" hidden="1" x14ac:dyDescent="0.3">
      <c r="D162" s="19"/>
    </row>
    <row r="163" spans="4:4" ht="14.4" hidden="1" x14ac:dyDescent="0.3">
      <c r="D163" s="19"/>
    </row>
    <row r="164" spans="4:4" ht="14.4" hidden="1" x14ac:dyDescent="0.3">
      <c r="D164" s="19"/>
    </row>
    <row r="165" spans="4:4" ht="14.4" hidden="1" x14ac:dyDescent="0.3">
      <c r="D165" s="19"/>
    </row>
    <row r="166" spans="4:4" ht="14.4" hidden="1" x14ac:dyDescent="0.3">
      <c r="D166" s="19"/>
    </row>
    <row r="167" spans="4:4" ht="14.4" hidden="1" x14ac:dyDescent="0.3">
      <c r="D167" s="19"/>
    </row>
    <row r="168" spans="4:4" ht="14.4" hidden="1" x14ac:dyDescent="0.3">
      <c r="D168" s="19"/>
    </row>
    <row r="169" spans="4:4" ht="14.4" hidden="1" x14ac:dyDescent="0.3">
      <c r="D169" s="19"/>
    </row>
    <row r="170" spans="4:4" ht="14.4" hidden="1" x14ac:dyDescent="0.3">
      <c r="D170" s="19"/>
    </row>
    <row r="171" spans="4:4" ht="14.4" hidden="1" x14ac:dyDescent="0.3">
      <c r="D171" s="19"/>
    </row>
    <row r="172" spans="4:4" ht="14.4" hidden="1" x14ac:dyDescent="0.3">
      <c r="D172" s="19"/>
    </row>
    <row r="173" spans="4:4" ht="14.4" hidden="1" x14ac:dyDescent="0.3">
      <c r="D173" s="19"/>
    </row>
    <row r="174" spans="4:4" ht="14.4" hidden="1" x14ac:dyDescent="0.3">
      <c r="D174" s="19"/>
    </row>
    <row r="175" spans="4:4" ht="14.4" hidden="1" x14ac:dyDescent="0.3">
      <c r="D175" s="19"/>
    </row>
    <row r="176" spans="4:4" ht="14.4" hidden="1" x14ac:dyDescent="0.3">
      <c r="D176" s="19"/>
    </row>
    <row r="177" spans="4:4" ht="14.4" hidden="1" x14ac:dyDescent="0.3">
      <c r="D177" s="19"/>
    </row>
    <row r="178" spans="4:4" ht="14.4" hidden="1" x14ac:dyDescent="0.3">
      <c r="D178" s="19"/>
    </row>
    <row r="179" spans="4:4" ht="14.4" hidden="1" x14ac:dyDescent="0.3">
      <c r="D179" s="19"/>
    </row>
    <row r="180" spans="4:4" ht="14.4" hidden="1" x14ac:dyDescent="0.3">
      <c r="D180" s="19"/>
    </row>
    <row r="181" spans="4:4" ht="14.4" hidden="1" x14ac:dyDescent="0.3">
      <c r="D181" s="19"/>
    </row>
    <row r="182" spans="4:4" ht="14.4" hidden="1" x14ac:dyDescent="0.3">
      <c r="D182" s="19"/>
    </row>
    <row r="183" spans="4:4" ht="14.4" hidden="1" x14ac:dyDescent="0.3">
      <c r="D183" s="19"/>
    </row>
    <row r="184" spans="4:4" ht="14.4" hidden="1" x14ac:dyDescent="0.3">
      <c r="D184" s="19"/>
    </row>
    <row r="185" spans="4:4" ht="14.4" hidden="1" x14ac:dyDescent="0.3">
      <c r="D185" s="19"/>
    </row>
    <row r="186" spans="4:4" ht="14.4" hidden="1" x14ac:dyDescent="0.3">
      <c r="D186" s="19"/>
    </row>
    <row r="187" spans="4:4" ht="14.4" hidden="1" x14ac:dyDescent="0.3">
      <c r="D187" s="19"/>
    </row>
    <row r="188" spans="4:4" ht="14.4" hidden="1" x14ac:dyDescent="0.3">
      <c r="D188" s="19"/>
    </row>
    <row r="189" spans="4:4" ht="14.4" hidden="1" x14ac:dyDescent="0.3">
      <c r="D189" s="19"/>
    </row>
    <row r="190" spans="4:4" ht="14.4" hidden="1" x14ac:dyDescent="0.3">
      <c r="D190" s="19"/>
    </row>
    <row r="191" spans="4:4" ht="14.4" hidden="1" x14ac:dyDescent="0.3">
      <c r="D191" s="19"/>
    </row>
    <row r="192" spans="4:4" ht="14.4" hidden="1" x14ac:dyDescent="0.3">
      <c r="D192" s="19"/>
    </row>
    <row r="193" spans="4:4" ht="14.4" hidden="1" x14ac:dyDescent="0.3">
      <c r="D193" s="19"/>
    </row>
    <row r="194" spans="4:4" ht="14.4" hidden="1" x14ac:dyDescent="0.3">
      <c r="D194" s="19"/>
    </row>
    <row r="195" spans="4:4" ht="14.4" hidden="1" x14ac:dyDescent="0.3">
      <c r="D195" s="19"/>
    </row>
    <row r="196" spans="4:4" ht="14.4" hidden="1" x14ac:dyDescent="0.3">
      <c r="D196" s="19"/>
    </row>
    <row r="197" spans="4:4" ht="14.4" hidden="1" x14ac:dyDescent="0.3">
      <c r="D197" s="19"/>
    </row>
    <row r="198" spans="4:4" ht="14.4" hidden="1" x14ac:dyDescent="0.3">
      <c r="D198" s="19"/>
    </row>
    <row r="199" spans="4:4" ht="14.4" hidden="1" x14ac:dyDescent="0.3">
      <c r="D199" s="19"/>
    </row>
    <row r="200" spans="4:4" ht="14.4" hidden="1" x14ac:dyDescent="0.3">
      <c r="D200" s="19"/>
    </row>
    <row r="201" spans="4:4" ht="14.4" hidden="1" x14ac:dyDescent="0.3">
      <c r="D201" s="19"/>
    </row>
    <row r="202" spans="4:4" ht="14.4" hidden="1" x14ac:dyDescent="0.3">
      <c r="D202" s="19"/>
    </row>
    <row r="203" spans="4:4" ht="14.4" hidden="1" x14ac:dyDescent="0.3">
      <c r="D203" s="19"/>
    </row>
    <row r="204" spans="4:4" ht="14.4" hidden="1" x14ac:dyDescent="0.3">
      <c r="D204" s="19"/>
    </row>
    <row r="205" spans="4:4" ht="14.4" hidden="1" x14ac:dyDescent="0.3">
      <c r="D205" s="19"/>
    </row>
    <row r="206" spans="4:4" ht="14.4" hidden="1" x14ac:dyDescent="0.3">
      <c r="D206" s="19"/>
    </row>
    <row r="207" spans="4:4" ht="14.4" hidden="1" x14ac:dyDescent="0.3">
      <c r="D207" s="19"/>
    </row>
    <row r="208" spans="4:4" ht="14.4" hidden="1" x14ac:dyDescent="0.3">
      <c r="D208" s="19"/>
    </row>
    <row r="209" spans="4:4" ht="14.4" hidden="1" x14ac:dyDescent="0.3">
      <c r="D209" s="19"/>
    </row>
    <row r="210" spans="4:4" ht="14.4" hidden="1" x14ac:dyDescent="0.3">
      <c r="D210" s="19"/>
    </row>
    <row r="211" spans="4:4" ht="14.4" hidden="1" x14ac:dyDescent="0.3">
      <c r="D211" s="19"/>
    </row>
    <row r="212" spans="4:4" ht="14.4" hidden="1" x14ac:dyDescent="0.3">
      <c r="D212" s="19"/>
    </row>
    <row r="213" spans="4:4" ht="14.4" hidden="1" x14ac:dyDescent="0.3">
      <c r="D213" s="19"/>
    </row>
    <row r="214" spans="4:4" ht="14.4" hidden="1" x14ac:dyDescent="0.3">
      <c r="D214" s="19"/>
    </row>
    <row r="215" spans="4:4" ht="14.4" hidden="1" x14ac:dyDescent="0.3">
      <c r="D215" s="19"/>
    </row>
    <row r="216" spans="4:4" ht="14.4" hidden="1" x14ac:dyDescent="0.3">
      <c r="D216" s="19"/>
    </row>
    <row r="217" spans="4:4" ht="14.4" hidden="1" x14ac:dyDescent="0.3">
      <c r="D217" s="19"/>
    </row>
    <row r="218" spans="4:4" ht="14.4" hidden="1" x14ac:dyDescent="0.3">
      <c r="D218" s="19"/>
    </row>
    <row r="219" spans="4:4" ht="14.4" hidden="1" x14ac:dyDescent="0.3">
      <c r="D219" s="19"/>
    </row>
    <row r="220" spans="4:4" ht="14.4" hidden="1" x14ac:dyDescent="0.3">
      <c r="D220" s="19"/>
    </row>
    <row r="221" spans="4:4" ht="14.4" hidden="1" x14ac:dyDescent="0.3">
      <c r="D221" s="19"/>
    </row>
    <row r="222" spans="4:4" ht="14.4" hidden="1" x14ac:dyDescent="0.3">
      <c r="D222" s="19"/>
    </row>
    <row r="223" spans="4:4" ht="14.4" hidden="1" x14ac:dyDescent="0.3">
      <c r="D223" s="19"/>
    </row>
    <row r="224" spans="4:4" ht="14.4" hidden="1" x14ac:dyDescent="0.3">
      <c r="D224" s="19"/>
    </row>
    <row r="225" spans="4:4" ht="14.4" hidden="1" x14ac:dyDescent="0.3">
      <c r="D225" s="19"/>
    </row>
    <row r="226" spans="4:4" ht="14.4" hidden="1" x14ac:dyDescent="0.3">
      <c r="D226" s="19"/>
    </row>
    <row r="227" spans="4:4" ht="14.4" hidden="1" x14ac:dyDescent="0.3">
      <c r="D227" s="19"/>
    </row>
    <row r="228" spans="4:4" ht="14.4" hidden="1" x14ac:dyDescent="0.3">
      <c r="D228" s="19"/>
    </row>
    <row r="229" spans="4:4" ht="14.4" hidden="1" x14ac:dyDescent="0.3">
      <c r="D229" s="19"/>
    </row>
    <row r="230" spans="4:4" ht="14.4" hidden="1" x14ac:dyDescent="0.3">
      <c r="D230" s="19"/>
    </row>
    <row r="231" spans="4:4" ht="14.4" hidden="1" x14ac:dyDescent="0.3">
      <c r="D231" s="19"/>
    </row>
    <row r="232" spans="4:4" ht="14.4" hidden="1" x14ac:dyDescent="0.3">
      <c r="D232" s="19"/>
    </row>
    <row r="233" spans="4:4" ht="14.4" hidden="1" x14ac:dyDescent="0.3">
      <c r="D233" s="19"/>
    </row>
    <row r="234" spans="4:4" ht="14.4" hidden="1" x14ac:dyDescent="0.3">
      <c r="D234" s="19"/>
    </row>
    <row r="235" spans="4:4" ht="14.4" hidden="1" x14ac:dyDescent="0.3">
      <c r="D235" s="19"/>
    </row>
    <row r="236" spans="4:4" ht="14.4" hidden="1" x14ac:dyDescent="0.3">
      <c r="D236" s="19"/>
    </row>
    <row r="237" spans="4:4" ht="14.4" hidden="1" x14ac:dyDescent="0.3">
      <c r="D237" s="19"/>
    </row>
    <row r="238" spans="4:4" ht="14.4" hidden="1" x14ac:dyDescent="0.3">
      <c r="D238" s="19"/>
    </row>
    <row r="239" spans="4:4" ht="14.4" hidden="1" x14ac:dyDescent="0.3">
      <c r="D239" s="19"/>
    </row>
    <row r="240" spans="4:4" ht="14.4" hidden="1" x14ac:dyDescent="0.3">
      <c r="D240" s="19"/>
    </row>
    <row r="241" spans="4:4" ht="14.4" hidden="1" x14ac:dyDescent="0.3">
      <c r="D241" s="19"/>
    </row>
    <row r="242" spans="4:4" ht="14.4" hidden="1" x14ac:dyDescent="0.3">
      <c r="D242" s="19"/>
    </row>
    <row r="243" spans="4:4" ht="14.4" hidden="1" x14ac:dyDescent="0.3">
      <c r="D243" s="19"/>
    </row>
    <row r="244" spans="4:4" ht="14.4" hidden="1" x14ac:dyDescent="0.3">
      <c r="D244" s="19"/>
    </row>
    <row r="245" spans="4:4" ht="14.4" hidden="1" x14ac:dyDescent="0.3">
      <c r="D245" s="19"/>
    </row>
    <row r="246" spans="4:4" ht="14.4" hidden="1" x14ac:dyDescent="0.3">
      <c r="D246" s="19"/>
    </row>
    <row r="247" spans="4:4" ht="14.4" hidden="1" x14ac:dyDescent="0.3">
      <c r="D247" s="19"/>
    </row>
    <row r="248" spans="4:4" ht="14.4" hidden="1" x14ac:dyDescent="0.3">
      <c r="D248" s="19"/>
    </row>
    <row r="249" spans="4:4" ht="14.4" hidden="1" x14ac:dyDescent="0.3">
      <c r="D249" s="19"/>
    </row>
    <row r="250" spans="4:4" ht="14.4" hidden="1" x14ac:dyDescent="0.3">
      <c r="D250" s="19"/>
    </row>
    <row r="251" spans="4:4" ht="14.4" hidden="1" x14ac:dyDescent="0.3">
      <c r="D251" s="19"/>
    </row>
    <row r="252" spans="4:4" ht="14.4" hidden="1" x14ac:dyDescent="0.3">
      <c r="D252" s="19"/>
    </row>
    <row r="253" spans="4:4" ht="14.4" hidden="1" x14ac:dyDescent="0.3">
      <c r="D253" s="19"/>
    </row>
    <row r="254" spans="4:4" ht="14.4" hidden="1" x14ac:dyDescent="0.3">
      <c r="D254" s="19"/>
    </row>
    <row r="255" spans="4:4" ht="14.4" hidden="1" x14ac:dyDescent="0.3">
      <c r="D255" s="19"/>
    </row>
    <row r="256" spans="4:4" ht="14.4" hidden="1" x14ac:dyDescent="0.3">
      <c r="D256" s="19"/>
    </row>
    <row r="257" spans="4:4" ht="14.4" hidden="1" x14ac:dyDescent="0.3">
      <c r="D257" s="19"/>
    </row>
    <row r="258" spans="4:4" ht="14.4" hidden="1" x14ac:dyDescent="0.3">
      <c r="D258" s="19"/>
    </row>
    <row r="259" spans="4:4" ht="14.4" hidden="1" x14ac:dyDescent="0.3">
      <c r="D259" s="19"/>
    </row>
    <row r="260" spans="4:4" ht="14.4" hidden="1" x14ac:dyDescent="0.3">
      <c r="D260" s="19"/>
    </row>
    <row r="261" spans="4:4" ht="14.4" hidden="1" x14ac:dyDescent="0.3">
      <c r="D261" s="19"/>
    </row>
    <row r="262" spans="4:4" ht="14.4" hidden="1" x14ac:dyDescent="0.3">
      <c r="D262" s="19"/>
    </row>
    <row r="263" spans="4:4" ht="14.4" hidden="1" x14ac:dyDescent="0.3">
      <c r="D263" s="19"/>
    </row>
    <row r="264" spans="4:4" ht="14.4" hidden="1" x14ac:dyDescent="0.3">
      <c r="D264" s="19"/>
    </row>
    <row r="265" spans="4:4" ht="14.4" hidden="1" x14ac:dyDescent="0.3">
      <c r="D265" s="19"/>
    </row>
    <row r="266" spans="4:4" ht="14.4" hidden="1" x14ac:dyDescent="0.3">
      <c r="D266" s="19"/>
    </row>
    <row r="267" spans="4:4" ht="14.4" hidden="1" x14ac:dyDescent="0.3">
      <c r="D267" s="19"/>
    </row>
    <row r="268" spans="4:4" ht="14.4" hidden="1" x14ac:dyDescent="0.3">
      <c r="D268" s="19"/>
    </row>
    <row r="269" spans="4:4" ht="14.4" hidden="1" x14ac:dyDescent="0.3">
      <c r="D269" s="19"/>
    </row>
    <row r="270" spans="4:4" ht="14.4" hidden="1" x14ac:dyDescent="0.3">
      <c r="D270" s="19"/>
    </row>
    <row r="271" spans="4:4" ht="14.4" hidden="1" x14ac:dyDescent="0.3">
      <c r="D271" s="19"/>
    </row>
    <row r="272" spans="4:4" ht="14.4" hidden="1" x14ac:dyDescent="0.3">
      <c r="D272" s="19"/>
    </row>
    <row r="273" spans="4:4" ht="14.4" hidden="1" x14ac:dyDescent="0.3">
      <c r="D273" s="19"/>
    </row>
    <row r="274" spans="4:4" ht="14.4" hidden="1" x14ac:dyDescent="0.3">
      <c r="D274" s="19"/>
    </row>
    <row r="275" spans="4:4" ht="14.4" hidden="1" x14ac:dyDescent="0.3">
      <c r="D275" s="19"/>
    </row>
    <row r="276" spans="4:4" ht="14.4" hidden="1" x14ac:dyDescent="0.3">
      <c r="D276" s="19"/>
    </row>
    <row r="277" spans="4:4" ht="14.4" hidden="1" x14ac:dyDescent="0.3">
      <c r="D277" s="19"/>
    </row>
    <row r="278" spans="4:4" ht="14.4" hidden="1" x14ac:dyDescent="0.3">
      <c r="D278" s="19"/>
    </row>
    <row r="279" spans="4:4" ht="14.4" hidden="1" x14ac:dyDescent="0.3">
      <c r="D279" s="19"/>
    </row>
    <row r="280" spans="4:4" ht="14.4" hidden="1" x14ac:dyDescent="0.3">
      <c r="D280" s="19"/>
    </row>
    <row r="281" spans="4:4" ht="14.4" hidden="1" x14ac:dyDescent="0.3">
      <c r="D281" s="19"/>
    </row>
    <row r="282" spans="4:4" ht="14.4" hidden="1" x14ac:dyDescent="0.3">
      <c r="D282" s="19"/>
    </row>
    <row r="283" spans="4:4" ht="14.4" hidden="1" x14ac:dyDescent="0.3">
      <c r="D283" s="19"/>
    </row>
    <row r="284" spans="4:4" ht="14.4" hidden="1" x14ac:dyDescent="0.3">
      <c r="D284" s="19"/>
    </row>
    <row r="285" spans="4:4" ht="14.4" hidden="1" x14ac:dyDescent="0.3">
      <c r="D285" s="19"/>
    </row>
    <row r="286" spans="4:4" ht="14.4" hidden="1" x14ac:dyDescent="0.3">
      <c r="D286" s="19"/>
    </row>
    <row r="287" spans="4:4" ht="14.4" hidden="1" x14ac:dyDescent="0.3">
      <c r="D287" s="19"/>
    </row>
    <row r="288" spans="4:4" ht="14.4" hidden="1" x14ac:dyDescent="0.3">
      <c r="D288" s="19"/>
    </row>
    <row r="289" spans="4:4" ht="14.4" hidden="1" x14ac:dyDescent="0.3">
      <c r="D289" s="19"/>
    </row>
    <row r="290" spans="4:4" ht="14.4" hidden="1" x14ac:dyDescent="0.3">
      <c r="D290" s="19"/>
    </row>
    <row r="291" spans="4:4" ht="14.4" hidden="1" x14ac:dyDescent="0.3">
      <c r="D291" s="19"/>
    </row>
    <row r="292" spans="4:4" ht="14.4" hidden="1" x14ac:dyDescent="0.3">
      <c r="D292" s="19"/>
    </row>
    <row r="293" spans="4:4" ht="14.4" hidden="1" x14ac:dyDescent="0.3">
      <c r="D293" s="19"/>
    </row>
    <row r="294" spans="4:4" ht="14.4" hidden="1" x14ac:dyDescent="0.3">
      <c r="D294" s="19"/>
    </row>
    <row r="295" spans="4:4" ht="14.4" hidden="1" x14ac:dyDescent="0.3">
      <c r="D295" s="19"/>
    </row>
    <row r="296" spans="4:4" ht="14.4" hidden="1" x14ac:dyDescent="0.3">
      <c r="D296" s="19"/>
    </row>
    <row r="297" spans="4:4" ht="14.4" hidden="1" x14ac:dyDescent="0.3">
      <c r="D297" s="19"/>
    </row>
    <row r="298" spans="4:4" ht="14.4" hidden="1" x14ac:dyDescent="0.3">
      <c r="D298" s="19"/>
    </row>
    <row r="299" spans="4:4" ht="14.4" hidden="1" x14ac:dyDescent="0.3">
      <c r="D299" s="19"/>
    </row>
    <row r="300" spans="4:4" ht="14.4" hidden="1" x14ac:dyDescent="0.3">
      <c r="D300" s="19"/>
    </row>
    <row r="301" spans="4:4" ht="14.4" hidden="1" x14ac:dyDescent="0.3">
      <c r="D301" s="19"/>
    </row>
    <row r="302" spans="4:4" ht="14.4" hidden="1" x14ac:dyDescent="0.3">
      <c r="D302" s="19"/>
    </row>
    <row r="303" spans="4:4" ht="14.4" hidden="1" x14ac:dyDescent="0.3">
      <c r="D303" s="19"/>
    </row>
    <row r="304" spans="4:4" ht="14.4" hidden="1" x14ac:dyDescent="0.3">
      <c r="D304" s="19"/>
    </row>
    <row r="305" spans="4:4" ht="14.4" hidden="1" x14ac:dyDescent="0.3">
      <c r="D305" s="19"/>
    </row>
    <row r="306" spans="4:4" ht="14.4" hidden="1" x14ac:dyDescent="0.3">
      <c r="D306" s="19"/>
    </row>
    <row r="307" spans="4:4" ht="14.4" hidden="1" x14ac:dyDescent="0.3">
      <c r="D307" s="19"/>
    </row>
    <row r="308" spans="4:4" ht="14.4" hidden="1" x14ac:dyDescent="0.3">
      <c r="D308" s="19"/>
    </row>
    <row r="309" spans="4:4" ht="14.4" hidden="1" x14ac:dyDescent="0.3">
      <c r="D309" s="19"/>
    </row>
    <row r="310" spans="4:4" ht="14.4" hidden="1" x14ac:dyDescent="0.3">
      <c r="D310" s="19"/>
    </row>
    <row r="311" spans="4:4" ht="14.4" hidden="1" x14ac:dyDescent="0.3">
      <c r="D311" s="19"/>
    </row>
    <row r="312" spans="4:4" ht="14.4" hidden="1" x14ac:dyDescent="0.3">
      <c r="D312" s="19"/>
    </row>
    <row r="313" spans="4:4" ht="14.4" hidden="1" x14ac:dyDescent="0.3">
      <c r="D313" s="19"/>
    </row>
    <row r="314" spans="4:4" ht="14.4" hidden="1" x14ac:dyDescent="0.3">
      <c r="D314" s="19"/>
    </row>
    <row r="315" spans="4:4" ht="14.4" hidden="1" x14ac:dyDescent="0.3">
      <c r="D315" s="19"/>
    </row>
    <row r="316" spans="4:4" ht="14.4" hidden="1" x14ac:dyDescent="0.3">
      <c r="D316" s="19"/>
    </row>
    <row r="317" spans="4:4" ht="14.4" hidden="1" x14ac:dyDescent="0.3">
      <c r="D317" s="19"/>
    </row>
    <row r="318" spans="4:4" ht="14.4" hidden="1" x14ac:dyDescent="0.3">
      <c r="D318" s="19"/>
    </row>
    <row r="319" spans="4:4" ht="14.4" hidden="1" x14ac:dyDescent="0.3">
      <c r="D319" s="19"/>
    </row>
    <row r="320" spans="4:4" ht="14.4" hidden="1" x14ac:dyDescent="0.3">
      <c r="D320" s="19"/>
    </row>
    <row r="321" spans="4:4" ht="14.4" hidden="1" x14ac:dyDescent="0.3">
      <c r="D321" s="19"/>
    </row>
    <row r="322" spans="4:4" ht="14.4" hidden="1" x14ac:dyDescent="0.3">
      <c r="D322" s="19"/>
    </row>
    <row r="323" spans="4:4" ht="14.4" hidden="1" x14ac:dyDescent="0.3">
      <c r="D323" s="19"/>
    </row>
    <row r="324" spans="4:4" ht="14.4" hidden="1" x14ac:dyDescent="0.3">
      <c r="D324" s="19"/>
    </row>
    <row r="325" spans="4:4" ht="14.4" hidden="1" x14ac:dyDescent="0.3">
      <c r="D325" s="19"/>
    </row>
    <row r="326" spans="4:4" ht="14.4" hidden="1" x14ac:dyDescent="0.3">
      <c r="D326" s="19"/>
    </row>
    <row r="327" spans="4:4" ht="14.4" hidden="1" x14ac:dyDescent="0.3">
      <c r="D327" s="19"/>
    </row>
    <row r="328" spans="4:4" ht="14.4" hidden="1" x14ac:dyDescent="0.3">
      <c r="D328" s="19"/>
    </row>
    <row r="329" spans="4:4" ht="14.4" hidden="1" x14ac:dyDescent="0.3">
      <c r="D329" s="19"/>
    </row>
    <row r="330" spans="4:4" ht="14.4" hidden="1" x14ac:dyDescent="0.3">
      <c r="D330" s="19"/>
    </row>
    <row r="331" spans="4:4" ht="14.4" hidden="1" x14ac:dyDescent="0.3">
      <c r="D331" s="19"/>
    </row>
    <row r="332" spans="4:4" ht="14.4" hidden="1" x14ac:dyDescent="0.3">
      <c r="D332" s="19"/>
    </row>
    <row r="333" spans="4:4" ht="14.4" hidden="1" x14ac:dyDescent="0.3">
      <c r="D333" s="19"/>
    </row>
    <row r="334" spans="4:4" ht="14.4" hidden="1" x14ac:dyDescent="0.3">
      <c r="D334" s="19"/>
    </row>
    <row r="335" spans="4:4" ht="14.4" hidden="1" x14ac:dyDescent="0.3">
      <c r="D335" s="19"/>
    </row>
    <row r="336" spans="4:4" ht="14.4" hidden="1" x14ac:dyDescent="0.3">
      <c r="D336" s="19"/>
    </row>
    <row r="337" spans="4:4" ht="14.4" hidden="1" x14ac:dyDescent="0.3">
      <c r="D337" s="19"/>
    </row>
    <row r="338" spans="4:4" ht="14.4" hidden="1" x14ac:dyDescent="0.3">
      <c r="D338" s="19"/>
    </row>
    <row r="339" spans="4:4" ht="14.4" hidden="1" x14ac:dyDescent="0.3">
      <c r="D339" s="19"/>
    </row>
    <row r="340" spans="4:4" ht="14.4" hidden="1" x14ac:dyDescent="0.3">
      <c r="D340" s="19"/>
    </row>
    <row r="341" spans="4:4" ht="14.4" hidden="1" x14ac:dyDescent="0.3">
      <c r="D341" s="19"/>
    </row>
    <row r="342" spans="4:4" ht="14.4" hidden="1" x14ac:dyDescent="0.3">
      <c r="D342" s="19"/>
    </row>
    <row r="343" spans="4:4" ht="14.4" hidden="1" x14ac:dyDescent="0.3">
      <c r="D343" s="19"/>
    </row>
    <row r="344" spans="4:4" ht="14.4" hidden="1" x14ac:dyDescent="0.3">
      <c r="D344" s="19"/>
    </row>
    <row r="345" spans="4:4" ht="14.4" hidden="1" x14ac:dyDescent="0.3">
      <c r="D345" s="19"/>
    </row>
    <row r="346" spans="4:4" ht="14.4" hidden="1" x14ac:dyDescent="0.3">
      <c r="D346" s="19"/>
    </row>
    <row r="347" spans="4:4" ht="14.4" hidden="1" x14ac:dyDescent="0.3">
      <c r="D347" s="19"/>
    </row>
    <row r="348" spans="4:4" ht="14.4" hidden="1" x14ac:dyDescent="0.3">
      <c r="D348" s="19"/>
    </row>
    <row r="349" spans="4:4" ht="14.4" hidden="1" x14ac:dyDescent="0.3">
      <c r="D349" s="19"/>
    </row>
    <row r="350" spans="4:4" ht="14.4" hidden="1" x14ac:dyDescent="0.3">
      <c r="D350" s="19"/>
    </row>
    <row r="351" spans="4:4" ht="14.4" hidden="1" x14ac:dyDescent="0.3">
      <c r="D351" s="19"/>
    </row>
    <row r="352" spans="4:4" ht="14.4" hidden="1" x14ac:dyDescent="0.3">
      <c r="D352" s="19"/>
    </row>
    <row r="353" spans="4:4" ht="14.4" hidden="1" x14ac:dyDescent="0.3">
      <c r="D353" s="19"/>
    </row>
    <row r="354" spans="4:4" ht="14.4" hidden="1" x14ac:dyDescent="0.3">
      <c r="D354" s="19"/>
    </row>
    <row r="355" spans="4:4" ht="14.4" hidden="1" x14ac:dyDescent="0.3">
      <c r="D355" s="19"/>
    </row>
    <row r="356" spans="4:4" ht="14.4" hidden="1" x14ac:dyDescent="0.3">
      <c r="D356" s="19"/>
    </row>
    <row r="357" spans="4:4" ht="14.4" hidden="1" x14ac:dyDescent="0.3">
      <c r="D357" s="19"/>
    </row>
    <row r="358" spans="4:4" ht="14.4" hidden="1" x14ac:dyDescent="0.3">
      <c r="D358" s="19"/>
    </row>
    <row r="359" spans="4:4" ht="14.4" hidden="1" x14ac:dyDescent="0.3">
      <c r="D359" s="19"/>
    </row>
    <row r="360" spans="4:4" ht="14.4" hidden="1" x14ac:dyDescent="0.3">
      <c r="D360" s="19"/>
    </row>
    <row r="361" spans="4:4" ht="14.4" hidden="1" x14ac:dyDescent="0.3">
      <c r="D361" s="19"/>
    </row>
    <row r="362" spans="4:4" ht="14.4" hidden="1" x14ac:dyDescent="0.3">
      <c r="D362" s="19"/>
    </row>
    <row r="363" spans="4:4" ht="14.4" hidden="1" x14ac:dyDescent="0.3">
      <c r="D363" s="19"/>
    </row>
    <row r="364" spans="4:4" ht="14.4" hidden="1" x14ac:dyDescent="0.3">
      <c r="D364" s="19"/>
    </row>
    <row r="365" spans="4:4" ht="14.4" hidden="1" x14ac:dyDescent="0.3">
      <c r="D365" s="19"/>
    </row>
    <row r="366" spans="4:4" ht="14.4" hidden="1" x14ac:dyDescent="0.3">
      <c r="D366" s="19"/>
    </row>
    <row r="367" spans="4:4" ht="14.4" hidden="1" x14ac:dyDescent="0.3">
      <c r="D367" s="19"/>
    </row>
    <row r="368" spans="4:4" ht="14.4" hidden="1" x14ac:dyDescent="0.3">
      <c r="D368" s="19"/>
    </row>
    <row r="369" spans="4:4" ht="14.4" hidden="1" x14ac:dyDescent="0.3">
      <c r="D369" s="19"/>
    </row>
    <row r="370" spans="4:4" ht="14.4" hidden="1" x14ac:dyDescent="0.3">
      <c r="D370" s="19"/>
    </row>
    <row r="371" spans="4:4" ht="14.4" hidden="1" x14ac:dyDescent="0.3">
      <c r="D371" s="19"/>
    </row>
    <row r="372" spans="4:4" ht="14.4" hidden="1" x14ac:dyDescent="0.3">
      <c r="D372" s="19"/>
    </row>
    <row r="373" spans="4:4" ht="14.4" hidden="1" x14ac:dyDescent="0.3">
      <c r="D373" s="19"/>
    </row>
    <row r="374" spans="4:4" ht="14.4" hidden="1" x14ac:dyDescent="0.3">
      <c r="D374" s="19"/>
    </row>
    <row r="375" spans="4:4" ht="14.4" hidden="1" x14ac:dyDescent="0.3">
      <c r="D375" s="19"/>
    </row>
    <row r="376" spans="4:4" ht="14.4" hidden="1" x14ac:dyDescent="0.3">
      <c r="D376" s="19"/>
    </row>
    <row r="377" spans="4:4" ht="14.4" hidden="1" x14ac:dyDescent="0.3">
      <c r="D377" s="19"/>
    </row>
    <row r="378" spans="4:4" ht="14.4" hidden="1" x14ac:dyDescent="0.3">
      <c r="D378" s="19"/>
    </row>
    <row r="379" spans="4:4" ht="14.4" hidden="1" x14ac:dyDescent="0.3">
      <c r="D379" s="19"/>
    </row>
    <row r="380" spans="4:4" ht="14.4" hidden="1" x14ac:dyDescent="0.3">
      <c r="D380" s="19"/>
    </row>
    <row r="381" spans="4:4" ht="14.4" hidden="1" x14ac:dyDescent="0.3">
      <c r="D381" s="19"/>
    </row>
    <row r="382" spans="4:4" ht="14.4" hidden="1" x14ac:dyDescent="0.3">
      <c r="D382" s="19"/>
    </row>
    <row r="383" spans="4:4" ht="14.4" hidden="1" x14ac:dyDescent="0.3">
      <c r="D383" s="19"/>
    </row>
    <row r="384" spans="4:4" ht="14.4" hidden="1" x14ac:dyDescent="0.3">
      <c r="D384" s="19"/>
    </row>
    <row r="385" spans="4:4" ht="14.4" hidden="1" x14ac:dyDescent="0.3">
      <c r="D385" s="19"/>
    </row>
    <row r="386" spans="4:4" ht="14.4" hidden="1" x14ac:dyDescent="0.3">
      <c r="D386" s="19"/>
    </row>
    <row r="387" spans="4:4" ht="14.4" hidden="1" x14ac:dyDescent="0.3">
      <c r="D387" s="19"/>
    </row>
    <row r="388" spans="4:4" ht="14.4" hidden="1" x14ac:dyDescent="0.3">
      <c r="D388" s="19"/>
    </row>
    <row r="389" spans="4:4" ht="14.4" hidden="1" x14ac:dyDescent="0.3">
      <c r="D389" s="19"/>
    </row>
    <row r="390" spans="4:4" ht="14.4" hidden="1" x14ac:dyDescent="0.3">
      <c r="D390" s="19"/>
    </row>
    <row r="391" spans="4:4" ht="14.4" hidden="1" x14ac:dyDescent="0.3">
      <c r="D391" s="19"/>
    </row>
    <row r="392" spans="4:4" ht="14.4" hidden="1" x14ac:dyDescent="0.3">
      <c r="D392" s="19"/>
    </row>
    <row r="393" spans="4:4" ht="14.4" hidden="1" x14ac:dyDescent="0.3">
      <c r="D393" s="19"/>
    </row>
    <row r="394" spans="4:4" ht="14.4" hidden="1" x14ac:dyDescent="0.3">
      <c r="D394" s="19"/>
    </row>
    <row r="395" spans="4:4" ht="14.4" hidden="1" x14ac:dyDescent="0.3">
      <c r="D395" s="19"/>
    </row>
    <row r="396" spans="4:4" ht="14.4" hidden="1" x14ac:dyDescent="0.3">
      <c r="D396" s="19"/>
    </row>
    <row r="397" spans="4:4" ht="14.4" hidden="1" x14ac:dyDescent="0.3">
      <c r="D397" s="19"/>
    </row>
    <row r="398" spans="4:4" ht="14.4" hidden="1" x14ac:dyDescent="0.3">
      <c r="D398" s="19"/>
    </row>
    <row r="399" spans="4:4" ht="14.4" hidden="1" x14ac:dyDescent="0.3">
      <c r="D399" s="19"/>
    </row>
    <row r="400" spans="4:4" ht="14.4" hidden="1" x14ac:dyDescent="0.3">
      <c r="D400" s="19"/>
    </row>
    <row r="401" spans="4:4" ht="14.4" hidden="1" x14ac:dyDescent="0.3">
      <c r="D401" s="19"/>
    </row>
    <row r="402" spans="4:4" ht="14.4" hidden="1" x14ac:dyDescent="0.3">
      <c r="D402" s="19"/>
    </row>
    <row r="403" spans="4:4" ht="14.4" hidden="1" x14ac:dyDescent="0.3">
      <c r="D403" s="19"/>
    </row>
    <row r="404" spans="4:4" ht="14.4" hidden="1" x14ac:dyDescent="0.3">
      <c r="D404" s="19"/>
    </row>
    <row r="405" spans="4:4" ht="14.4" hidden="1" x14ac:dyDescent="0.3">
      <c r="D405" s="19"/>
    </row>
    <row r="406" spans="4:4" ht="14.4" hidden="1" x14ac:dyDescent="0.3">
      <c r="D406" s="19"/>
    </row>
    <row r="407" spans="4:4" ht="14.4" hidden="1" x14ac:dyDescent="0.3">
      <c r="D407" s="19"/>
    </row>
    <row r="408" spans="4:4" ht="14.4" hidden="1" x14ac:dyDescent="0.3">
      <c r="D408" s="19"/>
    </row>
    <row r="409" spans="4:4" ht="14.4" hidden="1" x14ac:dyDescent="0.3">
      <c r="D409" s="19"/>
    </row>
    <row r="410" spans="4:4" ht="14.4" hidden="1" x14ac:dyDescent="0.3">
      <c r="D410" s="19"/>
    </row>
    <row r="411" spans="4:4" ht="14.4" hidden="1" x14ac:dyDescent="0.3">
      <c r="D411" s="19"/>
    </row>
    <row r="412" spans="4:4" ht="14.4" hidden="1" x14ac:dyDescent="0.3">
      <c r="D412" s="19"/>
    </row>
    <row r="413" spans="4:4" ht="14.4" hidden="1" x14ac:dyDescent="0.3">
      <c r="D413" s="19"/>
    </row>
    <row r="414" spans="4:4" ht="14.4" hidden="1" x14ac:dyDescent="0.3">
      <c r="D414" s="19"/>
    </row>
    <row r="415" spans="4:4" ht="14.4" hidden="1" x14ac:dyDescent="0.3">
      <c r="D415" s="19"/>
    </row>
    <row r="416" spans="4:4" ht="14.4" hidden="1" x14ac:dyDescent="0.3">
      <c r="D416" s="19"/>
    </row>
    <row r="417" spans="4:4" ht="14.4" hidden="1" x14ac:dyDescent="0.3">
      <c r="D417" s="19"/>
    </row>
    <row r="418" spans="4:4" ht="14.4" hidden="1" x14ac:dyDescent="0.3">
      <c r="D418" s="19"/>
    </row>
    <row r="419" spans="4:4" ht="14.4" hidden="1" x14ac:dyDescent="0.3">
      <c r="D419" s="19"/>
    </row>
    <row r="420" spans="4:4" ht="14.4" hidden="1" x14ac:dyDescent="0.3">
      <c r="D420" s="19"/>
    </row>
    <row r="421" spans="4:4" ht="14.4" hidden="1" x14ac:dyDescent="0.3">
      <c r="D421" s="19"/>
    </row>
    <row r="422" spans="4:4" ht="14.4" hidden="1" x14ac:dyDescent="0.3">
      <c r="D422" s="19"/>
    </row>
    <row r="423" spans="4:4" ht="14.4" hidden="1" x14ac:dyDescent="0.3">
      <c r="D423" s="19"/>
    </row>
    <row r="424" spans="4:4" ht="14.4" hidden="1" x14ac:dyDescent="0.3">
      <c r="D424" s="19"/>
    </row>
    <row r="425" spans="4:4" ht="14.4" hidden="1" x14ac:dyDescent="0.3">
      <c r="D425" s="19"/>
    </row>
    <row r="426" spans="4:4" ht="14.4" hidden="1" x14ac:dyDescent="0.3">
      <c r="D426" s="19"/>
    </row>
    <row r="427" spans="4:4" ht="14.4" hidden="1" x14ac:dyDescent="0.3">
      <c r="D427" s="19"/>
    </row>
    <row r="428" spans="4:4" ht="14.4" hidden="1" x14ac:dyDescent="0.3">
      <c r="D428" s="19"/>
    </row>
    <row r="429" spans="4:4" ht="14.4" hidden="1" x14ac:dyDescent="0.3">
      <c r="D429" s="19"/>
    </row>
    <row r="430" spans="4:4" ht="14.4" hidden="1" x14ac:dyDescent="0.3">
      <c r="D430" s="19"/>
    </row>
    <row r="431" spans="4:4" ht="14.4" hidden="1" x14ac:dyDescent="0.3">
      <c r="D431" s="19"/>
    </row>
    <row r="432" spans="4:4" ht="14.4" hidden="1" x14ac:dyDescent="0.3">
      <c r="D432" s="19"/>
    </row>
    <row r="433" spans="4:4" ht="14.4" hidden="1" x14ac:dyDescent="0.3">
      <c r="D433" s="19"/>
    </row>
    <row r="434" spans="4:4" ht="14.4" hidden="1" x14ac:dyDescent="0.3">
      <c r="D434" s="19"/>
    </row>
    <row r="435" spans="4:4" ht="14.4" hidden="1" x14ac:dyDescent="0.3">
      <c r="D435" s="19"/>
    </row>
    <row r="436" spans="4:4" ht="14.4" hidden="1" x14ac:dyDescent="0.3">
      <c r="D436" s="19"/>
    </row>
    <row r="437" spans="4:4" ht="14.4" hidden="1" x14ac:dyDescent="0.3">
      <c r="D437" s="19"/>
    </row>
    <row r="438" spans="4:4" ht="14.4" hidden="1" x14ac:dyDescent="0.3">
      <c r="D438" s="19"/>
    </row>
    <row r="439" spans="4:4" ht="14.4" hidden="1" x14ac:dyDescent="0.3">
      <c r="D439" s="19"/>
    </row>
    <row r="440" spans="4:4" ht="14.4" hidden="1" x14ac:dyDescent="0.3">
      <c r="D440" s="19"/>
    </row>
    <row r="441" spans="4:4" ht="14.4" hidden="1" x14ac:dyDescent="0.3">
      <c r="D441" s="19"/>
    </row>
    <row r="442" spans="4:4" ht="14.4" hidden="1" x14ac:dyDescent="0.3">
      <c r="D442" s="19"/>
    </row>
    <row r="443" spans="4:4" ht="14.4" hidden="1" x14ac:dyDescent="0.3">
      <c r="D443" s="19"/>
    </row>
    <row r="444" spans="4:4" ht="14.4" hidden="1" x14ac:dyDescent="0.3">
      <c r="D444" s="19"/>
    </row>
    <row r="445" spans="4:4" ht="14.4" hidden="1" x14ac:dyDescent="0.3">
      <c r="D445" s="19"/>
    </row>
    <row r="446" spans="4:4" ht="14.4" hidden="1" x14ac:dyDescent="0.3">
      <c r="D446" s="19"/>
    </row>
    <row r="447" spans="4:4" ht="14.4" hidden="1" x14ac:dyDescent="0.3">
      <c r="D447" s="19"/>
    </row>
    <row r="448" spans="4:4" ht="14.4" hidden="1" x14ac:dyDescent="0.3">
      <c r="D448" s="19"/>
    </row>
    <row r="449" spans="4:4" ht="14.4" hidden="1" x14ac:dyDescent="0.3">
      <c r="D449" s="19"/>
    </row>
    <row r="450" spans="4:4" ht="14.4" hidden="1" x14ac:dyDescent="0.3">
      <c r="D450" s="19"/>
    </row>
    <row r="451" spans="4:4" ht="14.4" hidden="1" x14ac:dyDescent="0.3">
      <c r="D451" s="19"/>
    </row>
    <row r="452" spans="4:4" ht="14.4" hidden="1" x14ac:dyDescent="0.3">
      <c r="D452" s="19"/>
    </row>
    <row r="453" spans="4:4" ht="14.4" hidden="1" x14ac:dyDescent="0.3">
      <c r="D453" s="19"/>
    </row>
    <row r="454" spans="4:4" ht="14.4" hidden="1" x14ac:dyDescent="0.3">
      <c r="D454" s="19"/>
    </row>
    <row r="455" spans="4:4" ht="14.4" hidden="1" x14ac:dyDescent="0.3">
      <c r="D455" s="19"/>
    </row>
    <row r="456" spans="4:4" ht="14.4" hidden="1" x14ac:dyDescent="0.3">
      <c r="D456" s="19"/>
    </row>
    <row r="457" spans="4:4" ht="14.4" hidden="1" x14ac:dyDescent="0.3">
      <c r="D457" s="19"/>
    </row>
    <row r="458" spans="4:4" ht="14.4" hidden="1" x14ac:dyDescent="0.3">
      <c r="D458" s="19"/>
    </row>
    <row r="459" spans="4:4" ht="14.4" hidden="1" x14ac:dyDescent="0.3">
      <c r="D459" s="19"/>
    </row>
    <row r="460" spans="4:4" ht="14.4" hidden="1" x14ac:dyDescent="0.3">
      <c r="D460" s="19"/>
    </row>
    <row r="461" spans="4:4" ht="14.4" hidden="1" x14ac:dyDescent="0.3">
      <c r="D461" s="19"/>
    </row>
    <row r="462" spans="4:4" ht="14.4" hidden="1" x14ac:dyDescent="0.3">
      <c r="D462" s="19"/>
    </row>
    <row r="463" spans="4:4" ht="14.4" hidden="1" x14ac:dyDescent="0.3">
      <c r="D463" s="19"/>
    </row>
    <row r="464" spans="4:4" ht="14.4" hidden="1" x14ac:dyDescent="0.3">
      <c r="D464" s="19"/>
    </row>
    <row r="465" spans="4:4" ht="14.4" hidden="1" x14ac:dyDescent="0.3">
      <c r="D465" s="19"/>
    </row>
    <row r="466" spans="4:4" ht="14.4" hidden="1" x14ac:dyDescent="0.3">
      <c r="D466" s="19"/>
    </row>
    <row r="467" spans="4:4" ht="14.4" hidden="1" x14ac:dyDescent="0.3">
      <c r="D467" s="19"/>
    </row>
    <row r="468" spans="4:4" ht="14.4" hidden="1" x14ac:dyDescent="0.3">
      <c r="D468" s="19"/>
    </row>
    <row r="469" spans="4:4" ht="14.4" hidden="1" x14ac:dyDescent="0.3">
      <c r="D469" s="19"/>
    </row>
    <row r="470" spans="4:4" ht="14.4" hidden="1" x14ac:dyDescent="0.3">
      <c r="D470" s="19"/>
    </row>
    <row r="471" spans="4:4" ht="14.4" hidden="1" x14ac:dyDescent="0.3">
      <c r="D471" s="19"/>
    </row>
    <row r="472" spans="4:4" ht="14.4" hidden="1" x14ac:dyDescent="0.3">
      <c r="D472" s="19"/>
    </row>
    <row r="473" spans="4:4" ht="14.4" hidden="1" x14ac:dyDescent="0.3">
      <c r="D473" s="19"/>
    </row>
    <row r="474" spans="4:4" ht="14.4" hidden="1" x14ac:dyDescent="0.3">
      <c r="D474" s="19"/>
    </row>
    <row r="475" spans="4:4" ht="14.4" hidden="1" x14ac:dyDescent="0.3">
      <c r="D475" s="19"/>
    </row>
    <row r="476" spans="4:4" ht="14.4" hidden="1" x14ac:dyDescent="0.3">
      <c r="D476" s="19"/>
    </row>
    <row r="477" spans="4:4" ht="14.4" hidden="1" x14ac:dyDescent="0.3">
      <c r="D477" s="19"/>
    </row>
    <row r="478" spans="4:4" ht="14.4" hidden="1" x14ac:dyDescent="0.3">
      <c r="D478" s="19"/>
    </row>
    <row r="479" spans="4:4" ht="14.4" hidden="1" x14ac:dyDescent="0.3">
      <c r="D479" s="19"/>
    </row>
    <row r="480" spans="4:4" ht="14.4" hidden="1" x14ac:dyDescent="0.3">
      <c r="D480" s="19"/>
    </row>
    <row r="481" spans="4:4" ht="14.4" hidden="1" x14ac:dyDescent="0.3">
      <c r="D481" s="19"/>
    </row>
    <row r="482" spans="4:4" ht="14.4" hidden="1" x14ac:dyDescent="0.3">
      <c r="D482" s="19"/>
    </row>
    <row r="483" spans="4:4" ht="14.4" hidden="1" x14ac:dyDescent="0.3">
      <c r="D483" s="19"/>
    </row>
    <row r="484" spans="4:4" ht="14.4" hidden="1" x14ac:dyDescent="0.3">
      <c r="D484" s="19"/>
    </row>
    <row r="485" spans="4:4" ht="14.4" hidden="1" x14ac:dyDescent="0.3">
      <c r="D485" s="19"/>
    </row>
    <row r="486" spans="4:4" ht="14.4" hidden="1" x14ac:dyDescent="0.3">
      <c r="D486" s="19"/>
    </row>
    <row r="487" spans="4:4" ht="14.4" hidden="1" x14ac:dyDescent="0.3">
      <c r="D487" s="19"/>
    </row>
    <row r="488" spans="4:4" ht="14.4" hidden="1" x14ac:dyDescent="0.3">
      <c r="D488" s="19"/>
    </row>
    <row r="489" spans="4:4" ht="14.4" hidden="1" x14ac:dyDescent="0.3">
      <c r="D489" s="19"/>
    </row>
    <row r="490" spans="4:4" ht="14.4" hidden="1" x14ac:dyDescent="0.3">
      <c r="D490" s="19"/>
    </row>
    <row r="491" spans="4:4" ht="14.4" hidden="1" x14ac:dyDescent="0.3">
      <c r="D491" s="19"/>
    </row>
    <row r="492" spans="4:4" ht="14.4" hidden="1" x14ac:dyDescent="0.3">
      <c r="D492" s="19"/>
    </row>
    <row r="493" spans="4:4" ht="14.4" hidden="1" x14ac:dyDescent="0.3">
      <c r="D493" s="19"/>
    </row>
    <row r="494" spans="4:4" ht="14.4" hidden="1" x14ac:dyDescent="0.3">
      <c r="D494" s="19"/>
    </row>
    <row r="495" spans="4:4" ht="14.4" hidden="1" x14ac:dyDescent="0.3">
      <c r="D495" s="19"/>
    </row>
    <row r="496" spans="4:4" ht="14.4" hidden="1" x14ac:dyDescent="0.3">
      <c r="D496" s="19"/>
    </row>
    <row r="497" spans="4:4" ht="14.4" hidden="1" x14ac:dyDescent="0.3">
      <c r="D497" s="19"/>
    </row>
    <row r="498" spans="4:4" ht="14.4" hidden="1" x14ac:dyDescent="0.3">
      <c r="D498" s="19"/>
    </row>
    <row r="499" spans="4:4" ht="14.4" hidden="1" x14ac:dyDescent="0.3">
      <c r="D499" s="19"/>
    </row>
    <row r="500" spans="4:4" ht="14.4" hidden="1" x14ac:dyDescent="0.3">
      <c r="D500" s="19"/>
    </row>
    <row r="501" spans="4:4" ht="14.4" hidden="1" x14ac:dyDescent="0.3">
      <c r="D501" s="19"/>
    </row>
    <row r="502" spans="4:4" ht="14.4" hidden="1" x14ac:dyDescent="0.3">
      <c r="D502" s="19"/>
    </row>
    <row r="503" spans="4:4" ht="14.4" hidden="1" x14ac:dyDescent="0.3">
      <c r="D503" s="19"/>
    </row>
    <row r="504" spans="4:4" ht="14.4" hidden="1" x14ac:dyDescent="0.3">
      <c r="D504" s="19"/>
    </row>
    <row r="505" spans="4:4" ht="14.4" hidden="1" x14ac:dyDescent="0.3">
      <c r="D505" s="19"/>
    </row>
    <row r="506" spans="4:4" ht="14.4" hidden="1" x14ac:dyDescent="0.3">
      <c r="D506" s="19"/>
    </row>
    <row r="507" spans="4:4" ht="14.4" hidden="1" x14ac:dyDescent="0.3">
      <c r="D507" s="19"/>
    </row>
    <row r="508" spans="4:4" ht="14.4" hidden="1" x14ac:dyDescent="0.3">
      <c r="D508" s="19"/>
    </row>
    <row r="509" spans="4:4" ht="14.4" hidden="1" x14ac:dyDescent="0.3">
      <c r="D509" s="19"/>
    </row>
    <row r="510" spans="4:4" ht="14.4" hidden="1" x14ac:dyDescent="0.3">
      <c r="D510" s="19"/>
    </row>
    <row r="511" spans="4:4" ht="14.4" hidden="1" x14ac:dyDescent="0.3">
      <c r="D511" s="19"/>
    </row>
    <row r="512" spans="4:4" ht="14.4" hidden="1" x14ac:dyDescent="0.3">
      <c r="D512" s="19"/>
    </row>
    <row r="513" spans="4:4" ht="14.4" hidden="1" x14ac:dyDescent="0.3">
      <c r="D513" s="19"/>
    </row>
    <row r="514" spans="4:4" ht="14.4" hidden="1" x14ac:dyDescent="0.3">
      <c r="D514" s="19"/>
    </row>
    <row r="515" spans="4:4" ht="14.4" hidden="1" x14ac:dyDescent="0.3">
      <c r="D515" s="19"/>
    </row>
    <row r="516" spans="4:4" ht="14.4" hidden="1" x14ac:dyDescent="0.3">
      <c r="D516" s="19"/>
    </row>
    <row r="517" spans="4:4" ht="14.4" hidden="1" x14ac:dyDescent="0.3">
      <c r="D517" s="19"/>
    </row>
    <row r="518" spans="4:4" ht="14.4" hidden="1" x14ac:dyDescent="0.3">
      <c r="D518" s="19"/>
    </row>
    <row r="519" spans="4:4" ht="14.4" hidden="1" x14ac:dyDescent="0.3">
      <c r="D519" s="19"/>
    </row>
    <row r="520" spans="4:4" ht="14.4" hidden="1" x14ac:dyDescent="0.3">
      <c r="D520" s="19"/>
    </row>
    <row r="521" spans="4:4" ht="14.4" hidden="1" x14ac:dyDescent="0.3">
      <c r="D521" s="19"/>
    </row>
    <row r="522" spans="4:4" ht="14.4" hidden="1" x14ac:dyDescent="0.3">
      <c r="D522" s="19"/>
    </row>
    <row r="523" spans="4:4" ht="14.4" hidden="1" x14ac:dyDescent="0.3">
      <c r="D523" s="19"/>
    </row>
    <row r="524" spans="4:4" ht="14.4" hidden="1" x14ac:dyDescent="0.3">
      <c r="D524" s="19"/>
    </row>
    <row r="525" spans="4:4" ht="14.4" hidden="1" x14ac:dyDescent="0.3">
      <c r="D525" s="19"/>
    </row>
    <row r="526" spans="4:4" ht="14.4" hidden="1" x14ac:dyDescent="0.3">
      <c r="D526" s="19"/>
    </row>
    <row r="527" spans="4:4" ht="14.4" hidden="1" x14ac:dyDescent="0.3">
      <c r="D527" s="19"/>
    </row>
    <row r="528" spans="4:4" ht="14.4" hidden="1" x14ac:dyDescent="0.3">
      <c r="D528" s="19"/>
    </row>
    <row r="529" spans="4:4" ht="14.4" hidden="1" x14ac:dyDescent="0.3">
      <c r="D529" s="19"/>
    </row>
    <row r="530" spans="4:4" ht="14.4" hidden="1" x14ac:dyDescent="0.3">
      <c r="D530" s="19"/>
    </row>
    <row r="531" spans="4:4" ht="14.4" hidden="1" x14ac:dyDescent="0.3">
      <c r="D531" s="19"/>
    </row>
    <row r="532" spans="4:4" ht="14.4" hidden="1" x14ac:dyDescent="0.3">
      <c r="D532" s="19"/>
    </row>
    <row r="533" spans="4:4" ht="14.4" hidden="1" x14ac:dyDescent="0.3">
      <c r="D533" s="19"/>
    </row>
    <row r="534" spans="4:4" ht="14.4" hidden="1" x14ac:dyDescent="0.3">
      <c r="D534" s="19"/>
    </row>
    <row r="535" spans="4:4" ht="14.4" hidden="1" x14ac:dyDescent="0.3">
      <c r="D535" s="19"/>
    </row>
    <row r="536" spans="4:4" ht="14.4" hidden="1" x14ac:dyDescent="0.3">
      <c r="D536" s="19"/>
    </row>
    <row r="537" spans="4:4" ht="14.4" hidden="1" x14ac:dyDescent="0.3">
      <c r="D537" s="19"/>
    </row>
    <row r="538" spans="4:4" ht="14.4" hidden="1" x14ac:dyDescent="0.3">
      <c r="D538" s="19"/>
    </row>
    <row r="539" spans="4:4" ht="14.4" hidden="1" x14ac:dyDescent="0.3">
      <c r="D539" s="19"/>
    </row>
    <row r="540" spans="4:4" ht="14.4" hidden="1" x14ac:dyDescent="0.3">
      <c r="D540" s="19"/>
    </row>
    <row r="541" spans="4:4" ht="14.4" hidden="1" x14ac:dyDescent="0.3">
      <c r="D541" s="19"/>
    </row>
    <row r="542" spans="4:4" ht="14.4" hidden="1" x14ac:dyDescent="0.3">
      <c r="D542" s="19"/>
    </row>
    <row r="543" spans="4:4" ht="14.4" hidden="1" x14ac:dyDescent="0.3">
      <c r="D543" s="19"/>
    </row>
    <row r="544" spans="4:4" ht="14.4" hidden="1" x14ac:dyDescent="0.3">
      <c r="D544" s="19"/>
    </row>
    <row r="545" spans="4:4" ht="14.4" hidden="1" x14ac:dyDescent="0.3">
      <c r="D545" s="19"/>
    </row>
    <row r="546" spans="4:4" ht="14.4" hidden="1" x14ac:dyDescent="0.3">
      <c r="D546" s="19"/>
    </row>
    <row r="547" spans="4:4" ht="14.4" hidden="1" x14ac:dyDescent="0.3">
      <c r="D547" s="19"/>
    </row>
    <row r="548" spans="4:4" ht="14.4" hidden="1" x14ac:dyDescent="0.3">
      <c r="D548" s="19"/>
    </row>
    <row r="549" spans="4:4" ht="14.4" hidden="1" x14ac:dyDescent="0.3">
      <c r="D549" s="19"/>
    </row>
    <row r="550" spans="4:4" ht="14.4" hidden="1" x14ac:dyDescent="0.3">
      <c r="D550" s="19"/>
    </row>
    <row r="551" spans="4:4" ht="14.4" hidden="1" x14ac:dyDescent="0.3">
      <c r="D551" s="19"/>
    </row>
    <row r="552" spans="4:4" ht="14.4" hidden="1" x14ac:dyDescent="0.3">
      <c r="D552" s="19"/>
    </row>
    <row r="553" spans="4:4" ht="14.4" hidden="1" x14ac:dyDescent="0.3">
      <c r="D553" s="19"/>
    </row>
    <row r="554" spans="4:4" ht="14.4" hidden="1" x14ac:dyDescent="0.3">
      <c r="D554" s="19"/>
    </row>
    <row r="555" spans="4:4" ht="14.4" hidden="1" x14ac:dyDescent="0.3">
      <c r="D555" s="19"/>
    </row>
    <row r="556" spans="4:4" ht="14.4" hidden="1" x14ac:dyDescent="0.3">
      <c r="D556" s="19"/>
    </row>
    <row r="557" spans="4:4" ht="14.4" hidden="1" x14ac:dyDescent="0.3">
      <c r="D557" s="19"/>
    </row>
    <row r="558" spans="4:4" ht="14.4" hidden="1" x14ac:dyDescent="0.3">
      <c r="D558" s="19"/>
    </row>
    <row r="559" spans="4:4" ht="14.4" hidden="1" x14ac:dyDescent="0.3">
      <c r="D559" s="19"/>
    </row>
    <row r="560" spans="4:4" ht="14.4" hidden="1" x14ac:dyDescent="0.3">
      <c r="D560" s="19"/>
    </row>
    <row r="561" spans="4:4" ht="14.4" hidden="1" x14ac:dyDescent="0.3">
      <c r="D561" s="19"/>
    </row>
    <row r="562" spans="4:4" ht="14.4" hidden="1" x14ac:dyDescent="0.3">
      <c r="D562" s="19"/>
    </row>
    <row r="563" spans="4:4" ht="14.4" hidden="1" x14ac:dyDescent="0.3">
      <c r="D563" s="19"/>
    </row>
    <row r="564" spans="4:4" ht="14.4" hidden="1" x14ac:dyDescent="0.3">
      <c r="D564" s="19"/>
    </row>
    <row r="565" spans="4:4" ht="14.4" hidden="1" x14ac:dyDescent="0.3">
      <c r="D565" s="19"/>
    </row>
    <row r="566" spans="4:4" ht="14.4" hidden="1" x14ac:dyDescent="0.3">
      <c r="D566" s="19"/>
    </row>
    <row r="567" spans="4:4" ht="14.4" hidden="1" x14ac:dyDescent="0.3">
      <c r="D567" s="19"/>
    </row>
    <row r="568" spans="4:4" ht="14.4" hidden="1" x14ac:dyDescent="0.3">
      <c r="D568" s="19"/>
    </row>
    <row r="569" spans="4:4" ht="14.4" hidden="1" x14ac:dyDescent="0.3">
      <c r="D569" s="19"/>
    </row>
    <row r="570" spans="4:4" ht="14.4" hidden="1" x14ac:dyDescent="0.3">
      <c r="D570" s="19"/>
    </row>
    <row r="571" spans="4:4" ht="14.4" hidden="1" x14ac:dyDescent="0.3">
      <c r="D571" s="19"/>
    </row>
    <row r="572" spans="4:4" ht="14.4" hidden="1" x14ac:dyDescent="0.3">
      <c r="D572" s="19"/>
    </row>
    <row r="573" spans="4:4" ht="14.4" hidden="1" x14ac:dyDescent="0.3">
      <c r="D573" s="19"/>
    </row>
    <row r="574" spans="4:4" ht="14.4" hidden="1" x14ac:dyDescent="0.3">
      <c r="D574" s="19"/>
    </row>
    <row r="575" spans="4:4" ht="14.4" hidden="1" x14ac:dyDescent="0.3">
      <c r="D575" s="19"/>
    </row>
    <row r="576" spans="4:4" ht="14.4" hidden="1" x14ac:dyDescent="0.3">
      <c r="D576" s="19"/>
    </row>
    <row r="577" spans="4:4" ht="14.4" hidden="1" x14ac:dyDescent="0.3">
      <c r="D577" s="19"/>
    </row>
    <row r="578" spans="4:4" ht="14.4" hidden="1" x14ac:dyDescent="0.3">
      <c r="D578" s="19"/>
    </row>
    <row r="579" spans="4:4" ht="14.4" hidden="1" x14ac:dyDescent="0.3">
      <c r="D579" s="19"/>
    </row>
    <row r="580" spans="4:4" ht="14.4" hidden="1" x14ac:dyDescent="0.3">
      <c r="D580" s="19"/>
    </row>
    <row r="581" spans="4:4" ht="14.4" hidden="1" x14ac:dyDescent="0.3">
      <c r="D581" s="19"/>
    </row>
    <row r="582" spans="4:4" ht="14.4" hidden="1" x14ac:dyDescent="0.3">
      <c r="D582" s="19"/>
    </row>
    <row r="583" spans="4:4" ht="14.4" hidden="1" x14ac:dyDescent="0.3">
      <c r="D583" s="19"/>
    </row>
    <row r="584" spans="4:4" ht="14.4" hidden="1" x14ac:dyDescent="0.3">
      <c r="D584" s="19"/>
    </row>
    <row r="585" spans="4:4" ht="14.4" hidden="1" x14ac:dyDescent="0.3">
      <c r="D585" s="19"/>
    </row>
    <row r="586" spans="4:4" ht="14.4" hidden="1" x14ac:dyDescent="0.3">
      <c r="D586" s="19"/>
    </row>
    <row r="587" spans="4:4" ht="14.4" hidden="1" x14ac:dyDescent="0.3">
      <c r="D587" s="19"/>
    </row>
    <row r="588" spans="4:4" ht="14.4" hidden="1" x14ac:dyDescent="0.3">
      <c r="D588" s="19"/>
    </row>
    <row r="589" spans="4:4" ht="14.4" hidden="1" x14ac:dyDescent="0.3">
      <c r="D589" s="19"/>
    </row>
    <row r="590" spans="4:4" ht="14.4" hidden="1" x14ac:dyDescent="0.3">
      <c r="D590" s="19"/>
    </row>
    <row r="591" spans="4:4" ht="14.4" hidden="1" x14ac:dyDescent="0.3">
      <c r="D591" s="19"/>
    </row>
    <row r="592" spans="4:4" ht="14.4" hidden="1" x14ac:dyDescent="0.3">
      <c r="D592" s="19"/>
    </row>
    <row r="593" spans="4:4" ht="14.4" hidden="1" x14ac:dyDescent="0.3">
      <c r="D593" s="19"/>
    </row>
    <row r="594" spans="4:4" ht="14.4" hidden="1" x14ac:dyDescent="0.3">
      <c r="D594" s="19"/>
    </row>
    <row r="595" spans="4:4" ht="14.4" hidden="1" x14ac:dyDescent="0.3">
      <c r="D595" s="19"/>
    </row>
    <row r="596" spans="4:4" ht="14.4" hidden="1" x14ac:dyDescent="0.3">
      <c r="D596" s="19"/>
    </row>
    <row r="597" spans="4:4" ht="14.4" hidden="1" x14ac:dyDescent="0.3">
      <c r="D597" s="19"/>
    </row>
    <row r="598" spans="4:4" ht="14.4" hidden="1" x14ac:dyDescent="0.3">
      <c r="D598" s="19"/>
    </row>
    <row r="599" spans="4:4" ht="14.4" hidden="1" x14ac:dyDescent="0.3">
      <c r="D599" s="19"/>
    </row>
    <row r="600" spans="4:4" ht="14.4" hidden="1" x14ac:dyDescent="0.3">
      <c r="D600" s="19"/>
    </row>
    <row r="601" spans="4:4" ht="14.4" hidden="1" x14ac:dyDescent="0.3">
      <c r="D601" s="19"/>
    </row>
    <row r="602" spans="4:4" ht="14.4" hidden="1" x14ac:dyDescent="0.3">
      <c r="D602" s="19"/>
    </row>
    <row r="603" spans="4:4" ht="14.4" hidden="1" x14ac:dyDescent="0.3">
      <c r="D603" s="19"/>
    </row>
    <row r="604" spans="4:4" ht="14.4" hidden="1" x14ac:dyDescent="0.3">
      <c r="D604" s="19"/>
    </row>
    <row r="605" spans="4:4" ht="14.4" hidden="1" x14ac:dyDescent="0.3">
      <c r="D605" s="19"/>
    </row>
    <row r="606" spans="4:4" ht="14.4" hidden="1" x14ac:dyDescent="0.3">
      <c r="D606" s="19"/>
    </row>
    <row r="607" spans="4:4" ht="14.4" hidden="1" x14ac:dyDescent="0.3">
      <c r="D607" s="19"/>
    </row>
    <row r="608" spans="4:4" ht="14.4" hidden="1" x14ac:dyDescent="0.3">
      <c r="D608" s="19"/>
    </row>
    <row r="609" spans="4:4" ht="14.4" hidden="1" x14ac:dyDescent="0.3">
      <c r="D609" s="19"/>
    </row>
    <row r="610" spans="4:4" ht="14.4" hidden="1" x14ac:dyDescent="0.3">
      <c r="D610" s="19"/>
    </row>
    <row r="611" spans="4:4" ht="14.4" hidden="1" x14ac:dyDescent="0.3">
      <c r="D611" s="19"/>
    </row>
    <row r="612" spans="4:4" ht="14.4" hidden="1" x14ac:dyDescent="0.3">
      <c r="D612" s="19"/>
    </row>
    <row r="613" spans="4:4" ht="14.4" hidden="1" x14ac:dyDescent="0.3">
      <c r="D613" s="19"/>
    </row>
    <row r="614" spans="4:4" ht="14.4" hidden="1" x14ac:dyDescent="0.3">
      <c r="D614" s="19"/>
    </row>
    <row r="615" spans="4:4" ht="14.4" hidden="1" x14ac:dyDescent="0.3">
      <c r="D615" s="19"/>
    </row>
    <row r="616" spans="4:4" ht="14.4" hidden="1" x14ac:dyDescent="0.3">
      <c r="D616" s="19"/>
    </row>
    <row r="617" spans="4:4" ht="14.4" hidden="1" x14ac:dyDescent="0.3">
      <c r="D617" s="19"/>
    </row>
    <row r="618" spans="4:4" ht="14.4" hidden="1" x14ac:dyDescent="0.3">
      <c r="D618" s="19"/>
    </row>
    <row r="619" spans="4:4" ht="14.4" hidden="1" x14ac:dyDescent="0.3">
      <c r="D619" s="19"/>
    </row>
    <row r="620" spans="4:4" ht="14.4" hidden="1" x14ac:dyDescent="0.3">
      <c r="D620" s="19"/>
    </row>
    <row r="621" spans="4:4" ht="14.4" hidden="1" x14ac:dyDescent="0.3">
      <c r="D621" s="19"/>
    </row>
    <row r="622" spans="4:4" ht="14.4" hidden="1" x14ac:dyDescent="0.3">
      <c r="D622" s="19"/>
    </row>
    <row r="623" spans="4:4" ht="14.4" hidden="1" x14ac:dyDescent="0.3">
      <c r="D623" s="19"/>
    </row>
    <row r="624" spans="4:4" ht="14.4" hidden="1" x14ac:dyDescent="0.3">
      <c r="D624" s="19"/>
    </row>
    <row r="625" spans="4:4" ht="14.4" hidden="1" x14ac:dyDescent="0.3">
      <c r="D625" s="19"/>
    </row>
    <row r="626" spans="4:4" ht="14.4" hidden="1" x14ac:dyDescent="0.3">
      <c r="D626" s="19"/>
    </row>
    <row r="627" spans="4:4" ht="14.4" hidden="1" x14ac:dyDescent="0.3">
      <c r="D627" s="19"/>
    </row>
    <row r="628" spans="4:4" ht="14.4" hidden="1" x14ac:dyDescent="0.3">
      <c r="D628" s="19"/>
    </row>
    <row r="629" spans="4:4" ht="14.4" hidden="1" x14ac:dyDescent="0.3">
      <c r="D629" s="19"/>
    </row>
    <row r="630" spans="4:4" ht="14.4" hidden="1" x14ac:dyDescent="0.3">
      <c r="D630" s="19"/>
    </row>
    <row r="631" spans="4:4" ht="14.4" hidden="1" x14ac:dyDescent="0.3">
      <c r="D631" s="19"/>
    </row>
    <row r="632" spans="4:4" ht="14.4" hidden="1" x14ac:dyDescent="0.3">
      <c r="D632" s="19"/>
    </row>
    <row r="633" spans="4:4" ht="14.4" hidden="1" x14ac:dyDescent="0.3">
      <c r="D633" s="19"/>
    </row>
    <row r="634" spans="4:4" ht="14.4" hidden="1" x14ac:dyDescent="0.3">
      <c r="D634" s="19"/>
    </row>
    <row r="635" spans="4:4" ht="14.4" hidden="1" x14ac:dyDescent="0.3">
      <c r="D635" s="19"/>
    </row>
    <row r="636" spans="4:4" ht="14.4" hidden="1" x14ac:dyDescent="0.3">
      <c r="D636" s="19"/>
    </row>
    <row r="637" spans="4:4" ht="14.4" hidden="1" x14ac:dyDescent="0.3">
      <c r="D637" s="19"/>
    </row>
    <row r="638" spans="4:4" ht="14.4" hidden="1" x14ac:dyDescent="0.3">
      <c r="D638" s="19"/>
    </row>
    <row r="639" spans="4:4" ht="14.4" hidden="1" x14ac:dyDescent="0.3">
      <c r="D639" s="19"/>
    </row>
    <row r="640" spans="4:4" ht="14.4" hidden="1" x14ac:dyDescent="0.3">
      <c r="D640" s="19"/>
    </row>
    <row r="641" spans="4:4" ht="14.4" hidden="1" x14ac:dyDescent="0.3">
      <c r="D641" s="19"/>
    </row>
    <row r="642" spans="4:4" ht="14.4" hidden="1" x14ac:dyDescent="0.3">
      <c r="D642" s="19"/>
    </row>
    <row r="643" spans="4:4" ht="14.4" hidden="1" x14ac:dyDescent="0.3">
      <c r="D643" s="19"/>
    </row>
    <row r="644" spans="4:4" ht="14.4" hidden="1" x14ac:dyDescent="0.3">
      <c r="D644" s="19"/>
    </row>
    <row r="645" spans="4:4" ht="14.4" hidden="1" x14ac:dyDescent="0.3">
      <c r="D645" s="19"/>
    </row>
    <row r="646" spans="4:4" ht="14.4" hidden="1" x14ac:dyDescent="0.3">
      <c r="D646" s="19"/>
    </row>
    <row r="647" spans="4:4" ht="14.4" hidden="1" x14ac:dyDescent="0.3">
      <c r="D647" s="19"/>
    </row>
    <row r="648" spans="4:4" ht="14.4" hidden="1" x14ac:dyDescent="0.3">
      <c r="D648" s="19"/>
    </row>
    <row r="649" spans="4:4" ht="14.4" hidden="1" x14ac:dyDescent="0.3">
      <c r="D649" s="19"/>
    </row>
    <row r="650" spans="4:4" ht="14.4" hidden="1" x14ac:dyDescent="0.3">
      <c r="D650" s="19"/>
    </row>
    <row r="651" spans="4:4" ht="14.4" hidden="1" x14ac:dyDescent="0.3">
      <c r="D651" s="19"/>
    </row>
    <row r="652" spans="4:4" ht="14.4" hidden="1" x14ac:dyDescent="0.3">
      <c r="D652" s="19"/>
    </row>
    <row r="653" spans="4:4" ht="14.4" hidden="1" x14ac:dyDescent="0.3">
      <c r="D653" s="19"/>
    </row>
    <row r="654" spans="4:4" ht="14.4" hidden="1" x14ac:dyDescent="0.3">
      <c r="D654" s="19"/>
    </row>
    <row r="655" spans="4:4" ht="14.4" hidden="1" x14ac:dyDescent="0.3">
      <c r="D655" s="19"/>
    </row>
    <row r="656" spans="4:4" ht="14.4" hidden="1" x14ac:dyDescent="0.3">
      <c r="D656" s="19"/>
    </row>
    <row r="657" spans="4:4" ht="14.4" hidden="1" x14ac:dyDescent="0.3">
      <c r="D657" s="19"/>
    </row>
    <row r="658" spans="4:4" ht="14.4" hidden="1" x14ac:dyDescent="0.3">
      <c r="D658" s="19"/>
    </row>
    <row r="659" spans="4:4" ht="14.4" hidden="1" x14ac:dyDescent="0.3">
      <c r="D659" s="19"/>
    </row>
    <row r="660" spans="4:4" ht="14.4" hidden="1" x14ac:dyDescent="0.3">
      <c r="D660" s="19"/>
    </row>
    <row r="661" spans="4:4" ht="14.4" hidden="1" x14ac:dyDescent="0.3">
      <c r="D661" s="19"/>
    </row>
    <row r="662" spans="4:4" ht="14.4" hidden="1" x14ac:dyDescent="0.3">
      <c r="D662" s="19"/>
    </row>
    <row r="663" spans="4:4" ht="14.4" hidden="1" x14ac:dyDescent="0.3">
      <c r="D663" s="19"/>
    </row>
    <row r="664" spans="4:4" ht="14.4" hidden="1" x14ac:dyDescent="0.3">
      <c r="D664" s="19"/>
    </row>
    <row r="665" spans="4:4" ht="14.4" hidden="1" x14ac:dyDescent="0.3">
      <c r="D665" s="19"/>
    </row>
    <row r="666" spans="4:4" ht="14.4" hidden="1" x14ac:dyDescent="0.3">
      <c r="D666" s="19"/>
    </row>
    <row r="667" spans="4:4" ht="14.4" hidden="1" x14ac:dyDescent="0.3">
      <c r="D667" s="19"/>
    </row>
    <row r="668" spans="4:4" ht="14.4" hidden="1" x14ac:dyDescent="0.3">
      <c r="D668" s="19"/>
    </row>
    <row r="669" spans="4:4" ht="14.4" hidden="1" x14ac:dyDescent="0.3">
      <c r="D669" s="19"/>
    </row>
    <row r="670" spans="4:4" ht="14.4" hidden="1" x14ac:dyDescent="0.3">
      <c r="D670" s="19"/>
    </row>
    <row r="671" spans="4:4" ht="14.4" hidden="1" x14ac:dyDescent="0.3">
      <c r="D671" s="19"/>
    </row>
    <row r="672" spans="4:4" ht="14.4" hidden="1" x14ac:dyDescent="0.3">
      <c r="D672" s="19"/>
    </row>
    <row r="673" spans="4:4" ht="14.4" hidden="1" x14ac:dyDescent="0.3">
      <c r="D673" s="19"/>
    </row>
    <row r="674" spans="4:4" ht="14.4" hidden="1" x14ac:dyDescent="0.3">
      <c r="D674" s="19"/>
    </row>
    <row r="675" spans="4:4" ht="14.4" hidden="1" x14ac:dyDescent="0.3">
      <c r="D675" s="19"/>
    </row>
    <row r="676" spans="4:4" ht="14.4" hidden="1" x14ac:dyDescent="0.3">
      <c r="D676" s="19"/>
    </row>
    <row r="677" spans="4:4" ht="14.4" hidden="1" x14ac:dyDescent="0.3">
      <c r="D677" s="19"/>
    </row>
    <row r="678" spans="4:4" ht="14.4" hidden="1" x14ac:dyDescent="0.3">
      <c r="D678" s="19"/>
    </row>
    <row r="679" spans="4:4" ht="14.4" hidden="1" x14ac:dyDescent="0.3">
      <c r="D679" s="19"/>
    </row>
    <row r="680" spans="4:4" ht="14.4" hidden="1" x14ac:dyDescent="0.3">
      <c r="D680" s="19"/>
    </row>
    <row r="681" spans="4:4" ht="14.4" hidden="1" x14ac:dyDescent="0.3">
      <c r="D681" s="19"/>
    </row>
    <row r="682" spans="4:4" ht="14.4" hidden="1" x14ac:dyDescent="0.3">
      <c r="D682" s="19"/>
    </row>
    <row r="683" spans="4:4" ht="14.4" hidden="1" x14ac:dyDescent="0.3">
      <c r="D683" s="19"/>
    </row>
    <row r="684" spans="4:4" ht="14.4" hidden="1" x14ac:dyDescent="0.3">
      <c r="D684" s="19"/>
    </row>
    <row r="685" spans="4:4" ht="14.4" hidden="1" x14ac:dyDescent="0.3">
      <c r="D685" s="19"/>
    </row>
    <row r="686" spans="4:4" ht="14.4" hidden="1" x14ac:dyDescent="0.3">
      <c r="D686" s="19"/>
    </row>
    <row r="687" spans="4:4" ht="14.4" hidden="1" x14ac:dyDescent="0.3">
      <c r="D687" s="19"/>
    </row>
    <row r="688" spans="4:4" ht="14.4" hidden="1" x14ac:dyDescent="0.3">
      <c r="D688" s="19"/>
    </row>
    <row r="689" spans="4:4" ht="14.4" hidden="1" x14ac:dyDescent="0.3">
      <c r="D689" s="19"/>
    </row>
    <row r="690" spans="4:4" ht="14.4" hidden="1" x14ac:dyDescent="0.3">
      <c r="D690" s="19"/>
    </row>
    <row r="691" spans="4:4" ht="14.4" hidden="1" x14ac:dyDescent="0.3">
      <c r="D691" s="19"/>
    </row>
    <row r="692" spans="4:4" ht="14.4" hidden="1" x14ac:dyDescent="0.3">
      <c r="D692" s="19"/>
    </row>
    <row r="693" spans="4:4" ht="14.4" hidden="1" x14ac:dyDescent="0.3">
      <c r="D693" s="19"/>
    </row>
    <row r="694" spans="4:4" ht="14.4" hidden="1" x14ac:dyDescent="0.3">
      <c r="D694" s="19"/>
    </row>
    <row r="695" spans="4:4" ht="14.4" hidden="1" x14ac:dyDescent="0.3">
      <c r="D695" s="19"/>
    </row>
    <row r="696" spans="4:4" ht="14.4" hidden="1" x14ac:dyDescent="0.3">
      <c r="D696" s="19"/>
    </row>
    <row r="697" spans="4:4" ht="14.4" hidden="1" x14ac:dyDescent="0.3">
      <c r="D697" s="19"/>
    </row>
    <row r="698" spans="4:4" ht="14.4" hidden="1" x14ac:dyDescent="0.3">
      <c r="D698" s="19"/>
    </row>
    <row r="699" spans="4:4" ht="14.4" hidden="1" x14ac:dyDescent="0.3">
      <c r="D699" s="19"/>
    </row>
    <row r="700" spans="4:4" ht="14.4" hidden="1" x14ac:dyDescent="0.3">
      <c r="D700" s="19"/>
    </row>
    <row r="701" spans="4:4" ht="14.4" hidden="1" x14ac:dyDescent="0.3">
      <c r="D701" s="19"/>
    </row>
    <row r="702" spans="4:4" ht="14.4" hidden="1" x14ac:dyDescent="0.3">
      <c r="D702" s="19"/>
    </row>
    <row r="703" spans="4:4" ht="14.4" hidden="1" x14ac:dyDescent="0.3">
      <c r="D703" s="19"/>
    </row>
    <row r="704" spans="4:4" ht="14.4" hidden="1" x14ac:dyDescent="0.3">
      <c r="D704" s="19"/>
    </row>
    <row r="705" spans="4:4" ht="14.4" hidden="1" x14ac:dyDescent="0.3">
      <c r="D705" s="19"/>
    </row>
    <row r="706" spans="4:4" ht="14.4" hidden="1" x14ac:dyDescent="0.3">
      <c r="D706" s="19"/>
    </row>
    <row r="707" spans="4:4" ht="14.4" hidden="1" x14ac:dyDescent="0.3">
      <c r="D707" s="19"/>
    </row>
    <row r="708" spans="4:4" ht="14.4" hidden="1" x14ac:dyDescent="0.3">
      <c r="D708" s="19"/>
    </row>
    <row r="709" spans="4:4" ht="14.4" hidden="1" x14ac:dyDescent="0.3">
      <c r="D709" s="19"/>
    </row>
    <row r="710" spans="4:4" ht="14.4" hidden="1" x14ac:dyDescent="0.3">
      <c r="D710" s="19"/>
    </row>
    <row r="711" spans="4:4" ht="14.4" hidden="1" x14ac:dyDescent="0.3">
      <c r="D711" s="19"/>
    </row>
    <row r="712" spans="4:4" ht="14.4" hidden="1" x14ac:dyDescent="0.3">
      <c r="D712" s="19"/>
    </row>
    <row r="713" spans="4:4" ht="14.4" hidden="1" x14ac:dyDescent="0.3">
      <c r="D713" s="19"/>
    </row>
    <row r="714" spans="4:4" ht="14.4" hidden="1" x14ac:dyDescent="0.3">
      <c r="D714" s="19"/>
    </row>
    <row r="715" spans="4:4" ht="14.4" hidden="1" x14ac:dyDescent="0.3">
      <c r="D715" s="19"/>
    </row>
    <row r="716" spans="4:4" ht="14.4" hidden="1" x14ac:dyDescent="0.3">
      <c r="D716" s="19"/>
    </row>
    <row r="717" spans="4:4" ht="14.4" hidden="1" x14ac:dyDescent="0.3">
      <c r="D717" s="19"/>
    </row>
    <row r="718" spans="4:4" ht="14.4" hidden="1" x14ac:dyDescent="0.3">
      <c r="D718" s="19"/>
    </row>
    <row r="719" spans="4:4" ht="14.4" hidden="1" x14ac:dyDescent="0.3">
      <c r="D719" s="19"/>
    </row>
    <row r="720" spans="4:4" ht="14.4" hidden="1" x14ac:dyDescent="0.3">
      <c r="D720" s="19"/>
    </row>
    <row r="721" spans="4:4" ht="14.4" hidden="1" x14ac:dyDescent="0.3">
      <c r="D721" s="19"/>
    </row>
    <row r="722" spans="4:4" ht="14.4" hidden="1" x14ac:dyDescent="0.3">
      <c r="D722" s="19"/>
    </row>
    <row r="723" spans="4:4" ht="14.4" hidden="1" x14ac:dyDescent="0.3">
      <c r="D723" s="19"/>
    </row>
    <row r="724" spans="4:4" ht="14.4" hidden="1" x14ac:dyDescent="0.3">
      <c r="D724" s="19"/>
    </row>
    <row r="725" spans="4:4" ht="14.4" hidden="1" x14ac:dyDescent="0.3">
      <c r="D725" s="19"/>
    </row>
    <row r="726" spans="4:4" ht="14.4" hidden="1" x14ac:dyDescent="0.3">
      <c r="D726" s="19"/>
    </row>
    <row r="727" spans="4:4" ht="14.4" hidden="1" x14ac:dyDescent="0.3">
      <c r="D727" s="19"/>
    </row>
    <row r="728" spans="4:4" ht="14.4" hidden="1" x14ac:dyDescent="0.3">
      <c r="D728" s="19"/>
    </row>
    <row r="729" spans="4:4" ht="14.4" hidden="1" x14ac:dyDescent="0.3">
      <c r="D729" s="19"/>
    </row>
    <row r="730" spans="4:4" ht="14.4" hidden="1" x14ac:dyDescent="0.3">
      <c r="D730" s="19"/>
    </row>
    <row r="731" spans="4:4" ht="14.4" hidden="1" x14ac:dyDescent="0.3">
      <c r="D731" s="19"/>
    </row>
    <row r="732" spans="4:4" ht="14.4" hidden="1" x14ac:dyDescent="0.3">
      <c r="D732" s="19"/>
    </row>
    <row r="733" spans="4:4" ht="14.4" hidden="1" x14ac:dyDescent="0.3">
      <c r="D733" s="19"/>
    </row>
    <row r="734" spans="4:4" ht="14.4" hidden="1" x14ac:dyDescent="0.3">
      <c r="D734" s="19"/>
    </row>
    <row r="735" spans="4:4" ht="14.4" hidden="1" x14ac:dyDescent="0.3">
      <c r="D735" s="19"/>
    </row>
    <row r="736" spans="4:4" ht="14.4" hidden="1" x14ac:dyDescent="0.3">
      <c r="D736" s="19"/>
    </row>
    <row r="737" spans="4:4" ht="14.4" hidden="1" x14ac:dyDescent="0.3">
      <c r="D737" s="19"/>
    </row>
    <row r="738" spans="4:4" ht="14.4" hidden="1" x14ac:dyDescent="0.3">
      <c r="D738" s="19"/>
    </row>
    <row r="739" spans="4:4" ht="14.4" hidden="1" x14ac:dyDescent="0.3">
      <c r="D739" s="19"/>
    </row>
    <row r="740" spans="4:4" ht="14.4" hidden="1" x14ac:dyDescent="0.3">
      <c r="D740" s="19"/>
    </row>
    <row r="741" spans="4:4" ht="14.4" hidden="1" x14ac:dyDescent="0.3">
      <c r="D741" s="19"/>
    </row>
    <row r="742" spans="4:4" ht="14.4" hidden="1" x14ac:dyDescent="0.3">
      <c r="D742" s="19"/>
    </row>
    <row r="743" spans="4:4" ht="14.4" hidden="1" x14ac:dyDescent="0.3">
      <c r="D743" s="19"/>
    </row>
    <row r="744" spans="4:4" ht="14.4" hidden="1" x14ac:dyDescent="0.3">
      <c r="D744" s="19"/>
    </row>
    <row r="745" spans="4:4" ht="14.4" hidden="1" x14ac:dyDescent="0.3">
      <c r="D745" s="19"/>
    </row>
    <row r="746" spans="4:4" ht="14.4" hidden="1" x14ac:dyDescent="0.3">
      <c r="D746" s="19"/>
    </row>
    <row r="747" spans="4:4" ht="14.4" hidden="1" x14ac:dyDescent="0.3">
      <c r="D747" s="19"/>
    </row>
    <row r="748" spans="4:4" ht="14.4" hidden="1" x14ac:dyDescent="0.3">
      <c r="D748" s="19"/>
    </row>
    <row r="749" spans="4:4" ht="14.4" hidden="1" x14ac:dyDescent="0.3">
      <c r="D749" s="19"/>
    </row>
    <row r="750" spans="4:4" ht="14.4" hidden="1" x14ac:dyDescent="0.3">
      <c r="D750" s="19"/>
    </row>
    <row r="751" spans="4:4" ht="14.4" hidden="1" x14ac:dyDescent="0.3">
      <c r="D751" s="19"/>
    </row>
    <row r="752" spans="4:4" ht="14.4" hidden="1" x14ac:dyDescent="0.3">
      <c r="D752" s="19"/>
    </row>
    <row r="753" spans="4:4" ht="14.4" hidden="1" x14ac:dyDescent="0.3">
      <c r="D753" s="19"/>
    </row>
    <row r="754" spans="4:4" ht="14.4" hidden="1" x14ac:dyDescent="0.3">
      <c r="D754" s="19"/>
    </row>
    <row r="755" spans="4:4" ht="14.4" hidden="1" x14ac:dyDescent="0.3">
      <c r="D755" s="19"/>
    </row>
    <row r="756" spans="4:4" ht="14.4" hidden="1" x14ac:dyDescent="0.3">
      <c r="D756" s="19"/>
    </row>
    <row r="757" spans="4:4" ht="14.4" hidden="1" x14ac:dyDescent="0.3">
      <c r="D757" s="19"/>
    </row>
    <row r="758" spans="4:4" ht="14.4" hidden="1" x14ac:dyDescent="0.3">
      <c r="D758" s="19"/>
    </row>
    <row r="759" spans="4:4" ht="14.4" hidden="1" x14ac:dyDescent="0.3">
      <c r="D759" s="19"/>
    </row>
    <row r="760" spans="4:4" ht="14.4" hidden="1" x14ac:dyDescent="0.3">
      <c r="D760" s="19"/>
    </row>
    <row r="761" spans="4:4" ht="14.4" hidden="1" x14ac:dyDescent="0.3">
      <c r="D761" s="19"/>
    </row>
    <row r="762" spans="4:4" ht="14.4" hidden="1" x14ac:dyDescent="0.3">
      <c r="D762" s="19"/>
    </row>
    <row r="763" spans="4:4" ht="14.4" hidden="1" x14ac:dyDescent="0.3">
      <c r="D763" s="19"/>
    </row>
    <row r="764" spans="4:4" ht="14.4" hidden="1" x14ac:dyDescent="0.3">
      <c r="D764" s="19"/>
    </row>
    <row r="765" spans="4:4" ht="14.4" hidden="1" x14ac:dyDescent="0.3">
      <c r="D765" s="19"/>
    </row>
    <row r="766" spans="4:4" ht="14.4" hidden="1" x14ac:dyDescent="0.3">
      <c r="D766" s="19"/>
    </row>
    <row r="767" spans="4:4" ht="14.4" hidden="1" x14ac:dyDescent="0.3">
      <c r="D767" s="19"/>
    </row>
    <row r="768" spans="4:4" ht="14.4" hidden="1" x14ac:dyDescent="0.3">
      <c r="D768" s="19"/>
    </row>
    <row r="769" spans="4:4" ht="14.4" hidden="1" x14ac:dyDescent="0.3">
      <c r="D769" s="19"/>
    </row>
    <row r="770" spans="4:4" ht="14.4" hidden="1" x14ac:dyDescent="0.3">
      <c r="D770" s="19"/>
    </row>
    <row r="771" spans="4:4" ht="14.4" hidden="1" x14ac:dyDescent="0.3">
      <c r="D771" s="19"/>
    </row>
    <row r="772" spans="4:4" ht="14.4" hidden="1" x14ac:dyDescent="0.3">
      <c r="D772" s="19"/>
    </row>
    <row r="773" spans="4:4" ht="14.4" hidden="1" x14ac:dyDescent="0.3">
      <c r="D773" s="19"/>
    </row>
    <row r="774" spans="4:4" ht="14.4" hidden="1" x14ac:dyDescent="0.3">
      <c r="D774" s="19"/>
    </row>
    <row r="775" spans="4:4" ht="14.4" hidden="1" x14ac:dyDescent="0.3">
      <c r="D775" s="19"/>
    </row>
    <row r="776" spans="4:4" ht="14.4" hidden="1" x14ac:dyDescent="0.3">
      <c r="D776" s="19"/>
    </row>
    <row r="777" spans="4:4" ht="14.4" hidden="1" x14ac:dyDescent="0.3">
      <c r="D777" s="19"/>
    </row>
    <row r="778" spans="4:4" ht="14.4" hidden="1" x14ac:dyDescent="0.3">
      <c r="D778" s="19"/>
    </row>
    <row r="779" spans="4:4" ht="14.4" hidden="1" x14ac:dyDescent="0.3">
      <c r="D779" s="19"/>
    </row>
    <row r="780" spans="4:4" ht="14.4" hidden="1" x14ac:dyDescent="0.3">
      <c r="D780" s="19"/>
    </row>
    <row r="781" spans="4:4" ht="14.4" hidden="1" x14ac:dyDescent="0.3">
      <c r="D781" s="19"/>
    </row>
    <row r="782" spans="4:4" ht="14.4" hidden="1" x14ac:dyDescent="0.3">
      <c r="D782" s="19"/>
    </row>
    <row r="783" spans="4:4" ht="14.4" hidden="1" x14ac:dyDescent="0.3">
      <c r="D783" s="19"/>
    </row>
    <row r="784" spans="4:4" ht="14.4" hidden="1" x14ac:dyDescent="0.3">
      <c r="D784" s="19"/>
    </row>
    <row r="785" spans="4:4" ht="14.4" hidden="1" x14ac:dyDescent="0.3">
      <c r="D785" s="19"/>
    </row>
    <row r="786" spans="4:4" ht="14.4" hidden="1" x14ac:dyDescent="0.3">
      <c r="D786" s="19"/>
    </row>
    <row r="787" spans="4:4" ht="14.4" hidden="1" x14ac:dyDescent="0.3">
      <c r="D787" s="19"/>
    </row>
    <row r="788" spans="4:4" ht="14.4" hidden="1" x14ac:dyDescent="0.3">
      <c r="D788" s="19"/>
    </row>
    <row r="789" spans="4:4" ht="14.4" hidden="1" x14ac:dyDescent="0.3">
      <c r="D789" s="19"/>
    </row>
    <row r="790" spans="4:4" ht="14.4" hidden="1" x14ac:dyDescent="0.3">
      <c r="D790" s="19"/>
    </row>
    <row r="791" spans="4:4" ht="14.4" hidden="1" x14ac:dyDescent="0.3">
      <c r="D791" s="19"/>
    </row>
    <row r="792" spans="4:4" ht="14.4" hidden="1" x14ac:dyDescent="0.3">
      <c r="D792" s="19"/>
    </row>
    <row r="793" spans="4:4" ht="14.4" hidden="1" x14ac:dyDescent="0.3">
      <c r="D793" s="19"/>
    </row>
    <row r="794" spans="4:4" ht="14.4" hidden="1" x14ac:dyDescent="0.3">
      <c r="D794" s="19"/>
    </row>
    <row r="795" spans="4:4" ht="14.4" hidden="1" x14ac:dyDescent="0.3">
      <c r="D795" s="19"/>
    </row>
    <row r="796" spans="4:4" ht="14.4" hidden="1" x14ac:dyDescent="0.3">
      <c r="D796" s="19"/>
    </row>
    <row r="797" spans="4:4" ht="14.4" hidden="1" x14ac:dyDescent="0.3">
      <c r="D797" s="19"/>
    </row>
    <row r="798" spans="4:4" ht="14.4" hidden="1" x14ac:dyDescent="0.3">
      <c r="D798" s="19"/>
    </row>
    <row r="799" spans="4:4" ht="14.4" hidden="1" x14ac:dyDescent="0.3">
      <c r="D799" s="19"/>
    </row>
    <row r="800" spans="4:4" ht="14.4" hidden="1" x14ac:dyDescent="0.3">
      <c r="D800" s="19"/>
    </row>
    <row r="801" spans="4:4" ht="14.4" hidden="1" x14ac:dyDescent="0.3">
      <c r="D801" s="19"/>
    </row>
    <row r="802" spans="4:4" ht="14.4" hidden="1" x14ac:dyDescent="0.3">
      <c r="D802" s="19"/>
    </row>
    <row r="803" spans="4:4" ht="14.4" hidden="1" x14ac:dyDescent="0.3">
      <c r="D803" s="19"/>
    </row>
    <row r="804" spans="4:4" ht="14.4" hidden="1" x14ac:dyDescent="0.3">
      <c r="D804" s="19"/>
    </row>
    <row r="805" spans="4:4" ht="14.4" hidden="1" x14ac:dyDescent="0.3">
      <c r="D805" s="19"/>
    </row>
    <row r="806" spans="4:4" ht="14.4" hidden="1" x14ac:dyDescent="0.3">
      <c r="D806" s="19"/>
    </row>
    <row r="807" spans="4:4" ht="14.4" hidden="1" x14ac:dyDescent="0.3">
      <c r="D807" s="19"/>
    </row>
    <row r="808" spans="4:4" ht="14.4" hidden="1" x14ac:dyDescent="0.3">
      <c r="D808" s="19"/>
    </row>
    <row r="809" spans="4:4" ht="14.4" hidden="1" x14ac:dyDescent="0.3">
      <c r="D809" s="19"/>
    </row>
    <row r="810" spans="4:4" ht="14.4" hidden="1" x14ac:dyDescent="0.3">
      <c r="D810" s="19"/>
    </row>
    <row r="811" spans="4:4" ht="14.4" hidden="1" x14ac:dyDescent="0.3">
      <c r="D811" s="19"/>
    </row>
    <row r="812" spans="4:4" ht="14.4" hidden="1" x14ac:dyDescent="0.3">
      <c r="D812" s="19"/>
    </row>
    <row r="813" spans="4:4" ht="14.4" hidden="1" x14ac:dyDescent="0.3">
      <c r="D813" s="19"/>
    </row>
    <row r="814" spans="4:4" ht="14.4" hidden="1" x14ac:dyDescent="0.3">
      <c r="D814" s="19"/>
    </row>
    <row r="815" spans="4:4" ht="14.4" hidden="1" x14ac:dyDescent="0.3">
      <c r="D815" s="19"/>
    </row>
    <row r="816" spans="4:4" ht="14.4" hidden="1" x14ac:dyDescent="0.3">
      <c r="D816" s="19"/>
    </row>
    <row r="817" spans="4:4" ht="14.4" hidden="1" x14ac:dyDescent="0.3">
      <c r="D817" s="19"/>
    </row>
    <row r="818" spans="4:4" ht="14.4" hidden="1" x14ac:dyDescent="0.3">
      <c r="D818" s="19"/>
    </row>
    <row r="819" spans="4:4" ht="14.4" hidden="1" x14ac:dyDescent="0.3">
      <c r="D819" s="19"/>
    </row>
    <row r="820" spans="4:4" ht="14.4" hidden="1" x14ac:dyDescent="0.3">
      <c r="D820" s="19"/>
    </row>
    <row r="821" spans="4:4" ht="14.4" hidden="1" x14ac:dyDescent="0.3">
      <c r="D821" s="19"/>
    </row>
    <row r="822" spans="4:4" ht="14.4" hidden="1" x14ac:dyDescent="0.3">
      <c r="D822" s="19"/>
    </row>
    <row r="823" spans="4:4" ht="14.4" hidden="1" x14ac:dyDescent="0.3">
      <c r="D823" s="19"/>
    </row>
    <row r="824" spans="4:4" ht="14.4" hidden="1" x14ac:dyDescent="0.3">
      <c r="D824" s="19"/>
    </row>
    <row r="825" spans="4:4" ht="14.4" hidden="1" x14ac:dyDescent="0.3">
      <c r="D825" s="19"/>
    </row>
    <row r="826" spans="4:4" ht="14.4" hidden="1" x14ac:dyDescent="0.3">
      <c r="D826" s="19"/>
    </row>
    <row r="827" spans="4:4" ht="14.4" hidden="1" x14ac:dyDescent="0.3">
      <c r="D827" s="19"/>
    </row>
    <row r="828" spans="4:4" ht="14.4" hidden="1" x14ac:dyDescent="0.3">
      <c r="D828" s="19"/>
    </row>
    <row r="829" spans="4:4" ht="14.4" hidden="1" x14ac:dyDescent="0.3">
      <c r="D829" s="19"/>
    </row>
    <row r="830" spans="4:4" ht="14.4" hidden="1" x14ac:dyDescent="0.3">
      <c r="D830" s="19"/>
    </row>
    <row r="831" spans="4:4" ht="14.4" hidden="1" x14ac:dyDescent="0.3">
      <c r="D831" s="19"/>
    </row>
    <row r="832" spans="4:4" ht="14.4" hidden="1" x14ac:dyDescent="0.3">
      <c r="D832" s="19"/>
    </row>
    <row r="833" spans="4:4" ht="14.4" hidden="1" x14ac:dyDescent="0.3">
      <c r="D833" s="19"/>
    </row>
    <row r="834" spans="4:4" ht="14.4" hidden="1" x14ac:dyDescent="0.3">
      <c r="D834" s="19"/>
    </row>
    <row r="835" spans="4:4" ht="14.4" hidden="1" x14ac:dyDescent="0.3">
      <c r="D835" s="19"/>
    </row>
    <row r="836" spans="4:4" ht="14.4" hidden="1" x14ac:dyDescent="0.3">
      <c r="D836" s="19"/>
    </row>
    <row r="837" spans="4:4" ht="14.4" hidden="1" x14ac:dyDescent="0.3">
      <c r="D837" s="19"/>
    </row>
    <row r="838" spans="4:4" ht="14.4" hidden="1" x14ac:dyDescent="0.3">
      <c r="D838" s="19"/>
    </row>
    <row r="839" spans="4:4" ht="14.4" hidden="1" x14ac:dyDescent="0.3">
      <c r="D839" s="19"/>
    </row>
    <row r="840" spans="4:4" ht="14.4" hidden="1" x14ac:dyDescent="0.3">
      <c r="D840" s="19"/>
    </row>
    <row r="841" spans="4:4" ht="14.4" hidden="1" x14ac:dyDescent="0.3">
      <c r="D841" s="19"/>
    </row>
    <row r="842" spans="4:4" ht="14.4" hidden="1" x14ac:dyDescent="0.3">
      <c r="D842" s="19"/>
    </row>
    <row r="843" spans="4:4" ht="14.4" hidden="1" x14ac:dyDescent="0.3">
      <c r="D843" s="19"/>
    </row>
    <row r="844" spans="4:4" ht="14.4" hidden="1" x14ac:dyDescent="0.3">
      <c r="D844" s="19"/>
    </row>
    <row r="845" spans="4:4" ht="14.4" hidden="1" x14ac:dyDescent="0.3">
      <c r="D845" s="19"/>
    </row>
    <row r="846" spans="4:4" ht="14.4" hidden="1" x14ac:dyDescent="0.3">
      <c r="D846" s="19"/>
    </row>
    <row r="847" spans="4:4" ht="14.4" hidden="1" x14ac:dyDescent="0.3">
      <c r="D847" s="19"/>
    </row>
    <row r="848" spans="4:4" ht="14.4" hidden="1" x14ac:dyDescent="0.3">
      <c r="D848" s="19"/>
    </row>
    <row r="849" spans="4:4" ht="14.4" hidden="1" x14ac:dyDescent="0.3">
      <c r="D849" s="19"/>
    </row>
    <row r="850" spans="4:4" ht="14.4" hidden="1" x14ac:dyDescent="0.3">
      <c r="D850" s="19"/>
    </row>
    <row r="851" spans="4:4" ht="14.4" hidden="1" x14ac:dyDescent="0.3">
      <c r="D851" s="19"/>
    </row>
    <row r="852" spans="4:4" ht="14.4" hidden="1" x14ac:dyDescent="0.3">
      <c r="D852" s="19"/>
    </row>
    <row r="853" spans="4:4" ht="14.4" hidden="1" x14ac:dyDescent="0.3">
      <c r="D853" s="19"/>
    </row>
    <row r="854" spans="4:4" ht="14.4" hidden="1" x14ac:dyDescent="0.3">
      <c r="D854" s="19"/>
    </row>
    <row r="855" spans="4:4" ht="14.4" hidden="1" x14ac:dyDescent="0.3">
      <c r="D855" s="19"/>
    </row>
    <row r="856" spans="4:4" ht="14.4" hidden="1" x14ac:dyDescent="0.3">
      <c r="D856" s="19"/>
    </row>
    <row r="857" spans="4:4" ht="14.4" hidden="1" x14ac:dyDescent="0.3">
      <c r="D857" s="19"/>
    </row>
    <row r="858" spans="4:4" ht="14.4" hidden="1" x14ac:dyDescent="0.3">
      <c r="D858" s="19"/>
    </row>
    <row r="859" spans="4:4" ht="14.4" hidden="1" x14ac:dyDescent="0.3">
      <c r="D859" s="19"/>
    </row>
    <row r="860" spans="4:4" ht="14.4" hidden="1" x14ac:dyDescent="0.3">
      <c r="D860" s="19"/>
    </row>
    <row r="861" spans="4:4" ht="14.4" hidden="1" x14ac:dyDescent="0.3">
      <c r="D861" s="19"/>
    </row>
    <row r="862" spans="4:4" ht="14.4" hidden="1" x14ac:dyDescent="0.3">
      <c r="D862" s="19"/>
    </row>
    <row r="863" spans="4:4" ht="14.4" hidden="1" x14ac:dyDescent="0.3">
      <c r="D863" s="19"/>
    </row>
    <row r="864" spans="4:4" ht="14.4" hidden="1" x14ac:dyDescent="0.3">
      <c r="D864" s="19"/>
    </row>
    <row r="865" spans="4:4" ht="14.4" hidden="1" x14ac:dyDescent="0.3">
      <c r="D865" s="19"/>
    </row>
    <row r="866" spans="4:4" ht="14.4" hidden="1" x14ac:dyDescent="0.3">
      <c r="D866" s="19"/>
    </row>
    <row r="867" spans="4:4" ht="14.4" hidden="1" x14ac:dyDescent="0.3">
      <c r="D867" s="19"/>
    </row>
    <row r="868" spans="4:4" ht="14.4" hidden="1" x14ac:dyDescent="0.3">
      <c r="D868" s="19"/>
    </row>
    <row r="869" spans="4:4" ht="14.4" hidden="1" x14ac:dyDescent="0.3">
      <c r="D869" s="19"/>
    </row>
    <row r="870" spans="4:4" ht="14.4" hidden="1" x14ac:dyDescent="0.3">
      <c r="D870" s="19"/>
    </row>
    <row r="871" spans="4:4" ht="14.4" hidden="1" x14ac:dyDescent="0.3">
      <c r="D871" s="19"/>
    </row>
    <row r="872" spans="4:4" ht="14.4" hidden="1" x14ac:dyDescent="0.3">
      <c r="D872" s="19"/>
    </row>
    <row r="873" spans="4:4" ht="14.4" hidden="1" x14ac:dyDescent="0.3">
      <c r="D873" s="19"/>
    </row>
    <row r="874" spans="4:4" ht="14.4" hidden="1" x14ac:dyDescent="0.3">
      <c r="D874" s="19"/>
    </row>
    <row r="875" spans="4:4" ht="14.4" hidden="1" x14ac:dyDescent="0.3">
      <c r="D875" s="19"/>
    </row>
    <row r="876" spans="4:4" ht="14.4" hidden="1" x14ac:dyDescent="0.3">
      <c r="D876" s="19"/>
    </row>
    <row r="877" spans="4:4" ht="14.4" hidden="1" x14ac:dyDescent="0.3">
      <c r="D877" s="19"/>
    </row>
    <row r="878" spans="4:4" ht="14.4" hidden="1" x14ac:dyDescent="0.3">
      <c r="D878" s="19"/>
    </row>
    <row r="879" spans="4:4" ht="14.4" hidden="1" x14ac:dyDescent="0.3">
      <c r="D879" s="19"/>
    </row>
    <row r="880" spans="4:4" ht="14.4" hidden="1" x14ac:dyDescent="0.3">
      <c r="D880" s="19"/>
    </row>
    <row r="881" spans="4:4" ht="14.4" hidden="1" x14ac:dyDescent="0.3">
      <c r="D881" s="19"/>
    </row>
    <row r="882" spans="4:4" ht="14.4" hidden="1" x14ac:dyDescent="0.3">
      <c r="D882" s="19"/>
    </row>
    <row r="883" spans="4:4" ht="14.4" hidden="1" x14ac:dyDescent="0.3">
      <c r="D883" s="19"/>
    </row>
    <row r="884" spans="4:4" ht="14.4" hidden="1" x14ac:dyDescent="0.3">
      <c r="D884" s="19"/>
    </row>
    <row r="885" spans="4:4" ht="14.4" hidden="1" x14ac:dyDescent="0.3">
      <c r="D885" s="19"/>
    </row>
    <row r="886" spans="4:4" ht="14.4" hidden="1" x14ac:dyDescent="0.3">
      <c r="D886" s="19"/>
    </row>
    <row r="887" spans="4:4" ht="14.4" hidden="1" x14ac:dyDescent="0.3">
      <c r="D887" s="19"/>
    </row>
    <row r="888" spans="4:4" ht="14.4" hidden="1" x14ac:dyDescent="0.3">
      <c r="D888" s="19"/>
    </row>
    <row r="889" spans="4:4" ht="14.4" hidden="1" x14ac:dyDescent="0.3">
      <c r="D889" s="19"/>
    </row>
    <row r="890" spans="4:4" ht="14.4" hidden="1" x14ac:dyDescent="0.3">
      <c r="D890" s="19"/>
    </row>
    <row r="891" spans="4:4" ht="14.4" hidden="1" x14ac:dyDescent="0.3">
      <c r="D891" s="19"/>
    </row>
    <row r="892" spans="4:4" ht="14.4" hidden="1" x14ac:dyDescent="0.3">
      <c r="D892" s="19"/>
    </row>
    <row r="893" spans="4:4" ht="14.4" hidden="1" x14ac:dyDescent="0.3">
      <c r="D893" s="19"/>
    </row>
    <row r="894" spans="4:4" ht="14.4" hidden="1" x14ac:dyDescent="0.3">
      <c r="D894" s="19"/>
    </row>
    <row r="895" spans="4:4" ht="14.4" hidden="1" x14ac:dyDescent="0.3">
      <c r="D895" s="19"/>
    </row>
    <row r="896" spans="4:4" ht="14.4" hidden="1" x14ac:dyDescent="0.3">
      <c r="D896" s="19"/>
    </row>
    <row r="897" spans="4:4" ht="14.4" hidden="1" x14ac:dyDescent="0.3">
      <c r="D897" s="19"/>
    </row>
    <row r="898" spans="4:4" ht="14.4" hidden="1" x14ac:dyDescent="0.3">
      <c r="D898" s="19"/>
    </row>
    <row r="899" spans="4:4" ht="14.4" hidden="1" x14ac:dyDescent="0.3">
      <c r="D899" s="19"/>
    </row>
    <row r="900" spans="4:4" ht="14.4" hidden="1" x14ac:dyDescent="0.3">
      <c r="D900" s="19"/>
    </row>
    <row r="901" spans="4:4" ht="14.4" hidden="1" x14ac:dyDescent="0.3">
      <c r="D901" s="19"/>
    </row>
    <row r="902" spans="4:4" ht="14.4" hidden="1" x14ac:dyDescent="0.3">
      <c r="D902" s="19"/>
    </row>
    <row r="903" spans="4:4" ht="14.4" hidden="1" x14ac:dyDescent="0.3">
      <c r="D903" s="19"/>
    </row>
    <row r="904" spans="4:4" ht="14.4" hidden="1" x14ac:dyDescent="0.3">
      <c r="D904" s="19"/>
    </row>
    <row r="905" spans="4:4" ht="14.4" hidden="1" x14ac:dyDescent="0.3">
      <c r="D905" s="19"/>
    </row>
    <row r="906" spans="4:4" ht="14.4" hidden="1" x14ac:dyDescent="0.3">
      <c r="D906" s="19"/>
    </row>
    <row r="907" spans="4:4" ht="14.4" hidden="1" x14ac:dyDescent="0.3">
      <c r="D907" s="19"/>
    </row>
    <row r="908" spans="4:4" ht="14.4" hidden="1" x14ac:dyDescent="0.3">
      <c r="D908" s="19"/>
    </row>
    <row r="909" spans="4:4" ht="14.4" hidden="1" x14ac:dyDescent="0.3">
      <c r="D909" s="19"/>
    </row>
    <row r="910" spans="4:4" ht="14.4" hidden="1" x14ac:dyDescent="0.3">
      <c r="D910" s="19"/>
    </row>
    <row r="911" spans="4:4" ht="14.4" hidden="1" x14ac:dyDescent="0.3">
      <c r="D911" s="19"/>
    </row>
    <row r="912" spans="4:4" ht="14.4" hidden="1" x14ac:dyDescent="0.3">
      <c r="D912" s="19"/>
    </row>
    <row r="913" spans="4:4" ht="14.4" hidden="1" x14ac:dyDescent="0.3">
      <c r="D913" s="19"/>
    </row>
    <row r="914" spans="4:4" ht="14.4" hidden="1" x14ac:dyDescent="0.3">
      <c r="D914" s="19"/>
    </row>
    <row r="915" spans="4:4" ht="14.4" hidden="1" x14ac:dyDescent="0.3">
      <c r="D915" s="19"/>
    </row>
    <row r="916" spans="4:4" ht="14.4" hidden="1" x14ac:dyDescent="0.3">
      <c r="D916" s="19"/>
    </row>
    <row r="917" spans="4:4" ht="14.4" hidden="1" x14ac:dyDescent="0.3">
      <c r="D917" s="19"/>
    </row>
    <row r="918" spans="4:4" ht="14.4" hidden="1" x14ac:dyDescent="0.3">
      <c r="D918" s="19"/>
    </row>
    <row r="919" spans="4:4" ht="14.4" hidden="1" x14ac:dyDescent="0.3">
      <c r="D919" s="19"/>
    </row>
    <row r="920" spans="4:4" ht="14.4" hidden="1" x14ac:dyDescent="0.3">
      <c r="D920" s="19"/>
    </row>
    <row r="921" spans="4:4" ht="14.4" hidden="1" x14ac:dyDescent="0.3">
      <c r="D921" s="19"/>
    </row>
    <row r="922" spans="4:4" ht="14.4" hidden="1" x14ac:dyDescent="0.3">
      <c r="D922" s="19"/>
    </row>
    <row r="923" spans="4:4" ht="14.4" hidden="1" x14ac:dyDescent="0.3">
      <c r="D923" s="19"/>
    </row>
    <row r="924" spans="4:4" ht="14.4" hidden="1" x14ac:dyDescent="0.3">
      <c r="D924" s="19"/>
    </row>
    <row r="925" spans="4:4" ht="14.4" hidden="1" x14ac:dyDescent="0.3">
      <c r="D925" s="19"/>
    </row>
    <row r="926" spans="4:4" ht="14.4" hidden="1" x14ac:dyDescent="0.3">
      <c r="D926" s="19"/>
    </row>
    <row r="927" spans="4:4" ht="14.4" hidden="1" x14ac:dyDescent="0.3">
      <c r="D927" s="19"/>
    </row>
    <row r="928" spans="4:4" ht="14.4" hidden="1" x14ac:dyDescent="0.3">
      <c r="D928" s="19"/>
    </row>
    <row r="929" spans="4:4" ht="14.4" hidden="1" x14ac:dyDescent="0.3">
      <c r="D929" s="19"/>
    </row>
    <row r="930" spans="4:4" ht="14.4" hidden="1" x14ac:dyDescent="0.3">
      <c r="D930" s="19"/>
    </row>
    <row r="931" spans="4:4" ht="14.4" hidden="1" x14ac:dyDescent="0.3">
      <c r="D931" s="19"/>
    </row>
    <row r="932" spans="4:4" ht="14.4" hidden="1" x14ac:dyDescent="0.3">
      <c r="D932" s="19"/>
    </row>
    <row r="933" spans="4:4" ht="14.4" hidden="1" x14ac:dyDescent="0.3">
      <c r="D933" s="19"/>
    </row>
    <row r="934" spans="4:4" ht="14.4" hidden="1" x14ac:dyDescent="0.3">
      <c r="D934" s="19"/>
    </row>
    <row r="935" spans="4:4" ht="14.4" hidden="1" x14ac:dyDescent="0.3">
      <c r="D935" s="19"/>
    </row>
    <row r="936" spans="4:4" ht="14.4" hidden="1" x14ac:dyDescent="0.3">
      <c r="D936" s="19"/>
    </row>
    <row r="937" spans="4:4" ht="14.4" hidden="1" x14ac:dyDescent="0.3">
      <c r="D937" s="19"/>
    </row>
    <row r="938" spans="4:4" ht="14.4" hidden="1" x14ac:dyDescent="0.3">
      <c r="D938" s="19"/>
    </row>
    <row r="939" spans="4:4" ht="14.4" hidden="1" x14ac:dyDescent="0.3">
      <c r="D939" s="19"/>
    </row>
    <row r="940" spans="4:4" ht="14.4" hidden="1" x14ac:dyDescent="0.3">
      <c r="D940" s="19"/>
    </row>
    <row r="941" spans="4:4" ht="14.4" hidden="1" x14ac:dyDescent="0.3">
      <c r="D941" s="19"/>
    </row>
    <row r="942" spans="4:4" ht="14.4" hidden="1" x14ac:dyDescent="0.3">
      <c r="D942" s="19"/>
    </row>
    <row r="943" spans="4:4" ht="14.4" hidden="1" x14ac:dyDescent="0.3">
      <c r="D943" s="19"/>
    </row>
    <row r="944" spans="4:4" ht="14.4" hidden="1" x14ac:dyDescent="0.3">
      <c r="D944" s="19"/>
    </row>
    <row r="945" spans="4:4" ht="14.4" hidden="1" x14ac:dyDescent="0.3">
      <c r="D945" s="19"/>
    </row>
    <row r="946" spans="4:4" ht="14.4" hidden="1" x14ac:dyDescent="0.3">
      <c r="D946" s="19"/>
    </row>
    <row r="947" spans="4:4" ht="14.4" hidden="1" x14ac:dyDescent="0.3">
      <c r="D947" s="19"/>
    </row>
    <row r="948" spans="4:4" ht="14.4" hidden="1" x14ac:dyDescent="0.3">
      <c r="D948" s="19"/>
    </row>
    <row r="949" spans="4:4" ht="14.4" hidden="1" x14ac:dyDescent="0.3">
      <c r="D949" s="19"/>
    </row>
    <row r="950" spans="4:4" ht="14.4" hidden="1" x14ac:dyDescent="0.3">
      <c r="D950" s="19"/>
    </row>
    <row r="951" spans="4:4" ht="14.4" hidden="1" x14ac:dyDescent="0.3">
      <c r="D951" s="19"/>
    </row>
    <row r="952" spans="4:4" ht="14.4" hidden="1" x14ac:dyDescent="0.3">
      <c r="D952" s="19"/>
    </row>
    <row r="953" spans="4:4" ht="14.4" hidden="1" x14ac:dyDescent="0.3">
      <c r="D953" s="19"/>
    </row>
    <row r="954" spans="4:4" ht="14.4" hidden="1" x14ac:dyDescent="0.3">
      <c r="D954" s="19"/>
    </row>
    <row r="955" spans="4:4" ht="14.4" hidden="1" x14ac:dyDescent="0.3">
      <c r="D955" s="19"/>
    </row>
    <row r="956" spans="4:4" ht="14.4" hidden="1" x14ac:dyDescent="0.3">
      <c r="D956" s="19"/>
    </row>
    <row r="957" spans="4:4" ht="14.4" hidden="1" x14ac:dyDescent="0.3">
      <c r="D957" s="19"/>
    </row>
    <row r="958" spans="4:4" ht="14.4" hidden="1" x14ac:dyDescent="0.3">
      <c r="D958" s="19"/>
    </row>
    <row r="959" spans="4:4" ht="14.4" hidden="1" x14ac:dyDescent="0.3">
      <c r="D959" s="19"/>
    </row>
    <row r="960" spans="4:4" ht="14.4" hidden="1" x14ac:dyDescent="0.3">
      <c r="D960" s="19"/>
    </row>
    <row r="961" spans="4:4" ht="14.4" hidden="1" x14ac:dyDescent="0.3">
      <c r="D961" s="19"/>
    </row>
    <row r="962" spans="4:4" ht="14.4" hidden="1" x14ac:dyDescent="0.3">
      <c r="D962" s="19"/>
    </row>
    <row r="963" spans="4:4" ht="14.4" hidden="1" x14ac:dyDescent="0.3">
      <c r="D963" s="19"/>
    </row>
    <row r="964" spans="4:4" ht="14.4" hidden="1" x14ac:dyDescent="0.3">
      <c r="D964" s="19"/>
    </row>
    <row r="965" spans="4:4" ht="14.4" hidden="1" x14ac:dyDescent="0.3">
      <c r="D965" s="19"/>
    </row>
    <row r="966" spans="4:4" ht="14.4" hidden="1" x14ac:dyDescent="0.3">
      <c r="D966" s="19"/>
    </row>
    <row r="967" spans="4:4" ht="14.4" hidden="1" x14ac:dyDescent="0.3">
      <c r="D967" s="19"/>
    </row>
    <row r="968" spans="4:4" ht="14.4" hidden="1" x14ac:dyDescent="0.3">
      <c r="D968" s="19"/>
    </row>
    <row r="969" spans="4:4" ht="14.4" hidden="1" x14ac:dyDescent="0.3">
      <c r="D969" s="19"/>
    </row>
    <row r="970" spans="4:4" ht="14.4" hidden="1" x14ac:dyDescent="0.3">
      <c r="D970" s="19"/>
    </row>
    <row r="971" spans="4:4" ht="14.4" hidden="1" x14ac:dyDescent="0.3">
      <c r="D971" s="19"/>
    </row>
    <row r="972" spans="4:4" ht="14.4" hidden="1" x14ac:dyDescent="0.3">
      <c r="D972" s="19"/>
    </row>
    <row r="973" spans="4:4" ht="14.4" hidden="1" x14ac:dyDescent="0.3">
      <c r="D973" s="19"/>
    </row>
    <row r="974" spans="4:4" ht="14.4" hidden="1" x14ac:dyDescent="0.3">
      <c r="D974" s="19"/>
    </row>
    <row r="975" spans="4:4" ht="14.4" hidden="1" x14ac:dyDescent="0.3">
      <c r="D975" s="19"/>
    </row>
    <row r="976" spans="4:4" ht="14.4" hidden="1" x14ac:dyDescent="0.3">
      <c r="D976" s="19"/>
    </row>
    <row r="977" spans="4:4" ht="14.4" hidden="1" x14ac:dyDescent="0.3">
      <c r="D977" s="19"/>
    </row>
    <row r="978" spans="4:4" ht="14.4" hidden="1" x14ac:dyDescent="0.3">
      <c r="D978" s="19"/>
    </row>
    <row r="979" spans="4:4" ht="14.4" hidden="1" x14ac:dyDescent="0.3">
      <c r="D979" s="19"/>
    </row>
    <row r="980" spans="4:4" ht="14.4" hidden="1" x14ac:dyDescent="0.3">
      <c r="D980" s="19"/>
    </row>
    <row r="981" spans="4:4" ht="14.4" hidden="1" x14ac:dyDescent="0.3">
      <c r="D981" s="19"/>
    </row>
    <row r="982" spans="4:4" ht="14.4" hidden="1" x14ac:dyDescent="0.3">
      <c r="D982" s="19"/>
    </row>
    <row r="983" spans="4:4" ht="14.4" hidden="1" x14ac:dyDescent="0.3">
      <c r="D983" s="19"/>
    </row>
    <row r="984" spans="4:4" ht="14.4" hidden="1" x14ac:dyDescent="0.3">
      <c r="D984" s="19"/>
    </row>
    <row r="985" spans="4:4" ht="14.4" hidden="1" x14ac:dyDescent="0.3">
      <c r="D985" s="19"/>
    </row>
    <row r="986" spans="4:4" ht="14.4" hidden="1" x14ac:dyDescent="0.3">
      <c r="D986" s="19"/>
    </row>
    <row r="987" spans="4:4" ht="14.4" hidden="1" x14ac:dyDescent="0.3">
      <c r="D987" s="19"/>
    </row>
    <row r="988" spans="4:4" ht="14.4" hidden="1" x14ac:dyDescent="0.3">
      <c r="D988" s="19"/>
    </row>
    <row r="989" spans="4:4" ht="14.4" hidden="1" x14ac:dyDescent="0.3">
      <c r="D989" s="19"/>
    </row>
    <row r="990" spans="4:4" ht="14.4" hidden="1" x14ac:dyDescent="0.3">
      <c r="D990" s="19"/>
    </row>
    <row r="991" spans="4:4" ht="14.4" hidden="1" x14ac:dyDescent="0.3">
      <c r="D991" s="19"/>
    </row>
    <row r="992" spans="4:4" ht="14.4" hidden="1" x14ac:dyDescent="0.3">
      <c r="D992" s="19"/>
    </row>
    <row r="993" spans="4:4" ht="14.4" hidden="1" x14ac:dyDescent="0.3">
      <c r="D993" s="19"/>
    </row>
    <row r="994" spans="4:4" ht="14.4" hidden="1" x14ac:dyDescent="0.3">
      <c r="D994" s="19"/>
    </row>
    <row r="995" spans="4:4" ht="14.4" hidden="1" x14ac:dyDescent="0.3">
      <c r="D995" s="19"/>
    </row>
    <row r="996" spans="4:4" ht="14.4" hidden="1" x14ac:dyDescent="0.3">
      <c r="D996" s="19"/>
    </row>
    <row r="997" spans="4:4" ht="14.4" hidden="1" x14ac:dyDescent="0.3">
      <c r="D997" s="19"/>
    </row>
    <row r="998" spans="4:4" ht="14.4" hidden="1" x14ac:dyDescent="0.3">
      <c r="D998" s="19"/>
    </row>
    <row r="999" spans="4:4" ht="14.4" hidden="1" x14ac:dyDescent="0.3">
      <c r="D999" s="19"/>
    </row>
    <row r="1000" spans="4:4" ht="14.4" hidden="1" x14ac:dyDescent="0.3">
      <c r="D1000" s="19"/>
    </row>
    <row r="1001" spans="4:4" ht="14.4" hidden="1" x14ac:dyDescent="0.3">
      <c r="D1001" s="19"/>
    </row>
    <row r="1002" spans="4:4" ht="14.4" hidden="1" x14ac:dyDescent="0.3">
      <c r="D1002" s="19"/>
    </row>
    <row r="1003" spans="4:4" ht="14.4" hidden="1" x14ac:dyDescent="0.3">
      <c r="D1003" s="19"/>
    </row>
    <row r="1004" spans="4:4" ht="14.4" hidden="1" x14ac:dyDescent="0.3">
      <c r="D1004" s="19"/>
    </row>
    <row r="1005" spans="4:4" ht="14.4" hidden="1" x14ac:dyDescent="0.3">
      <c r="D1005" s="19"/>
    </row>
    <row r="1006" spans="4:4" ht="14.4" hidden="1" x14ac:dyDescent="0.3">
      <c r="D1006" s="19"/>
    </row>
    <row r="1007" spans="4:4" ht="14.4" hidden="1" x14ac:dyDescent="0.3">
      <c r="D1007" s="19"/>
    </row>
    <row r="1008" spans="4:4" ht="14.4" hidden="1" x14ac:dyDescent="0.3">
      <c r="D1008" s="19"/>
    </row>
    <row r="1009" spans="4:4" ht="14.4" hidden="1" x14ac:dyDescent="0.3">
      <c r="D1009" s="19"/>
    </row>
    <row r="1010" spans="4:4" ht="14.4" hidden="1" x14ac:dyDescent="0.3">
      <c r="D1010" s="19"/>
    </row>
    <row r="1011" spans="4:4" ht="14.4" hidden="1" x14ac:dyDescent="0.3">
      <c r="D1011" s="19"/>
    </row>
    <row r="1012" spans="4:4" ht="14.4" hidden="1" x14ac:dyDescent="0.3">
      <c r="D1012" s="19"/>
    </row>
    <row r="1013" spans="4:4" ht="14.4" hidden="1" x14ac:dyDescent="0.3">
      <c r="D1013" s="19"/>
    </row>
    <row r="1014" spans="4:4" ht="14.4" hidden="1" x14ac:dyDescent="0.3">
      <c r="D1014" s="19"/>
    </row>
    <row r="1015" spans="4:4" ht="14.4" hidden="1" x14ac:dyDescent="0.3">
      <c r="D1015" s="19"/>
    </row>
    <row r="1016" spans="4:4" ht="14.4" hidden="1" x14ac:dyDescent="0.3">
      <c r="D1016" s="19"/>
    </row>
    <row r="1017" spans="4:4" ht="14.4" hidden="1" x14ac:dyDescent="0.3">
      <c r="D1017" s="19"/>
    </row>
    <row r="1018" spans="4:4" ht="14.4" hidden="1" x14ac:dyDescent="0.3">
      <c r="D1018" s="19"/>
    </row>
    <row r="1019" spans="4:4" ht="14.4" hidden="1" x14ac:dyDescent="0.3">
      <c r="D1019" s="19"/>
    </row>
    <row r="1020" spans="4:4" ht="14.4" hidden="1" x14ac:dyDescent="0.3">
      <c r="D1020" s="19"/>
    </row>
    <row r="1021" spans="4:4" ht="14.4" hidden="1" x14ac:dyDescent="0.3">
      <c r="D1021" s="19"/>
    </row>
    <row r="1022" spans="4:4" ht="14.4" hidden="1" x14ac:dyDescent="0.3">
      <c r="D1022" s="19"/>
    </row>
    <row r="1023" spans="4:4" ht="14.4" hidden="1" x14ac:dyDescent="0.3">
      <c r="D1023" s="19"/>
    </row>
    <row r="1024" spans="4:4" ht="14.4" hidden="1" x14ac:dyDescent="0.3">
      <c r="D1024" s="19"/>
    </row>
    <row r="1025" spans="4:4" ht="14.4" hidden="1" x14ac:dyDescent="0.3">
      <c r="D1025" s="19"/>
    </row>
    <row r="1026" spans="4:4" ht="14.4" hidden="1" x14ac:dyDescent="0.3">
      <c r="D1026" s="19"/>
    </row>
    <row r="1027" spans="4:4" ht="14.4" hidden="1" x14ac:dyDescent="0.3">
      <c r="D1027" s="19"/>
    </row>
    <row r="1028" spans="4:4" ht="14.4" hidden="1" x14ac:dyDescent="0.3">
      <c r="D1028" s="19"/>
    </row>
    <row r="1029" spans="4:4" ht="14.4" hidden="1" x14ac:dyDescent="0.3">
      <c r="D1029" s="19"/>
    </row>
    <row r="1030" spans="4:4" ht="14.4" hidden="1" x14ac:dyDescent="0.3">
      <c r="D1030" s="19"/>
    </row>
    <row r="1031" spans="4:4" ht="14.4" hidden="1" x14ac:dyDescent="0.3">
      <c r="D1031" s="19"/>
    </row>
    <row r="1032" spans="4:4" ht="14.4" hidden="1" x14ac:dyDescent="0.3">
      <c r="D1032" s="19"/>
    </row>
    <row r="1033" spans="4:4" ht="14.4" hidden="1" x14ac:dyDescent="0.3">
      <c r="D1033" s="19"/>
    </row>
    <row r="1034" spans="4:4" ht="14.4" hidden="1" x14ac:dyDescent="0.3">
      <c r="D1034" s="19"/>
    </row>
    <row r="1035" spans="4:4" ht="14.4" hidden="1" x14ac:dyDescent="0.3">
      <c r="D1035" s="19"/>
    </row>
    <row r="1036" spans="4:4" ht="14.4" hidden="1" x14ac:dyDescent="0.3">
      <c r="D1036" s="19"/>
    </row>
    <row r="1037" spans="4:4" ht="14.4" hidden="1" x14ac:dyDescent="0.3">
      <c r="D1037" s="19"/>
    </row>
    <row r="1038" spans="4:4" ht="14.4" hidden="1" x14ac:dyDescent="0.3">
      <c r="D1038" s="19"/>
    </row>
    <row r="1039" spans="4:4" ht="14.4" hidden="1" x14ac:dyDescent="0.3">
      <c r="D1039" s="19"/>
    </row>
    <row r="1040" spans="4:4" ht="14.4" hidden="1" x14ac:dyDescent="0.3">
      <c r="D1040" s="19"/>
    </row>
    <row r="1041" spans="4:4" ht="14.4" hidden="1" x14ac:dyDescent="0.3">
      <c r="D1041" s="19"/>
    </row>
    <row r="1042" spans="4:4" ht="14.4" hidden="1" x14ac:dyDescent="0.3">
      <c r="D1042" s="19"/>
    </row>
    <row r="1043" spans="4:4" ht="14.4" hidden="1" x14ac:dyDescent="0.3">
      <c r="D1043" s="19"/>
    </row>
    <row r="1044" spans="4:4" ht="14.4" hidden="1" x14ac:dyDescent="0.3">
      <c r="D1044" s="19"/>
    </row>
    <row r="1045" spans="4:4" ht="14.4" hidden="1" x14ac:dyDescent="0.3">
      <c r="D1045" s="19"/>
    </row>
    <row r="1046" spans="4:4" ht="14.4" hidden="1" x14ac:dyDescent="0.3">
      <c r="D1046" s="19"/>
    </row>
    <row r="1047" spans="4:4" ht="14.4" hidden="1" x14ac:dyDescent="0.3">
      <c r="D1047" s="19"/>
    </row>
    <row r="1048" spans="4:4" ht="14.4" hidden="1" x14ac:dyDescent="0.3">
      <c r="D1048" s="19"/>
    </row>
    <row r="1049" spans="4:4" ht="14.4" hidden="1" x14ac:dyDescent="0.3">
      <c r="D1049" s="19"/>
    </row>
    <row r="1050" spans="4:4" ht="14.4" hidden="1" x14ac:dyDescent="0.3">
      <c r="D1050" s="19"/>
    </row>
    <row r="1051" spans="4:4" ht="14.4" hidden="1" x14ac:dyDescent="0.3">
      <c r="D1051" s="19"/>
    </row>
    <row r="1052" spans="4:4" ht="14.4" hidden="1" x14ac:dyDescent="0.3">
      <c r="D1052" s="19"/>
    </row>
    <row r="1053" spans="4:4" ht="14.4" hidden="1" x14ac:dyDescent="0.3">
      <c r="D1053" s="19"/>
    </row>
    <row r="1054" spans="4:4" ht="14.4" hidden="1" x14ac:dyDescent="0.3">
      <c r="D1054" s="19"/>
    </row>
    <row r="1055" spans="4:4" ht="14.4" hidden="1" x14ac:dyDescent="0.3">
      <c r="D1055" s="19"/>
    </row>
    <row r="1056" spans="4:4" ht="14.4" hidden="1" x14ac:dyDescent="0.3">
      <c r="D1056" s="19"/>
    </row>
    <row r="1057" spans="4:4" ht="14.4" hidden="1" x14ac:dyDescent="0.3">
      <c r="D1057" s="19"/>
    </row>
    <row r="1058" spans="4:4" ht="14.4" hidden="1" x14ac:dyDescent="0.3">
      <c r="D1058" s="19"/>
    </row>
    <row r="1059" spans="4:4" ht="14.4" hidden="1" x14ac:dyDescent="0.3">
      <c r="D1059" s="19"/>
    </row>
    <row r="1060" spans="4:4" ht="14.4" hidden="1" x14ac:dyDescent="0.3">
      <c r="D1060" s="19"/>
    </row>
    <row r="1061" spans="4:4" ht="14.4" hidden="1" x14ac:dyDescent="0.3">
      <c r="D1061" s="19"/>
    </row>
    <row r="1062" spans="4:4" ht="14.4" hidden="1" x14ac:dyDescent="0.3">
      <c r="D1062" s="19"/>
    </row>
    <row r="1063" spans="4:4" ht="14.4" hidden="1" x14ac:dyDescent="0.3">
      <c r="D1063" s="19"/>
    </row>
    <row r="1064" spans="4:4" ht="14.4" hidden="1" x14ac:dyDescent="0.3">
      <c r="D1064" s="19"/>
    </row>
    <row r="1065" spans="4:4" ht="14.4" hidden="1" x14ac:dyDescent="0.3">
      <c r="D1065" s="19"/>
    </row>
    <row r="1066" spans="4:4" ht="14.4" hidden="1" x14ac:dyDescent="0.3">
      <c r="D1066" s="19"/>
    </row>
    <row r="1067" spans="4:4" ht="14.4" hidden="1" x14ac:dyDescent="0.3">
      <c r="D1067" s="19"/>
    </row>
    <row r="1068" spans="4:4" ht="14.4" hidden="1" x14ac:dyDescent="0.3">
      <c r="D1068" s="19"/>
    </row>
    <row r="1069" spans="4:4" ht="14.4" hidden="1" x14ac:dyDescent="0.3">
      <c r="D1069" s="19"/>
    </row>
    <row r="1070" spans="4:4" ht="14.4" hidden="1" x14ac:dyDescent="0.3">
      <c r="D1070" s="19"/>
    </row>
    <row r="1071" spans="4:4" ht="14.4" hidden="1" x14ac:dyDescent="0.3">
      <c r="D1071" s="19"/>
    </row>
    <row r="1072" spans="4:4" ht="14.4" hidden="1" x14ac:dyDescent="0.3">
      <c r="D1072" s="19"/>
    </row>
    <row r="1073" spans="4:4" ht="14.4" hidden="1" x14ac:dyDescent="0.3">
      <c r="D1073" s="19"/>
    </row>
    <row r="1074" spans="4:4" ht="14.4" hidden="1" x14ac:dyDescent="0.3">
      <c r="D1074" s="19"/>
    </row>
    <row r="1075" spans="4:4" ht="14.4" hidden="1" x14ac:dyDescent="0.3">
      <c r="D1075" s="19"/>
    </row>
    <row r="1076" spans="4:4" ht="14.4" hidden="1" x14ac:dyDescent="0.3">
      <c r="D1076" s="19"/>
    </row>
    <row r="1077" spans="4:4" ht="14.4" hidden="1" x14ac:dyDescent="0.3">
      <c r="D1077" s="19"/>
    </row>
    <row r="1078" spans="4:4" ht="14.4" hidden="1" x14ac:dyDescent="0.3">
      <c r="D1078" s="19"/>
    </row>
    <row r="1079" spans="4:4" ht="14.4" hidden="1" x14ac:dyDescent="0.3">
      <c r="D1079" s="19"/>
    </row>
    <row r="1080" spans="4:4" ht="14.4" hidden="1" x14ac:dyDescent="0.3">
      <c r="D1080" s="19"/>
    </row>
    <row r="1081" spans="4:4" ht="14.4" hidden="1" x14ac:dyDescent="0.3">
      <c r="D1081" s="19"/>
    </row>
    <row r="1082" spans="4:4" ht="14.4" hidden="1" x14ac:dyDescent="0.3">
      <c r="D1082" s="19"/>
    </row>
    <row r="1083" spans="4:4" ht="14.4" hidden="1" x14ac:dyDescent="0.3">
      <c r="D1083" s="19"/>
    </row>
    <row r="1084" spans="4:4" ht="14.4" hidden="1" x14ac:dyDescent="0.3">
      <c r="D1084" s="19"/>
    </row>
    <row r="1085" spans="4:4" ht="14.4" hidden="1" x14ac:dyDescent="0.3">
      <c r="D1085" s="19"/>
    </row>
    <row r="1086" spans="4:4" ht="14.4" hidden="1" x14ac:dyDescent="0.3">
      <c r="D1086" s="19"/>
    </row>
    <row r="1087" spans="4:4" ht="14.4" hidden="1" x14ac:dyDescent="0.3">
      <c r="D1087" s="19"/>
    </row>
    <row r="1088" spans="4:4" ht="14.4" hidden="1" x14ac:dyDescent="0.3">
      <c r="D1088" s="19"/>
    </row>
    <row r="1089" spans="4:4" ht="14.4" hidden="1" x14ac:dyDescent="0.3">
      <c r="D1089" s="19"/>
    </row>
    <row r="1090" spans="4:4" ht="14.4" hidden="1" x14ac:dyDescent="0.3">
      <c r="D1090" s="19"/>
    </row>
    <row r="1091" spans="4:4" ht="14.4" hidden="1" x14ac:dyDescent="0.3">
      <c r="D1091" s="19"/>
    </row>
    <row r="1092" spans="4:4" ht="14.4" hidden="1" x14ac:dyDescent="0.3">
      <c r="D1092" s="19"/>
    </row>
    <row r="1093" spans="4:4" ht="14.4" hidden="1" x14ac:dyDescent="0.3">
      <c r="D1093" s="19"/>
    </row>
    <row r="1094" spans="4:4" ht="14.4" hidden="1" x14ac:dyDescent="0.3">
      <c r="D1094" s="19"/>
    </row>
    <row r="1095" spans="4:4" ht="14.4" hidden="1" x14ac:dyDescent="0.3">
      <c r="D1095" s="19"/>
    </row>
    <row r="1096" spans="4:4" ht="14.4" hidden="1" x14ac:dyDescent="0.3">
      <c r="D1096" s="19"/>
    </row>
    <row r="1097" spans="4:4" ht="14.4" hidden="1" x14ac:dyDescent="0.3">
      <c r="D1097" s="19"/>
    </row>
    <row r="1098" spans="4:4" ht="14.4" hidden="1" x14ac:dyDescent="0.3">
      <c r="D1098" s="19"/>
    </row>
    <row r="1099" spans="4:4" ht="14.4" hidden="1" x14ac:dyDescent="0.3">
      <c r="D1099" s="19"/>
    </row>
    <row r="1100" spans="4:4" ht="14.4" hidden="1" x14ac:dyDescent="0.3">
      <c r="D1100" s="19"/>
    </row>
    <row r="1101" spans="4:4" ht="14.4" hidden="1" x14ac:dyDescent="0.3">
      <c r="D1101" s="19"/>
    </row>
    <row r="1102" spans="4:4" ht="14.4" hidden="1" x14ac:dyDescent="0.3">
      <c r="D1102" s="19"/>
    </row>
    <row r="1103" spans="4:4" ht="14.4" hidden="1" x14ac:dyDescent="0.3">
      <c r="D1103" s="19"/>
    </row>
    <row r="1104" spans="4:4" ht="14.4" hidden="1" x14ac:dyDescent="0.3">
      <c r="D1104" s="19"/>
    </row>
    <row r="1105" spans="4:4" ht="14.4" hidden="1" x14ac:dyDescent="0.3">
      <c r="D1105" s="19"/>
    </row>
    <row r="1106" spans="4:4" ht="14.4" hidden="1" x14ac:dyDescent="0.3">
      <c r="D1106" s="19"/>
    </row>
    <row r="1107" spans="4:4" ht="14.4" hidden="1" x14ac:dyDescent="0.3">
      <c r="D1107" s="19"/>
    </row>
    <row r="1108" spans="4:4" ht="14.4" hidden="1" x14ac:dyDescent="0.3">
      <c r="D1108" s="19"/>
    </row>
    <row r="1109" spans="4:4" ht="14.4" hidden="1" x14ac:dyDescent="0.3">
      <c r="D1109" s="19"/>
    </row>
    <row r="1110" spans="4:4" ht="14.4" hidden="1" x14ac:dyDescent="0.3">
      <c r="D1110" s="19"/>
    </row>
    <row r="1111" spans="4:4" ht="14.4" hidden="1" x14ac:dyDescent="0.3">
      <c r="D1111" s="19"/>
    </row>
    <row r="1112" spans="4:4" ht="14.4" hidden="1" x14ac:dyDescent="0.3">
      <c r="D1112" s="19"/>
    </row>
    <row r="1113" spans="4:4" ht="14.4" hidden="1" x14ac:dyDescent="0.3">
      <c r="D1113" s="19"/>
    </row>
    <row r="1114" spans="4:4" ht="14.4" hidden="1" x14ac:dyDescent="0.3">
      <c r="D1114" s="19"/>
    </row>
    <row r="1115" spans="4:4" ht="14.4" hidden="1" x14ac:dyDescent="0.3">
      <c r="D1115" s="19"/>
    </row>
    <row r="1116" spans="4:4" ht="14.4" hidden="1" x14ac:dyDescent="0.3">
      <c r="D1116" s="19"/>
    </row>
    <row r="1117" spans="4:4" ht="14.4" hidden="1" x14ac:dyDescent="0.3">
      <c r="D1117" s="19"/>
    </row>
    <row r="1118" spans="4:4" ht="14.4" hidden="1" x14ac:dyDescent="0.3">
      <c r="D1118" s="19"/>
    </row>
    <row r="1119" spans="4:4" ht="14.4" hidden="1" x14ac:dyDescent="0.3">
      <c r="D1119" s="19"/>
    </row>
    <row r="1120" spans="4:4" ht="14.4" hidden="1" x14ac:dyDescent="0.3">
      <c r="D1120" s="19"/>
    </row>
    <row r="1121" spans="4:4" ht="14.4" hidden="1" x14ac:dyDescent="0.3">
      <c r="D1121" s="19"/>
    </row>
    <row r="1122" spans="4:4" ht="14.4" hidden="1" x14ac:dyDescent="0.3">
      <c r="D1122" s="19"/>
    </row>
    <row r="1123" spans="4:4" ht="14.4" hidden="1" x14ac:dyDescent="0.3">
      <c r="D1123" s="19"/>
    </row>
    <row r="1124" spans="4:4" ht="14.4" hidden="1" x14ac:dyDescent="0.3">
      <c r="D1124" s="19"/>
    </row>
    <row r="1125" spans="4:4" ht="14.4" hidden="1" x14ac:dyDescent="0.3">
      <c r="D1125" s="19"/>
    </row>
    <row r="1126" spans="4:4" ht="14.4" hidden="1" x14ac:dyDescent="0.3">
      <c r="D1126" s="19"/>
    </row>
    <row r="1127" spans="4:4" ht="14.4" hidden="1" x14ac:dyDescent="0.3">
      <c r="D1127" s="19"/>
    </row>
    <row r="1128" spans="4:4" ht="14.4" hidden="1" x14ac:dyDescent="0.3">
      <c r="D1128" s="19"/>
    </row>
    <row r="1129" spans="4:4" ht="14.4" hidden="1" x14ac:dyDescent="0.3">
      <c r="D1129" s="19"/>
    </row>
    <row r="1130" spans="4:4" ht="14.4" hidden="1" x14ac:dyDescent="0.3">
      <c r="D1130" s="19"/>
    </row>
    <row r="1131" spans="4:4" ht="14.4" hidden="1" x14ac:dyDescent="0.3">
      <c r="D1131" s="19"/>
    </row>
    <row r="1132" spans="4:4" ht="14.4" hidden="1" x14ac:dyDescent="0.3">
      <c r="D1132" s="19"/>
    </row>
    <row r="1133" spans="4:4" ht="14.4" hidden="1" x14ac:dyDescent="0.3">
      <c r="D1133" s="19"/>
    </row>
    <row r="1134" spans="4:4" ht="14.4" hidden="1" x14ac:dyDescent="0.3">
      <c r="D1134" s="19"/>
    </row>
    <row r="1135" spans="4:4" ht="14.4" hidden="1" x14ac:dyDescent="0.3">
      <c r="D1135" s="19"/>
    </row>
    <row r="1136" spans="4:4" ht="14.4" hidden="1" x14ac:dyDescent="0.3">
      <c r="D1136" s="19"/>
    </row>
    <row r="1137" spans="4:4" ht="14.4" hidden="1" x14ac:dyDescent="0.3">
      <c r="D1137" s="19"/>
    </row>
    <row r="1138" spans="4:4" ht="14.4" hidden="1" x14ac:dyDescent="0.3">
      <c r="D1138" s="19"/>
    </row>
    <row r="1139" spans="4:4" ht="14.4" hidden="1" x14ac:dyDescent="0.3">
      <c r="D1139" s="19"/>
    </row>
    <row r="1140" spans="4:4" ht="14.4" hidden="1" x14ac:dyDescent="0.3">
      <c r="D1140" s="19"/>
    </row>
    <row r="1141" spans="4:4" ht="14.4" hidden="1" x14ac:dyDescent="0.3">
      <c r="D1141" s="19"/>
    </row>
    <row r="1142" spans="4:4" ht="14.4" hidden="1" x14ac:dyDescent="0.3">
      <c r="D1142" s="19"/>
    </row>
    <row r="1143" spans="4:4" ht="14.4" hidden="1" x14ac:dyDescent="0.3">
      <c r="D1143" s="19"/>
    </row>
    <row r="1144" spans="4:4" ht="14.4" hidden="1" x14ac:dyDescent="0.3">
      <c r="D1144" s="19"/>
    </row>
    <row r="1145" spans="4:4" ht="14.4" hidden="1" x14ac:dyDescent="0.3">
      <c r="D1145" s="19"/>
    </row>
    <row r="1146" spans="4:4" ht="14.4" hidden="1" x14ac:dyDescent="0.3">
      <c r="D1146" s="19"/>
    </row>
    <row r="1147" spans="4:4" ht="14.4" hidden="1" x14ac:dyDescent="0.3">
      <c r="D1147" s="19"/>
    </row>
    <row r="1148" spans="4:4" ht="14.4" hidden="1" x14ac:dyDescent="0.3">
      <c r="D1148" s="19"/>
    </row>
    <row r="1149" spans="4:4" ht="14.4" hidden="1" x14ac:dyDescent="0.3">
      <c r="D1149" s="19"/>
    </row>
    <row r="1150" spans="4:4" ht="14.4" hidden="1" x14ac:dyDescent="0.3">
      <c r="D1150" s="19"/>
    </row>
    <row r="1151" spans="4:4" ht="14.4" hidden="1" x14ac:dyDescent="0.3">
      <c r="D1151" s="19"/>
    </row>
    <row r="1152" spans="4:4" ht="14.4" hidden="1" x14ac:dyDescent="0.3">
      <c r="D1152" s="19"/>
    </row>
    <row r="1153" spans="4:4" ht="14.4" hidden="1" x14ac:dyDescent="0.3">
      <c r="D1153" s="19"/>
    </row>
    <row r="1154" spans="4:4" ht="14.4" hidden="1" x14ac:dyDescent="0.3">
      <c r="D1154" s="19"/>
    </row>
    <row r="1155" spans="4:4" ht="14.4" hidden="1" x14ac:dyDescent="0.3">
      <c r="D1155" s="19"/>
    </row>
    <row r="1156" spans="4:4" ht="14.4" hidden="1" x14ac:dyDescent="0.3">
      <c r="D1156" s="19"/>
    </row>
    <row r="1157" spans="4:4" ht="14.4" hidden="1" x14ac:dyDescent="0.3">
      <c r="D1157" s="19"/>
    </row>
    <row r="1158" spans="4:4" ht="14.4" hidden="1" x14ac:dyDescent="0.3">
      <c r="D1158" s="19"/>
    </row>
    <row r="1159" spans="4:4" ht="14.4" hidden="1" x14ac:dyDescent="0.3">
      <c r="D1159" s="19"/>
    </row>
    <row r="1160" spans="4:4" ht="14.4" hidden="1" x14ac:dyDescent="0.3">
      <c r="D1160" s="19"/>
    </row>
    <row r="1161" spans="4:4" ht="14.4" hidden="1" x14ac:dyDescent="0.3">
      <c r="D1161" s="19"/>
    </row>
    <row r="1162" spans="4:4" ht="14.4" hidden="1" x14ac:dyDescent="0.3">
      <c r="D1162" s="19"/>
    </row>
    <row r="1163" spans="4:4" ht="14.4" hidden="1" x14ac:dyDescent="0.3">
      <c r="D1163" s="19"/>
    </row>
    <row r="1164" spans="4:4" ht="14.4" hidden="1" x14ac:dyDescent="0.3">
      <c r="D1164" s="19"/>
    </row>
    <row r="1165" spans="4:4" ht="14.4" hidden="1" x14ac:dyDescent="0.3">
      <c r="D1165" s="19"/>
    </row>
    <row r="1166" spans="4:4" ht="14.4" hidden="1" x14ac:dyDescent="0.3">
      <c r="D1166" s="19"/>
    </row>
    <row r="1167" spans="4:4" ht="14.4" hidden="1" x14ac:dyDescent="0.3">
      <c r="D1167" s="19"/>
    </row>
    <row r="1168" spans="4:4" ht="14.4" hidden="1" x14ac:dyDescent="0.3">
      <c r="D1168" s="19"/>
    </row>
    <row r="1169" spans="4:4" ht="14.4" hidden="1" x14ac:dyDescent="0.3">
      <c r="D1169" s="19"/>
    </row>
    <row r="1170" spans="4:4" ht="14.4" hidden="1" x14ac:dyDescent="0.3">
      <c r="D1170" s="19"/>
    </row>
    <row r="1171" spans="4:4" ht="14.4" hidden="1" x14ac:dyDescent="0.3">
      <c r="D1171" s="19"/>
    </row>
    <row r="1172" spans="4:4" ht="14.4" hidden="1" x14ac:dyDescent="0.3">
      <c r="D1172" s="19"/>
    </row>
    <row r="1173" spans="4:4" ht="14.4" hidden="1" x14ac:dyDescent="0.3">
      <c r="D1173" s="19"/>
    </row>
    <row r="1174" spans="4:4" ht="14.4" hidden="1" x14ac:dyDescent="0.3">
      <c r="D1174" s="19"/>
    </row>
    <row r="1175" spans="4:4" ht="14.4" hidden="1" x14ac:dyDescent="0.3">
      <c r="D1175" s="19"/>
    </row>
    <row r="1176" spans="4:4" ht="14.4" hidden="1" x14ac:dyDescent="0.3">
      <c r="D1176" s="19"/>
    </row>
    <row r="1177" spans="4:4" ht="14.4" hidden="1" x14ac:dyDescent="0.3">
      <c r="D1177" s="19"/>
    </row>
    <row r="1178" spans="4:4" ht="14.4" hidden="1" x14ac:dyDescent="0.3">
      <c r="D1178" s="19"/>
    </row>
    <row r="1179" spans="4:4" ht="14.4" hidden="1" x14ac:dyDescent="0.3">
      <c r="D1179" s="19"/>
    </row>
    <row r="1180" spans="4:4" ht="14.4" hidden="1" x14ac:dyDescent="0.3">
      <c r="D1180" s="19"/>
    </row>
    <row r="1181" spans="4:4" ht="14.4" hidden="1" x14ac:dyDescent="0.3">
      <c r="D1181" s="19"/>
    </row>
    <row r="1182" spans="4:4" ht="14.4" hidden="1" x14ac:dyDescent="0.3">
      <c r="D1182" s="19"/>
    </row>
    <row r="1183" spans="4:4" ht="14.4" hidden="1" x14ac:dyDescent="0.3">
      <c r="D1183" s="19"/>
    </row>
    <row r="1184" spans="4:4" ht="14.4" hidden="1" x14ac:dyDescent="0.3">
      <c r="D1184" s="19"/>
    </row>
    <row r="1185" spans="4:4" ht="14.4" hidden="1" x14ac:dyDescent="0.3">
      <c r="D1185" s="19"/>
    </row>
    <row r="1186" spans="4:4" ht="14.4" hidden="1" x14ac:dyDescent="0.3">
      <c r="D1186" s="19"/>
    </row>
    <row r="1187" spans="4:4" ht="14.4" hidden="1" x14ac:dyDescent="0.3">
      <c r="D1187" s="19"/>
    </row>
    <row r="1188" spans="4:4" ht="14.4" hidden="1" x14ac:dyDescent="0.3">
      <c r="D1188" s="19"/>
    </row>
    <row r="1189" spans="4:4" ht="14.4" hidden="1" x14ac:dyDescent="0.3">
      <c r="D1189" s="19"/>
    </row>
    <row r="1190" spans="4:4" ht="14.4" hidden="1" x14ac:dyDescent="0.3">
      <c r="D1190" s="19"/>
    </row>
    <row r="1191" spans="4:4" ht="14.4" hidden="1" x14ac:dyDescent="0.3">
      <c r="D1191" s="19"/>
    </row>
    <row r="1192" spans="4:4" ht="14.4" hidden="1" x14ac:dyDescent="0.3">
      <c r="D1192" s="19"/>
    </row>
    <row r="1193" spans="4:4" ht="14.4" hidden="1" x14ac:dyDescent="0.3">
      <c r="D1193" s="19"/>
    </row>
    <row r="1194" spans="4:4" ht="14.4" hidden="1" x14ac:dyDescent="0.3">
      <c r="D1194" s="19"/>
    </row>
    <row r="1195" spans="4:4" ht="14.4" hidden="1" x14ac:dyDescent="0.3">
      <c r="D1195" s="19"/>
    </row>
    <row r="1196" spans="4:4" ht="14.4" hidden="1" x14ac:dyDescent="0.3">
      <c r="D1196" s="19"/>
    </row>
    <row r="1197" spans="4:4" ht="14.4" hidden="1" x14ac:dyDescent="0.3">
      <c r="D1197" s="19"/>
    </row>
    <row r="1198" spans="4:4" ht="14.4" hidden="1" x14ac:dyDescent="0.3">
      <c r="D1198" s="19"/>
    </row>
    <row r="1199" spans="4:4" ht="14.4" hidden="1" x14ac:dyDescent="0.3">
      <c r="D1199" s="19"/>
    </row>
    <row r="1200" spans="4:4" ht="14.4" hidden="1" x14ac:dyDescent="0.3">
      <c r="D1200" s="19"/>
    </row>
    <row r="1201" spans="4:4" ht="14.4" hidden="1" x14ac:dyDescent="0.3">
      <c r="D1201" s="19"/>
    </row>
    <row r="1202" spans="4:4" ht="14.4" hidden="1" x14ac:dyDescent="0.3">
      <c r="D1202" s="19"/>
    </row>
    <row r="1203" spans="4:4" ht="14.4" hidden="1" x14ac:dyDescent="0.3">
      <c r="D1203" s="19"/>
    </row>
    <row r="1204" spans="4:4" ht="14.4" hidden="1" x14ac:dyDescent="0.3">
      <c r="D1204" s="19"/>
    </row>
    <row r="1205" spans="4:4" ht="14.4" hidden="1" x14ac:dyDescent="0.3">
      <c r="D1205" s="19"/>
    </row>
    <row r="1206" spans="4:4" ht="14.4" hidden="1" x14ac:dyDescent="0.3">
      <c r="D1206" s="19"/>
    </row>
    <row r="1207" spans="4:4" ht="14.4" hidden="1" x14ac:dyDescent="0.3">
      <c r="D1207" s="19"/>
    </row>
    <row r="1208" spans="4:4" ht="14.4" hidden="1" x14ac:dyDescent="0.3">
      <c r="D1208" s="19"/>
    </row>
    <row r="1209" spans="4:4" ht="14.4" hidden="1" x14ac:dyDescent="0.3">
      <c r="D1209" s="19"/>
    </row>
    <row r="1210" spans="4:4" ht="14.4" hidden="1" x14ac:dyDescent="0.3">
      <c r="D1210" s="19"/>
    </row>
    <row r="1211" spans="4:4" ht="14.4" hidden="1" x14ac:dyDescent="0.3">
      <c r="D1211" s="19"/>
    </row>
    <row r="1212" spans="4:4" ht="14.4" hidden="1" x14ac:dyDescent="0.3">
      <c r="D1212" s="19"/>
    </row>
    <row r="1213" spans="4:4" ht="14.4" hidden="1" x14ac:dyDescent="0.3">
      <c r="D1213" s="19"/>
    </row>
    <row r="1214" spans="4:4" ht="14.4" hidden="1" x14ac:dyDescent="0.3">
      <c r="D1214" s="19"/>
    </row>
    <row r="1215" spans="4:4" ht="14.4" hidden="1" x14ac:dyDescent="0.3">
      <c r="D1215" s="19"/>
    </row>
    <row r="1216" spans="4:4" ht="14.4" hidden="1" x14ac:dyDescent="0.3">
      <c r="D1216" s="19"/>
    </row>
    <row r="1217" spans="4:4" ht="14.4" hidden="1" x14ac:dyDescent="0.3">
      <c r="D1217" s="19"/>
    </row>
    <row r="1218" spans="4:4" ht="14.4" hidden="1" x14ac:dyDescent="0.3">
      <c r="D1218" s="19"/>
    </row>
    <row r="1219" spans="4:4" ht="14.4" hidden="1" x14ac:dyDescent="0.3">
      <c r="D1219" s="19"/>
    </row>
    <row r="1220" spans="4:4" ht="14.4" hidden="1" x14ac:dyDescent="0.3">
      <c r="D1220" s="19"/>
    </row>
    <row r="1221" spans="4:4" ht="14.4" hidden="1" x14ac:dyDescent="0.3">
      <c r="D1221" s="19"/>
    </row>
    <row r="1222" spans="4:4" ht="14.4" hidden="1" x14ac:dyDescent="0.3">
      <c r="D1222" s="19"/>
    </row>
    <row r="1223" spans="4:4" ht="14.4" hidden="1" x14ac:dyDescent="0.3">
      <c r="D1223" s="19"/>
    </row>
    <row r="1224" spans="4:4" ht="14.4" hidden="1" x14ac:dyDescent="0.3">
      <c r="D1224" s="19"/>
    </row>
    <row r="1225" spans="4:4" ht="14.4" hidden="1" x14ac:dyDescent="0.3">
      <c r="D1225" s="19"/>
    </row>
    <row r="1226" spans="4:4" ht="14.4" hidden="1" x14ac:dyDescent="0.3">
      <c r="D1226" s="19"/>
    </row>
    <row r="1227" spans="4:4" ht="14.4" hidden="1" x14ac:dyDescent="0.3">
      <c r="D1227" s="19"/>
    </row>
    <row r="1228" spans="4:4" ht="14.4" hidden="1" x14ac:dyDescent="0.3">
      <c r="D1228" s="19"/>
    </row>
    <row r="1229" spans="4:4" ht="14.4" hidden="1" x14ac:dyDescent="0.3">
      <c r="D1229" s="19"/>
    </row>
    <row r="1230" spans="4:4" ht="14.4" hidden="1" x14ac:dyDescent="0.3">
      <c r="D1230" s="19"/>
    </row>
    <row r="1231" spans="4:4" ht="14.4" hidden="1" x14ac:dyDescent="0.3">
      <c r="D1231" s="19"/>
    </row>
    <row r="1232" spans="4:4" ht="14.4" hidden="1" x14ac:dyDescent="0.3">
      <c r="D1232" s="19"/>
    </row>
    <row r="1233" spans="4:4" ht="14.4" hidden="1" x14ac:dyDescent="0.3">
      <c r="D1233" s="19"/>
    </row>
    <row r="1234" spans="4:4" ht="14.4" hidden="1" x14ac:dyDescent="0.3">
      <c r="D1234" s="19"/>
    </row>
    <row r="1235" spans="4:4" ht="14.4" hidden="1" x14ac:dyDescent="0.3">
      <c r="D1235" s="19"/>
    </row>
    <row r="1236" spans="4:4" ht="14.4" hidden="1" x14ac:dyDescent="0.3">
      <c r="D1236" s="19"/>
    </row>
    <row r="1237" spans="4:4" ht="14.4" hidden="1" x14ac:dyDescent="0.3">
      <c r="D1237" s="19"/>
    </row>
    <row r="1238" spans="4:4" ht="14.4" hidden="1" x14ac:dyDescent="0.3">
      <c r="D1238" s="19"/>
    </row>
    <row r="1239" spans="4:4" ht="14.4" hidden="1" x14ac:dyDescent="0.3">
      <c r="D1239" s="19"/>
    </row>
    <row r="1240" spans="4:4" ht="14.4" hidden="1" x14ac:dyDescent="0.3">
      <c r="D1240" s="19"/>
    </row>
    <row r="1241" spans="4:4" ht="14.4" hidden="1" x14ac:dyDescent="0.3">
      <c r="D1241" s="19"/>
    </row>
    <row r="1242" spans="4:4" ht="14.4" hidden="1" x14ac:dyDescent="0.3">
      <c r="D1242" s="19"/>
    </row>
    <row r="1243" spans="4:4" ht="14.4" hidden="1" x14ac:dyDescent="0.3">
      <c r="D1243" s="19"/>
    </row>
    <row r="1244" spans="4:4" ht="14.4" hidden="1" x14ac:dyDescent="0.3">
      <c r="D1244" s="19"/>
    </row>
    <row r="1245" spans="4:4" ht="14.4" hidden="1" x14ac:dyDescent="0.3">
      <c r="D1245" s="19"/>
    </row>
    <row r="1246" spans="4:4" ht="14.4" hidden="1" x14ac:dyDescent="0.3">
      <c r="D1246" s="19"/>
    </row>
    <row r="1247" spans="4:4" ht="14.4" hidden="1" x14ac:dyDescent="0.3">
      <c r="D1247" s="19"/>
    </row>
    <row r="1248" spans="4:4" ht="14.4" hidden="1" x14ac:dyDescent="0.3">
      <c r="D1248" s="19"/>
    </row>
    <row r="1249" spans="4:4" ht="14.4" hidden="1" x14ac:dyDescent="0.3">
      <c r="D1249" s="19"/>
    </row>
    <row r="1250" spans="4:4" ht="14.4" hidden="1" x14ac:dyDescent="0.3">
      <c r="D1250" s="19"/>
    </row>
    <row r="1251" spans="4:4" ht="14.4" hidden="1" x14ac:dyDescent="0.3">
      <c r="D1251" s="19"/>
    </row>
    <row r="1252" spans="4:4" ht="14.4" hidden="1" x14ac:dyDescent="0.3">
      <c r="D1252" s="19"/>
    </row>
    <row r="1253" spans="4:4" ht="14.4" hidden="1" x14ac:dyDescent="0.3">
      <c r="D1253" s="19"/>
    </row>
    <row r="1254" spans="4:4" ht="14.4" hidden="1" x14ac:dyDescent="0.3">
      <c r="D1254" s="19"/>
    </row>
    <row r="1255" spans="4:4" ht="14.4" hidden="1" x14ac:dyDescent="0.3">
      <c r="D1255" s="19"/>
    </row>
    <row r="1256" spans="4:4" ht="14.4" hidden="1" x14ac:dyDescent="0.3">
      <c r="D1256" s="19"/>
    </row>
    <row r="1257" spans="4:4" ht="14.4" hidden="1" x14ac:dyDescent="0.3">
      <c r="D1257" s="19"/>
    </row>
    <row r="1258" spans="4:4" ht="14.4" hidden="1" x14ac:dyDescent="0.3">
      <c r="D1258" s="19"/>
    </row>
    <row r="1259" spans="4:4" ht="14.4" hidden="1" x14ac:dyDescent="0.3">
      <c r="D1259" s="19"/>
    </row>
    <row r="1260" spans="4:4" ht="14.4" hidden="1" x14ac:dyDescent="0.3">
      <c r="D1260" s="19"/>
    </row>
    <row r="1261" spans="4:4" ht="14.4" hidden="1" x14ac:dyDescent="0.3">
      <c r="D1261" s="19"/>
    </row>
    <row r="1262" spans="4:4" ht="14.4" hidden="1" x14ac:dyDescent="0.3">
      <c r="D1262" s="19"/>
    </row>
    <row r="1263" spans="4:4" ht="14.4" hidden="1" x14ac:dyDescent="0.3">
      <c r="D1263" s="19"/>
    </row>
    <row r="1264" spans="4:4" ht="14.4" hidden="1" x14ac:dyDescent="0.3">
      <c r="D1264" s="19"/>
    </row>
    <row r="1265" spans="4:4" ht="14.4" hidden="1" x14ac:dyDescent="0.3">
      <c r="D1265" s="19"/>
    </row>
    <row r="1266" spans="4:4" ht="14.4" hidden="1" x14ac:dyDescent="0.3">
      <c r="D1266" s="19"/>
    </row>
    <row r="1267" spans="4:4" ht="14.4" hidden="1" x14ac:dyDescent="0.3">
      <c r="D1267" s="19"/>
    </row>
    <row r="1268" spans="4:4" ht="14.4" hidden="1" x14ac:dyDescent="0.3">
      <c r="D1268" s="19"/>
    </row>
    <row r="1269" spans="4:4" ht="14.4" hidden="1" x14ac:dyDescent="0.3">
      <c r="D1269" s="19"/>
    </row>
    <row r="1270" spans="4:4" ht="14.4" hidden="1" x14ac:dyDescent="0.3">
      <c r="D1270" s="19"/>
    </row>
    <row r="1271" spans="4:4" ht="14.4" hidden="1" x14ac:dyDescent="0.3">
      <c r="D1271" s="19"/>
    </row>
    <row r="1272" spans="4:4" ht="14.4" hidden="1" x14ac:dyDescent="0.3">
      <c r="D1272" s="19"/>
    </row>
    <row r="1273" spans="4:4" ht="14.4" hidden="1" x14ac:dyDescent="0.3">
      <c r="D1273" s="19"/>
    </row>
    <row r="1274" spans="4:4" ht="14.4" hidden="1" x14ac:dyDescent="0.3">
      <c r="D1274" s="19"/>
    </row>
    <row r="1275" spans="4:4" ht="14.4" hidden="1" x14ac:dyDescent="0.3">
      <c r="D1275" s="19"/>
    </row>
    <row r="1276" spans="4:4" ht="14.4" hidden="1" x14ac:dyDescent="0.3">
      <c r="D1276" s="19"/>
    </row>
    <row r="1277" spans="4:4" ht="14.4" hidden="1" x14ac:dyDescent="0.3">
      <c r="D1277" s="19"/>
    </row>
    <row r="1278" spans="4:4" ht="14.4" hidden="1" x14ac:dyDescent="0.3">
      <c r="D1278" s="19"/>
    </row>
    <row r="1279" spans="4:4" ht="14.4" hidden="1" x14ac:dyDescent="0.3">
      <c r="D1279" s="19"/>
    </row>
    <row r="1280" spans="4:4" ht="14.4" hidden="1" x14ac:dyDescent="0.3">
      <c r="D1280" s="19"/>
    </row>
    <row r="1281" spans="4:4" ht="14.4" hidden="1" x14ac:dyDescent="0.3">
      <c r="D1281" s="19"/>
    </row>
    <row r="1282" spans="4:4" ht="14.4" hidden="1" x14ac:dyDescent="0.3">
      <c r="D1282" s="19"/>
    </row>
    <row r="1283" spans="4:4" ht="14.4" hidden="1" x14ac:dyDescent="0.3">
      <c r="D1283" s="19"/>
    </row>
    <row r="1284" spans="4:4" ht="14.4" hidden="1" x14ac:dyDescent="0.3">
      <c r="D1284" s="19"/>
    </row>
    <row r="1285" spans="4:4" ht="14.4" hidden="1" x14ac:dyDescent="0.3">
      <c r="D1285" s="19"/>
    </row>
    <row r="1286" spans="4:4" ht="14.4" hidden="1" x14ac:dyDescent="0.3">
      <c r="D1286" s="19"/>
    </row>
    <row r="1287" spans="4:4" ht="14.4" hidden="1" x14ac:dyDescent="0.3">
      <c r="D1287" s="19"/>
    </row>
    <row r="1288" spans="4:4" ht="14.4" hidden="1" x14ac:dyDescent="0.3">
      <c r="D1288" s="19"/>
    </row>
    <row r="1289" spans="4:4" ht="14.4" hidden="1" x14ac:dyDescent="0.3">
      <c r="D1289" s="19"/>
    </row>
    <row r="1290" spans="4:4" ht="14.4" hidden="1" x14ac:dyDescent="0.3">
      <c r="D1290" s="19"/>
    </row>
    <row r="1291" spans="4:4" ht="14.4" hidden="1" x14ac:dyDescent="0.3">
      <c r="D1291" s="19"/>
    </row>
    <row r="1292" spans="4:4" ht="14.4" hidden="1" x14ac:dyDescent="0.3">
      <c r="D1292" s="19"/>
    </row>
    <row r="1293" spans="4:4" ht="14.4" hidden="1" x14ac:dyDescent="0.3">
      <c r="D1293" s="19"/>
    </row>
    <row r="1294" spans="4:4" ht="14.4" hidden="1" x14ac:dyDescent="0.3">
      <c r="D1294" s="19"/>
    </row>
    <row r="1295" spans="4:4" ht="14.4" hidden="1" x14ac:dyDescent="0.3">
      <c r="D1295" s="19"/>
    </row>
    <row r="1296" spans="4:4" ht="14.4" hidden="1" x14ac:dyDescent="0.3">
      <c r="D1296" s="19"/>
    </row>
    <row r="1297" spans="4:4" ht="14.4" hidden="1" x14ac:dyDescent="0.3">
      <c r="D1297" s="19"/>
    </row>
    <row r="1298" spans="4:4" ht="14.4" hidden="1" x14ac:dyDescent="0.3">
      <c r="D1298" s="19"/>
    </row>
    <row r="1299" spans="4:4" ht="14.4" hidden="1" x14ac:dyDescent="0.3">
      <c r="D1299" s="19"/>
    </row>
    <row r="1300" spans="4:4" ht="14.4" hidden="1" x14ac:dyDescent="0.3">
      <c r="D1300" s="19"/>
    </row>
    <row r="1301" spans="4:4" ht="14.4" hidden="1" x14ac:dyDescent="0.3">
      <c r="D1301" s="19"/>
    </row>
    <row r="1302" spans="4:4" ht="14.4" hidden="1" x14ac:dyDescent="0.3">
      <c r="D1302" s="19"/>
    </row>
    <row r="1303" spans="4:4" ht="14.4" hidden="1" x14ac:dyDescent="0.3">
      <c r="D1303" s="19"/>
    </row>
    <row r="1304" spans="4:4" ht="14.4" hidden="1" x14ac:dyDescent="0.3">
      <c r="D1304" s="19"/>
    </row>
    <row r="1305" spans="4:4" ht="14.4" hidden="1" x14ac:dyDescent="0.3">
      <c r="D1305" s="19"/>
    </row>
    <row r="1306" spans="4:4" ht="14.4" hidden="1" x14ac:dyDescent="0.3">
      <c r="D1306" s="19"/>
    </row>
    <row r="1307" spans="4:4" ht="14.4" hidden="1" x14ac:dyDescent="0.3">
      <c r="D1307" s="19"/>
    </row>
    <row r="1308" spans="4:4" ht="14.4" hidden="1" x14ac:dyDescent="0.3">
      <c r="D1308" s="19"/>
    </row>
    <row r="1309" spans="4:4" ht="14.4" hidden="1" x14ac:dyDescent="0.3">
      <c r="D1309" s="19"/>
    </row>
    <row r="1310" spans="4:4" ht="14.4" hidden="1" x14ac:dyDescent="0.3">
      <c r="D1310" s="19"/>
    </row>
    <row r="1311" spans="4:4" ht="14.4" hidden="1" x14ac:dyDescent="0.3">
      <c r="D1311" s="19"/>
    </row>
    <row r="1312" spans="4:4" ht="14.4" hidden="1" x14ac:dyDescent="0.3">
      <c r="D1312" s="19"/>
    </row>
    <row r="1313" spans="4:4" ht="14.4" hidden="1" x14ac:dyDescent="0.3">
      <c r="D1313" s="19"/>
    </row>
    <row r="1314" spans="4:4" ht="14.4" hidden="1" x14ac:dyDescent="0.3">
      <c r="D1314" s="19"/>
    </row>
    <row r="1315" spans="4:4" ht="14.4" hidden="1" x14ac:dyDescent="0.3">
      <c r="D1315" s="19"/>
    </row>
    <row r="1316" spans="4:4" ht="14.4" hidden="1" x14ac:dyDescent="0.3">
      <c r="D1316" s="19"/>
    </row>
    <row r="1317" spans="4:4" ht="14.4" hidden="1" x14ac:dyDescent="0.3">
      <c r="D1317" s="19"/>
    </row>
    <row r="1318" spans="4:4" ht="14.4" hidden="1" x14ac:dyDescent="0.3">
      <c r="D1318" s="19"/>
    </row>
    <row r="1319" spans="4:4" ht="14.4" hidden="1" x14ac:dyDescent="0.3">
      <c r="D1319" s="19"/>
    </row>
    <row r="1320" spans="4:4" ht="14.4" hidden="1" x14ac:dyDescent="0.3">
      <c r="D1320" s="19"/>
    </row>
    <row r="1321" spans="4:4" ht="14.4" hidden="1" x14ac:dyDescent="0.3">
      <c r="D1321" s="19"/>
    </row>
    <row r="1322" spans="4:4" ht="14.4" hidden="1" x14ac:dyDescent="0.3">
      <c r="D1322" s="19"/>
    </row>
    <row r="1323" spans="4:4" ht="14.4" hidden="1" x14ac:dyDescent="0.3">
      <c r="D1323" s="19"/>
    </row>
    <row r="1324" spans="4:4" ht="14.4" hidden="1" x14ac:dyDescent="0.3">
      <c r="D1324" s="19"/>
    </row>
    <row r="1325" spans="4:4" ht="14.4" hidden="1" x14ac:dyDescent="0.3">
      <c r="D1325" s="19"/>
    </row>
    <row r="1326" spans="4:4" ht="14.4" hidden="1" x14ac:dyDescent="0.3">
      <c r="D1326" s="19"/>
    </row>
    <row r="1327" spans="4:4" ht="14.4" hidden="1" x14ac:dyDescent="0.3">
      <c r="D1327" s="19"/>
    </row>
    <row r="1328" spans="4:4" ht="14.4" hidden="1" x14ac:dyDescent="0.3">
      <c r="D1328" s="19"/>
    </row>
    <row r="1329" spans="4:4" ht="14.4" hidden="1" x14ac:dyDescent="0.3">
      <c r="D1329" s="19"/>
    </row>
    <row r="1330" spans="4:4" ht="14.4" hidden="1" x14ac:dyDescent="0.3">
      <c r="D1330" s="19"/>
    </row>
    <row r="1331" spans="4:4" ht="14.4" hidden="1" x14ac:dyDescent="0.3">
      <c r="D1331" s="19"/>
    </row>
    <row r="1332" spans="4:4" ht="14.4" hidden="1" x14ac:dyDescent="0.3">
      <c r="D1332" s="19"/>
    </row>
    <row r="1333" spans="4:4" ht="14.4" hidden="1" x14ac:dyDescent="0.3">
      <c r="D1333" s="19"/>
    </row>
    <row r="1334" spans="4:4" ht="14.4" hidden="1" x14ac:dyDescent="0.3">
      <c r="D1334" s="19"/>
    </row>
    <row r="1335" spans="4:4" ht="14.4" hidden="1" x14ac:dyDescent="0.3">
      <c r="D1335" s="19"/>
    </row>
    <row r="1336" spans="4:4" ht="14.4" hidden="1" x14ac:dyDescent="0.3">
      <c r="D1336" s="19"/>
    </row>
    <row r="1337" spans="4:4" ht="14.4" hidden="1" x14ac:dyDescent="0.3">
      <c r="D1337" s="19"/>
    </row>
    <row r="1338" spans="4:4" ht="14.4" hidden="1" x14ac:dyDescent="0.3">
      <c r="D1338" s="19"/>
    </row>
    <row r="1339" spans="4:4" ht="14.4" hidden="1" x14ac:dyDescent="0.3">
      <c r="D1339" s="19"/>
    </row>
    <row r="1340" spans="4:4" ht="14.4" hidden="1" x14ac:dyDescent="0.3">
      <c r="D1340" s="19"/>
    </row>
    <row r="1341" spans="4:4" ht="14.4" hidden="1" x14ac:dyDescent="0.3">
      <c r="D1341" s="19"/>
    </row>
    <row r="1342" spans="4:4" ht="14.4" hidden="1" x14ac:dyDescent="0.3">
      <c r="D1342" s="19"/>
    </row>
    <row r="1343" spans="4:4" ht="14.4" hidden="1" x14ac:dyDescent="0.3">
      <c r="D1343" s="19"/>
    </row>
    <row r="1344" spans="4:4" ht="14.4" hidden="1" x14ac:dyDescent="0.3">
      <c r="D1344" s="19"/>
    </row>
    <row r="1345" spans="4:4" ht="14.4" hidden="1" x14ac:dyDescent="0.3">
      <c r="D1345" s="19"/>
    </row>
    <row r="1346" spans="4:4" ht="14.4" hidden="1" x14ac:dyDescent="0.3">
      <c r="D1346" s="19"/>
    </row>
    <row r="1347" spans="4:4" ht="14.4" hidden="1" x14ac:dyDescent="0.3">
      <c r="D1347" s="19"/>
    </row>
    <row r="1348" spans="4:4" ht="14.4" hidden="1" x14ac:dyDescent="0.3">
      <c r="D1348" s="19"/>
    </row>
    <row r="1349" spans="4:4" ht="14.4" hidden="1" x14ac:dyDescent="0.3">
      <c r="D1349" s="19"/>
    </row>
    <row r="1350" spans="4:4" ht="14.4" hidden="1" x14ac:dyDescent="0.3">
      <c r="D1350" s="19"/>
    </row>
    <row r="1351" spans="4:4" ht="14.4" hidden="1" x14ac:dyDescent="0.3">
      <c r="D1351" s="19"/>
    </row>
    <row r="1352" spans="4:4" ht="14.4" hidden="1" x14ac:dyDescent="0.3">
      <c r="D1352" s="19"/>
    </row>
    <row r="1353" spans="4:4" ht="14.4" hidden="1" x14ac:dyDescent="0.3">
      <c r="D1353" s="19"/>
    </row>
    <row r="1354" spans="4:4" ht="14.4" hidden="1" x14ac:dyDescent="0.3">
      <c r="D1354" s="19"/>
    </row>
    <row r="1355" spans="4:4" ht="14.4" hidden="1" x14ac:dyDescent="0.3">
      <c r="D1355" s="19"/>
    </row>
    <row r="1356" spans="4:4" ht="14.4" hidden="1" x14ac:dyDescent="0.3">
      <c r="D1356" s="19"/>
    </row>
    <row r="1357" spans="4:4" ht="14.4" hidden="1" x14ac:dyDescent="0.3">
      <c r="D1357" s="19"/>
    </row>
    <row r="1358" spans="4:4" ht="14.4" hidden="1" x14ac:dyDescent="0.3">
      <c r="D1358" s="19"/>
    </row>
    <row r="1359" spans="4:4" ht="14.4" hidden="1" x14ac:dyDescent="0.3">
      <c r="D1359" s="19"/>
    </row>
    <row r="1360" spans="4:4" ht="14.4" hidden="1" x14ac:dyDescent="0.3">
      <c r="D1360" s="19"/>
    </row>
    <row r="1361" spans="4:4" ht="14.4" hidden="1" x14ac:dyDescent="0.3">
      <c r="D1361" s="19"/>
    </row>
    <row r="1362" spans="4:4" ht="14.4" hidden="1" x14ac:dyDescent="0.3">
      <c r="D1362" s="19"/>
    </row>
    <row r="1363" spans="4:4" ht="14.4" hidden="1" x14ac:dyDescent="0.3">
      <c r="D1363" s="19"/>
    </row>
    <row r="1364" spans="4:4" ht="14.4" hidden="1" x14ac:dyDescent="0.3">
      <c r="D1364" s="19"/>
    </row>
    <row r="1365" spans="4:4" ht="14.4" hidden="1" x14ac:dyDescent="0.3">
      <c r="D1365" s="19"/>
    </row>
    <row r="1366" spans="4:4" ht="14.4" hidden="1" x14ac:dyDescent="0.3">
      <c r="D1366" s="19"/>
    </row>
    <row r="1367" spans="4:4" ht="14.4" hidden="1" x14ac:dyDescent="0.3">
      <c r="D1367" s="19"/>
    </row>
    <row r="1368" spans="4:4" ht="14.4" hidden="1" x14ac:dyDescent="0.3">
      <c r="D1368" s="19"/>
    </row>
    <row r="1369" spans="4:4" ht="14.4" hidden="1" x14ac:dyDescent="0.3">
      <c r="D1369" s="19"/>
    </row>
    <row r="1370" spans="4:4" ht="14.4" hidden="1" x14ac:dyDescent="0.3">
      <c r="D1370" s="19"/>
    </row>
    <row r="1371" spans="4:4" ht="14.4" hidden="1" x14ac:dyDescent="0.3">
      <c r="D1371" s="19"/>
    </row>
    <row r="1372" spans="4:4" ht="14.4" hidden="1" x14ac:dyDescent="0.3">
      <c r="D1372" s="19"/>
    </row>
    <row r="1373" spans="4:4" ht="14.4" hidden="1" x14ac:dyDescent="0.3">
      <c r="D1373" s="19"/>
    </row>
    <row r="1374" spans="4:4" ht="14.4" hidden="1" x14ac:dyDescent="0.3">
      <c r="D1374" s="19"/>
    </row>
    <row r="1375" spans="4:4" ht="14.4" hidden="1" x14ac:dyDescent="0.3">
      <c r="D1375" s="19"/>
    </row>
    <row r="1376" spans="4:4" ht="14.4" hidden="1" x14ac:dyDescent="0.3">
      <c r="D1376" s="19"/>
    </row>
    <row r="1377" spans="4:4" ht="14.4" hidden="1" x14ac:dyDescent="0.3">
      <c r="D1377" s="19"/>
    </row>
    <row r="1378" spans="4:4" ht="14.4" hidden="1" x14ac:dyDescent="0.3">
      <c r="D1378" s="19"/>
    </row>
    <row r="1379" spans="4:4" ht="14.4" hidden="1" x14ac:dyDescent="0.3">
      <c r="D1379" s="19"/>
    </row>
    <row r="1380" spans="4:4" ht="14.4" hidden="1" x14ac:dyDescent="0.3">
      <c r="D1380" s="19"/>
    </row>
    <row r="1381" spans="4:4" ht="14.4" hidden="1" x14ac:dyDescent="0.3">
      <c r="D1381" s="19"/>
    </row>
    <row r="1382" spans="4:4" ht="14.4" hidden="1" x14ac:dyDescent="0.3">
      <c r="D1382" s="19"/>
    </row>
    <row r="1383" spans="4:4" ht="14.4" hidden="1" x14ac:dyDescent="0.3">
      <c r="D1383" s="19"/>
    </row>
    <row r="1384" spans="4:4" ht="14.4" hidden="1" x14ac:dyDescent="0.3">
      <c r="D1384" s="19"/>
    </row>
    <row r="1385" spans="4:4" ht="14.4" hidden="1" x14ac:dyDescent="0.3">
      <c r="D1385" s="19"/>
    </row>
    <row r="1386" spans="4:4" ht="14.4" hidden="1" x14ac:dyDescent="0.3">
      <c r="D1386" s="19"/>
    </row>
    <row r="1387" spans="4:4" ht="14.4" hidden="1" x14ac:dyDescent="0.3">
      <c r="D1387" s="19"/>
    </row>
    <row r="1388" spans="4:4" ht="14.4" hidden="1" x14ac:dyDescent="0.3">
      <c r="D1388" s="19"/>
    </row>
    <row r="1389" spans="4:4" ht="14.4" hidden="1" x14ac:dyDescent="0.3">
      <c r="D1389" s="19"/>
    </row>
    <row r="1390" spans="4:4" ht="14.4" hidden="1" x14ac:dyDescent="0.3">
      <c r="D1390" s="19"/>
    </row>
    <row r="1391" spans="4:4" ht="14.4" hidden="1" x14ac:dyDescent="0.3">
      <c r="D1391" s="19"/>
    </row>
    <row r="1392" spans="4:4" ht="14.4" hidden="1" x14ac:dyDescent="0.3">
      <c r="D1392" s="19"/>
    </row>
    <row r="1393" spans="4:4" ht="14.4" hidden="1" x14ac:dyDescent="0.3">
      <c r="D1393" s="19"/>
    </row>
    <row r="1394" spans="4:4" ht="14.4" hidden="1" x14ac:dyDescent="0.3">
      <c r="D1394" s="19"/>
    </row>
    <row r="1395" spans="4:4" ht="14.4" hidden="1" x14ac:dyDescent="0.3">
      <c r="D1395" s="19"/>
    </row>
    <row r="1396" spans="4:4" ht="14.4" hidden="1" x14ac:dyDescent="0.3">
      <c r="D1396" s="19"/>
    </row>
    <row r="1397" spans="4:4" ht="14.4" hidden="1" x14ac:dyDescent="0.3">
      <c r="D1397" s="19"/>
    </row>
    <row r="1398" spans="4:4" ht="14.4" hidden="1" x14ac:dyDescent="0.3">
      <c r="D1398" s="19"/>
    </row>
    <row r="1399" spans="4:4" ht="14.4" hidden="1" x14ac:dyDescent="0.3">
      <c r="D1399" s="19"/>
    </row>
    <row r="1400" spans="4:4" ht="14.4" hidden="1" x14ac:dyDescent="0.3">
      <c r="D1400" s="19"/>
    </row>
    <row r="1401" spans="4:4" ht="14.4" hidden="1" x14ac:dyDescent="0.3">
      <c r="D1401" s="19"/>
    </row>
    <row r="1402" spans="4:4" ht="14.4" hidden="1" x14ac:dyDescent="0.3">
      <c r="D1402" s="19"/>
    </row>
    <row r="1403" spans="4:4" ht="14.4" hidden="1" x14ac:dyDescent="0.3">
      <c r="D1403" s="19"/>
    </row>
    <row r="1404" spans="4:4" ht="14.4" hidden="1" x14ac:dyDescent="0.3">
      <c r="D1404" s="19"/>
    </row>
    <row r="1405" spans="4:4" ht="14.4" hidden="1" x14ac:dyDescent="0.3">
      <c r="D1405" s="19"/>
    </row>
    <row r="1406" spans="4:4" ht="14.4" hidden="1" x14ac:dyDescent="0.3">
      <c r="D1406" s="19"/>
    </row>
    <row r="1407" spans="4:4" ht="14.4" hidden="1" x14ac:dyDescent="0.3">
      <c r="D1407" s="19"/>
    </row>
    <row r="1408" spans="4:4" ht="14.4" hidden="1" x14ac:dyDescent="0.3">
      <c r="D1408" s="19"/>
    </row>
    <row r="1409" spans="4:4" ht="14.4" hidden="1" x14ac:dyDescent="0.3">
      <c r="D1409" s="19"/>
    </row>
    <row r="1410" spans="4:4" ht="14.4" hidden="1" x14ac:dyDescent="0.3">
      <c r="D1410" s="19"/>
    </row>
    <row r="1411" spans="4:4" ht="14.4" hidden="1" x14ac:dyDescent="0.3">
      <c r="D1411" s="19"/>
    </row>
    <row r="1412" spans="4:4" ht="14.4" hidden="1" x14ac:dyDescent="0.3">
      <c r="D1412" s="19"/>
    </row>
    <row r="1413" spans="4:4" ht="14.4" hidden="1" x14ac:dyDescent="0.3">
      <c r="D1413" s="19"/>
    </row>
    <row r="1414" spans="4:4" ht="14.4" hidden="1" x14ac:dyDescent="0.3">
      <c r="D1414" s="19"/>
    </row>
    <row r="1415" spans="4:4" ht="14.4" hidden="1" x14ac:dyDescent="0.3">
      <c r="D1415" s="19"/>
    </row>
    <row r="1416" spans="4:4" ht="14.4" hidden="1" x14ac:dyDescent="0.3">
      <c r="D1416" s="19"/>
    </row>
    <row r="1417" spans="4:4" ht="14.4" hidden="1" x14ac:dyDescent="0.3">
      <c r="D1417" s="19"/>
    </row>
    <row r="1418" spans="4:4" ht="14.4" hidden="1" x14ac:dyDescent="0.3">
      <c r="D1418" s="19"/>
    </row>
    <row r="1419" spans="4:4" ht="14.4" hidden="1" x14ac:dyDescent="0.3">
      <c r="D1419" s="19"/>
    </row>
    <row r="1420" spans="4:4" ht="14.4" hidden="1" x14ac:dyDescent="0.3">
      <c r="D1420" s="19"/>
    </row>
    <row r="1421" spans="4:4" ht="14.4" hidden="1" x14ac:dyDescent="0.3">
      <c r="D1421" s="19"/>
    </row>
    <row r="1422" spans="4:4" ht="14.4" hidden="1" x14ac:dyDescent="0.3">
      <c r="D1422" s="19"/>
    </row>
    <row r="1423" spans="4:4" ht="14.4" hidden="1" x14ac:dyDescent="0.3">
      <c r="D1423" s="19"/>
    </row>
    <row r="1424" spans="4:4" ht="14.4" hidden="1" x14ac:dyDescent="0.3">
      <c r="D1424" s="19"/>
    </row>
    <row r="1425" spans="4:4" ht="14.4" hidden="1" x14ac:dyDescent="0.3">
      <c r="D1425" s="19"/>
    </row>
    <row r="1426" spans="4:4" ht="14.4" hidden="1" x14ac:dyDescent="0.3">
      <c r="D1426" s="19"/>
    </row>
    <row r="1427" spans="4:4" ht="14.4" hidden="1" x14ac:dyDescent="0.3">
      <c r="D1427" s="19"/>
    </row>
    <row r="1428" spans="4:4" ht="14.4" hidden="1" x14ac:dyDescent="0.3">
      <c r="D1428" s="19"/>
    </row>
    <row r="1429" spans="4:4" ht="14.4" hidden="1" x14ac:dyDescent="0.3">
      <c r="D1429" s="19"/>
    </row>
    <row r="1430" spans="4:4" ht="14.4" hidden="1" x14ac:dyDescent="0.3">
      <c r="D1430" s="19"/>
    </row>
    <row r="1431" spans="4:4" ht="14.4" hidden="1" x14ac:dyDescent="0.3">
      <c r="D1431" s="19"/>
    </row>
    <row r="1432" spans="4:4" ht="14.4" hidden="1" x14ac:dyDescent="0.3">
      <c r="D1432" s="19"/>
    </row>
    <row r="1433" spans="4:4" ht="14.4" hidden="1" x14ac:dyDescent="0.3">
      <c r="D1433" s="19"/>
    </row>
    <row r="1434" spans="4:4" ht="14.4" hidden="1" x14ac:dyDescent="0.3">
      <c r="D1434" s="19"/>
    </row>
    <row r="1435" spans="4:4" ht="14.4" hidden="1" x14ac:dyDescent="0.3">
      <c r="D1435" s="19"/>
    </row>
    <row r="1436" spans="4:4" ht="14.4" hidden="1" x14ac:dyDescent="0.3">
      <c r="D1436" s="19"/>
    </row>
    <row r="1437" spans="4:4" ht="14.4" hidden="1" x14ac:dyDescent="0.3">
      <c r="D1437" s="19"/>
    </row>
    <row r="1438" spans="4:4" ht="14.4" hidden="1" x14ac:dyDescent="0.3">
      <c r="D1438" s="19"/>
    </row>
    <row r="1439" spans="4:4" ht="14.4" hidden="1" x14ac:dyDescent="0.3">
      <c r="D1439" s="19"/>
    </row>
    <row r="1440" spans="4:4" ht="14.4" hidden="1" x14ac:dyDescent="0.3">
      <c r="D1440" s="19"/>
    </row>
    <row r="1441" spans="4:4" ht="14.4" hidden="1" x14ac:dyDescent="0.3">
      <c r="D1441" s="19"/>
    </row>
    <row r="1442" spans="4:4" ht="14.4" hidden="1" x14ac:dyDescent="0.3">
      <c r="D1442" s="19"/>
    </row>
    <row r="1443" spans="4:4" ht="14.4" hidden="1" x14ac:dyDescent="0.3">
      <c r="D1443" s="19"/>
    </row>
    <row r="1444" spans="4:4" ht="14.4" hidden="1" x14ac:dyDescent="0.3">
      <c r="D1444" s="19"/>
    </row>
    <row r="1445" spans="4:4" ht="14.4" hidden="1" x14ac:dyDescent="0.3">
      <c r="D1445" s="19"/>
    </row>
    <row r="1446" spans="4:4" ht="14.4" hidden="1" x14ac:dyDescent="0.3">
      <c r="D1446" s="19"/>
    </row>
    <row r="1447" spans="4:4" ht="14.4" hidden="1" x14ac:dyDescent="0.3">
      <c r="D1447" s="19"/>
    </row>
    <row r="1448" spans="4:4" ht="14.4" hidden="1" x14ac:dyDescent="0.3">
      <c r="D1448" s="19"/>
    </row>
    <row r="1449" spans="4:4" ht="14.4" hidden="1" x14ac:dyDescent="0.3">
      <c r="D1449" s="19"/>
    </row>
    <row r="1450" spans="4:4" ht="14.4" hidden="1" x14ac:dyDescent="0.3">
      <c r="D1450" s="19"/>
    </row>
    <row r="1451" spans="4:4" ht="14.4" hidden="1" x14ac:dyDescent="0.3">
      <c r="D1451" s="19"/>
    </row>
    <row r="1452" spans="4:4" ht="14.4" hidden="1" x14ac:dyDescent="0.3">
      <c r="D1452" s="19"/>
    </row>
    <row r="1453" spans="4:4" ht="14.4" hidden="1" x14ac:dyDescent="0.3">
      <c r="D1453" s="19"/>
    </row>
    <row r="1454" spans="4:4" ht="14.4" hidden="1" x14ac:dyDescent="0.3">
      <c r="D1454" s="19"/>
    </row>
    <row r="1455" spans="4:4" ht="14.4" hidden="1" x14ac:dyDescent="0.3">
      <c r="D1455" s="19"/>
    </row>
    <row r="1456" spans="4:4" ht="14.4" hidden="1" x14ac:dyDescent="0.3">
      <c r="D1456" s="19"/>
    </row>
    <row r="1457" spans="4:4" ht="14.4" hidden="1" x14ac:dyDescent="0.3">
      <c r="D1457" s="19"/>
    </row>
    <row r="1458" spans="4:4" ht="14.4" hidden="1" x14ac:dyDescent="0.3">
      <c r="D1458" s="19"/>
    </row>
    <row r="1459" spans="4:4" ht="14.4" hidden="1" x14ac:dyDescent="0.3">
      <c r="D1459" s="19"/>
    </row>
    <row r="1460" spans="4:4" ht="14.4" hidden="1" x14ac:dyDescent="0.3">
      <c r="D1460" s="19"/>
    </row>
    <row r="1461" spans="4:4" ht="14.4" hidden="1" x14ac:dyDescent="0.3">
      <c r="D1461" s="19"/>
    </row>
    <row r="1462" spans="4:4" ht="14.4" hidden="1" x14ac:dyDescent="0.3">
      <c r="D1462" s="19"/>
    </row>
    <row r="1463" spans="4:4" ht="14.4" hidden="1" x14ac:dyDescent="0.3">
      <c r="D1463" s="19"/>
    </row>
    <row r="1464" spans="4:4" ht="14.4" hidden="1" x14ac:dyDescent="0.3">
      <c r="D1464" s="19"/>
    </row>
    <row r="1465" spans="4:4" ht="14.4" hidden="1" x14ac:dyDescent="0.3">
      <c r="D1465" s="19"/>
    </row>
    <row r="1466" spans="4:4" ht="14.4" hidden="1" x14ac:dyDescent="0.3">
      <c r="D1466" s="19"/>
    </row>
    <row r="1467" spans="4:4" ht="14.4" hidden="1" x14ac:dyDescent="0.3">
      <c r="D1467" s="19"/>
    </row>
    <row r="1468" spans="4:4" ht="14.4" hidden="1" x14ac:dyDescent="0.3">
      <c r="D1468" s="19"/>
    </row>
    <row r="1469" spans="4:4" ht="14.4" hidden="1" x14ac:dyDescent="0.3">
      <c r="D1469" s="19"/>
    </row>
    <row r="1470" spans="4:4" ht="14.4" hidden="1" x14ac:dyDescent="0.3">
      <c r="D1470" s="19"/>
    </row>
    <row r="1471" spans="4:4" ht="14.4" hidden="1" x14ac:dyDescent="0.3">
      <c r="D1471" s="19"/>
    </row>
    <row r="1472" spans="4:4" ht="14.4" hidden="1" x14ac:dyDescent="0.3">
      <c r="D1472" s="19"/>
    </row>
    <row r="1473" spans="4:4" ht="14.4" hidden="1" x14ac:dyDescent="0.3">
      <c r="D1473" s="19"/>
    </row>
    <row r="1474" spans="4:4" ht="14.4" hidden="1" x14ac:dyDescent="0.3">
      <c r="D1474" s="19"/>
    </row>
    <row r="1475" spans="4:4" ht="14.4" hidden="1" x14ac:dyDescent="0.3">
      <c r="D1475" s="19"/>
    </row>
    <row r="1476" spans="4:4" ht="14.4" hidden="1" x14ac:dyDescent="0.3">
      <c r="D1476" s="19"/>
    </row>
    <row r="1477" spans="4:4" ht="14.4" hidden="1" x14ac:dyDescent="0.3">
      <c r="D1477" s="19"/>
    </row>
    <row r="1478" spans="4:4" ht="14.4" hidden="1" x14ac:dyDescent="0.3">
      <c r="D1478" s="19"/>
    </row>
    <row r="1479" spans="4:4" ht="14.4" hidden="1" x14ac:dyDescent="0.3">
      <c r="D1479" s="19"/>
    </row>
    <row r="1480" spans="4:4" ht="14.4" hidden="1" x14ac:dyDescent="0.3">
      <c r="D1480" s="19"/>
    </row>
    <row r="1481" spans="4:4" ht="14.4" hidden="1" x14ac:dyDescent="0.3">
      <c r="D1481" s="19"/>
    </row>
    <row r="1482" spans="4:4" ht="14.4" hidden="1" x14ac:dyDescent="0.3">
      <c r="D1482" s="19"/>
    </row>
    <row r="1483" spans="4:4" ht="14.4" hidden="1" x14ac:dyDescent="0.3">
      <c r="D1483" s="19"/>
    </row>
    <row r="1484" spans="4:4" ht="14.4" hidden="1" x14ac:dyDescent="0.3">
      <c r="D1484" s="19"/>
    </row>
    <row r="1485" spans="4:4" ht="14.4" hidden="1" x14ac:dyDescent="0.3">
      <c r="D1485" s="19"/>
    </row>
    <row r="1486" spans="4:4" ht="14.4" hidden="1" x14ac:dyDescent="0.3">
      <c r="D1486" s="19"/>
    </row>
    <row r="1487" spans="4:4" ht="14.4" hidden="1" x14ac:dyDescent="0.3">
      <c r="D1487" s="19"/>
    </row>
    <row r="1488" spans="4:4" ht="14.4" hidden="1" x14ac:dyDescent="0.3">
      <c r="D1488" s="19"/>
    </row>
    <row r="1489" spans="4:4" ht="14.4" hidden="1" x14ac:dyDescent="0.3">
      <c r="D1489" s="19"/>
    </row>
    <row r="1490" spans="4:4" ht="14.4" hidden="1" x14ac:dyDescent="0.3">
      <c r="D1490" s="19"/>
    </row>
    <row r="1491" spans="4:4" ht="14.4" hidden="1" x14ac:dyDescent="0.3">
      <c r="D1491" s="19"/>
    </row>
    <row r="1492" spans="4:4" ht="14.4" hidden="1" x14ac:dyDescent="0.3">
      <c r="D1492" s="19"/>
    </row>
    <row r="1493" spans="4:4" ht="14.4" hidden="1" x14ac:dyDescent="0.3">
      <c r="D1493" s="19"/>
    </row>
    <row r="1494" spans="4:4" ht="14.4" hidden="1" x14ac:dyDescent="0.3">
      <c r="D1494" s="19"/>
    </row>
    <row r="1495" spans="4:4" ht="14.4" hidden="1" x14ac:dyDescent="0.3">
      <c r="D1495" s="19"/>
    </row>
    <row r="1496" spans="4:4" ht="14.4" hidden="1" x14ac:dyDescent="0.3">
      <c r="D1496" s="19"/>
    </row>
    <row r="1497" spans="4:4" ht="14.4" hidden="1" x14ac:dyDescent="0.3">
      <c r="D1497" s="19"/>
    </row>
    <row r="1498" spans="4:4" ht="14.4" hidden="1" x14ac:dyDescent="0.3">
      <c r="D1498" s="19"/>
    </row>
    <row r="1499" spans="4:4" ht="14.4" hidden="1" x14ac:dyDescent="0.3">
      <c r="D1499" s="19"/>
    </row>
    <row r="1500" spans="4:4" ht="14.4" hidden="1" x14ac:dyDescent="0.3">
      <c r="D1500" s="19"/>
    </row>
    <row r="1501" spans="4:4" ht="14.4" hidden="1" x14ac:dyDescent="0.3">
      <c r="D1501" s="19"/>
    </row>
    <row r="1502" spans="4:4" ht="14.4" hidden="1" x14ac:dyDescent="0.3">
      <c r="D1502" s="19"/>
    </row>
    <row r="1503" spans="4:4" ht="14.4" hidden="1" x14ac:dyDescent="0.3">
      <c r="D1503" s="19"/>
    </row>
    <row r="1504" spans="4:4" ht="14.4" hidden="1" x14ac:dyDescent="0.3">
      <c r="D1504" s="19"/>
    </row>
    <row r="1505" spans="4:4" ht="14.4" hidden="1" x14ac:dyDescent="0.3">
      <c r="D1505" s="19"/>
    </row>
    <row r="1506" spans="4:4" ht="14.4" hidden="1" x14ac:dyDescent="0.3">
      <c r="D1506" s="19"/>
    </row>
    <row r="1507" spans="4:4" ht="14.4" hidden="1" x14ac:dyDescent="0.3">
      <c r="D1507" s="19"/>
    </row>
    <row r="1508" spans="4:4" ht="14.4" hidden="1" x14ac:dyDescent="0.3">
      <c r="D1508" s="19"/>
    </row>
    <row r="1509" spans="4:4" ht="14.4" hidden="1" x14ac:dyDescent="0.3">
      <c r="D1509" s="19"/>
    </row>
    <row r="1510" spans="4:4" ht="14.4" hidden="1" x14ac:dyDescent="0.3">
      <c r="D1510" s="19"/>
    </row>
    <row r="1511" spans="4:4" ht="14.4" hidden="1" x14ac:dyDescent="0.3">
      <c r="D1511" s="19"/>
    </row>
    <row r="1512" spans="4:4" ht="14.4" hidden="1" x14ac:dyDescent="0.3">
      <c r="D1512" s="19"/>
    </row>
    <row r="1513" spans="4:4" ht="14.4" hidden="1" x14ac:dyDescent="0.3">
      <c r="D1513" s="19"/>
    </row>
    <row r="1514" spans="4:4" ht="14.4" hidden="1" x14ac:dyDescent="0.3">
      <c r="D1514" s="19"/>
    </row>
    <row r="1515" spans="4:4" ht="14.4" hidden="1" x14ac:dyDescent="0.3">
      <c r="D1515" s="19"/>
    </row>
    <row r="1516" spans="4:4" ht="14.4" hidden="1" x14ac:dyDescent="0.3">
      <c r="D1516" s="19"/>
    </row>
    <row r="1517" spans="4:4" ht="14.4" hidden="1" x14ac:dyDescent="0.3">
      <c r="D1517" s="19"/>
    </row>
    <row r="1518" spans="4:4" ht="14.4" hidden="1" x14ac:dyDescent="0.3">
      <c r="D1518" s="19"/>
    </row>
    <row r="1519" spans="4:4" ht="14.4" hidden="1" x14ac:dyDescent="0.3">
      <c r="D1519" s="19"/>
    </row>
    <row r="1520" spans="4:4" ht="14.4" hidden="1" x14ac:dyDescent="0.3">
      <c r="D1520" s="19"/>
    </row>
    <row r="1521" spans="4:4" ht="14.4" hidden="1" x14ac:dyDescent="0.3">
      <c r="D1521" s="19"/>
    </row>
    <row r="1522" spans="4:4" ht="14.4" hidden="1" x14ac:dyDescent="0.3">
      <c r="D1522" s="19"/>
    </row>
    <row r="1523" spans="4:4" ht="14.4" hidden="1" x14ac:dyDescent="0.3">
      <c r="D1523" s="19"/>
    </row>
    <row r="1524" spans="4:4" ht="14.4" hidden="1" x14ac:dyDescent="0.3">
      <c r="D1524" s="19"/>
    </row>
    <row r="1525" spans="4:4" ht="14.4" hidden="1" x14ac:dyDescent="0.3">
      <c r="D1525" s="19"/>
    </row>
    <row r="1526" spans="4:4" ht="14.4" hidden="1" x14ac:dyDescent="0.3">
      <c r="D1526" s="19"/>
    </row>
    <row r="1527" spans="4:4" ht="14.4" hidden="1" x14ac:dyDescent="0.3">
      <c r="D1527" s="19"/>
    </row>
    <row r="1528" spans="4:4" ht="14.4" hidden="1" x14ac:dyDescent="0.3">
      <c r="D1528" s="19"/>
    </row>
    <row r="1529" spans="4:4" ht="14.4" hidden="1" x14ac:dyDescent="0.3">
      <c r="D1529" s="19"/>
    </row>
    <row r="1530" spans="4:4" ht="14.4" hidden="1" x14ac:dyDescent="0.3">
      <c r="D1530" s="19"/>
    </row>
    <row r="1531" spans="4:4" ht="14.4" hidden="1" x14ac:dyDescent="0.3">
      <c r="D1531" s="19"/>
    </row>
    <row r="1532" spans="4:4" ht="14.4" hidden="1" x14ac:dyDescent="0.3">
      <c r="D1532" s="19"/>
    </row>
    <row r="1533" spans="4:4" ht="14.4" hidden="1" x14ac:dyDescent="0.3">
      <c r="D1533" s="19"/>
    </row>
    <row r="1534" spans="4:4" ht="14.4" hidden="1" x14ac:dyDescent="0.3">
      <c r="D1534" s="19"/>
    </row>
    <row r="1535" spans="4:4" ht="14.4" hidden="1" x14ac:dyDescent="0.3">
      <c r="D1535" s="19"/>
    </row>
    <row r="1536" spans="4:4" ht="14.4" hidden="1" x14ac:dyDescent="0.3">
      <c r="D1536" s="19"/>
    </row>
    <row r="1537" spans="4:4" ht="14.4" hidden="1" x14ac:dyDescent="0.3">
      <c r="D1537" s="19"/>
    </row>
    <row r="1538" spans="4:4" ht="14.4" hidden="1" x14ac:dyDescent="0.3">
      <c r="D1538" s="19"/>
    </row>
    <row r="1539" spans="4:4" ht="14.4" hidden="1" x14ac:dyDescent="0.3">
      <c r="D1539" s="19"/>
    </row>
    <row r="1540" spans="4:4" ht="14.4" hidden="1" x14ac:dyDescent="0.3">
      <c r="D1540" s="19"/>
    </row>
    <row r="1541" spans="4:4" ht="14.4" hidden="1" x14ac:dyDescent="0.3">
      <c r="D1541" s="19"/>
    </row>
    <row r="1542" spans="4:4" ht="14.4" hidden="1" x14ac:dyDescent="0.3">
      <c r="D1542" s="19"/>
    </row>
    <row r="1543" spans="4:4" ht="14.4" hidden="1" x14ac:dyDescent="0.3">
      <c r="D1543" s="19"/>
    </row>
    <row r="1544" spans="4:4" ht="14.4" hidden="1" x14ac:dyDescent="0.3">
      <c r="D1544" s="19"/>
    </row>
    <row r="1545" spans="4:4" ht="14.4" hidden="1" x14ac:dyDescent="0.3">
      <c r="D1545" s="19"/>
    </row>
    <row r="1546" spans="4:4" ht="14.4" hidden="1" x14ac:dyDescent="0.3">
      <c r="D1546" s="19"/>
    </row>
    <row r="1547" spans="4:4" ht="14.4" hidden="1" x14ac:dyDescent="0.3">
      <c r="D1547" s="19"/>
    </row>
    <row r="1548" spans="4:4" ht="14.4" hidden="1" x14ac:dyDescent="0.3">
      <c r="D1548" s="19"/>
    </row>
    <row r="1549" spans="4:4" ht="14.4" hidden="1" x14ac:dyDescent="0.3">
      <c r="D1549" s="19"/>
    </row>
    <row r="1550" spans="4:4" ht="14.4" hidden="1" x14ac:dyDescent="0.3">
      <c r="D1550" s="19"/>
    </row>
    <row r="1551" spans="4:4" ht="14.4" hidden="1" x14ac:dyDescent="0.3">
      <c r="D1551" s="19"/>
    </row>
    <row r="1552" spans="4:4" ht="14.4" hidden="1" x14ac:dyDescent="0.3">
      <c r="D1552" s="19"/>
    </row>
    <row r="1553" spans="4:4" ht="14.4" hidden="1" x14ac:dyDescent="0.3">
      <c r="D1553" s="19"/>
    </row>
    <row r="1554" spans="4:4" ht="14.4" hidden="1" x14ac:dyDescent="0.3">
      <c r="D1554" s="19"/>
    </row>
    <row r="1555" spans="4:4" ht="14.4" hidden="1" x14ac:dyDescent="0.3">
      <c r="D1555" s="19"/>
    </row>
    <row r="1556" spans="4:4" ht="14.4" hidden="1" x14ac:dyDescent="0.3">
      <c r="D1556" s="19"/>
    </row>
    <row r="1557" spans="4:4" ht="14.4" hidden="1" x14ac:dyDescent="0.3">
      <c r="D1557" s="19"/>
    </row>
    <row r="1558" spans="4:4" ht="14.4" hidden="1" x14ac:dyDescent="0.3">
      <c r="D1558" s="19"/>
    </row>
    <row r="1559" spans="4:4" ht="14.4" hidden="1" x14ac:dyDescent="0.3">
      <c r="D1559" s="19"/>
    </row>
    <row r="1560" spans="4:4" ht="14.4" hidden="1" x14ac:dyDescent="0.3">
      <c r="D1560" s="19"/>
    </row>
    <row r="1561" spans="4:4" ht="14.4" hidden="1" x14ac:dyDescent="0.3">
      <c r="D1561" s="19"/>
    </row>
    <row r="1562" spans="4:4" ht="14.4" hidden="1" x14ac:dyDescent="0.3">
      <c r="D1562" s="19"/>
    </row>
    <row r="1563" spans="4:4" ht="14.4" hidden="1" x14ac:dyDescent="0.3">
      <c r="D1563" s="19"/>
    </row>
    <row r="1564" spans="4:4" ht="14.4" hidden="1" x14ac:dyDescent="0.3">
      <c r="D1564" s="19"/>
    </row>
    <row r="1565" spans="4:4" ht="14.4" hidden="1" x14ac:dyDescent="0.3">
      <c r="D1565" s="19"/>
    </row>
    <row r="1566" spans="4:4" ht="14.4" hidden="1" x14ac:dyDescent="0.3">
      <c r="D1566" s="19"/>
    </row>
    <row r="1567" spans="4:4" ht="14.4" hidden="1" x14ac:dyDescent="0.3">
      <c r="D1567" s="19"/>
    </row>
    <row r="1568" spans="4:4" ht="14.4" hidden="1" x14ac:dyDescent="0.3">
      <c r="D1568" s="19"/>
    </row>
    <row r="1569" spans="4:4" ht="14.4" hidden="1" x14ac:dyDescent="0.3">
      <c r="D1569" s="19"/>
    </row>
    <row r="1570" spans="4:4" ht="14.4" hidden="1" x14ac:dyDescent="0.3">
      <c r="D1570" s="19"/>
    </row>
    <row r="1571" spans="4:4" ht="14.4" hidden="1" x14ac:dyDescent="0.3">
      <c r="D1571" s="19"/>
    </row>
    <row r="1572" spans="4:4" ht="14.4" hidden="1" x14ac:dyDescent="0.3">
      <c r="D1572" s="19"/>
    </row>
    <row r="1573" spans="4:4" ht="14.4" hidden="1" x14ac:dyDescent="0.3">
      <c r="D1573" s="19"/>
    </row>
    <row r="1574" spans="4:4" ht="14.4" hidden="1" x14ac:dyDescent="0.3">
      <c r="D1574" s="19"/>
    </row>
    <row r="1575" spans="4:4" ht="14.4" hidden="1" x14ac:dyDescent="0.3">
      <c r="D1575" s="19"/>
    </row>
    <row r="1576" spans="4:4" ht="14.4" hidden="1" x14ac:dyDescent="0.3">
      <c r="D1576" s="19"/>
    </row>
    <row r="1577" spans="4:4" ht="14.4" hidden="1" x14ac:dyDescent="0.3">
      <c r="D1577" s="19"/>
    </row>
    <row r="1578" spans="4:4" ht="14.4" hidden="1" x14ac:dyDescent="0.3">
      <c r="D1578" s="19"/>
    </row>
    <row r="1579" spans="4:4" ht="14.4" hidden="1" x14ac:dyDescent="0.3">
      <c r="D1579" s="19"/>
    </row>
    <row r="1580" spans="4:4" ht="14.4" hidden="1" x14ac:dyDescent="0.3">
      <c r="D1580" s="19"/>
    </row>
    <row r="1581" spans="4:4" ht="14.4" hidden="1" x14ac:dyDescent="0.3">
      <c r="D1581" s="19"/>
    </row>
    <row r="1582" spans="4:4" ht="14.4" hidden="1" x14ac:dyDescent="0.3">
      <c r="D1582" s="19"/>
    </row>
    <row r="1583" spans="4:4" ht="14.4" hidden="1" x14ac:dyDescent="0.3">
      <c r="D1583" s="19"/>
    </row>
    <row r="1584" spans="4:4" ht="14.4" hidden="1" x14ac:dyDescent="0.3">
      <c r="D1584" s="19"/>
    </row>
    <row r="1585" spans="4:4" ht="14.4" hidden="1" x14ac:dyDescent="0.3">
      <c r="D1585" s="19"/>
    </row>
    <row r="1586" spans="4:4" ht="14.4" hidden="1" x14ac:dyDescent="0.3">
      <c r="D1586" s="19"/>
    </row>
    <row r="1587" spans="4:4" ht="14.4" hidden="1" x14ac:dyDescent="0.3">
      <c r="D1587" s="19"/>
    </row>
    <row r="1588" spans="4:4" ht="14.4" hidden="1" x14ac:dyDescent="0.3">
      <c r="D1588" s="19"/>
    </row>
    <row r="1589" spans="4:4" ht="14.4" hidden="1" x14ac:dyDescent="0.3">
      <c r="D1589" s="19"/>
    </row>
    <row r="1590" spans="4:4" ht="14.4" hidden="1" x14ac:dyDescent="0.3">
      <c r="D1590" s="19"/>
    </row>
    <row r="1591" spans="4:4" ht="14.4" hidden="1" x14ac:dyDescent="0.3">
      <c r="D1591" s="19"/>
    </row>
    <row r="1592" spans="4:4" ht="14.4" hidden="1" x14ac:dyDescent="0.3">
      <c r="D1592" s="19"/>
    </row>
    <row r="1593" spans="4:4" ht="14.4" hidden="1" x14ac:dyDescent="0.3">
      <c r="D1593" s="19"/>
    </row>
    <row r="1594" spans="4:4" ht="14.4" hidden="1" x14ac:dyDescent="0.3">
      <c r="D1594" s="19"/>
    </row>
    <row r="1595" spans="4:4" ht="14.4" hidden="1" x14ac:dyDescent="0.3">
      <c r="D1595" s="19"/>
    </row>
    <row r="1596" spans="4:4" ht="14.4" hidden="1" x14ac:dyDescent="0.3">
      <c r="D1596" s="19"/>
    </row>
    <row r="1597" spans="4:4" ht="14.4" hidden="1" x14ac:dyDescent="0.3">
      <c r="D1597" s="19"/>
    </row>
    <row r="1598" spans="4:4" ht="14.4" hidden="1" x14ac:dyDescent="0.3">
      <c r="D1598" s="19"/>
    </row>
    <row r="1599" spans="4:4" ht="14.4" hidden="1" x14ac:dyDescent="0.3">
      <c r="D1599" s="19"/>
    </row>
    <row r="1600" spans="4:4" ht="14.4" hidden="1" x14ac:dyDescent="0.3">
      <c r="D1600" s="19"/>
    </row>
    <row r="1601" spans="4:4" ht="14.4" hidden="1" x14ac:dyDescent="0.3">
      <c r="D1601" s="19"/>
    </row>
    <row r="1602" spans="4:4" ht="14.4" hidden="1" x14ac:dyDescent="0.3">
      <c r="D1602" s="19"/>
    </row>
    <row r="1603" spans="4:4" ht="14.4" hidden="1" x14ac:dyDescent="0.3">
      <c r="D1603" s="19"/>
    </row>
    <row r="1604" spans="4:4" ht="14.4" hidden="1" x14ac:dyDescent="0.3">
      <c r="D1604" s="19"/>
    </row>
    <row r="1605" spans="4:4" ht="14.4" hidden="1" x14ac:dyDescent="0.3">
      <c r="D1605" s="19"/>
    </row>
    <row r="1606" spans="4:4" ht="14.4" hidden="1" x14ac:dyDescent="0.3">
      <c r="D1606" s="19"/>
    </row>
    <row r="1607" spans="4:4" ht="14.4" hidden="1" x14ac:dyDescent="0.3">
      <c r="D1607" s="19"/>
    </row>
    <row r="1608" spans="4:4" ht="14.4" hidden="1" x14ac:dyDescent="0.3">
      <c r="D1608" s="19"/>
    </row>
    <row r="1609" spans="4:4" ht="14.4" hidden="1" x14ac:dyDescent="0.3">
      <c r="D1609" s="19"/>
    </row>
    <row r="1610" spans="4:4" ht="14.4" hidden="1" x14ac:dyDescent="0.3">
      <c r="D1610" s="19"/>
    </row>
    <row r="1611" spans="4:4" ht="14.4" hidden="1" x14ac:dyDescent="0.3">
      <c r="D1611" s="19"/>
    </row>
    <row r="1612" spans="4:4" ht="14.4" hidden="1" x14ac:dyDescent="0.3">
      <c r="D1612" s="19"/>
    </row>
    <row r="1613" spans="4:4" ht="14.4" hidden="1" x14ac:dyDescent="0.3">
      <c r="D1613" s="19"/>
    </row>
    <row r="1614" spans="4:4" ht="14.4" hidden="1" x14ac:dyDescent="0.3">
      <c r="D1614" s="19"/>
    </row>
    <row r="1615" spans="4:4" ht="14.4" hidden="1" x14ac:dyDescent="0.3">
      <c r="D1615" s="19"/>
    </row>
    <row r="1616" spans="4:4" ht="14.4" hidden="1" x14ac:dyDescent="0.3">
      <c r="D1616" s="19"/>
    </row>
    <row r="1617" spans="4:4" ht="14.4" hidden="1" x14ac:dyDescent="0.3">
      <c r="D1617" s="19"/>
    </row>
    <row r="1618" spans="4:4" ht="14.4" hidden="1" x14ac:dyDescent="0.3">
      <c r="D1618" s="19"/>
    </row>
    <row r="1619" spans="4:4" ht="14.4" hidden="1" x14ac:dyDescent="0.3">
      <c r="D1619" s="19"/>
    </row>
    <row r="1620" spans="4:4" ht="14.4" hidden="1" x14ac:dyDescent="0.3">
      <c r="D1620" s="19"/>
    </row>
    <row r="1621" spans="4:4" ht="14.4" hidden="1" x14ac:dyDescent="0.3">
      <c r="D1621" s="19"/>
    </row>
    <row r="1622" spans="4:4" ht="14.4" hidden="1" x14ac:dyDescent="0.3">
      <c r="D1622" s="19"/>
    </row>
    <row r="1623" spans="4:4" ht="14.4" hidden="1" x14ac:dyDescent="0.3">
      <c r="D1623" s="19"/>
    </row>
    <row r="1624" spans="4:4" ht="14.4" hidden="1" x14ac:dyDescent="0.3">
      <c r="D1624" s="19"/>
    </row>
    <row r="1625" spans="4:4" ht="14.4" hidden="1" x14ac:dyDescent="0.3">
      <c r="D1625" s="19"/>
    </row>
    <row r="1626" spans="4:4" ht="14.4" hidden="1" x14ac:dyDescent="0.3">
      <c r="D1626" s="19"/>
    </row>
    <row r="1627" spans="4:4" ht="14.4" hidden="1" x14ac:dyDescent="0.3">
      <c r="D1627" s="19"/>
    </row>
    <row r="1628" spans="4:4" ht="14.4" hidden="1" x14ac:dyDescent="0.3">
      <c r="D1628" s="19"/>
    </row>
    <row r="1629" spans="4:4" ht="14.4" hidden="1" x14ac:dyDescent="0.3">
      <c r="D1629" s="19"/>
    </row>
    <row r="1630" spans="4:4" ht="14.4" hidden="1" x14ac:dyDescent="0.3">
      <c r="D1630" s="19"/>
    </row>
    <row r="1631" spans="4:4" ht="14.4" hidden="1" x14ac:dyDescent="0.3">
      <c r="D1631" s="19"/>
    </row>
    <row r="1632" spans="4:4" ht="14.4" hidden="1" x14ac:dyDescent="0.3">
      <c r="D1632" s="19"/>
    </row>
    <row r="1633" spans="4:4" ht="14.4" hidden="1" x14ac:dyDescent="0.3">
      <c r="D1633" s="19"/>
    </row>
    <row r="1634" spans="4:4" ht="14.4" hidden="1" x14ac:dyDescent="0.3">
      <c r="D1634" s="19"/>
    </row>
    <row r="1635" spans="4:4" ht="14.4" hidden="1" x14ac:dyDescent="0.3">
      <c r="D1635" s="19"/>
    </row>
    <row r="1636" spans="4:4" ht="14.4" hidden="1" x14ac:dyDescent="0.3">
      <c r="D1636" s="19"/>
    </row>
    <row r="1637" spans="4:4" ht="14.4" hidden="1" x14ac:dyDescent="0.3">
      <c r="D1637" s="19"/>
    </row>
    <row r="1638" spans="4:4" ht="14.4" hidden="1" x14ac:dyDescent="0.3">
      <c r="D1638" s="19"/>
    </row>
    <row r="1639" spans="4:4" ht="14.4" hidden="1" x14ac:dyDescent="0.3">
      <c r="D1639" s="19"/>
    </row>
    <row r="1640" spans="4:4" ht="14.4" hidden="1" x14ac:dyDescent="0.3">
      <c r="D1640" s="19"/>
    </row>
    <row r="1641" spans="4:4" ht="14.4" hidden="1" x14ac:dyDescent="0.3">
      <c r="D1641" s="19"/>
    </row>
    <row r="1642" spans="4:4" ht="14.4" hidden="1" x14ac:dyDescent="0.3">
      <c r="D1642" s="19"/>
    </row>
    <row r="1643" spans="4:4" ht="14.4" hidden="1" x14ac:dyDescent="0.3">
      <c r="D1643" s="19"/>
    </row>
    <row r="1644" spans="4:4" ht="14.4" hidden="1" x14ac:dyDescent="0.3">
      <c r="D1644" s="19"/>
    </row>
    <row r="1645" spans="4:4" ht="14.4" hidden="1" x14ac:dyDescent="0.3">
      <c r="D1645" s="19"/>
    </row>
    <row r="1646" spans="4:4" ht="14.4" hidden="1" x14ac:dyDescent="0.3">
      <c r="D1646" s="19"/>
    </row>
    <row r="1647" spans="4:4" ht="14.4" hidden="1" x14ac:dyDescent="0.3">
      <c r="D1647" s="19"/>
    </row>
    <row r="1648" spans="4:4" ht="14.4" hidden="1" x14ac:dyDescent="0.3">
      <c r="D1648" s="19"/>
    </row>
    <row r="1649" spans="4:4" ht="14.4" hidden="1" x14ac:dyDescent="0.3">
      <c r="D1649" s="19"/>
    </row>
    <row r="1650" spans="4:4" ht="14.4" hidden="1" x14ac:dyDescent="0.3">
      <c r="D1650" s="19"/>
    </row>
    <row r="1651" spans="4:4" ht="14.4" hidden="1" x14ac:dyDescent="0.3">
      <c r="D1651" s="19"/>
    </row>
    <row r="1652" spans="4:4" ht="14.4" hidden="1" x14ac:dyDescent="0.3">
      <c r="D1652" s="19"/>
    </row>
    <row r="1653" spans="4:4" ht="14.4" hidden="1" x14ac:dyDescent="0.3">
      <c r="D1653" s="19"/>
    </row>
    <row r="1654" spans="4:4" ht="14.4" hidden="1" x14ac:dyDescent="0.3">
      <c r="D1654" s="19"/>
    </row>
    <row r="1655" spans="4:4" ht="14.4" hidden="1" x14ac:dyDescent="0.3">
      <c r="D1655" s="19"/>
    </row>
    <row r="1656" spans="4:4" ht="14.4" hidden="1" x14ac:dyDescent="0.3">
      <c r="D1656" s="19"/>
    </row>
    <row r="1657" spans="4:4" ht="14.4" hidden="1" x14ac:dyDescent="0.3">
      <c r="D1657" s="19"/>
    </row>
    <row r="1658" spans="4:4" ht="14.4" hidden="1" x14ac:dyDescent="0.3">
      <c r="D1658" s="19"/>
    </row>
    <row r="1659" spans="4:4" ht="14.4" hidden="1" x14ac:dyDescent="0.3">
      <c r="D1659" s="19"/>
    </row>
    <row r="1660" spans="4:4" ht="14.4" hidden="1" x14ac:dyDescent="0.3">
      <c r="D1660" s="19"/>
    </row>
    <row r="1661" spans="4:4" ht="14.4" hidden="1" x14ac:dyDescent="0.3">
      <c r="D1661" s="19"/>
    </row>
    <row r="1662" spans="4:4" ht="14.4" hidden="1" x14ac:dyDescent="0.3">
      <c r="D1662" s="19"/>
    </row>
    <row r="1663" spans="4:4" ht="14.4" hidden="1" x14ac:dyDescent="0.3">
      <c r="D1663" s="19"/>
    </row>
    <row r="1664" spans="4:4" ht="14.4" hidden="1" x14ac:dyDescent="0.3">
      <c r="D1664" s="19"/>
    </row>
    <row r="1665" spans="4:4" ht="14.4" hidden="1" x14ac:dyDescent="0.3">
      <c r="D1665" s="19"/>
    </row>
    <row r="1666" spans="4:4" ht="14.4" hidden="1" x14ac:dyDescent="0.3">
      <c r="D1666" s="19"/>
    </row>
    <row r="1667" spans="4:4" ht="14.4" hidden="1" x14ac:dyDescent="0.3">
      <c r="D1667" s="19"/>
    </row>
    <row r="1668" spans="4:4" ht="14.4" hidden="1" x14ac:dyDescent="0.3">
      <c r="D1668" s="19"/>
    </row>
    <row r="1669" spans="4:4" ht="14.4" hidden="1" x14ac:dyDescent="0.3">
      <c r="D1669" s="19"/>
    </row>
    <row r="1670" spans="4:4" ht="14.4" hidden="1" x14ac:dyDescent="0.3">
      <c r="D1670" s="19"/>
    </row>
    <row r="1671" spans="4:4" ht="14.4" hidden="1" x14ac:dyDescent="0.3">
      <c r="D1671" s="19"/>
    </row>
    <row r="1672" spans="4:4" ht="14.4" hidden="1" x14ac:dyDescent="0.3">
      <c r="D1672" s="19"/>
    </row>
    <row r="1673" spans="4:4" ht="14.4" hidden="1" x14ac:dyDescent="0.3">
      <c r="D1673" s="19"/>
    </row>
    <row r="1674" spans="4:4" ht="14.4" hidden="1" x14ac:dyDescent="0.3">
      <c r="D1674" s="19"/>
    </row>
    <row r="1675" spans="4:4" ht="14.4" hidden="1" x14ac:dyDescent="0.3">
      <c r="D1675" s="19"/>
    </row>
    <row r="1676" spans="4:4" ht="14.4" hidden="1" x14ac:dyDescent="0.3">
      <c r="D1676" s="19"/>
    </row>
    <row r="1677" spans="4:4" ht="14.4" hidden="1" x14ac:dyDescent="0.3">
      <c r="D1677" s="19"/>
    </row>
    <row r="1678" spans="4:4" ht="14.4" hidden="1" x14ac:dyDescent="0.3">
      <c r="D1678" s="19"/>
    </row>
    <row r="1679" spans="4:4" ht="14.4" hidden="1" x14ac:dyDescent="0.3">
      <c r="D1679" s="19"/>
    </row>
    <row r="1680" spans="4:4" ht="14.4" hidden="1" x14ac:dyDescent="0.3">
      <c r="D1680" s="19"/>
    </row>
    <row r="1681" spans="4:4" ht="14.4" hidden="1" x14ac:dyDescent="0.3">
      <c r="D1681" s="19"/>
    </row>
    <row r="1682" spans="4:4" ht="14.4" hidden="1" x14ac:dyDescent="0.3">
      <c r="D1682" s="19"/>
    </row>
    <row r="1683" spans="4:4" ht="14.4" hidden="1" x14ac:dyDescent="0.3">
      <c r="D1683" s="19"/>
    </row>
    <row r="1684" spans="4:4" ht="14.4" hidden="1" x14ac:dyDescent="0.3">
      <c r="D1684" s="19"/>
    </row>
    <row r="1685" spans="4:4" ht="14.4" hidden="1" x14ac:dyDescent="0.3">
      <c r="D1685" s="19"/>
    </row>
    <row r="1686" spans="4:4" ht="14.4" hidden="1" x14ac:dyDescent="0.3">
      <c r="D1686" s="19"/>
    </row>
    <row r="1687" spans="4:4" ht="14.4" hidden="1" x14ac:dyDescent="0.3">
      <c r="D1687" s="19"/>
    </row>
    <row r="1688" spans="4:4" ht="14.4" hidden="1" x14ac:dyDescent="0.3">
      <c r="D1688" s="19"/>
    </row>
    <row r="1689" spans="4:4" ht="14.4" hidden="1" x14ac:dyDescent="0.3">
      <c r="D1689" s="19"/>
    </row>
    <row r="1690" spans="4:4" ht="14.4" hidden="1" x14ac:dyDescent="0.3">
      <c r="D1690" s="19"/>
    </row>
    <row r="1691" spans="4:4" ht="14.4" hidden="1" x14ac:dyDescent="0.3">
      <c r="D1691" s="19"/>
    </row>
    <row r="1692" spans="4:4" ht="14.4" hidden="1" x14ac:dyDescent="0.3">
      <c r="D1692" s="19"/>
    </row>
    <row r="1693" spans="4:4" ht="14.4" hidden="1" x14ac:dyDescent="0.3">
      <c r="D1693" s="19"/>
    </row>
    <row r="1694" spans="4:4" ht="14.4" hidden="1" x14ac:dyDescent="0.3">
      <c r="D1694" s="19"/>
    </row>
    <row r="1695" spans="4:4" ht="14.4" hidden="1" x14ac:dyDescent="0.3">
      <c r="D1695" s="19"/>
    </row>
    <row r="1696" spans="4:4" ht="14.4" hidden="1" x14ac:dyDescent="0.3">
      <c r="D1696" s="19"/>
    </row>
    <row r="1697" spans="4:4" ht="14.4" hidden="1" x14ac:dyDescent="0.3">
      <c r="D1697" s="19"/>
    </row>
    <row r="1698" spans="4:4" ht="14.4" hidden="1" x14ac:dyDescent="0.3">
      <c r="D1698" s="19"/>
    </row>
    <row r="1699" spans="4:4" ht="14.4" hidden="1" x14ac:dyDescent="0.3">
      <c r="D1699" s="19"/>
    </row>
    <row r="1700" spans="4:4" ht="14.4" hidden="1" x14ac:dyDescent="0.3">
      <c r="D1700" s="19"/>
    </row>
    <row r="1701" spans="4:4" ht="14.4" hidden="1" x14ac:dyDescent="0.3">
      <c r="D1701" s="19"/>
    </row>
    <row r="1702" spans="4:4" ht="14.4" hidden="1" x14ac:dyDescent="0.3">
      <c r="D1702" s="19"/>
    </row>
    <row r="1703" spans="4:4" ht="14.4" hidden="1" x14ac:dyDescent="0.3">
      <c r="D1703" s="19"/>
    </row>
    <row r="1704" spans="4:4" ht="14.4" hidden="1" x14ac:dyDescent="0.3">
      <c r="D1704" s="19"/>
    </row>
    <row r="1705" spans="4:4" ht="14.4" hidden="1" x14ac:dyDescent="0.3">
      <c r="D1705" s="19"/>
    </row>
    <row r="1706" spans="4:4" ht="14.4" hidden="1" x14ac:dyDescent="0.3">
      <c r="D1706" s="19"/>
    </row>
    <row r="1707" spans="4:4" ht="14.4" hidden="1" x14ac:dyDescent="0.3">
      <c r="D1707" s="19"/>
    </row>
    <row r="1708" spans="4:4" ht="14.4" hidden="1" x14ac:dyDescent="0.3">
      <c r="D1708" s="19"/>
    </row>
    <row r="1709" spans="4:4" ht="14.4" hidden="1" x14ac:dyDescent="0.3">
      <c r="D1709" s="19"/>
    </row>
    <row r="1710" spans="4:4" ht="14.4" hidden="1" x14ac:dyDescent="0.3">
      <c r="D1710" s="19"/>
    </row>
    <row r="1711" spans="4:4" ht="14.4" hidden="1" x14ac:dyDescent="0.3">
      <c r="D1711" s="19"/>
    </row>
    <row r="1712" spans="4:4" ht="14.4" hidden="1" x14ac:dyDescent="0.3">
      <c r="D1712" s="19"/>
    </row>
    <row r="1713" spans="4:4" ht="14.4" hidden="1" x14ac:dyDescent="0.3">
      <c r="D1713" s="19"/>
    </row>
    <row r="1714" spans="4:4" ht="14.4" hidden="1" x14ac:dyDescent="0.3">
      <c r="D1714" s="19"/>
    </row>
    <row r="1715" spans="4:4" ht="14.4" hidden="1" x14ac:dyDescent="0.3">
      <c r="D1715" s="19"/>
    </row>
    <row r="1716" spans="4:4" ht="14.4" hidden="1" x14ac:dyDescent="0.3">
      <c r="D1716" s="19"/>
    </row>
    <row r="1717" spans="4:4" ht="14.4" hidden="1" x14ac:dyDescent="0.3">
      <c r="D1717" s="19"/>
    </row>
    <row r="1718" spans="4:4" ht="14.4" hidden="1" x14ac:dyDescent="0.3">
      <c r="D1718" s="19"/>
    </row>
    <row r="1719" spans="4:4" ht="14.4" hidden="1" x14ac:dyDescent="0.3">
      <c r="D1719" s="19"/>
    </row>
    <row r="1720" spans="4:4" ht="14.4" hidden="1" x14ac:dyDescent="0.3">
      <c r="D1720" s="19"/>
    </row>
    <row r="1721" spans="4:4" ht="14.4" hidden="1" x14ac:dyDescent="0.3">
      <c r="D1721" s="19"/>
    </row>
    <row r="1722" spans="4:4" ht="14.4" hidden="1" x14ac:dyDescent="0.3">
      <c r="D1722" s="19"/>
    </row>
    <row r="1723" spans="4:4" ht="14.4" hidden="1" x14ac:dyDescent="0.3">
      <c r="D1723" s="19"/>
    </row>
    <row r="1724" spans="4:4" ht="14.4" hidden="1" x14ac:dyDescent="0.3">
      <c r="D1724" s="19"/>
    </row>
    <row r="1725" spans="4:4" ht="14.4" hidden="1" x14ac:dyDescent="0.3">
      <c r="D1725" s="19"/>
    </row>
    <row r="1726" spans="4:4" ht="14.4" hidden="1" x14ac:dyDescent="0.3">
      <c r="D1726" s="19"/>
    </row>
    <row r="1727" spans="4:4" ht="14.4" hidden="1" x14ac:dyDescent="0.3">
      <c r="D1727" s="19"/>
    </row>
    <row r="1728" spans="4:4" ht="14.4" hidden="1" x14ac:dyDescent="0.3">
      <c r="D1728" s="19"/>
    </row>
    <row r="1729" spans="4:4" ht="14.4" hidden="1" x14ac:dyDescent="0.3">
      <c r="D1729" s="19"/>
    </row>
    <row r="1730" spans="4:4" ht="14.4" hidden="1" x14ac:dyDescent="0.3">
      <c r="D1730" s="19"/>
    </row>
    <row r="1731" spans="4:4" ht="14.4" hidden="1" x14ac:dyDescent="0.3">
      <c r="D1731" s="19"/>
    </row>
    <row r="1732" spans="4:4" ht="14.4" hidden="1" x14ac:dyDescent="0.3">
      <c r="D1732" s="19"/>
    </row>
    <row r="1733" spans="4:4" ht="14.4" hidden="1" x14ac:dyDescent="0.3">
      <c r="D1733" s="19"/>
    </row>
    <row r="1734" spans="4:4" ht="14.4" hidden="1" x14ac:dyDescent="0.3">
      <c r="D1734" s="19"/>
    </row>
    <row r="1735" spans="4:4" ht="14.4" hidden="1" x14ac:dyDescent="0.3">
      <c r="D1735" s="19"/>
    </row>
    <row r="1736" spans="4:4" ht="14.4" hidden="1" x14ac:dyDescent="0.3">
      <c r="D1736" s="19"/>
    </row>
    <row r="1737" spans="4:4" ht="14.4" hidden="1" x14ac:dyDescent="0.3">
      <c r="D1737" s="19"/>
    </row>
    <row r="1738" spans="4:4" ht="14.4" hidden="1" x14ac:dyDescent="0.3">
      <c r="D1738" s="19"/>
    </row>
    <row r="1739" spans="4:4" ht="14.4" hidden="1" x14ac:dyDescent="0.3">
      <c r="D1739" s="19"/>
    </row>
    <row r="1740" spans="4:4" ht="14.4" hidden="1" x14ac:dyDescent="0.3">
      <c r="D1740" s="19"/>
    </row>
    <row r="1741" spans="4:4" ht="14.4" hidden="1" x14ac:dyDescent="0.3">
      <c r="D1741" s="19"/>
    </row>
    <row r="1742" spans="4:4" ht="14.4" hidden="1" x14ac:dyDescent="0.3">
      <c r="D1742" s="19"/>
    </row>
    <row r="1743" spans="4:4" ht="14.4" hidden="1" x14ac:dyDescent="0.3">
      <c r="D1743" s="19"/>
    </row>
    <row r="1744" spans="4:4" ht="14.4" hidden="1" x14ac:dyDescent="0.3">
      <c r="D1744" s="19"/>
    </row>
    <row r="1745" spans="4:4" ht="14.4" hidden="1" x14ac:dyDescent="0.3">
      <c r="D1745" s="19"/>
    </row>
    <row r="1746" spans="4:4" ht="14.4" hidden="1" x14ac:dyDescent="0.3">
      <c r="D1746" s="19"/>
    </row>
    <row r="1747" spans="4:4" ht="14.4" hidden="1" x14ac:dyDescent="0.3">
      <c r="D1747" s="19"/>
    </row>
    <row r="1748" spans="4:4" ht="14.4" hidden="1" x14ac:dyDescent="0.3">
      <c r="D1748" s="19"/>
    </row>
    <row r="1749" spans="4:4" ht="14.4" hidden="1" x14ac:dyDescent="0.3">
      <c r="D1749" s="19"/>
    </row>
    <row r="1750" spans="4:4" ht="14.4" hidden="1" x14ac:dyDescent="0.3">
      <c r="D1750" s="19"/>
    </row>
    <row r="1751" spans="4:4" ht="14.4" hidden="1" x14ac:dyDescent="0.3">
      <c r="D1751" s="19"/>
    </row>
    <row r="1752" spans="4:4" ht="14.4" hidden="1" x14ac:dyDescent="0.3">
      <c r="D1752" s="19"/>
    </row>
    <row r="1753" spans="4:4" ht="14.4" hidden="1" x14ac:dyDescent="0.3">
      <c r="D1753" s="19"/>
    </row>
    <row r="1754" spans="4:4" ht="14.4" hidden="1" x14ac:dyDescent="0.3">
      <c r="D1754" s="19"/>
    </row>
    <row r="1755" spans="4:4" ht="14.4" hidden="1" x14ac:dyDescent="0.3">
      <c r="D1755" s="19"/>
    </row>
    <row r="1756" spans="4:4" ht="14.4" hidden="1" x14ac:dyDescent="0.3">
      <c r="D1756" s="19"/>
    </row>
    <row r="1757" spans="4:4" ht="14.4" hidden="1" x14ac:dyDescent="0.3">
      <c r="D1757" s="19"/>
    </row>
    <row r="1758" spans="4:4" ht="14.4" hidden="1" x14ac:dyDescent="0.3">
      <c r="D1758" s="19"/>
    </row>
    <row r="1759" spans="4:4" ht="14.4" hidden="1" x14ac:dyDescent="0.3">
      <c r="D1759" s="19"/>
    </row>
    <row r="1760" spans="4:4" ht="14.4" hidden="1" x14ac:dyDescent="0.3">
      <c r="D1760" s="19"/>
    </row>
    <row r="1761" spans="4:4" ht="14.4" hidden="1" x14ac:dyDescent="0.3">
      <c r="D1761" s="19"/>
    </row>
    <row r="1762" spans="4:4" ht="14.4" hidden="1" x14ac:dyDescent="0.3">
      <c r="D1762" s="19"/>
    </row>
    <row r="1763" spans="4:4" ht="14.4" hidden="1" x14ac:dyDescent="0.3">
      <c r="D1763" s="19"/>
    </row>
    <row r="1764" spans="4:4" ht="14.4" hidden="1" x14ac:dyDescent="0.3">
      <c r="D1764" s="19"/>
    </row>
    <row r="1765" spans="4:4" ht="14.4" hidden="1" x14ac:dyDescent="0.3">
      <c r="D1765" s="19"/>
    </row>
    <row r="1766" spans="4:4" ht="14.4" hidden="1" x14ac:dyDescent="0.3">
      <c r="D1766" s="19"/>
    </row>
    <row r="1767" spans="4:4" ht="14.4" hidden="1" x14ac:dyDescent="0.3">
      <c r="D1767" s="19"/>
    </row>
    <row r="1768" spans="4:4" ht="14.4" hidden="1" x14ac:dyDescent="0.3">
      <c r="D1768" s="19"/>
    </row>
    <row r="1769" spans="4:4" ht="14.4" hidden="1" x14ac:dyDescent="0.3">
      <c r="D1769" s="19"/>
    </row>
    <row r="1770" spans="4:4" ht="14.4" hidden="1" x14ac:dyDescent="0.3">
      <c r="D1770" s="19"/>
    </row>
    <row r="1771" spans="4:4" ht="14.4" hidden="1" x14ac:dyDescent="0.3">
      <c r="D1771" s="19"/>
    </row>
    <row r="1772" spans="4:4" ht="14.4" hidden="1" x14ac:dyDescent="0.3">
      <c r="D1772" s="19"/>
    </row>
    <row r="1773" spans="4:4" ht="14.4" hidden="1" x14ac:dyDescent="0.3">
      <c r="D1773" s="19"/>
    </row>
    <row r="1774" spans="4:4" ht="14.4" hidden="1" x14ac:dyDescent="0.3">
      <c r="D1774" s="19"/>
    </row>
    <row r="1775" spans="4:4" ht="14.4" hidden="1" x14ac:dyDescent="0.3">
      <c r="D1775" s="19"/>
    </row>
    <row r="1776" spans="4:4" ht="14.4" hidden="1" x14ac:dyDescent="0.3">
      <c r="D1776" s="19"/>
    </row>
    <row r="1777" spans="4:4" ht="14.4" hidden="1" x14ac:dyDescent="0.3">
      <c r="D1777" s="19"/>
    </row>
    <row r="1778" spans="4:4" ht="14.4" hidden="1" x14ac:dyDescent="0.3">
      <c r="D1778" s="19"/>
    </row>
    <row r="1779" spans="4:4" ht="14.4" hidden="1" x14ac:dyDescent="0.3">
      <c r="D1779" s="19"/>
    </row>
    <row r="1780" spans="4:4" ht="14.4" hidden="1" x14ac:dyDescent="0.3">
      <c r="D1780" s="19"/>
    </row>
    <row r="1781" spans="4:4" ht="14.4" hidden="1" x14ac:dyDescent="0.3">
      <c r="D1781" s="19"/>
    </row>
    <row r="1782" spans="4:4" ht="14.4" hidden="1" x14ac:dyDescent="0.3">
      <c r="D1782" s="19"/>
    </row>
    <row r="1783" spans="4:4" ht="14.4" hidden="1" x14ac:dyDescent="0.3">
      <c r="D1783" s="19"/>
    </row>
    <row r="1784" spans="4:4" ht="14.4" hidden="1" x14ac:dyDescent="0.3">
      <c r="D1784" s="19"/>
    </row>
    <row r="1785" spans="4:4" ht="14.4" hidden="1" x14ac:dyDescent="0.3">
      <c r="D1785" s="19"/>
    </row>
    <row r="1786" spans="4:4" ht="14.4" hidden="1" x14ac:dyDescent="0.3">
      <c r="D1786" s="19"/>
    </row>
    <row r="1787" spans="4:4" ht="14.4" hidden="1" x14ac:dyDescent="0.3">
      <c r="D1787" s="19"/>
    </row>
    <row r="1788" spans="4:4" ht="14.4" hidden="1" x14ac:dyDescent="0.3">
      <c r="D1788" s="19"/>
    </row>
    <row r="1789" spans="4:4" ht="14.4" hidden="1" x14ac:dyDescent="0.3">
      <c r="D1789" s="19"/>
    </row>
    <row r="1790" spans="4:4" ht="14.4" hidden="1" x14ac:dyDescent="0.3">
      <c r="D1790" s="19"/>
    </row>
    <row r="1791" spans="4:4" ht="14.4" hidden="1" x14ac:dyDescent="0.3">
      <c r="D1791" s="19"/>
    </row>
    <row r="1792" spans="4:4" ht="14.4" hidden="1" x14ac:dyDescent="0.3">
      <c r="D1792" s="19"/>
    </row>
    <row r="1793" spans="4:4" ht="14.4" hidden="1" x14ac:dyDescent="0.3">
      <c r="D1793" s="19"/>
    </row>
    <row r="1794" spans="4:4" ht="14.4" hidden="1" x14ac:dyDescent="0.3">
      <c r="D1794" s="19"/>
    </row>
    <row r="1795" spans="4:4" ht="14.4" hidden="1" x14ac:dyDescent="0.3">
      <c r="D1795" s="19"/>
    </row>
    <row r="1796" spans="4:4" ht="14.4" hidden="1" x14ac:dyDescent="0.3">
      <c r="D1796" s="19"/>
    </row>
    <row r="1797" spans="4:4" ht="14.4" hidden="1" x14ac:dyDescent="0.3">
      <c r="D1797" s="19"/>
    </row>
    <row r="1798" spans="4:4" ht="14.4" hidden="1" x14ac:dyDescent="0.3">
      <c r="D1798" s="19"/>
    </row>
    <row r="1799" spans="4:4" ht="14.4" hidden="1" x14ac:dyDescent="0.3">
      <c r="D1799" s="19"/>
    </row>
    <row r="1800" spans="4:4" ht="14.4" hidden="1" x14ac:dyDescent="0.3">
      <c r="D1800" s="19"/>
    </row>
    <row r="1801" spans="4:4" ht="14.4" hidden="1" x14ac:dyDescent="0.3">
      <c r="D1801" s="19"/>
    </row>
    <row r="1802" spans="4:4" ht="14.4" hidden="1" x14ac:dyDescent="0.3">
      <c r="D1802" s="19"/>
    </row>
    <row r="1803" spans="4:4" ht="14.4" hidden="1" x14ac:dyDescent="0.3">
      <c r="D1803" s="19"/>
    </row>
    <row r="1804" spans="4:4" ht="14.4" hidden="1" x14ac:dyDescent="0.3">
      <c r="D1804" s="19"/>
    </row>
    <row r="1805" spans="4:4" ht="14.4" hidden="1" x14ac:dyDescent="0.3">
      <c r="D1805" s="19"/>
    </row>
    <row r="1806" spans="4:4" ht="14.4" hidden="1" x14ac:dyDescent="0.3">
      <c r="D1806" s="19"/>
    </row>
    <row r="1807" spans="4:4" ht="14.4" hidden="1" x14ac:dyDescent="0.3">
      <c r="D1807" s="19"/>
    </row>
    <row r="1808" spans="4:4" ht="14.4" hidden="1" x14ac:dyDescent="0.3">
      <c r="D1808" s="19"/>
    </row>
    <row r="1809" spans="4:4" ht="14.4" hidden="1" x14ac:dyDescent="0.3">
      <c r="D1809" s="19"/>
    </row>
    <row r="1810" spans="4:4" ht="14.4" hidden="1" x14ac:dyDescent="0.3">
      <c r="D1810" s="19"/>
    </row>
    <row r="1811" spans="4:4" ht="14.4" hidden="1" x14ac:dyDescent="0.3">
      <c r="D1811" s="19"/>
    </row>
    <row r="1812" spans="4:4" ht="14.4" hidden="1" x14ac:dyDescent="0.3">
      <c r="D1812" s="19"/>
    </row>
    <row r="1813" spans="4:4" ht="14.4" hidden="1" x14ac:dyDescent="0.3">
      <c r="D1813" s="19"/>
    </row>
    <row r="1814" spans="4:4" ht="14.4" hidden="1" x14ac:dyDescent="0.3">
      <c r="D1814" s="19"/>
    </row>
    <row r="1815" spans="4:4" ht="14.4" hidden="1" x14ac:dyDescent="0.3">
      <c r="D1815" s="19"/>
    </row>
    <row r="1816" spans="4:4" ht="14.4" hidden="1" x14ac:dyDescent="0.3">
      <c r="D1816" s="19"/>
    </row>
    <row r="1817" spans="4:4" ht="14.4" hidden="1" x14ac:dyDescent="0.3">
      <c r="D1817" s="19"/>
    </row>
    <row r="1818" spans="4:4" ht="14.4" hidden="1" x14ac:dyDescent="0.3">
      <c r="D1818" s="19"/>
    </row>
    <row r="1819" spans="4:4" ht="14.4" hidden="1" x14ac:dyDescent="0.3">
      <c r="D1819" s="19"/>
    </row>
    <row r="1820" spans="4:4" ht="14.4" hidden="1" x14ac:dyDescent="0.3">
      <c r="D1820" s="19"/>
    </row>
    <row r="1821" spans="4:4" ht="14.4" hidden="1" x14ac:dyDescent="0.3">
      <c r="D1821" s="19"/>
    </row>
    <row r="1822" spans="4:4" ht="14.4" hidden="1" x14ac:dyDescent="0.3">
      <c r="D1822" s="19"/>
    </row>
    <row r="1823" spans="4:4" ht="14.4" hidden="1" x14ac:dyDescent="0.3">
      <c r="D1823" s="19"/>
    </row>
    <row r="1824" spans="4:4" ht="14.4" hidden="1" x14ac:dyDescent="0.3">
      <c r="D1824" s="19"/>
    </row>
    <row r="1825" spans="4:4" ht="14.4" hidden="1" x14ac:dyDescent="0.3">
      <c r="D1825" s="19"/>
    </row>
    <row r="1826" spans="4:4" ht="14.4" hidden="1" x14ac:dyDescent="0.3">
      <c r="D1826" s="19"/>
    </row>
    <row r="1827" spans="4:4" ht="14.4" hidden="1" x14ac:dyDescent="0.3">
      <c r="D1827" s="19"/>
    </row>
    <row r="1828" spans="4:4" ht="14.4" hidden="1" x14ac:dyDescent="0.3">
      <c r="D1828" s="19"/>
    </row>
    <row r="1829" spans="4:4" ht="14.4" hidden="1" x14ac:dyDescent="0.3">
      <c r="D1829" s="19"/>
    </row>
    <row r="1830" spans="4:4" ht="14.4" hidden="1" x14ac:dyDescent="0.3">
      <c r="D1830" s="19"/>
    </row>
    <row r="1831" spans="4:4" ht="14.4" hidden="1" x14ac:dyDescent="0.3">
      <c r="D1831" s="19"/>
    </row>
    <row r="1832" spans="4:4" ht="14.4" hidden="1" x14ac:dyDescent="0.3">
      <c r="D1832" s="19"/>
    </row>
    <row r="1833" spans="4:4" ht="14.4" hidden="1" x14ac:dyDescent="0.3">
      <c r="D1833" s="19"/>
    </row>
    <row r="1834" spans="4:4" ht="14.4" hidden="1" x14ac:dyDescent="0.3">
      <c r="D1834" s="19"/>
    </row>
    <row r="1835" spans="4:4" ht="14.4" hidden="1" x14ac:dyDescent="0.3">
      <c r="D1835" s="19"/>
    </row>
    <row r="1836" spans="4:4" ht="14.4" hidden="1" x14ac:dyDescent="0.3">
      <c r="D1836" s="19"/>
    </row>
    <row r="1837" spans="4:4" ht="14.4" hidden="1" x14ac:dyDescent="0.3">
      <c r="D1837" s="19"/>
    </row>
    <row r="1838" spans="4:4" ht="14.4" hidden="1" x14ac:dyDescent="0.3">
      <c r="D1838" s="19"/>
    </row>
    <row r="1839" spans="4:4" ht="14.4" hidden="1" x14ac:dyDescent="0.3">
      <c r="D1839" s="19"/>
    </row>
    <row r="1840" spans="4:4" ht="14.4" hidden="1" x14ac:dyDescent="0.3">
      <c r="D1840" s="19"/>
    </row>
    <row r="1841" spans="4:4" ht="14.4" hidden="1" x14ac:dyDescent="0.3">
      <c r="D1841" s="19"/>
    </row>
    <row r="1842" spans="4:4" ht="14.4" hidden="1" x14ac:dyDescent="0.3">
      <c r="D1842" s="19"/>
    </row>
    <row r="1843" spans="4:4" ht="14.4" hidden="1" x14ac:dyDescent="0.3">
      <c r="D1843" s="19"/>
    </row>
    <row r="1844" spans="4:4" ht="14.4" hidden="1" x14ac:dyDescent="0.3">
      <c r="D1844" s="19"/>
    </row>
    <row r="1845" spans="4:4" ht="14.4" hidden="1" x14ac:dyDescent="0.3">
      <c r="D1845" s="19"/>
    </row>
    <row r="1846" spans="4:4" ht="14.4" hidden="1" x14ac:dyDescent="0.3">
      <c r="D1846" s="19"/>
    </row>
    <row r="1847" spans="4:4" ht="14.4" hidden="1" x14ac:dyDescent="0.3">
      <c r="D1847" s="19"/>
    </row>
    <row r="1848" spans="4:4" ht="14.4" hidden="1" x14ac:dyDescent="0.3">
      <c r="D1848" s="19"/>
    </row>
    <row r="1849" spans="4:4" ht="14.4" hidden="1" x14ac:dyDescent="0.3">
      <c r="D1849" s="19"/>
    </row>
    <row r="1850" spans="4:4" ht="14.4" hidden="1" x14ac:dyDescent="0.3">
      <c r="D1850" s="19"/>
    </row>
    <row r="1851" spans="4:4" ht="14.4" hidden="1" x14ac:dyDescent="0.3">
      <c r="D1851" s="19"/>
    </row>
    <row r="1852" spans="4:4" ht="14.4" hidden="1" x14ac:dyDescent="0.3">
      <c r="D1852" s="19"/>
    </row>
    <row r="1853" spans="4:4" ht="14.4" hidden="1" x14ac:dyDescent="0.3">
      <c r="D1853" s="19"/>
    </row>
    <row r="1854" spans="4:4" ht="14.4" hidden="1" x14ac:dyDescent="0.3">
      <c r="D1854" s="19"/>
    </row>
    <row r="1855" spans="4:4" ht="14.4" hidden="1" x14ac:dyDescent="0.3">
      <c r="D1855" s="19"/>
    </row>
    <row r="1856" spans="4:4" ht="14.4" hidden="1" x14ac:dyDescent="0.3">
      <c r="D1856" s="19"/>
    </row>
    <row r="1857" spans="4:4" ht="14.4" hidden="1" x14ac:dyDescent="0.3">
      <c r="D1857" s="19"/>
    </row>
    <row r="1858" spans="4:4" ht="14.4" hidden="1" x14ac:dyDescent="0.3">
      <c r="D1858" s="19"/>
    </row>
    <row r="1859" spans="4:4" ht="14.4" hidden="1" x14ac:dyDescent="0.3">
      <c r="D1859" s="19"/>
    </row>
    <row r="1860" spans="4:4" ht="14.4" hidden="1" x14ac:dyDescent="0.3">
      <c r="D1860" s="19"/>
    </row>
    <row r="1861" spans="4:4" ht="14.4" hidden="1" x14ac:dyDescent="0.3">
      <c r="D1861" s="19"/>
    </row>
    <row r="1862" spans="4:4" ht="14.4" hidden="1" x14ac:dyDescent="0.3">
      <c r="D1862" s="19"/>
    </row>
    <row r="1863" spans="4:4" ht="14.4" hidden="1" x14ac:dyDescent="0.3">
      <c r="D1863" s="19"/>
    </row>
    <row r="1864" spans="4:4" ht="14.4" hidden="1" x14ac:dyDescent="0.3">
      <c r="D1864" s="19"/>
    </row>
    <row r="1865" spans="4:4" ht="14.4" hidden="1" x14ac:dyDescent="0.3">
      <c r="D1865" s="19"/>
    </row>
    <row r="1866" spans="4:4" ht="14.4" hidden="1" x14ac:dyDescent="0.3">
      <c r="D1866" s="19"/>
    </row>
    <row r="1867" spans="4:4" ht="14.4" hidden="1" x14ac:dyDescent="0.3">
      <c r="D1867" s="19"/>
    </row>
    <row r="1868" spans="4:4" ht="14.4" hidden="1" x14ac:dyDescent="0.3">
      <c r="D1868" s="19"/>
    </row>
    <row r="1869" spans="4:4" ht="14.4" hidden="1" x14ac:dyDescent="0.3">
      <c r="D1869" s="19"/>
    </row>
    <row r="1870" spans="4:4" ht="14.4" hidden="1" x14ac:dyDescent="0.3">
      <c r="D1870" s="19"/>
    </row>
    <row r="1871" spans="4:4" ht="14.4" hidden="1" x14ac:dyDescent="0.3">
      <c r="D1871" s="19"/>
    </row>
    <row r="1872" spans="4:4" ht="14.4" hidden="1" x14ac:dyDescent="0.3">
      <c r="D1872" s="19"/>
    </row>
    <row r="1873" spans="4:4" ht="14.4" hidden="1" x14ac:dyDescent="0.3">
      <c r="D1873" s="19"/>
    </row>
    <row r="1874" spans="4:4" ht="14.4" hidden="1" x14ac:dyDescent="0.3">
      <c r="D1874" s="19"/>
    </row>
    <row r="1875" spans="4:4" ht="14.4" hidden="1" x14ac:dyDescent="0.3">
      <c r="D1875" s="19"/>
    </row>
    <row r="1876" spans="4:4" ht="14.4" hidden="1" x14ac:dyDescent="0.3">
      <c r="D1876" s="19"/>
    </row>
    <row r="1877" spans="4:4" ht="14.4" hidden="1" x14ac:dyDescent="0.3">
      <c r="D1877" s="19"/>
    </row>
    <row r="1878" spans="4:4" ht="14.4" hidden="1" x14ac:dyDescent="0.3">
      <c r="D1878" s="19"/>
    </row>
    <row r="1879" spans="4:4" ht="14.4" hidden="1" x14ac:dyDescent="0.3">
      <c r="D1879" s="19"/>
    </row>
    <row r="1880" spans="4:4" ht="14.4" hidden="1" x14ac:dyDescent="0.3">
      <c r="D1880" s="19"/>
    </row>
    <row r="1881" spans="4:4" ht="14.4" hidden="1" x14ac:dyDescent="0.3">
      <c r="D1881" s="19"/>
    </row>
    <row r="1882" spans="4:4" ht="14.4" hidden="1" x14ac:dyDescent="0.3">
      <c r="D1882" s="19"/>
    </row>
    <row r="1883" spans="4:4" ht="14.4" hidden="1" x14ac:dyDescent="0.3">
      <c r="D1883" s="19"/>
    </row>
    <row r="1884" spans="4:4" ht="14.4" hidden="1" x14ac:dyDescent="0.3">
      <c r="D1884" s="19"/>
    </row>
    <row r="1885" spans="4:4" ht="14.4" hidden="1" x14ac:dyDescent="0.3">
      <c r="D1885" s="19"/>
    </row>
    <row r="1886" spans="4:4" ht="14.4" hidden="1" x14ac:dyDescent="0.3">
      <c r="D1886" s="19"/>
    </row>
    <row r="1887" spans="4:4" ht="14.4" hidden="1" x14ac:dyDescent="0.3">
      <c r="D1887" s="19"/>
    </row>
    <row r="1888" spans="4:4" ht="14.4" hidden="1" x14ac:dyDescent="0.3">
      <c r="D1888" s="19"/>
    </row>
    <row r="1889" spans="4:4" ht="14.4" hidden="1" x14ac:dyDescent="0.3">
      <c r="D1889" s="19"/>
    </row>
    <row r="1890" spans="4:4" ht="14.4" hidden="1" x14ac:dyDescent="0.3">
      <c r="D1890" s="19"/>
    </row>
    <row r="1891" spans="4:4" ht="14.4" hidden="1" x14ac:dyDescent="0.3">
      <c r="D1891" s="19"/>
    </row>
    <row r="1892" spans="4:4" ht="14.4" hidden="1" x14ac:dyDescent="0.3">
      <c r="D1892" s="19"/>
    </row>
    <row r="1893" spans="4:4" ht="14.4" hidden="1" x14ac:dyDescent="0.3">
      <c r="D1893" s="19"/>
    </row>
    <row r="1894" spans="4:4" ht="14.4" hidden="1" x14ac:dyDescent="0.3">
      <c r="D1894" s="19"/>
    </row>
    <row r="1895" spans="4:4" ht="14.4" hidden="1" x14ac:dyDescent="0.3">
      <c r="D1895" s="19"/>
    </row>
    <row r="1896" spans="4:4" ht="14.4" hidden="1" x14ac:dyDescent="0.3">
      <c r="D1896" s="19"/>
    </row>
    <row r="1897" spans="4:4" ht="14.4" hidden="1" x14ac:dyDescent="0.3">
      <c r="D1897" s="19"/>
    </row>
    <row r="1898" spans="4:4" ht="14.4" hidden="1" x14ac:dyDescent="0.3">
      <c r="D1898" s="19"/>
    </row>
    <row r="1899" spans="4:4" ht="14.4" hidden="1" x14ac:dyDescent="0.3">
      <c r="D1899" s="19"/>
    </row>
    <row r="1900" spans="4:4" ht="14.4" hidden="1" x14ac:dyDescent="0.3">
      <c r="D1900" s="19"/>
    </row>
    <row r="1901" spans="4:4" ht="14.4" hidden="1" x14ac:dyDescent="0.3">
      <c r="D1901" s="19"/>
    </row>
    <row r="1902" spans="4:4" ht="14.4" hidden="1" x14ac:dyDescent="0.3">
      <c r="D1902" s="19"/>
    </row>
    <row r="1903" spans="4:4" ht="14.4" hidden="1" x14ac:dyDescent="0.3">
      <c r="D1903" s="19"/>
    </row>
    <row r="1904" spans="4:4" ht="14.4" hidden="1" x14ac:dyDescent="0.3">
      <c r="D1904" s="19"/>
    </row>
    <row r="1905" spans="4:4" ht="14.4" hidden="1" x14ac:dyDescent="0.3">
      <c r="D1905" s="19"/>
    </row>
    <row r="1906" spans="4:4" ht="14.4" hidden="1" x14ac:dyDescent="0.3">
      <c r="D1906" s="19"/>
    </row>
    <row r="1907" spans="4:4" ht="14.4" hidden="1" x14ac:dyDescent="0.3">
      <c r="D1907" s="19"/>
    </row>
    <row r="1908" spans="4:4" ht="14.4" hidden="1" x14ac:dyDescent="0.3">
      <c r="D1908" s="19"/>
    </row>
    <row r="1909" spans="4:4" ht="14.4" hidden="1" x14ac:dyDescent="0.3">
      <c r="D1909" s="19"/>
    </row>
    <row r="1910" spans="4:4" ht="14.4" hidden="1" x14ac:dyDescent="0.3">
      <c r="D1910" s="19"/>
    </row>
    <row r="1911" spans="4:4" ht="14.4" hidden="1" x14ac:dyDescent="0.3">
      <c r="D1911" s="19"/>
    </row>
    <row r="1912" spans="4:4" ht="14.4" hidden="1" x14ac:dyDescent="0.3">
      <c r="D1912" s="19"/>
    </row>
    <row r="1913" spans="4:4" ht="14.4" hidden="1" x14ac:dyDescent="0.3">
      <c r="D1913" s="19"/>
    </row>
    <row r="1914" spans="4:4" ht="14.4" hidden="1" x14ac:dyDescent="0.3">
      <c r="D1914" s="19"/>
    </row>
    <row r="1915" spans="4:4" ht="14.4" hidden="1" x14ac:dyDescent="0.3">
      <c r="D1915" s="19"/>
    </row>
    <row r="1916" spans="4:4" ht="14.4" hidden="1" x14ac:dyDescent="0.3">
      <c r="D1916" s="19"/>
    </row>
    <row r="1917" spans="4:4" ht="14.4" hidden="1" x14ac:dyDescent="0.3">
      <c r="D1917" s="19"/>
    </row>
    <row r="1918" spans="4:4" ht="14.4" hidden="1" x14ac:dyDescent="0.3">
      <c r="D1918" s="19"/>
    </row>
    <row r="1919" spans="4:4" ht="14.4" hidden="1" x14ac:dyDescent="0.3">
      <c r="D1919" s="19"/>
    </row>
    <row r="1920" spans="4:4" ht="14.4" hidden="1" x14ac:dyDescent="0.3">
      <c r="D1920" s="19"/>
    </row>
    <row r="1921" spans="4:4" ht="14.4" hidden="1" x14ac:dyDescent="0.3">
      <c r="D1921" s="19"/>
    </row>
    <row r="1922" spans="4:4" ht="14.4" hidden="1" x14ac:dyDescent="0.3">
      <c r="D1922" s="19"/>
    </row>
    <row r="1923" spans="4:4" ht="14.4" hidden="1" x14ac:dyDescent="0.3">
      <c r="D1923" s="19"/>
    </row>
    <row r="1924" spans="4:4" ht="14.4" hidden="1" x14ac:dyDescent="0.3">
      <c r="D1924" s="19"/>
    </row>
    <row r="1925" spans="4:4" ht="14.4" hidden="1" x14ac:dyDescent="0.3">
      <c r="D1925" s="19"/>
    </row>
    <row r="1926" spans="4:4" ht="14.4" hidden="1" x14ac:dyDescent="0.3">
      <c r="D1926" s="19"/>
    </row>
    <row r="1927" spans="4:4" ht="14.4" hidden="1" x14ac:dyDescent="0.3">
      <c r="D1927" s="19"/>
    </row>
    <row r="1928" spans="4:4" ht="14.4" hidden="1" x14ac:dyDescent="0.3">
      <c r="D1928" s="19"/>
    </row>
    <row r="1929" spans="4:4" ht="14.4" hidden="1" x14ac:dyDescent="0.3">
      <c r="D1929" s="19"/>
    </row>
    <row r="1930" spans="4:4" ht="14.4" hidden="1" x14ac:dyDescent="0.3">
      <c r="D1930" s="19"/>
    </row>
    <row r="1931" spans="4:4" ht="14.4" hidden="1" x14ac:dyDescent="0.3">
      <c r="D1931" s="19"/>
    </row>
    <row r="1932" spans="4:4" ht="14.4" hidden="1" x14ac:dyDescent="0.3">
      <c r="D1932" s="19"/>
    </row>
    <row r="1933" spans="4:4" ht="14.4" hidden="1" x14ac:dyDescent="0.3">
      <c r="D1933" s="19"/>
    </row>
    <row r="1934" spans="4:4" ht="14.4" hidden="1" x14ac:dyDescent="0.3">
      <c r="D1934" s="19"/>
    </row>
    <row r="1935" spans="4:4" ht="14.4" hidden="1" x14ac:dyDescent="0.3">
      <c r="D1935" s="19"/>
    </row>
    <row r="1936" spans="4:4" ht="14.4" hidden="1" x14ac:dyDescent="0.3">
      <c r="D1936" s="19"/>
    </row>
    <row r="1937" spans="4:4" ht="14.4" hidden="1" x14ac:dyDescent="0.3">
      <c r="D1937" s="19"/>
    </row>
    <row r="1938" spans="4:4" ht="14.4" hidden="1" x14ac:dyDescent="0.3">
      <c r="D1938" s="19"/>
    </row>
    <row r="1939" spans="4:4" ht="14.4" hidden="1" x14ac:dyDescent="0.3">
      <c r="D1939" s="19"/>
    </row>
    <row r="1940" spans="4:4" ht="14.4" hidden="1" x14ac:dyDescent="0.3">
      <c r="D1940" s="19"/>
    </row>
    <row r="1941" spans="4:4" ht="14.4" hidden="1" x14ac:dyDescent="0.3">
      <c r="D1941" s="19"/>
    </row>
    <row r="1942" spans="4:4" ht="14.4" hidden="1" x14ac:dyDescent="0.3">
      <c r="D1942" s="19"/>
    </row>
    <row r="1943" spans="4:4" ht="14.4" hidden="1" x14ac:dyDescent="0.3">
      <c r="D1943" s="19"/>
    </row>
    <row r="1944" spans="4:4" ht="14.4" hidden="1" x14ac:dyDescent="0.3">
      <c r="D1944" s="19"/>
    </row>
    <row r="1945" spans="4:4" ht="14.4" hidden="1" x14ac:dyDescent="0.3">
      <c r="D1945" s="19"/>
    </row>
    <row r="1946" spans="4:4" ht="14.4" hidden="1" x14ac:dyDescent="0.3">
      <c r="D1946" s="19"/>
    </row>
    <row r="1947" spans="4:4" ht="14.4" hidden="1" x14ac:dyDescent="0.3">
      <c r="D1947" s="19"/>
    </row>
    <row r="1948" spans="4:4" ht="14.4" hidden="1" x14ac:dyDescent="0.3">
      <c r="D1948" s="19"/>
    </row>
    <row r="1949" spans="4:4" ht="14.4" hidden="1" x14ac:dyDescent="0.3">
      <c r="D1949" s="19"/>
    </row>
    <row r="1950" spans="4:4" ht="14.4" hidden="1" x14ac:dyDescent="0.3">
      <c r="D1950" s="19"/>
    </row>
    <row r="1951" spans="4:4" ht="14.4" hidden="1" x14ac:dyDescent="0.3">
      <c r="D1951" s="19"/>
    </row>
    <row r="1952" spans="4:4" ht="14.4" hidden="1" x14ac:dyDescent="0.3">
      <c r="D1952" s="19"/>
    </row>
    <row r="1953" spans="4:4" ht="14.4" hidden="1" x14ac:dyDescent="0.3">
      <c r="D1953" s="19"/>
    </row>
    <row r="1954" spans="4:4" ht="14.4" hidden="1" x14ac:dyDescent="0.3">
      <c r="D1954" s="19"/>
    </row>
    <row r="1955" spans="4:4" ht="14.4" hidden="1" x14ac:dyDescent="0.3">
      <c r="D1955" s="19"/>
    </row>
    <row r="1956" spans="4:4" ht="14.4" hidden="1" x14ac:dyDescent="0.3">
      <c r="D1956" s="19"/>
    </row>
    <row r="1957" spans="4:4" ht="14.4" hidden="1" x14ac:dyDescent="0.3">
      <c r="D1957" s="19"/>
    </row>
    <row r="1958" spans="4:4" ht="14.4" hidden="1" x14ac:dyDescent="0.3">
      <c r="D1958" s="19"/>
    </row>
    <row r="1959" spans="4:4" ht="14.4" hidden="1" x14ac:dyDescent="0.3">
      <c r="D1959" s="19"/>
    </row>
    <row r="1960" spans="4:4" ht="14.4" hidden="1" x14ac:dyDescent="0.3">
      <c r="D1960" s="19"/>
    </row>
    <row r="1961" spans="4:4" ht="14.4" hidden="1" x14ac:dyDescent="0.3">
      <c r="D1961" s="19"/>
    </row>
    <row r="1962" spans="4:4" ht="14.4" hidden="1" x14ac:dyDescent="0.3">
      <c r="D1962" s="19"/>
    </row>
    <row r="1963" spans="4:4" ht="14.4" hidden="1" x14ac:dyDescent="0.3">
      <c r="D1963" s="19"/>
    </row>
    <row r="1964" spans="4:4" ht="14.4" hidden="1" x14ac:dyDescent="0.3">
      <c r="D1964" s="19"/>
    </row>
    <row r="1965" spans="4:4" ht="14.4" hidden="1" x14ac:dyDescent="0.3">
      <c r="D1965" s="19"/>
    </row>
    <row r="1966" spans="4:4" ht="14.4" hidden="1" x14ac:dyDescent="0.3">
      <c r="D1966" s="19"/>
    </row>
    <row r="1967" spans="4:4" ht="14.4" hidden="1" x14ac:dyDescent="0.3">
      <c r="D1967" s="19"/>
    </row>
    <row r="1968" spans="4:4" ht="14.4" hidden="1" x14ac:dyDescent="0.3">
      <c r="D1968" s="19"/>
    </row>
    <row r="1969" spans="4:4" ht="14.4" hidden="1" x14ac:dyDescent="0.3">
      <c r="D1969" s="19"/>
    </row>
    <row r="1970" spans="4:4" ht="14.4" hidden="1" x14ac:dyDescent="0.3">
      <c r="D1970" s="19"/>
    </row>
    <row r="1971" spans="4:4" ht="14.4" hidden="1" x14ac:dyDescent="0.3">
      <c r="D1971" s="19"/>
    </row>
    <row r="1972" spans="4:4" ht="14.4" hidden="1" x14ac:dyDescent="0.3">
      <c r="D1972" s="19"/>
    </row>
    <row r="1973" spans="4:4" ht="14.4" hidden="1" x14ac:dyDescent="0.3">
      <c r="D1973" s="19"/>
    </row>
    <row r="1974" spans="4:4" ht="14.4" hidden="1" x14ac:dyDescent="0.3">
      <c r="D1974" s="19"/>
    </row>
    <row r="1975" spans="4:4" ht="14.4" hidden="1" x14ac:dyDescent="0.3">
      <c r="D1975" s="19"/>
    </row>
    <row r="1976" spans="4:4" ht="14.4" hidden="1" x14ac:dyDescent="0.3">
      <c r="D1976" s="19"/>
    </row>
    <row r="1977" spans="4:4" ht="14.4" hidden="1" x14ac:dyDescent="0.3">
      <c r="D1977" s="19"/>
    </row>
    <row r="1978" spans="4:4" ht="14.4" hidden="1" x14ac:dyDescent="0.3">
      <c r="D1978" s="19"/>
    </row>
    <row r="1979" spans="4:4" ht="14.4" hidden="1" x14ac:dyDescent="0.3">
      <c r="D1979" s="19"/>
    </row>
    <row r="1980" spans="4:4" ht="14.4" hidden="1" x14ac:dyDescent="0.3">
      <c r="D1980" s="19"/>
    </row>
    <row r="1981" spans="4:4" ht="14.4" hidden="1" x14ac:dyDescent="0.3">
      <c r="D1981" s="19"/>
    </row>
    <row r="1982" spans="4:4" ht="14.4" hidden="1" x14ac:dyDescent="0.3">
      <c r="D1982" s="19"/>
    </row>
    <row r="1983" spans="4:4" ht="14.4" hidden="1" x14ac:dyDescent="0.3">
      <c r="D1983" s="19"/>
    </row>
    <row r="1984" spans="4:4" ht="14.4" hidden="1" x14ac:dyDescent="0.3">
      <c r="D1984" s="19"/>
    </row>
    <row r="1985" spans="4:4" ht="14.4" hidden="1" x14ac:dyDescent="0.3">
      <c r="D1985" s="19"/>
    </row>
    <row r="1986" spans="4:4" ht="14.4" hidden="1" x14ac:dyDescent="0.3">
      <c r="D1986" s="19"/>
    </row>
    <row r="1987" spans="4:4" ht="14.4" hidden="1" x14ac:dyDescent="0.3">
      <c r="D1987" s="19"/>
    </row>
    <row r="1988" spans="4:4" ht="14.4" hidden="1" x14ac:dyDescent="0.3">
      <c r="D1988" s="19"/>
    </row>
    <row r="1989" spans="4:4" ht="14.4" hidden="1" x14ac:dyDescent="0.3">
      <c r="D1989" s="19"/>
    </row>
    <row r="1990" spans="4:4" ht="14.4" hidden="1" x14ac:dyDescent="0.3">
      <c r="D1990" s="19"/>
    </row>
    <row r="1991" spans="4:4" ht="14.4" hidden="1" x14ac:dyDescent="0.3">
      <c r="D1991" s="19"/>
    </row>
    <row r="1992" spans="4:4" ht="14.4" hidden="1" x14ac:dyDescent="0.3">
      <c r="D1992" s="19"/>
    </row>
    <row r="1993" spans="4:4" ht="14.4" hidden="1" x14ac:dyDescent="0.3">
      <c r="D1993" s="19"/>
    </row>
    <row r="1994" spans="4:4" ht="14.4" hidden="1" x14ac:dyDescent="0.3">
      <c r="D1994" s="19"/>
    </row>
    <row r="1995" spans="4:4" ht="14.4" hidden="1" x14ac:dyDescent="0.3">
      <c r="D1995" s="19"/>
    </row>
    <row r="1996" spans="4:4" ht="14.4" hidden="1" x14ac:dyDescent="0.3">
      <c r="D1996" s="19"/>
    </row>
    <row r="1997" spans="4:4" ht="14.4" hidden="1" x14ac:dyDescent="0.3">
      <c r="D1997" s="19"/>
    </row>
    <row r="1998" spans="4:4" ht="14.4" hidden="1" x14ac:dyDescent="0.3">
      <c r="D1998" s="19"/>
    </row>
    <row r="1999" spans="4:4" ht="14.4" hidden="1" x14ac:dyDescent="0.3">
      <c r="D1999" s="19"/>
    </row>
    <row r="2000" spans="4:4" ht="14.4" hidden="1" x14ac:dyDescent="0.3">
      <c r="D2000" s="19"/>
    </row>
    <row r="2001" spans="4:4" ht="14.4" hidden="1" x14ac:dyDescent="0.3">
      <c r="D2001" s="19"/>
    </row>
    <row r="2002" spans="4:4" ht="14.4" hidden="1" x14ac:dyDescent="0.3">
      <c r="D2002" s="19"/>
    </row>
    <row r="2003" spans="4:4" ht="14.4" hidden="1" x14ac:dyDescent="0.3">
      <c r="D2003" s="19"/>
    </row>
    <row r="2004" spans="4:4" ht="14.4" hidden="1" x14ac:dyDescent="0.3">
      <c r="D2004" s="19"/>
    </row>
    <row r="2005" spans="4:4" ht="14.4" hidden="1" x14ac:dyDescent="0.3">
      <c r="D2005" s="19"/>
    </row>
    <row r="2006" spans="4:4" ht="14.4" hidden="1" x14ac:dyDescent="0.3">
      <c r="D2006" s="19"/>
    </row>
    <row r="2007" spans="4:4" ht="14.4" hidden="1" x14ac:dyDescent="0.3">
      <c r="D2007" s="19"/>
    </row>
    <row r="2008" spans="4:4" ht="14.4" hidden="1" x14ac:dyDescent="0.3">
      <c r="D2008" s="19"/>
    </row>
    <row r="2009" spans="4:4" ht="14.4" hidden="1" x14ac:dyDescent="0.3">
      <c r="D2009" s="19"/>
    </row>
    <row r="2010" spans="4:4" ht="14.4" hidden="1" x14ac:dyDescent="0.3">
      <c r="D2010" s="19"/>
    </row>
    <row r="2011" spans="4:4" ht="14.4" hidden="1" x14ac:dyDescent="0.3">
      <c r="D2011" s="19"/>
    </row>
    <row r="2012" spans="4:4" ht="14.4" hidden="1" x14ac:dyDescent="0.3">
      <c r="D2012" s="19"/>
    </row>
    <row r="2013" spans="4:4" ht="14.4" hidden="1" x14ac:dyDescent="0.3">
      <c r="D2013" s="19"/>
    </row>
    <row r="2014" spans="4:4" ht="14.4" hidden="1" x14ac:dyDescent="0.3">
      <c r="D2014" s="19"/>
    </row>
    <row r="2015" spans="4:4" ht="14.4" hidden="1" x14ac:dyDescent="0.3">
      <c r="D2015" s="19"/>
    </row>
    <row r="2016" spans="4:4" ht="14.4" hidden="1" x14ac:dyDescent="0.3">
      <c r="D2016" s="19"/>
    </row>
    <row r="2017" spans="4:4" ht="14.4" hidden="1" x14ac:dyDescent="0.3">
      <c r="D2017" s="19"/>
    </row>
    <row r="2018" spans="4:4" ht="14.4" hidden="1" x14ac:dyDescent="0.3">
      <c r="D2018" s="19"/>
    </row>
    <row r="2019" spans="4:4" ht="14.4" hidden="1" x14ac:dyDescent="0.3">
      <c r="D2019" s="19"/>
    </row>
    <row r="2020" spans="4:4" ht="14.4" hidden="1" x14ac:dyDescent="0.3">
      <c r="D2020" s="19"/>
    </row>
    <row r="2021" spans="4:4" ht="14.4" hidden="1" x14ac:dyDescent="0.3">
      <c r="D2021" s="19"/>
    </row>
    <row r="2022" spans="4:4" ht="14.4" hidden="1" x14ac:dyDescent="0.3">
      <c r="D2022" s="19"/>
    </row>
    <row r="2023" spans="4:4" ht="14.4" hidden="1" x14ac:dyDescent="0.3">
      <c r="D2023" s="19"/>
    </row>
    <row r="2024" spans="4:4" ht="14.4" hidden="1" x14ac:dyDescent="0.3">
      <c r="D2024" s="19"/>
    </row>
    <row r="2025" spans="4:4" ht="14.4" hidden="1" x14ac:dyDescent="0.3">
      <c r="D2025" s="19"/>
    </row>
    <row r="2026" spans="4:4" ht="14.4" hidden="1" x14ac:dyDescent="0.3">
      <c r="D2026" s="19"/>
    </row>
    <row r="2027" spans="4:4" ht="14.4" hidden="1" x14ac:dyDescent="0.3">
      <c r="D2027" s="19"/>
    </row>
    <row r="2028" spans="4:4" ht="14.4" hidden="1" x14ac:dyDescent="0.3">
      <c r="D2028" s="19"/>
    </row>
    <row r="2029" spans="4:4" ht="14.4" hidden="1" x14ac:dyDescent="0.3">
      <c r="D2029" s="19"/>
    </row>
    <row r="2030" spans="4:4" ht="14.4" hidden="1" x14ac:dyDescent="0.3">
      <c r="D2030" s="19"/>
    </row>
    <row r="2031" spans="4:4" ht="14.4" hidden="1" x14ac:dyDescent="0.3">
      <c r="D2031" s="19"/>
    </row>
    <row r="2032" spans="4:4" ht="14.4" hidden="1" x14ac:dyDescent="0.3">
      <c r="D2032" s="19"/>
    </row>
    <row r="2033" spans="4:4" ht="14.4" hidden="1" x14ac:dyDescent="0.3">
      <c r="D2033" s="19"/>
    </row>
    <row r="2034" spans="4:4" ht="14.4" hidden="1" x14ac:dyDescent="0.3">
      <c r="D2034" s="19"/>
    </row>
    <row r="2035" spans="4:4" ht="14.4" hidden="1" x14ac:dyDescent="0.3">
      <c r="D2035" s="19"/>
    </row>
    <row r="2036" spans="4:4" ht="14.4" hidden="1" x14ac:dyDescent="0.3">
      <c r="D2036" s="19"/>
    </row>
    <row r="2037" spans="4:4" ht="14.4" hidden="1" x14ac:dyDescent="0.3">
      <c r="D2037" s="19"/>
    </row>
    <row r="2038" spans="4:4" ht="14.4" hidden="1" x14ac:dyDescent="0.3">
      <c r="D2038" s="19"/>
    </row>
    <row r="2039" spans="4:4" ht="14.4" hidden="1" x14ac:dyDescent="0.3">
      <c r="D2039" s="19"/>
    </row>
    <row r="2040" spans="4:4" ht="14.4" hidden="1" x14ac:dyDescent="0.3">
      <c r="D2040" s="19"/>
    </row>
    <row r="2041" spans="4:4" ht="14.4" hidden="1" x14ac:dyDescent="0.3">
      <c r="D2041" s="19"/>
    </row>
    <row r="2042" spans="4:4" ht="14.4" hidden="1" x14ac:dyDescent="0.3">
      <c r="D2042" s="19"/>
    </row>
    <row r="2043" spans="4:4" ht="14.4" hidden="1" x14ac:dyDescent="0.3">
      <c r="D2043" s="19"/>
    </row>
    <row r="2044" spans="4:4" ht="14.4" hidden="1" x14ac:dyDescent="0.3">
      <c r="D2044" s="19"/>
    </row>
    <row r="2045" spans="4:4" ht="14.4" hidden="1" x14ac:dyDescent="0.3">
      <c r="D2045" s="19"/>
    </row>
    <row r="2046" spans="4:4" ht="14.4" hidden="1" x14ac:dyDescent="0.3">
      <c r="D2046" s="19"/>
    </row>
    <row r="2047" spans="4:4" ht="14.4" hidden="1" x14ac:dyDescent="0.3">
      <c r="D2047" s="19"/>
    </row>
    <row r="2048" spans="4:4" ht="14.4" hidden="1" x14ac:dyDescent="0.3">
      <c r="D2048" s="19"/>
    </row>
    <row r="2049" spans="4:4" ht="14.4" hidden="1" x14ac:dyDescent="0.3">
      <c r="D2049" s="19"/>
    </row>
    <row r="2050" spans="4:4" ht="14.4" hidden="1" x14ac:dyDescent="0.3">
      <c r="D2050" s="19"/>
    </row>
    <row r="2051" spans="4:4" ht="14.4" hidden="1" x14ac:dyDescent="0.3">
      <c r="D2051" s="19"/>
    </row>
    <row r="2052" spans="4:4" ht="14.4" hidden="1" x14ac:dyDescent="0.3">
      <c r="D2052" s="19"/>
    </row>
    <row r="2053" spans="4:4" ht="14.4" hidden="1" x14ac:dyDescent="0.3">
      <c r="D2053" s="19"/>
    </row>
    <row r="2054" spans="4:4" ht="14.4" hidden="1" x14ac:dyDescent="0.3">
      <c r="D2054" s="19"/>
    </row>
    <row r="2055" spans="4:4" ht="14.4" hidden="1" x14ac:dyDescent="0.3">
      <c r="D2055" s="19"/>
    </row>
    <row r="2056" spans="4:4" ht="14.4" hidden="1" x14ac:dyDescent="0.3">
      <c r="D2056" s="19"/>
    </row>
    <row r="2057" spans="4:4" ht="14.4" hidden="1" x14ac:dyDescent="0.3">
      <c r="D2057" s="19"/>
    </row>
    <row r="2058" spans="4:4" ht="14.4" hidden="1" x14ac:dyDescent="0.3">
      <c r="D2058" s="19"/>
    </row>
    <row r="2059" spans="4:4" ht="14.4" hidden="1" x14ac:dyDescent="0.3">
      <c r="D2059" s="19"/>
    </row>
    <row r="2060" spans="4:4" ht="14.4" hidden="1" x14ac:dyDescent="0.3">
      <c r="D2060" s="19"/>
    </row>
    <row r="2061" spans="4:4" ht="14.4" hidden="1" x14ac:dyDescent="0.3">
      <c r="D2061" s="19"/>
    </row>
    <row r="2062" spans="4:4" ht="14.4" hidden="1" x14ac:dyDescent="0.3">
      <c r="D2062" s="19"/>
    </row>
    <row r="2063" spans="4:4" ht="14.4" hidden="1" x14ac:dyDescent="0.3">
      <c r="D2063" s="19"/>
    </row>
    <row r="2064" spans="4:4" ht="14.4" hidden="1" x14ac:dyDescent="0.3">
      <c r="D2064" s="19"/>
    </row>
    <row r="2065" spans="4:4" ht="14.4" hidden="1" x14ac:dyDescent="0.3">
      <c r="D2065" s="19"/>
    </row>
    <row r="2066" spans="4:4" ht="14.4" hidden="1" x14ac:dyDescent="0.3">
      <c r="D2066" s="19"/>
    </row>
    <row r="2067" spans="4:4" ht="14.4" hidden="1" x14ac:dyDescent="0.3">
      <c r="D2067" s="19"/>
    </row>
    <row r="2068" spans="4:4" ht="14.4" hidden="1" x14ac:dyDescent="0.3">
      <c r="D2068" s="19"/>
    </row>
    <row r="2069" spans="4:4" ht="14.4" hidden="1" x14ac:dyDescent="0.3">
      <c r="D2069" s="19"/>
    </row>
    <row r="2070" spans="4:4" ht="14.4" hidden="1" x14ac:dyDescent="0.3">
      <c r="D2070" s="19"/>
    </row>
    <row r="2071" spans="4:4" ht="14.4" hidden="1" x14ac:dyDescent="0.3">
      <c r="D2071" s="19"/>
    </row>
    <row r="2072" spans="4:4" ht="14.4" hidden="1" x14ac:dyDescent="0.3">
      <c r="D2072" s="19"/>
    </row>
    <row r="2073" spans="4:4" ht="14.4" hidden="1" x14ac:dyDescent="0.3">
      <c r="D2073" s="19"/>
    </row>
    <row r="2074" spans="4:4" ht="14.4" hidden="1" x14ac:dyDescent="0.3">
      <c r="D2074" s="19"/>
    </row>
    <row r="2075" spans="4:4" ht="14.4" hidden="1" x14ac:dyDescent="0.3">
      <c r="D2075" s="19"/>
    </row>
    <row r="2076" spans="4:4" ht="14.4" hidden="1" x14ac:dyDescent="0.3">
      <c r="D2076" s="19"/>
    </row>
    <row r="2077" spans="4:4" ht="14.4" hidden="1" x14ac:dyDescent="0.3">
      <c r="D2077" s="19"/>
    </row>
    <row r="2078" spans="4:4" ht="14.4" hidden="1" x14ac:dyDescent="0.3">
      <c r="D2078" s="19"/>
    </row>
    <row r="2079" spans="4:4" ht="14.4" hidden="1" x14ac:dyDescent="0.3">
      <c r="D2079" s="19"/>
    </row>
    <row r="2080" spans="4:4" ht="14.4" hidden="1" x14ac:dyDescent="0.3">
      <c r="D2080" s="19"/>
    </row>
    <row r="2081" spans="4:4" ht="14.4" hidden="1" x14ac:dyDescent="0.3">
      <c r="D2081" s="19"/>
    </row>
    <row r="2082" spans="4:4" ht="14.4" hidden="1" x14ac:dyDescent="0.3">
      <c r="D2082" s="19"/>
    </row>
    <row r="2083" spans="4:4" ht="14.4" hidden="1" x14ac:dyDescent="0.3">
      <c r="D2083" s="19"/>
    </row>
    <row r="2084" spans="4:4" ht="14.4" hidden="1" x14ac:dyDescent="0.3">
      <c r="D2084" s="19"/>
    </row>
    <row r="2085" spans="4:4" ht="14.4" hidden="1" x14ac:dyDescent="0.3">
      <c r="D2085" s="19"/>
    </row>
    <row r="2086" spans="4:4" ht="14.4" hidden="1" x14ac:dyDescent="0.3">
      <c r="D2086" s="19"/>
    </row>
    <row r="2087" spans="4:4" ht="14.4" hidden="1" x14ac:dyDescent="0.3">
      <c r="D2087" s="19"/>
    </row>
    <row r="2088" spans="4:4" ht="14.4" hidden="1" x14ac:dyDescent="0.3">
      <c r="D2088" s="19"/>
    </row>
    <row r="2089" spans="4:4" ht="14.4" hidden="1" x14ac:dyDescent="0.3">
      <c r="D2089" s="19"/>
    </row>
    <row r="2090" spans="4:4" ht="14.4" hidden="1" x14ac:dyDescent="0.3">
      <c r="D2090" s="19"/>
    </row>
    <row r="2091" spans="4:4" ht="14.4" hidden="1" x14ac:dyDescent="0.3">
      <c r="D2091" s="19"/>
    </row>
    <row r="2092" spans="4:4" ht="14.4" hidden="1" x14ac:dyDescent="0.3">
      <c r="D2092" s="19"/>
    </row>
    <row r="2093" spans="4:4" ht="14.4" hidden="1" x14ac:dyDescent="0.3">
      <c r="D2093" s="19"/>
    </row>
    <row r="2094" spans="4:4" ht="14.4" hidden="1" x14ac:dyDescent="0.3">
      <c r="D2094" s="19"/>
    </row>
    <row r="2095" spans="4:4" ht="14.4" hidden="1" x14ac:dyDescent="0.3">
      <c r="D2095" s="19"/>
    </row>
    <row r="2096" spans="4:4" ht="14.4" hidden="1" x14ac:dyDescent="0.3">
      <c r="D2096" s="19"/>
    </row>
    <row r="2097" spans="4:4" ht="14.4" hidden="1" x14ac:dyDescent="0.3">
      <c r="D2097" s="19"/>
    </row>
    <row r="2098" spans="4:4" ht="14.4" hidden="1" x14ac:dyDescent="0.3">
      <c r="D2098" s="19"/>
    </row>
    <row r="2099" spans="4:4" ht="14.4" hidden="1" x14ac:dyDescent="0.3">
      <c r="D2099" s="19"/>
    </row>
    <row r="2100" spans="4:4" ht="14.4" hidden="1" x14ac:dyDescent="0.3">
      <c r="D2100" s="19"/>
    </row>
    <row r="2101" spans="4:4" ht="14.4" hidden="1" x14ac:dyDescent="0.3">
      <c r="D2101" s="19"/>
    </row>
    <row r="2102" spans="4:4" ht="14.4" hidden="1" x14ac:dyDescent="0.3">
      <c r="D2102" s="19"/>
    </row>
    <row r="2103" spans="4:4" ht="14.4" hidden="1" x14ac:dyDescent="0.3">
      <c r="D2103" s="19"/>
    </row>
    <row r="2104" spans="4:4" ht="14.4" hidden="1" x14ac:dyDescent="0.3">
      <c r="D2104" s="19"/>
    </row>
    <row r="2105" spans="4:4" ht="14.4" hidden="1" x14ac:dyDescent="0.3">
      <c r="D2105" s="19"/>
    </row>
    <row r="2106" spans="4:4" ht="14.4" hidden="1" x14ac:dyDescent="0.3">
      <c r="D2106" s="19"/>
    </row>
    <row r="2107" spans="4:4" ht="14.4" hidden="1" x14ac:dyDescent="0.3">
      <c r="D2107" s="19"/>
    </row>
    <row r="2108" spans="4:4" ht="14.4" hidden="1" x14ac:dyDescent="0.3">
      <c r="D2108" s="19"/>
    </row>
    <row r="2109" spans="4:4" ht="14.4" hidden="1" x14ac:dyDescent="0.3">
      <c r="D2109" s="19"/>
    </row>
    <row r="2110" spans="4:4" ht="14.4" hidden="1" x14ac:dyDescent="0.3">
      <c r="D2110" s="19"/>
    </row>
    <row r="2111" spans="4:4" ht="14.4" hidden="1" x14ac:dyDescent="0.3">
      <c r="D2111" s="19"/>
    </row>
    <row r="2112" spans="4:4" ht="14.4" hidden="1" x14ac:dyDescent="0.3">
      <c r="D2112" s="19"/>
    </row>
    <row r="2113" spans="4:4" ht="14.4" hidden="1" x14ac:dyDescent="0.3">
      <c r="D2113" s="19"/>
    </row>
    <row r="2114" spans="4:4" ht="14.4" hidden="1" x14ac:dyDescent="0.3">
      <c r="D2114" s="19"/>
    </row>
    <row r="2115" spans="4:4" ht="14.4" hidden="1" x14ac:dyDescent="0.3">
      <c r="D2115" s="19"/>
    </row>
    <row r="2116" spans="4:4" ht="14.4" hidden="1" x14ac:dyDescent="0.3">
      <c r="D2116" s="19"/>
    </row>
    <row r="2117" spans="4:4" ht="14.4" hidden="1" x14ac:dyDescent="0.3">
      <c r="D2117" s="19"/>
    </row>
    <row r="2118" spans="4:4" ht="14.4" hidden="1" x14ac:dyDescent="0.3">
      <c r="D2118" s="19"/>
    </row>
    <row r="2119" spans="4:4" ht="14.4" hidden="1" x14ac:dyDescent="0.3">
      <c r="D2119" s="19"/>
    </row>
    <row r="2120" spans="4:4" ht="14.4" hidden="1" x14ac:dyDescent="0.3">
      <c r="D2120" s="19"/>
    </row>
    <row r="2121" spans="4:4" ht="14.4" hidden="1" x14ac:dyDescent="0.3">
      <c r="D2121" s="19"/>
    </row>
    <row r="2122" spans="4:4" ht="14.4" hidden="1" x14ac:dyDescent="0.3">
      <c r="D2122" s="19"/>
    </row>
    <row r="2123" spans="4:4" ht="14.4" hidden="1" x14ac:dyDescent="0.3">
      <c r="D2123" s="19"/>
    </row>
    <row r="2124" spans="4:4" ht="14.4" hidden="1" x14ac:dyDescent="0.3">
      <c r="D2124" s="19"/>
    </row>
    <row r="2125" spans="4:4" ht="14.4" hidden="1" x14ac:dyDescent="0.3">
      <c r="D2125" s="19"/>
    </row>
    <row r="2126" spans="4:4" ht="14.4" hidden="1" x14ac:dyDescent="0.3">
      <c r="D2126" s="19"/>
    </row>
    <row r="2127" spans="4:4" ht="14.4" hidden="1" x14ac:dyDescent="0.3">
      <c r="D2127" s="19"/>
    </row>
    <row r="2128" spans="4:4" ht="14.4" hidden="1" x14ac:dyDescent="0.3">
      <c r="D2128" s="19"/>
    </row>
    <row r="2129" spans="4:4" ht="14.4" hidden="1" x14ac:dyDescent="0.3">
      <c r="D2129" s="19"/>
    </row>
    <row r="2130" spans="4:4" ht="14.4" hidden="1" x14ac:dyDescent="0.3">
      <c r="D2130" s="19"/>
    </row>
    <row r="2131" spans="4:4" ht="14.4" hidden="1" x14ac:dyDescent="0.3">
      <c r="D2131" s="19"/>
    </row>
    <row r="2132" spans="4:4" ht="14.4" hidden="1" x14ac:dyDescent="0.3">
      <c r="D2132" s="19"/>
    </row>
    <row r="2133" spans="4:4" ht="14.4" hidden="1" x14ac:dyDescent="0.3">
      <c r="D2133" s="19"/>
    </row>
    <row r="2134" spans="4:4" ht="14.4" hidden="1" x14ac:dyDescent="0.3">
      <c r="D2134" s="19"/>
    </row>
    <row r="2135" spans="4:4" ht="14.4" hidden="1" x14ac:dyDescent="0.3">
      <c r="D2135" s="19"/>
    </row>
    <row r="2136" spans="4:4" ht="14.4" hidden="1" x14ac:dyDescent="0.3">
      <c r="D2136" s="19"/>
    </row>
    <row r="2137" spans="4:4" ht="14.4" hidden="1" x14ac:dyDescent="0.3">
      <c r="D2137" s="19"/>
    </row>
    <row r="2138" spans="4:4" ht="14.4" hidden="1" x14ac:dyDescent="0.3">
      <c r="D2138" s="19"/>
    </row>
    <row r="2139" spans="4:4" ht="14.4" hidden="1" x14ac:dyDescent="0.3">
      <c r="D2139" s="19"/>
    </row>
    <row r="2140" spans="4:4" ht="14.4" hidden="1" x14ac:dyDescent="0.3">
      <c r="D2140" s="19"/>
    </row>
    <row r="2141" spans="4:4" ht="14.4" hidden="1" x14ac:dyDescent="0.3">
      <c r="D2141" s="19"/>
    </row>
    <row r="2142" spans="4:4" ht="14.4" hidden="1" x14ac:dyDescent="0.3">
      <c r="D2142" s="19"/>
    </row>
    <row r="2143" spans="4:4" ht="14.4" hidden="1" x14ac:dyDescent="0.3">
      <c r="D2143" s="19"/>
    </row>
    <row r="2144" spans="4:4" ht="14.4" hidden="1" x14ac:dyDescent="0.3">
      <c r="D2144" s="19"/>
    </row>
    <row r="2145" spans="4:4" ht="14.4" hidden="1" x14ac:dyDescent="0.3">
      <c r="D2145" s="19"/>
    </row>
    <row r="2146" spans="4:4" ht="14.4" hidden="1" x14ac:dyDescent="0.3">
      <c r="D2146" s="19"/>
    </row>
    <row r="2147" spans="4:4" ht="14.4" hidden="1" x14ac:dyDescent="0.3">
      <c r="D2147" s="19"/>
    </row>
    <row r="2148" spans="4:4" ht="14.4" hidden="1" x14ac:dyDescent="0.3">
      <c r="D2148" s="19"/>
    </row>
    <row r="2149" spans="4:4" ht="14.4" hidden="1" x14ac:dyDescent="0.3">
      <c r="D2149" s="19"/>
    </row>
    <row r="2150" spans="4:4" ht="14.4" hidden="1" x14ac:dyDescent="0.3">
      <c r="D2150" s="19"/>
    </row>
    <row r="2151" spans="4:4" ht="14.4" hidden="1" x14ac:dyDescent="0.3">
      <c r="D2151" s="19"/>
    </row>
    <row r="2152" spans="4:4" ht="14.4" hidden="1" x14ac:dyDescent="0.3">
      <c r="D2152" s="19"/>
    </row>
    <row r="2153" spans="4:4" ht="14.4" hidden="1" x14ac:dyDescent="0.3">
      <c r="D2153" s="19"/>
    </row>
    <row r="2154" spans="4:4" ht="14.4" hidden="1" x14ac:dyDescent="0.3">
      <c r="D2154" s="19"/>
    </row>
    <row r="2155" spans="4:4" ht="14.4" hidden="1" x14ac:dyDescent="0.3">
      <c r="D2155" s="19"/>
    </row>
    <row r="2156" spans="4:4" ht="14.4" hidden="1" x14ac:dyDescent="0.3">
      <c r="D2156" s="19"/>
    </row>
    <row r="2157" spans="4:4" ht="14.4" hidden="1" x14ac:dyDescent="0.3">
      <c r="D2157" s="19"/>
    </row>
    <row r="2158" spans="4:4" ht="14.4" hidden="1" x14ac:dyDescent="0.3">
      <c r="D2158" s="19"/>
    </row>
    <row r="2159" spans="4:4" ht="14.4" hidden="1" x14ac:dyDescent="0.3">
      <c r="D2159" s="19"/>
    </row>
    <row r="2160" spans="4:4" ht="14.4" hidden="1" x14ac:dyDescent="0.3">
      <c r="D2160" s="19"/>
    </row>
    <row r="2161" spans="4:4" ht="14.4" hidden="1" x14ac:dyDescent="0.3">
      <c r="D2161" s="19"/>
    </row>
    <row r="2162" spans="4:4" ht="14.4" hidden="1" x14ac:dyDescent="0.3">
      <c r="D2162" s="19"/>
    </row>
    <row r="2163" spans="4:4" ht="14.4" hidden="1" x14ac:dyDescent="0.3">
      <c r="D2163" s="19"/>
    </row>
    <row r="2164" spans="4:4" ht="14.4" hidden="1" x14ac:dyDescent="0.3">
      <c r="D2164" s="19"/>
    </row>
    <row r="2165" spans="4:4" ht="14.4" hidden="1" x14ac:dyDescent="0.3">
      <c r="D2165" s="19"/>
    </row>
    <row r="2166" spans="4:4" ht="14.4" hidden="1" x14ac:dyDescent="0.3">
      <c r="D2166" s="19"/>
    </row>
    <row r="2167" spans="4:4" ht="14.4" hidden="1" x14ac:dyDescent="0.3">
      <c r="D2167" s="19"/>
    </row>
    <row r="2168" spans="4:4" ht="14.4" hidden="1" x14ac:dyDescent="0.3">
      <c r="D2168" s="19"/>
    </row>
    <row r="2169" spans="4:4" ht="14.4" hidden="1" x14ac:dyDescent="0.3">
      <c r="D2169" s="19"/>
    </row>
    <row r="2170" spans="4:4" ht="14.4" hidden="1" x14ac:dyDescent="0.3">
      <c r="D2170" s="19"/>
    </row>
    <row r="2171" spans="4:4" ht="14.4" hidden="1" x14ac:dyDescent="0.3">
      <c r="D2171" s="19"/>
    </row>
    <row r="2172" spans="4:4" ht="14.4" hidden="1" x14ac:dyDescent="0.3">
      <c r="D2172" s="19"/>
    </row>
    <row r="2173" spans="4:4" ht="14.4" hidden="1" x14ac:dyDescent="0.3">
      <c r="D2173" s="19"/>
    </row>
    <row r="2174" spans="4:4" ht="14.4" hidden="1" x14ac:dyDescent="0.3">
      <c r="D2174" s="19"/>
    </row>
    <row r="2175" spans="4:4" ht="14.4" hidden="1" x14ac:dyDescent="0.3">
      <c r="D2175" s="19"/>
    </row>
    <row r="2176" spans="4:4" ht="14.4" hidden="1" x14ac:dyDescent="0.3">
      <c r="D2176" s="19"/>
    </row>
    <row r="2177" spans="4:4" ht="14.4" hidden="1" x14ac:dyDescent="0.3">
      <c r="D2177" s="19"/>
    </row>
    <row r="2178" spans="4:4" ht="14.4" hidden="1" x14ac:dyDescent="0.3">
      <c r="D2178" s="19"/>
    </row>
    <row r="2179" spans="4:4" ht="14.4" hidden="1" x14ac:dyDescent="0.3">
      <c r="D2179" s="19"/>
    </row>
    <row r="2180" spans="4:4" ht="14.4" hidden="1" x14ac:dyDescent="0.3">
      <c r="D2180" s="19"/>
    </row>
    <row r="2181" spans="4:4" ht="14.4" hidden="1" x14ac:dyDescent="0.3">
      <c r="D2181" s="19"/>
    </row>
    <row r="2182" spans="4:4" ht="14.4" hidden="1" x14ac:dyDescent="0.3">
      <c r="D2182" s="19"/>
    </row>
    <row r="2183" spans="4:4" ht="14.4" hidden="1" x14ac:dyDescent="0.3">
      <c r="D2183" s="19"/>
    </row>
    <row r="2184" spans="4:4" ht="14.4" hidden="1" x14ac:dyDescent="0.3">
      <c r="D2184" s="19"/>
    </row>
    <row r="2185" spans="4:4" ht="14.4" hidden="1" x14ac:dyDescent="0.3">
      <c r="D2185" s="19"/>
    </row>
    <row r="2186" spans="4:4" ht="14.4" hidden="1" x14ac:dyDescent="0.3">
      <c r="D2186" s="19"/>
    </row>
    <row r="2187" spans="4:4" ht="14.4" hidden="1" x14ac:dyDescent="0.3">
      <c r="D2187" s="19"/>
    </row>
    <row r="2188" spans="4:4" ht="14.4" hidden="1" x14ac:dyDescent="0.3">
      <c r="D2188" s="19"/>
    </row>
    <row r="2189" spans="4:4" ht="14.4" hidden="1" x14ac:dyDescent="0.3">
      <c r="D2189" s="19"/>
    </row>
    <row r="2190" spans="4:4" ht="14.4" hidden="1" x14ac:dyDescent="0.3">
      <c r="D2190" s="19"/>
    </row>
    <row r="2191" spans="4:4" ht="14.4" hidden="1" x14ac:dyDescent="0.3">
      <c r="D2191" s="19"/>
    </row>
    <row r="2192" spans="4:4" ht="14.4" hidden="1" x14ac:dyDescent="0.3">
      <c r="D2192" s="19"/>
    </row>
    <row r="2193" spans="4:4" ht="14.4" hidden="1" x14ac:dyDescent="0.3">
      <c r="D2193" s="19"/>
    </row>
    <row r="2194" spans="4:4" ht="14.4" hidden="1" x14ac:dyDescent="0.3">
      <c r="D2194" s="19"/>
    </row>
    <row r="2195" spans="4:4" ht="14.4" hidden="1" x14ac:dyDescent="0.3">
      <c r="D2195" s="19"/>
    </row>
    <row r="2196" spans="4:4" ht="14.4" hidden="1" x14ac:dyDescent="0.3">
      <c r="D2196" s="19"/>
    </row>
    <row r="2197" spans="4:4" ht="14.4" hidden="1" x14ac:dyDescent="0.3">
      <c r="D2197" s="19"/>
    </row>
    <row r="2198" spans="4:4" ht="14.4" hidden="1" x14ac:dyDescent="0.3">
      <c r="D2198" s="19"/>
    </row>
    <row r="2199" spans="4:4" ht="14.4" hidden="1" x14ac:dyDescent="0.3">
      <c r="D2199" s="19"/>
    </row>
    <row r="2200" spans="4:4" ht="14.4" hidden="1" x14ac:dyDescent="0.3">
      <c r="D2200" s="19"/>
    </row>
    <row r="2201" spans="4:4" ht="14.4" hidden="1" x14ac:dyDescent="0.3">
      <c r="D2201" s="19"/>
    </row>
    <row r="2202" spans="4:4" ht="14.4" hidden="1" x14ac:dyDescent="0.3">
      <c r="D2202" s="19"/>
    </row>
    <row r="2203" spans="4:4" ht="14.4" hidden="1" x14ac:dyDescent="0.3">
      <c r="D2203" s="19"/>
    </row>
    <row r="2204" spans="4:4" ht="14.4" hidden="1" x14ac:dyDescent="0.3">
      <c r="D2204" s="19"/>
    </row>
    <row r="2205" spans="4:4" ht="14.4" hidden="1" x14ac:dyDescent="0.3">
      <c r="D2205" s="19"/>
    </row>
    <row r="2206" spans="4:4" ht="14.4" hidden="1" x14ac:dyDescent="0.3">
      <c r="D2206" s="19"/>
    </row>
    <row r="2207" spans="4:4" ht="14.4" hidden="1" x14ac:dyDescent="0.3">
      <c r="D2207" s="19"/>
    </row>
    <row r="2208" spans="4:4" ht="14.4" hidden="1" x14ac:dyDescent="0.3">
      <c r="D2208" s="19"/>
    </row>
    <row r="2209" spans="4:4" ht="14.4" hidden="1" x14ac:dyDescent="0.3">
      <c r="D2209" s="19"/>
    </row>
    <row r="2210" spans="4:4" ht="14.4" hidden="1" x14ac:dyDescent="0.3">
      <c r="D2210" s="19"/>
    </row>
    <row r="2211" spans="4:4" ht="14.4" hidden="1" x14ac:dyDescent="0.3">
      <c r="D2211" s="19"/>
    </row>
    <row r="2212" spans="4:4" ht="14.4" hidden="1" x14ac:dyDescent="0.3">
      <c r="D2212" s="19"/>
    </row>
    <row r="2213" spans="4:4" ht="14.4" hidden="1" x14ac:dyDescent="0.3">
      <c r="D2213" s="19"/>
    </row>
    <row r="2214" spans="4:4" ht="14.4" hidden="1" x14ac:dyDescent="0.3">
      <c r="D2214" s="19"/>
    </row>
    <row r="2215" spans="4:4" ht="14.4" hidden="1" x14ac:dyDescent="0.3">
      <c r="D2215" s="19"/>
    </row>
    <row r="2216" spans="4:4" ht="14.4" hidden="1" x14ac:dyDescent="0.3">
      <c r="D2216" s="19"/>
    </row>
    <row r="2217" spans="4:4" ht="14.4" hidden="1" x14ac:dyDescent="0.3">
      <c r="D2217" s="19"/>
    </row>
    <row r="2218" spans="4:4" ht="14.4" hidden="1" x14ac:dyDescent="0.3">
      <c r="D2218" s="19"/>
    </row>
    <row r="2219" spans="4:4" ht="14.4" hidden="1" x14ac:dyDescent="0.3">
      <c r="D2219" s="19"/>
    </row>
    <row r="2220" spans="4:4" ht="14.4" hidden="1" x14ac:dyDescent="0.3">
      <c r="D2220" s="19"/>
    </row>
    <row r="2221" spans="4:4" ht="14.4" hidden="1" x14ac:dyDescent="0.3">
      <c r="D2221" s="19"/>
    </row>
    <row r="2222" spans="4:4" ht="14.4" hidden="1" x14ac:dyDescent="0.3">
      <c r="D2222" s="19"/>
    </row>
    <row r="2223" spans="4:4" ht="14.4" hidden="1" x14ac:dyDescent="0.3">
      <c r="D2223" s="19"/>
    </row>
    <row r="2224" spans="4:4" ht="14.4" hidden="1" x14ac:dyDescent="0.3">
      <c r="D2224" s="19"/>
    </row>
    <row r="2225" spans="4:4" ht="14.4" hidden="1" x14ac:dyDescent="0.3">
      <c r="D2225" s="19"/>
    </row>
    <row r="2226" spans="4:4" ht="14.4" hidden="1" x14ac:dyDescent="0.3">
      <c r="D2226" s="19"/>
    </row>
    <row r="2227" spans="4:4" ht="14.4" hidden="1" x14ac:dyDescent="0.3">
      <c r="D2227" s="19"/>
    </row>
    <row r="2228" spans="4:4" ht="14.4" hidden="1" x14ac:dyDescent="0.3">
      <c r="D2228" s="19"/>
    </row>
    <row r="2229" spans="4:4" ht="14.4" hidden="1" x14ac:dyDescent="0.3">
      <c r="D2229" s="19"/>
    </row>
    <row r="2230" spans="4:4" ht="14.4" hidden="1" x14ac:dyDescent="0.3">
      <c r="D2230" s="19"/>
    </row>
    <row r="2231" spans="4:4" ht="14.4" hidden="1" x14ac:dyDescent="0.3">
      <c r="D2231" s="19"/>
    </row>
    <row r="2232" spans="4:4" ht="14.4" hidden="1" x14ac:dyDescent="0.3">
      <c r="D2232" s="19"/>
    </row>
    <row r="2233" spans="4:4" ht="14.4" hidden="1" x14ac:dyDescent="0.3">
      <c r="D2233" s="19"/>
    </row>
    <row r="2234" spans="4:4" ht="14.4" hidden="1" x14ac:dyDescent="0.3">
      <c r="D2234" s="19"/>
    </row>
    <row r="2235" spans="4:4" ht="14.4" hidden="1" x14ac:dyDescent="0.3">
      <c r="D2235" s="19"/>
    </row>
    <row r="2236" spans="4:4" ht="14.4" hidden="1" x14ac:dyDescent="0.3">
      <c r="D2236" s="19"/>
    </row>
    <row r="2237" spans="4:4" ht="14.4" hidden="1" x14ac:dyDescent="0.3">
      <c r="D2237" s="19"/>
    </row>
    <row r="2238" spans="4:4" ht="14.4" hidden="1" x14ac:dyDescent="0.3">
      <c r="D2238" s="19"/>
    </row>
    <row r="2239" spans="4:4" ht="14.4" hidden="1" x14ac:dyDescent="0.3">
      <c r="D2239" s="19"/>
    </row>
    <row r="2240" spans="4:4" ht="14.4" hidden="1" x14ac:dyDescent="0.3">
      <c r="D2240" s="19"/>
    </row>
    <row r="2241" spans="4:4" ht="14.4" hidden="1" x14ac:dyDescent="0.3">
      <c r="D2241" s="19"/>
    </row>
    <row r="2242" spans="4:4" ht="14.4" hidden="1" x14ac:dyDescent="0.3">
      <c r="D2242" s="19"/>
    </row>
    <row r="2243" spans="4:4" ht="14.4" hidden="1" x14ac:dyDescent="0.3">
      <c r="D2243" s="19"/>
    </row>
    <row r="2244" spans="4:4" ht="14.4" hidden="1" x14ac:dyDescent="0.3">
      <c r="D2244" s="19"/>
    </row>
    <row r="2245" spans="4:4" ht="14.4" hidden="1" x14ac:dyDescent="0.3">
      <c r="D2245" s="19"/>
    </row>
    <row r="2246" spans="4:4" ht="14.4" hidden="1" x14ac:dyDescent="0.3">
      <c r="D2246" s="19"/>
    </row>
    <row r="2247" spans="4:4" ht="14.4" hidden="1" x14ac:dyDescent="0.3">
      <c r="D2247" s="19"/>
    </row>
    <row r="2248" spans="4:4" ht="14.4" hidden="1" x14ac:dyDescent="0.3">
      <c r="D2248" s="19"/>
    </row>
    <row r="2249" spans="4:4" ht="14.4" hidden="1" x14ac:dyDescent="0.3">
      <c r="D2249" s="19"/>
    </row>
    <row r="2250" spans="4:4" ht="14.4" hidden="1" x14ac:dyDescent="0.3">
      <c r="D2250" s="19"/>
    </row>
    <row r="2251" spans="4:4" ht="14.4" hidden="1" x14ac:dyDescent="0.3">
      <c r="D2251" s="19"/>
    </row>
    <row r="2252" spans="4:4" ht="14.4" hidden="1" x14ac:dyDescent="0.3">
      <c r="D2252" s="19"/>
    </row>
    <row r="2253" spans="4:4" ht="14.4" hidden="1" x14ac:dyDescent="0.3">
      <c r="D2253" s="19"/>
    </row>
    <row r="2254" spans="4:4" ht="14.4" hidden="1" x14ac:dyDescent="0.3">
      <c r="D2254" s="19"/>
    </row>
    <row r="2255" spans="4:4" ht="14.4" hidden="1" x14ac:dyDescent="0.3">
      <c r="D2255" s="19"/>
    </row>
    <row r="2256" spans="4:4" ht="14.4" hidden="1" x14ac:dyDescent="0.3">
      <c r="D2256" s="19"/>
    </row>
    <row r="2257" spans="4:4" ht="14.4" hidden="1" x14ac:dyDescent="0.3">
      <c r="D2257" s="19"/>
    </row>
    <row r="2258" spans="4:4" ht="14.4" hidden="1" x14ac:dyDescent="0.3">
      <c r="D2258" s="19"/>
    </row>
    <row r="2259" spans="4:4" ht="14.4" hidden="1" x14ac:dyDescent="0.3">
      <c r="D2259" s="19"/>
    </row>
    <row r="2260" spans="4:4" ht="14.4" hidden="1" x14ac:dyDescent="0.3">
      <c r="D2260" s="19"/>
    </row>
    <row r="2261" spans="4:4" ht="14.4" hidden="1" x14ac:dyDescent="0.3">
      <c r="D2261" s="19"/>
    </row>
    <row r="2262" spans="4:4" ht="14.4" hidden="1" x14ac:dyDescent="0.3">
      <c r="D2262" s="19"/>
    </row>
    <row r="2263" spans="4:4" ht="14.4" hidden="1" x14ac:dyDescent="0.3">
      <c r="D2263" s="19"/>
    </row>
    <row r="2264" spans="4:4" ht="14.4" hidden="1" x14ac:dyDescent="0.3">
      <c r="D2264" s="19"/>
    </row>
    <row r="2265" spans="4:4" ht="14.4" hidden="1" x14ac:dyDescent="0.3">
      <c r="D2265" s="19"/>
    </row>
    <row r="2266" spans="4:4" ht="14.4" hidden="1" x14ac:dyDescent="0.3">
      <c r="D2266" s="19"/>
    </row>
    <row r="2267" spans="4:4" ht="14.4" hidden="1" x14ac:dyDescent="0.3">
      <c r="D2267" s="19"/>
    </row>
    <row r="2268" spans="4:4" ht="14.4" hidden="1" x14ac:dyDescent="0.3">
      <c r="D2268" s="19"/>
    </row>
    <row r="2269" spans="4:4" ht="14.4" hidden="1" x14ac:dyDescent="0.3">
      <c r="D2269" s="19"/>
    </row>
    <row r="2270" spans="4:4" ht="14.4" hidden="1" x14ac:dyDescent="0.3">
      <c r="D2270" s="19"/>
    </row>
    <row r="2271" spans="4:4" ht="14.4" hidden="1" x14ac:dyDescent="0.3">
      <c r="D2271" s="19"/>
    </row>
    <row r="2272" spans="4:4" ht="14.4" hidden="1" x14ac:dyDescent="0.3">
      <c r="D2272" s="19"/>
    </row>
    <row r="2273" spans="4:4" ht="14.4" hidden="1" x14ac:dyDescent="0.3">
      <c r="D2273" s="19"/>
    </row>
    <row r="2274" spans="4:4" ht="14.4" hidden="1" x14ac:dyDescent="0.3">
      <c r="D2274" s="19"/>
    </row>
    <row r="2275" spans="4:4" ht="14.4" hidden="1" x14ac:dyDescent="0.3">
      <c r="D2275" s="19"/>
    </row>
    <row r="2276" spans="4:4" ht="14.4" hidden="1" x14ac:dyDescent="0.3">
      <c r="D2276" s="19"/>
    </row>
    <row r="2277" spans="4:4" ht="14.4" hidden="1" x14ac:dyDescent="0.3">
      <c r="D2277" s="19"/>
    </row>
    <row r="2278" spans="4:4" ht="14.4" hidden="1" x14ac:dyDescent="0.3">
      <c r="D2278" s="19"/>
    </row>
    <row r="2279" spans="4:4" ht="14.4" hidden="1" x14ac:dyDescent="0.3">
      <c r="D2279" s="19"/>
    </row>
    <row r="2280" spans="4:4" ht="14.4" hidden="1" x14ac:dyDescent="0.3">
      <c r="D2280" s="19"/>
    </row>
    <row r="2281" spans="4:4" ht="14.4" hidden="1" x14ac:dyDescent="0.3">
      <c r="D2281" s="19"/>
    </row>
    <row r="2282" spans="4:4" ht="14.4" hidden="1" x14ac:dyDescent="0.3">
      <c r="D2282" s="19"/>
    </row>
    <row r="2283" spans="4:4" ht="14.4" hidden="1" x14ac:dyDescent="0.3">
      <c r="D2283" s="19"/>
    </row>
    <row r="2284" spans="4:4" ht="14.4" hidden="1" x14ac:dyDescent="0.3">
      <c r="D2284" s="19"/>
    </row>
    <row r="2285" spans="4:4" ht="14.4" hidden="1" x14ac:dyDescent="0.3">
      <c r="D2285" s="19"/>
    </row>
    <row r="2286" spans="4:4" ht="14.4" hidden="1" x14ac:dyDescent="0.3">
      <c r="D2286" s="19"/>
    </row>
    <row r="2287" spans="4:4" ht="14.4" hidden="1" x14ac:dyDescent="0.3">
      <c r="D2287" s="19"/>
    </row>
    <row r="2288" spans="4:4" ht="14.4" hidden="1" x14ac:dyDescent="0.3">
      <c r="D2288" s="19"/>
    </row>
    <row r="2289" spans="4:4" ht="14.4" hidden="1" x14ac:dyDescent="0.3">
      <c r="D2289" s="19"/>
    </row>
    <row r="2290" spans="4:4" ht="14.4" hidden="1" x14ac:dyDescent="0.3">
      <c r="D2290" s="19"/>
    </row>
    <row r="2291" spans="4:4" ht="14.4" hidden="1" x14ac:dyDescent="0.3">
      <c r="D2291" s="19"/>
    </row>
    <row r="2292" spans="4:4" ht="14.4" hidden="1" x14ac:dyDescent="0.3">
      <c r="D2292" s="19"/>
    </row>
    <row r="2293" spans="4:4" ht="14.4" hidden="1" x14ac:dyDescent="0.3">
      <c r="D2293" s="19"/>
    </row>
    <row r="2294" spans="4:4" ht="14.4" hidden="1" x14ac:dyDescent="0.3">
      <c r="D2294" s="19"/>
    </row>
    <row r="2295" spans="4:4" ht="14.4" hidden="1" x14ac:dyDescent="0.3">
      <c r="D2295" s="19"/>
    </row>
    <row r="2296" spans="4:4" ht="14.4" hidden="1" x14ac:dyDescent="0.3">
      <c r="D2296" s="19"/>
    </row>
    <row r="2297" spans="4:4" ht="14.4" hidden="1" x14ac:dyDescent="0.3">
      <c r="D2297" s="19"/>
    </row>
    <row r="2298" spans="4:4" ht="14.4" hidden="1" x14ac:dyDescent="0.3">
      <c r="D2298" s="19"/>
    </row>
    <row r="2299" spans="4:4" ht="14.4" hidden="1" x14ac:dyDescent="0.3">
      <c r="D2299" s="19"/>
    </row>
    <row r="2300" spans="4:4" ht="14.4" hidden="1" x14ac:dyDescent="0.3">
      <c r="D2300" s="19"/>
    </row>
    <row r="2301" spans="4:4" ht="14.4" hidden="1" x14ac:dyDescent="0.3">
      <c r="D2301" s="19"/>
    </row>
    <row r="2302" spans="4:4" ht="14.4" hidden="1" x14ac:dyDescent="0.3">
      <c r="D2302" s="19"/>
    </row>
    <row r="2303" spans="4:4" ht="14.4" hidden="1" x14ac:dyDescent="0.3">
      <c r="D2303" s="19"/>
    </row>
    <row r="2304" spans="4:4" ht="14.4" hidden="1" x14ac:dyDescent="0.3">
      <c r="D2304" s="19"/>
    </row>
    <row r="2305" spans="4:4" ht="14.4" hidden="1" x14ac:dyDescent="0.3">
      <c r="D2305" s="19"/>
    </row>
    <row r="2306" spans="4:4" ht="14.4" hidden="1" x14ac:dyDescent="0.3">
      <c r="D2306" s="19"/>
    </row>
    <row r="2307" spans="4:4" ht="14.4" hidden="1" x14ac:dyDescent="0.3">
      <c r="D2307" s="19"/>
    </row>
    <row r="2308" spans="4:4" ht="14.4" hidden="1" x14ac:dyDescent="0.3">
      <c r="D2308" s="19"/>
    </row>
    <row r="2309" spans="4:4" ht="14.4" hidden="1" x14ac:dyDescent="0.3">
      <c r="D2309" s="19"/>
    </row>
    <row r="2310" spans="4:4" ht="14.4" hidden="1" x14ac:dyDescent="0.3">
      <c r="D2310" s="19"/>
    </row>
    <row r="2311" spans="4:4" ht="14.4" hidden="1" x14ac:dyDescent="0.3">
      <c r="D2311" s="19"/>
    </row>
    <row r="2312" spans="4:4" ht="14.4" hidden="1" x14ac:dyDescent="0.3">
      <c r="D2312" s="19"/>
    </row>
    <row r="2313" spans="4:4" ht="14.4" hidden="1" x14ac:dyDescent="0.3">
      <c r="D2313" s="19"/>
    </row>
    <row r="2314" spans="4:4" ht="14.4" hidden="1" x14ac:dyDescent="0.3">
      <c r="D2314" s="19"/>
    </row>
    <row r="2315" spans="4:4" ht="14.4" hidden="1" x14ac:dyDescent="0.3">
      <c r="D2315" s="19"/>
    </row>
    <row r="2316" spans="4:4" ht="14.4" hidden="1" x14ac:dyDescent="0.3">
      <c r="D2316" s="19"/>
    </row>
    <row r="2317" spans="4:4" ht="14.4" hidden="1" x14ac:dyDescent="0.3">
      <c r="D2317" s="19"/>
    </row>
    <row r="2318" spans="4:4" ht="14.4" hidden="1" x14ac:dyDescent="0.3">
      <c r="D2318" s="19"/>
    </row>
    <row r="2319" spans="4:4" ht="14.4" hidden="1" x14ac:dyDescent="0.3">
      <c r="D2319" s="19"/>
    </row>
    <row r="2320" spans="4:4" ht="14.4" hidden="1" x14ac:dyDescent="0.3">
      <c r="D2320" s="19"/>
    </row>
    <row r="2321" spans="4:4" ht="14.4" hidden="1" x14ac:dyDescent="0.3">
      <c r="D2321" s="19"/>
    </row>
    <row r="2322" spans="4:4" ht="14.4" hidden="1" x14ac:dyDescent="0.3">
      <c r="D2322" s="19"/>
    </row>
    <row r="2323" spans="4:4" ht="14.4" hidden="1" x14ac:dyDescent="0.3">
      <c r="D2323" s="19"/>
    </row>
    <row r="2324" spans="4:4" ht="14.4" hidden="1" x14ac:dyDescent="0.3">
      <c r="D2324" s="19"/>
    </row>
    <row r="2325" spans="4:4" ht="14.4" hidden="1" x14ac:dyDescent="0.3">
      <c r="D2325" s="19"/>
    </row>
    <row r="2326" spans="4:4" ht="14.4" hidden="1" x14ac:dyDescent="0.3">
      <c r="D2326" s="19"/>
    </row>
    <row r="2327" spans="4:4" ht="14.4" hidden="1" x14ac:dyDescent="0.3">
      <c r="D2327" s="19"/>
    </row>
    <row r="2328" spans="4:4" ht="14.4" hidden="1" x14ac:dyDescent="0.3">
      <c r="D2328" s="19"/>
    </row>
    <row r="2329" spans="4:4" ht="14.4" hidden="1" x14ac:dyDescent="0.3">
      <c r="D2329" s="19"/>
    </row>
    <row r="2330" spans="4:4" ht="14.4" hidden="1" x14ac:dyDescent="0.3">
      <c r="D2330" s="19"/>
    </row>
    <row r="2331" spans="4:4" ht="14.4" hidden="1" x14ac:dyDescent="0.3">
      <c r="D2331" s="19"/>
    </row>
    <row r="2332" spans="4:4" ht="14.4" hidden="1" x14ac:dyDescent="0.3">
      <c r="D2332" s="19"/>
    </row>
    <row r="2333" spans="4:4" ht="14.4" hidden="1" x14ac:dyDescent="0.3">
      <c r="D2333" s="19"/>
    </row>
    <row r="2334" spans="4:4" ht="14.4" hidden="1" x14ac:dyDescent="0.3">
      <c r="D2334" s="19"/>
    </row>
    <row r="2335" spans="4:4" ht="14.4" hidden="1" x14ac:dyDescent="0.3">
      <c r="D2335" s="19"/>
    </row>
    <row r="2336" spans="4:4" ht="14.4" hidden="1" x14ac:dyDescent="0.3">
      <c r="D2336" s="19"/>
    </row>
    <row r="2337" spans="4:4" ht="14.4" hidden="1" x14ac:dyDescent="0.3">
      <c r="D2337" s="19"/>
    </row>
    <row r="2338" spans="4:4" ht="14.4" hidden="1" x14ac:dyDescent="0.3">
      <c r="D2338" s="19"/>
    </row>
    <row r="2339" spans="4:4" ht="14.4" hidden="1" x14ac:dyDescent="0.3">
      <c r="D2339" s="19"/>
    </row>
    <row r="2340" spans="4:4" ht="14.4" hidden="1" x14ac:dyDescent="0.3">
      <c r="D2340" s="19"/>
    </row>
    <row r="2341" spans="4:4" ht="14.4" hidden="1" x14ac:dyDescent="0.3">
      <c r="D2341" s="19"/>
    </row>
    <row r="2342" spans="4:4" ht="14.4" hidden="1" x14ac:dyDescent="0.3">
      <c r="D2342" s="19"/>
    </row>
    <row r="2343" spans="4:4" ht="14.4" hidden="1" x14ac:dyDescent="0.3">
      <c r="D2343" s="19"/>
    </row>
    <row r="2344" spans="4:4" ht="14.4" hidden="1" x14ac:dyDescent="0.3">
      <c r="D2344" s="19"/>
    </row>
    <row r="2345" spans="4:4" ht="14.4" hidden="1" x14ac:dyDescent="0.3">
      <c r="D2345" s="19"/>
    </row>
    <row r="2346" spans="4:4" ht="14.4" hidden="1" x14ac:dyDescent="0.3">
      <c r="D2346" s="19"/>
    </row>
    <row r="2347" spans="4:4" ht="14.4" hidden="1" x14ac:dyDescent="0.3">
      <c r="D2347" s="19"/>
    </row>
    <row r="2348" spans="4:4" ht="14.4" hidden="1" x14ac:dyDescent="0.3">
      <c r="D2348" s="19"/>
    </row>
    <row r="2349" spans="4:4" ht="14.4" hidden="1" x14ac:dyDescent="0.3">
      <c r="D2349" s="19"/>
    </row>
    <row r="2350" spans="4:4" ht="14.4" hidden="1" x14ac:dyDescent="0.3">
      <c r="D2350" s="19"/>
    </row>
    <row r="2351" spans="4:4" ht="14.4" hidden="1" x14ac:dyDescent="0.3">
      <c r="D2351" s="19"/>
    </row>
    <row r="2352" spans="4:4" ht="14.4" hidden="1" x14ac:dyDescent="0.3">
      <c r="D2352" s="19"/>
    </row>
    <row r="2353" spans="4:4" ht="14.4" hidden="1" x14ac:dyDescent="0.3">
      <c r="D2353" s="19"/>
    </row>
    <row r="2354" spans="4:4" ht="14.4" hidden="1" x14ac:dyDescent="0.3">
      <c r="D2354" s="19"/>
    </row>
    <row r="2355" spans="4:4" ht="14.4" hidden="1" x14ac:dyDescent="0.3">
      <c r="D2355" s="19"/>
    </row>
    <row r="2356" spans="4:4" ht="14.4" hidden="1" x14ac:dyDescent="0.3">
      <c r="D2356" s="19"/>
    </row>
    <row r="2357" spans="4:4" ht="14.4" hidden="1" x14ac:dyDescent="0.3">
      <c r="D2357" s="19"/>
    </row>
    <row r="2358" spans="4:4" ht="14.4" hidden="1" x14ac:dyDescent="0.3">
      <c r="D2358" s="19"/>
    </row>
    <row r="2359" spans="4:4" ht="14.4" hidden="1" x14ac:dyDescent="0.3">
      <c r="D2359" s="19"/>
    </row>
    <row r="2360" spans="4:4" ht="14.4" hidden="1" x14ac:dyDescent="0.3">
      <c r="D2360" s="19"/>
    </row>
    <row r="2361" spans="4:4" ht="14.4" hidden="1" x14ac:dyDescent="0.3">
      <c r="D2361" s="19"/>
    </row>
    <row r="2362" spans="4:4" ht="14.4" hidden="1" x14ac:dyDescent="0.3">
      <c r="D2362" s="19"/>
    </row>
    <row r="2363" spans="4:4" ht="14.4" hidden="1" x14ac:dyDescent="0.3">
      <c r="D2363" s="19"/>
    </row>
    <row r="2364" spans="4:4" ht="14.4" hidden="1" x14ac:dyDescent="0.3">
      <c r="D2364" s="19"/>
    </row>
    <row r="2365" spans="4:4" ht="14.4" hidden="1" x14ac:dyDescent="0.3">
      <c r="D2365" s="19"/>
    </row>
    <row r="2366" spans="4:4" ht="14.4" hidden="1" x14ac:dyDescent="0.3">
      <c r="D2366" s="19"/>
    </row>
    <row r="2367" spans="4:4" ht="14.4" hidden="1" x14ac:dyDescent="0.3">
      <c r="D2367" s="19"/>
    </row>
    <row r="2368" spans="4:4" ht="14.4" hidden="1" x14ac:dyDescent="0.3">
      <c r="D2368" s="19"/>
    </row>
    <row r="2369" spans="4:4" ht="14.4" hidden="1" x14ac:dyDescent="0.3">
      <c r="D2369" s="19"/>
    </row>
    <row r="2370" spans="4:4" ht="14.4" hidden="1" x14ac:dyDescent="0.3">
      <c r="D2370" s="19"/>
    </row>
    <row r="2371" spans="4:4" ht="14.4" hidden="1" x14ac:dyDescent="0.3">
      <c r="D2371" s="19"/>
    </row>
    <row r="2372" spans="4:4" ht="14.4" hidden="1" x14ac:dyDescent="0.3">
      <c r="D2372" s="19"/>
    </row>
    <row r="2373" spans="4:4" ht="14.4" hidden="1" x14ac:dyDescent="0.3">
      <c r="D2373" s="19"/>
    </row>
    <row r="2374" spans="4:4" ht="14.4" hidden="1" x14ac:dyDescent="0.3">
      <c r="D2374" s="19"/>
    </row>
    <row r="2375" spans="4:4" ht="14.4" hidden="1" x14ac:dyDescent="0.3">
      <c r="D2375" s="19"/>
    </row>
    <row r="2376" spans="4:4" ht="14.4" hidden="1" x14ac:dyDescent="0.3">
      <c r="D2376" s="19"/>
    </row>
    <row r="2377" spans="4:4" ht="14.4" hidden="1" x14ac:dyDescent="0.3">
      <c r="D2377" s="19"/>
    </row>
    <row r="2378" spans="4:4" ht="14.4" hidden="1" x14ac:dyDescent="0.3">
      <c r="D2378" s="19"/>
    </row>
    <row r="2379" spans="4:4" ht="14.4" hidden="1" x14ac:dyDescent="0.3">
      <c r="D2379" s="19"/>
    </row>
    <row r="2380" spans="4:4" ht="14.4" hidden="1" x14ac:dyDescent="0.3">
      <c r="D2380" s="19"/>
    </row>
    <row r="2381" spans="4:4" ht="14.4" hidden="1" x14ac:dyDescent="0.3">
      <c r="D2381" s="19"/>
    </row>
    <row r="2382" spans="4:4" ht="14.4" hidden="1" x14ac:dyDescent="0.3">
      <c r="D2382" s="19"/>
    </row>
    <row r="2383" spans="4:4" ht="14.4" hidden="1" x14ac:dyDescent="0.3">
      <c r="D2383" s="19"/>
    </row>
    <row r="2384" spans="4:4" ht="14.4" hidden="1" x14ac:dyDescent="0.3">
      <c r="D2384" s="19"/>
    </row>
    <row r="2385" spans="4:4" ht="14.4" hidden="1" x14ac:dyDescent="0.3">
      <c r="D2385" s="19"/>
    </row>
    <row r="2386" spans="4:4" ht="14.4" hidden="1" x14ac:dyDescent="0.3">
      <c r="D2386" s="19"/>
    </row>
    <row r="2387" spans="4:4" ht="14.4" hidden="1" x14ac:dyDescent="0.3">
      <c r="D2387" s="19"/>
    </row>
    <row r="2388" spans="4:4" ht="14.4" hidden="1" x14ac:dyDescent="0.3">
      <c r="D2388" s="19"/>
    </row>
    <row r="2389" spans="4:4" ht="14.4" hidden="1" x14ac:dyDescent="0.3">
      <c r="D2389" s="19"/>
    </row>
    <row r="2390" spans="4:4" ht="14.4" hidden="1" x14ac:dyDescent="0.3">
      <c r="D2390" s="19"/>
    </row>
    <row r="2391" spans="4:4" ht="14.4" hidden="1" x14ac:dyDescent="0.3">
      <c r="D2391" s="19"/>
    </row>
    <row r="2392" spans="4:4" ht="14.4" hidden="1" x14ac:dyDescent="0.3">
      <c r="D2392" s="19"/>
    </row>
    <row r="2393" spans="4:4" ht="14.4" hidden="1" x14ac:dyDescent="0.3">
      <c r="D2393" s="19"/>
    </row>
    <row r="2394" spans="4:4" ht="14.4" hidden="1" x14ac:dyDescent="0.3">
      <c r="D2394" s="19"/>
    </row>
    <row r="2395" spans="4:4" ht="14.4" hidden="1" x14ac:dyDescent="0.3">
      <c r="D2395" s="19"/>
    </row>
    <row r="2396" spans="4:4" ht="14.4" hidden="1" x14ac:dyDescent="0.3">
      <c r="D2396" s="19"/>
    </row>
    <row r="2397" spans="4:4" ht="14.4" hidden="1" x14ac:dyDescent="0.3">
      <c r="D2397" s="19"/>
    </row>
    <row r="2398" spans="4:4" ht="14.4" hidden="1" x14ac:dyDescent="0.3">
      <c r="D2398" s="19"/>
    </row>
    <row r="2399" spans="4:4" ht="14.4" hidden="1" x14ac:dyDescent="0.3">
      <c r="D2399" s="19"/>
    </row>
    <row r="2400" spans="4:4" ht="14.4" hidden="1" x14ac:dyDescent="0.3">
      <c r="D2400" s="19"/>
    </row>
    <row r="2401" spans="4:4" ht="14.4" hidden="1" x14ac:dyDescent="0.3">
      <c r="D2401" s="19"/>
    </row>
    <row r="2402" spans="4:4" ht="14.4" hidden="1" x14ac:dyDescent="0.3">
      <c r="D2402" s="19"/>
    </row>
    <row r="2403" spans="4:4" ht="14.4" hidden="1" x14ac:dyDescent="0.3">
      <c r="D2403" s="19"/>
    </row>
    <row r="2404" spans="4:4" ht="14.4" hidden="1" x14ac:dyDescent="0.3">
      <c r="D2404" s="19"/>
    </row>
    <row r="2405" spans="4:4" ht="14.4" hidden="1" x14ac:dyDescent="0.3">
      <c r="D2405" s="19"/>
    </row>
    <row r="2406" spans="4:4" ht="14.4" hidden="1" x14ac:dyDescent="0.3">
      <c r="D2406" s="19"/>
    </row>
    <row r="2407" spans="4:4" ht="14.4" hidden="1" x14ac:dyDescent="0.3">
      <c r="D2407" s="19"/>
    </row>
    <row r="2408" spans="4:4" ht="14.4" hidden="1" x14ac:dyDescent="0.3">
      <c r="D2408" s="19"/>
    </row>
    <row r="2409" spans="4:4" ht="14.4" hidden="1" x14ac:dyDescent="0.3">
      <c r="D2409" s="19"/>
    </row>
    <row r="2410" spans="4:4" ht="14.4" hidden="1" x14ac:dyDescent="0.3">
      <c r="D2410" s="19"/>
    </row>
    <row r="2411" spans="4:4" ht="14.4" hidden="1" x14ac:dyDescent="0.3">
      <c r="D2411" s="19"/>
    </row>
    <row r="2412" spans="4:4" ht="14.4" hidden="1" x14ac:dyDescent="0.3">
      <c r="D2412" s="19"/>
    </row>
    <row r="2413" spans="4:4" ht="14.4" hidden="1" x14ac:dyDescent="0.3">
      <c r="D2413" s="19"/>
    </row>
    <row r="2414" spans="4:4" ht="14.4" hidden="1" x14ac:dyDescent="0.3">
      <c r="D2414" s="19"/>
    </row>
    <row r="2415" spans="4:4" ht="14.4" hidden="1" x14ac:dyDescent="0.3">
      <c r="D2415" s="19"/>
    </row>
    <row r="2416" spans="4:4" ht="14.4" hidden="1" x14ac:dyDescent="0.3">
      <c r="D2416" s="19"/>
    </row>
    <row r="2417" spans="4:4" ht="14.4" hidden="1" x14ac:dyDescent="0.3">
      <c r="D2417" s="19"/>
    </row>
    <row r="2418" spans="4:4" ht="14.4" hidden="1" x14ac:dyDescent="0.3">
      <c r="D2418" s="19"/>
    </row>
    <row r="2419" spans="4:4" ht="14.4" hidden="1" x14ac:dyDescent="0.3">
      <c r="D2419" s="19"/>
    </row>
    <row r="2420" spans="4:4" ht="14.4" hidden="1" x14ac:dyDescent="0.3">
      <c r="D2420" s="19"/>
    </row>
    <row r="2421" spans="4:4" ht="14.4" hidden="1" x14ac:dyDescent="0.3">
      <c r="D2421" s="19"/>
    </row>
    <row r="2422" spans="4:4" ht="14.4" hidden="1" x14ac:dyDescent="0.3">
      <c r="D2422" s="19"/>
    </row>
    <row r="2423" spans="4:4" ht="14.4" hidden="1" x14ac:dyDescent="0.3">
      <c r="D2423" s="19"/>
    </row>
    <row r="2424" spans="4:4" ht="14.4" hidden="1" x14ac:dyDescent="0.3">
      <c r="D2424" s="19"/>
    </row>
    <row r="2425" spans="4:4" ht="14.4" hidden="1" x14ac:dyDescent="0.3">
      <c r="D2425" s="19"/>
    </row>
    <row r="2426" spans="4:4" ht="14.4" hidden="1" x14ac:dyDescent="0.3">
      <c r="D2426" s="19"/>
    </row>
    <row r="2427" spans="4:4" ht="14.4" hidden="1" x14ac:dyDescent="0.3">
      <c r="D2427" s="19"/>
    </row>
    <row r="2428" spans="4:4" ht="14.4" hidden="1" x14ac:dyDescent="0.3">
      <c r="D2428" s="19"/>
    </row>
    <row r="2429" spans="4:4" ht="14.4" hidden="1" x14ac:dyDescent="0.3">
      <c r="D2429" s="19"/>
    </row>
    <row r="2430" spans="4:4" ht="14.4" hidden="1" x14ac:dyDescent="0.3">
      <c r="D2430" s="19"/>
    </row>
    <row r="2431" spans="4:4" ht="14.4" hidden="1" x14ac:dyDescent="0.3">
      <c r="D2431" s="19"/>
    </row>
    <row r="2432" spans="4:4" ht="14.4" hidden="1" x14ac:dyDescent="0.3">
      <c r="D2432" s="19"/>
    </row>
    <row r="2433" spans="4:4" ht="14.4" hidden="1" x14ac:dyDescent="0.3">
      <c r="D2433" s="19"/>
    </row>
    <row r="2434" spans="4:4" ht="14.4" hidden="1" x14ac:dyDescent="0.3">
      <c r="D2434" s="19"/>
    </row>
    <row r="2435" spans="4:4" ht="14.4" hidden="1" x14ac:dyDescent="0.3">
      <c r="D2435" s="19"/>
    </row>
    <row r="2436" spans="4:4" ht="14.4" hidden="1" x14ac:dyDescent="0.3">
      <c r="D2436" s="19"/>
    </row>
    <row r="2437" spans="4:4" ht="14.4" hidden="1" x14ac:dyDescent="0.3">
      <c r="D2437" s="19"/>
    </row>
    <row r="2438" spans="4:4" ht="14.4" hidden="1" x14ac:dyDescent="0.3">
      <c r="D2438" s="19"/>
    </row>
    <row r="2439" spans="4:4" ht="14.4" hidden="1" x14ac:dyDescent="0.3">
      <c r="D2439" s="19"/>
    </row>
    <row r="2440" spans="4:4" ht="14.4" hidden="1" x14ac:dyDescent="0.3">
      <c r="D2440" s="19"/>
    </row>
    <row r="2441" spans="4:4" ht="14.4" hidden="1" x14ac:dyDescent="0.3">
      <c r="D2441" s="19"/>
    </row>
    <row r="2442" spans="4:4" ht="14.4" hidden="1" x14ac:dyDescent="0.3">
      <c r="D2442" s="19"/>
    </row>
    <row r="2443" spans="4:4" ht="14.4" hidden="1" x14ac:dyDescent="0.3">
      <c r="D2443" s="19"/>
    </row>
    <row r="2444" spans="4:4" ht="14.4" hidden="1" x14ac:dyDescent="0.3">
      <c r="D2444" s="19"/>
    </row>
    <row r="2445" spans="4:4" ht="14.4" hidden="1" x14ac:dyDescent="0.3">
      <c r="D2445" s="19"/>
    </row>
    <row r="2446" spans="4:4" ht="14.4" hidden="1" x14ac:dyDescent="0.3">
      <c r="D2446" s="19"/>
    </row>
    <row r="2447" spans="4:4" ht="14.4" hidden="1" x14ac:dyDescent="0.3">
      <c r="D2447" s="19"/>
    </row>
    <row r="2448" spans="4:4" ht="14.4" hidden="1" x14ac:dyDescent="0.3">
      <c r="D2448" s="19"/>
    </row>
    <row r="2449" spans="4:4" ht="14.4" hidden="1" x14ac:dyDescent="0.3">
      <c r="D2449" s="19"/>
    </row>
    <row r="2450" spans="4:4" ht="14.4" hidden="1" x14ac:dyDescent="0.3">
      <c r="D2450" s="19"/>
    </row>
    <row r="2451" spans="4:4" ht="14.4" hidden="1" x14ac:dyDescent="0.3">
      <c r="D2451" s="19"/>
    </row>
    <row r="2452" spans="4:4" ht="14.4" hidden="1" x14ac:dyDescent="0.3">
      <c r="D2452" s="19"/>
    </row>
    <row r="2453" spans="4:4" ht="14.4" hidden="1" x14ac:dyDescent="0.3">
      <c r="D2453" s="19"/>
    </row>
    <row r="2454" spans="4:4" ht="14.4" hidden="1" x14ac:dyDescent="0.3">
      <c r="D2454" s="19"/>
    </row>
    <row r="2455" spans="4:4" ht="14.4" hidden="1" x14ac:dyDescent="0.3">
      <c r="D2455" s="19"/>
    </row>
    <row r="2456" spans="4:4" ht="14.4" hidden="1" x14ac:dyDescent="0.3">
      <c r="D2456" s="19"/>
    </row>
    <row r="2457" spans="4:4" ht="14.4" hidden="1" x14ac:dyDescent="0.3">
      <c r="D2457" s="19"/>
    </row>
    <row r="2458" spans="4:4" ht="14.4" hidden="1" x14ac:dyDescent="0.3">
      <c r="D2458" s="19"/>
    </row>
    <row r="2459" spans="4:4" ht="14.4" hidden="1" x14ac:dyDescent="0.3">
      <c r="D2459" s="19"/>
    </row>
    <row r="2460" spans="4:4" ht="14.4" hidden="1" x14ac:dyDescent="0.3">
      <c r="D2460" s="19"/>
    </row>
    <row r="2461" spans="4:4" ht="14.4" hidden="1" x14ac:dyDescent="0.3">
      <c r="D2461" s="19"/>
    </row>
    <row r="2462" spans="4:4" ht="14.4" hidden="1" x14ac:dyDescent="0.3">
      <c r="D2462" s="19"/>
    </row>
    <row r="2463" spans="4:4" ht="14.4" hidden="1" x14ac:dyDescent="0.3">
      <c r="D2463" s="19"/>
    </row>
    <row r="2464" spans="4:4" ht="14.4" hidden="1" x14ac:dyDescent="0.3">
      <c r="D2464" s="19"/>
    </row>
    <row r="2465" spans="4:4" ht="14.4" hidden="1" x14ac:dyDescent="0.3">
      <c r="D2465" s="19"/>
    </row>
    <row r="2466" spans="4:4" ht="14.4" hidden="1" x14ac:dyDescent="0.3">
      <c r="D2466" s="19"/>
    </row>
    <row r="2467" spans="4:4" ht="14.4" hidden="1" x14ac:dyDescent="0.3">
      <c r="D2467" s="19"/>
    </row>
    <row r="2468" spans="4:4" ht="14.4" hidden="1" x14ac:dyDescent="0.3">
      <c r="D2468" s="19"/>
    </row>
    <row r="2469" spans="4:4" ht="14.4" hidden="1" x14ac:dyDescent="0.3">
      <c r="D2469" s="19"/>
    </row>
    <row r="2470" spans="4:4" ht="14.4" hidden="1" x14ac:dyDescent="0.3">
      <c r="D2470" s="19"/>
    </row>
    <row r="2471" spans="4:4" ht="14.4" hidden="1" x14ac:dyDescent="0.3">
      <c r="D2471" s="19"/>
    </row>
    <row r="2472" spans="4:4" ht="14.4" hidden="1" x14ac:dyDescent="0.3">
      <c r="D2472" s="19"/>
    </row>
    <row r="2473" spans="4:4" ht="14.4" hidden="1" x14ac:dyDescent="0.3">
      <c r="D2473" s="19"/>
    </row>
    <row r="2474" spans="4:4" ht="14.4" hidden="1" x14ac:dyDescent="0.3">
      <c r="D2474" s="19"/>
    </row>
    <row r="2475" spans="4:4" ht="14.4" hidden="1" x14ac:dyDescent="0.3">
      <c r="D2475" s="19"/>
    </row>
    <row r="2476" spans="4:4" ht="14.4" hidden="1" x14ac:dyDescent="0.3">
      <c r="D2476" s="19"/>
    </row>
    <row r="2477" spans="4:4" ht="14.4" hidden="1" x14ac:dyDescent="0.3">
      <c r="D2477" s="19"/>
    </row>
    <row r="2478" spans="4:4" ht="14.4" hidden="1" x14ac:dyDescent="0.3">
      <c r="D2478" s="19"/>
    </row>
    <row r="2479" spans="4:4" ht="14.4" hidden="1" x14ac:dyDescent="0.3">
      <c r="D2479" s="19"/>
    </row>
    <row r="2480" spans="4:4" ht="14.4" hidden="1" x14ac:dyDescent="0.3">
      <c r="D2480" s="19"/>
    </row>
    <row r="2481" spans="4:4" ht="14.4" hidden="1" x14ac:dyDescent="0.3">
      <c r="D2481" s="19"/>
    </row>
    <row r="2482" spans="4:4" ht="14.4" hidden="1" x14ac:dyDescent="0.3">
      <c r="D2482" s="19"/>
    </row>
    <row r="2483" spans="4:4" ht="14.4" hidden="1" x14ac:dyDescent="0.3">
      <c r="D2483" s="19"/>
    </row>
    <row r="2484" spans="4:4" ht="14.4" hidden="1" x14ac:dyDescent="0.3">
      <c r="D2484" s="19"/>
    </row>
    <row r="2485" spans="4:4" ht="14.4" hidden="1" x14ac:dyDescent="0.3">
      <c r="D2485" s="19"/>
    </row>
    <row r="2486" spans="4:4" ht="14.4" hidden="1" x14ac:dyDescent="0.3">
      <c r="D2486" s="19"/>
    </row>
    <row r="2487" spans="4:4" ht="14.4" hidden="1" x14ac:dyDescent="0.3">
      <c r="D2487" s="19"/>
    </row>
    <row r="2488" spans="4:4" ht="14.4" hidden="1" x14ac:dyDescent="0.3">
      <c r="D2488" s="19"/>
    </row>
    <row r="2489" spans="4:4" ht="14.4" hidden="1" x14ac:dyDescent="0.3">
      <c r="D2489" s="19"/>
    </row>
    <row r="2490" spans="4:4" ht="14.4" hidden="1" x14ac:dyDescent="0.3">
      <c r="D2490" s="19"/>
    </row>
    <row r="2491" spans="4:4" ht="14.4" hidden="1" x14ac:dyDescent="0.3">
      <c r="D2491" s="19"/>
    </row>
    <row r="2492" spans="4:4" ht="14.4" hidden="1" x14ac:dyDescent="0.3">
      <c r="D2492" s="19"/>
    </row>
    <row r="2493" spans="4:4" ht="14.4" hidden="1" x14ac:dyDescent="0.3">
      <c r="D2493" s="19"/>
    </row>
    <row r="2494" spans="4:4" ht="14.4" hidden="1" x14ac:dyDescent="0.3">
      <c r="D2494" s="19"/>
    </row>
    <row r="2495" spans="4:4" ht="14.4" hidden="1" x14ac:dyDescent="0.3">
      <c r="D2495" s="19"/>
    </row>
    <row r="2496" spans="4:4" ht="14.4" hidden="1" x14ac:dyDescent="0.3">
      <c r="D2496" s="19"/>
    </row>
    <row r="2497" spans="4:4" ht="14.4" hidden="1" x14ac:dyDescent="0.3">
      <c r="D2497" s="19"/>
    </row>
    <row r="2498" spans="4:4" ht="14.4" hidden="1" x14ac:dyDescent="0.3">
      <c r="D2498" s="19"/>
    </row>
    <row r="2499" spans="4:4" ht="14.4" hidden="1" x14ac:dyDescent="0.3">
      <c r="D2499" s="19"/>
    </row>
    <row r="2500" spans="4:4" ht="14.4" hidden="1" x14ac:dyDescent="0.3">
      <c r="D2500" s="19"/>
    </row>
    <row r="2501" spans="4:4" ht="14.4" hidden="1" x14ac:dyDescent="0.3">
      <c r="D2501" s="19"/>
    </row>
    <row r="2502" spans="4:4" ht="14.4" hidden="1" x14ac:dyDescent="0.3">
      <c r="D2502" s="19"/>
    </row>
    <row r="2503" spans="4:4" ht="14.4" hidden="1" x14ac:dyDescent="0.3">
      <c r="D2503" s="19"/>
    </row>
    <row r="2504" spans="4:4" ht="14.4" hidden="1" x14ac:dyDescent="0.3">
      <c r="D2504" s="19"/>
    </row>
    <row r="2505" spans="4:4" ht="14.4" hidden="1" x14ac:dyDescent="0.3">
      <c r="D2505" s="19"/>
    </row>
    <row r="2506" spans="4:4" ht="14.4" hidden="1" x14ac:dyDescent="0.3">
      <c r="D2506" s="19"/>
    </row>
    <row r="2507" spans="4:4" ht="14.4" hidden="1" x14ac:dyDescent="0.3">
      <c r="D2507" s="19"/>
    </row>
    <row r="2508" spans="4:4" ht="14.4" hidden="1" x14ac:dyDescent="0.3">
      <c r="D2508" s="19"/>
    </row>
    <row r="2509" spans="4:4" ht="14.4" hidden="1" x14ac:dyDescent="0.3">
      <c r="D2509" s="19"/>
    </row>
    <row r="2510" spans="4:4" ht="14.4" hidden="1" x14ac:dyDescent="0.3">
      <c r="D2510" s="19"/>
    </row>
    <row r="2511" spans="4:4" ht="14.4" hidden="1" x14ac:dyDescent="0.3">
      <c r="D2511" s="19"/>
    </row>
    <row r="2512" spans="4:4" ht="14.4" hidden="1" x14ac:dyDescent="0.3">
      <c r="D2512" s="19"/>
    </row>
    <row r="2513" spans="4:4" ht="14.4" hidden="1" x14ac:dyDescent="0.3">
      <c r="D2513" s="19"/>
    </row>
    <row r="2514" spans="4:4" ht="14.4" hidden="1" x14ac:dyDescent="0.3">
      <c r="D2514" s="19"/>
    </row>
    <row r="2515" spans="4:4" ht="14.4" hidden="1" x14ac:dyDescent="0.3">
      <c r="D2515" s="19"/>
    </row>
    <row r="2516" spans="4:4" ht="14.4" hidden="1" x14ac:dyDescent="0.3">
      <c r="D2516" s="19"/>
    </row>
    <row r="2517" spans="4:4" ht="14.4" hidden="1" x14ac:dyDescent="0.3">
      <c r="D2517" s="19"/>
    </row>
    <row r="2518" spans="4:4" ht="14.4" hidden="1" x14ac:dyDescent="0.3">
      <c r="D2518" s="19"/>
    </row>
    <row r="2519" spans="4:4" ht="14.4" hidden="1" x14ac:dyDescent="0.3">
      <c r="D2519" s="19"/>
    </row>
    <row r="2520" spans="4:4" ht="14.4" hidden="1" x14ac:dyDescent="0.3">
      <c r="D2520" s="19"/>
    </row>
    <row r="2521" spans="4:4" ht="14.4" hidden="1" x14ac:dyDescent="0.3">
      <c r="D2521" s="19"/>
    </row>
    <row r="2522" spans="4:4" ht="14.4" hidden="1" x14ac:dyDescent="0.3">
      <c r="D2522" s="19"/>
    </row>
    <row r="2523" spans="4:4" ht="14.4" hidden="1" x14ac:dyDescent="0.3">
      <c r="D2523" s="19"/>
    </row>
    <row r="2524" spans="4:4" ht="14.4" hidden="1" x14ac:dyDescent="0.3">
      <c r="D2524" s="19"/>
    </row>
    <row r="2525" spans="4:4" ht="14.4" hidden="1" x14ac:dyDescent="0.3">
      <c r="D2525" s="19"/>
    </row>
    <row r="2526" spans="4:4" ht="14.4" hidden="1" x14ac:dyDescent="0.3">
      <c r="D2526" s="19"/>
    </row>
    <row r="2527" spans="4:4" ht="14.4" hidden="1" x14ac:dyDescent="0.3">
      <c r="D2527" s="19"/>
    </row>
    <row r="2528" spans="4:4" ht="14.4" hidden="1" x14ac:dyDescent="0.3">
      <c r="D2528" s="19"/>
    </row>
    <row r="2529" spans="4:4" ht="14.4" hidden="1" x14ac:dyDescent="0.3">
      <c r="D2529" s="19"/>
    </row>
    <row r="2530" spans="4:4" ht="14.4" hidden="1" x14ac:dyDescent="0.3">
      <c r="D2530" s="19"/>
    </row>
    <row r="2531" spans="4:4" ht="14.4" hidden="1" x14ac:dyDescent="0.3">
      <c r="D2531" s="19"/>
    </row>
    <row r="2532" spans="4:4" ht="14.4" hidden="1" x14ac:dyDescent="0.3">
      <c r="D2532" s="19"/>
    </row>
    <row r="2533" spans="4:4" ht="14.4" hidden="1" x14ac:dyDescent="0.3">
      <c r="D2533" s="19"/>
    </row>
    <row r="2534" spans="4:4" ht="14.4" hidden="1" x14ac:dyDescent="0.3">
      <c r="D2534" s="19"/>
    </row>
    <row r="2535" spans="4:4" ht="14.4" hidden="1" x14ac:dyDescent="0.3">
      <c r="D2535" s="19"/>
    </row>
    <row r="2536" spans="4:4" ht="14.4" hidden="1" x14ac:dyDescent="0.3">
      <c r="D2536" s="19"/>
    </row>
    <row r="2537" spans="4:4" ht="14.4" hidden="1" x14ac:dyDescent="0.3">
      <c r="D2537" s="19"/>
    </row>
    <row r="2538" spans="4:4" ht="14.4" hidden="1" x14ac:dyDescent="0.3">
      <c r="D2538" s="19"/>
    </row>
    <row r="2539" spans="4:4" ht="14.4" hidden="1" x14ac:dyDescent="0.3">
      <c r="D2539" s="19"/>
    </row>
    <row r="2540" spans="4:4" ht="14.4" hidden="1" x14ac:dyDescent="0.3">
      <c r="D2540" s="19"/>
    </row>
    <row r="2541" spans="4:4" ht="14.4" hidden="1" x14ac:dyDescent="0.3">
      <c r="D2541" s="19"/>
    </row>
    <row r="2542" spans="4:4" ht="14.4" hidden="1" x14ac:dyDescent="0.3">
      <c r="D2542" s="19"/>
    </row>
    <row r="2543" spans="4:4" ht="14.4" hidden="1" x14ac:dyDescent="0.3">
      <c r="D2543" s="19"/>
    </row>
    <row r="2544" spans="4:4" ht="14.4" hidden="1" x14ac:dyDescent="0.3">
      <c r="D2544" s="19"/>
    </row>
    <row r="2545" spans="4:4" ht="14.4" hidden="1" x14ac:dyDescent="0.3">
      <c r="D2545" s="19"/>
    </row>
    <row r="2546" spans="4:4" ht="14.4" hidden="1" x14ac:dyDescent="0.3">
      <c r="D2546" s="19"/>
    </row>
    <row r="2547" spans="4:4" ht="14.4" hidden="1" x14ac:dyDescent="0.3">
      <c r="D2547" s="19"/>
    </row>
    <row r="2548" spans="4:4" ht="14.4" hidden="1" x14ac:dyDescent="0.3">
      <c r="D2548" s="19"/>
    </row>
    <row r="2549" spans="4:4" ht="14.4" hidden="1" x14ac:dyDescent="0.3">
      <c r="D2549" s="19"/>
    </row>
    <row r="2550" spans="4:4" ht="14.4" hidden="1" x14ac:dyDescent="0.3">
      <c r="D2550" s="19"/>
    </row>
    <row r="2551" spans="4:4" ht="14.4" hidden="1" x14ac:dyDescent="0.3">
      <c r="D2551" s="19"/>
    </row>
    <row r="2552" spans="4:4" ht="14.4" hidden="1" x14ac:dyDescent="0.3">
      <c r="D2552" s="19"/>
    </row>
    <row r="2553" spans="4:4" ht="14.4" hidden="1" x14ac:dyDescent="0.3">
      <c r="D2553" s="19"/>
    </row>
    <row r="2554" spans="4:4" ht="14.4" hidden="1" x14ac:dyDescent="0.3">
      <c r="D2554" s="19"/>
    </row>
    <row r="2555" spans="4:4" ht="14.4" hidden="1" x14ac:dyDescent="0.3">
      <c r="D2555" s="19"/>
    </row>
    <row r="2556" spans="4:4" ht="14.4" hidden="1" x14ac:dyDescent="0.3">
      <c r="D2556" s="19"/>
    </row>
    <row r="2557" spans="4:4" ht="14.4" hidden="1" x14ac:dyDescent="0.3">
      <c r="D2557" s="19"/>
    </row>
    <row r="2558" spans="4:4" ht="14.4" hidden="1" x14ac:dyDescent="0.3">
      <c r="D2558" s="19"/>
    </row>
    <row r="2559" spans="4:4" ht="14.4" hidden="1" x14ac:dyDescent="0.3">
      <c r="D2559" s="19"/>
    </row>
    <row r="2560" spans="4:4" ht="14.4" hidden="1" x14ac:dyDescent="0.3">
      <c r="D2560" s="19"/>
    </row>
    <row r="2561" spans="4:4" ht="14.4" hidden="1" x14ac:dyDescent="0.3">
      <c r="D2561" s="19"/>
    </row>
    <row r="2562" spans="4:4" ht="14.4" hidden="1" x14ac:dyDescent="0.3">
      <c r="D2562" s="19"/>
    </row>
    <row r="2563" spans="4:4" ht="14.4" hidden="1" x14ac:dyDescent="0.3">
      <c r="D2563" s="19"/>
    </row>
    <row r="2564" spans="4:4" ht="14.4" hidden="1" x14ac:dyDescent="0.3">
      <c r="D2564" s="19"/>
    </row>
    <row r="2565" spans="4:4" ht="14.4" hidden="1" x14ac:dyDescent="0.3">
      <c r="D2565" s="19"/>
    </row>
    <row r="2566" spans="4:4" ht="14.4" hidden="1" x14ac:dyDescent="0.3">
      <c r="D2566" s="19"/>
    </row>
    <row r="2567" spans="4:4" ht="14.4" hidden="1" x14ac:dyDescent="0.3">
      <c r="D2567" s="19"/>
    </row>
    <row r="2568" spans="4:4" ht="14.4" hidden="1" x14ac:dyDescent="0.3">
      <c r="D2568" s="19"/>
    </row>
    <row r="2569" spans="4:4" ht="14.4" hidden="1" x14ac:dyDescent="0.3">
      <c r="D2569" s="19"/>
    </row>
    <row r="2570" spans="4:4" ht="14.4" hidden="1" x14ac:dyDescent="0.3">
      <c r="D2570" s="19"/>
    </row>
    <row r="2571" spans="4:4" ht="14.4" hidden="1" x14ac:dyDescent="0.3">
      <c r="D2571" s="19"/>
    </row>
    <row r="2572" spans="4:4" ht="14.4" hidden="1" x14ac:dyDescent="0.3">
      <c r="D2572" s="19"/>
    </row>
    <row r="2573" spans="4:4" ht="14.4" hidden="1" x14ac:dyDescent="0.3">
      <c r="D2573" s="19"/>
    </row>
    <row r="2574" spans="4:4" ht="14.4" hidden="1" x14ac:dyDescent="0.3">
      <c r="D2574" s="19"/>
    </row>
    <row r="2575" spans="4:4" ht="14.4" hidden="1" x14ac:dyDescent="0.3">
      <c r="D2575" s="19"/>
    </row>
    <row r="2576" spans="4:4" ht="14.4" hidden="1" x14ac:dyDescent="0.3">
      <c r="D2576" s="19"/>
    </row>
    <row r="2577" spans="4:4" ht="14.4" hidden="1" x14ac:dyDescent="0.3">
      <c r="D2577" s="19"/>
    </row>
    <row r="2578" spans="4:4" ht="14.4" hidden="1" x14ac:dyDescent="0.3">
      <c r="D2578" s="19"/>
    </row>
    <row r="2579" spans="4:4" ht="14.4" hidden="1" x14ac:dyDescent="0.3">
      <c r="D2579" s="19"/>
    </row>
    <row r="2580" spans="4:4" ht="14.4" hidden="1" x14ac:dyDescent="0.3">
      <c r="D2580" s="19"/>
    </row>
    <row r="2581" spans="4:4" ht="14.4" hidden="1" x14ac:dyDescent="0.3">
      <c r="D2581" s="19"/>
    </row>
    <row r="2582" spans="4:4" ht="14.4" hidden="1" x14ac:dyDescent="0.3">
      <c r="D2582" s="19"/>
    </row>
    <row r="2583" spans="4:4" ht="14.4" hidden="1" x14ac:dyDescent="0.3">
      <c r="D2583" s="19"/>
    </row>
    <row r="2584" spans="4:4" ht="14.4" hidden="1" x14ac:dyDescent="0.3">
      <c r="D2584" s="19"/>
    </row>
    <row r="2585" spans="4:4" ht="14.4" hidden="1" x14ac:dyDescent="0.3">
      <c r="D2585" s="19"/>
    </row>
    <row r="2586" spans="4:4" ht="14.4" hidden="1" x14ac:dyDescent="0.3">
      <c r="D2586" s="19"/>
    </row>
    <row r="2587" spans="4:4" ht="14.4" hidden="1" x14ac:dyDescent="0.3">
      <c r="D2587" s="19"/>
    </row>
    <row r="2588" spans="4:4" ht="14.4" hidden="1" x14ac:dyDescent="0.3">
      <c r="D2588" s="19"/>
    </row>
    <row r="2589" spans="4:4" ht="14.4" hidden="1" x14ac:dyDescent="0.3">
      <c r="D2589" s="19"/>
    </row>
    <row r="2590" spans="4:4" ht="14.4" hidden="1" x14ac:dyDescent="0.3">
      <c r="D2590" s="19"/>
    </row>
    <row r="2591" spans="4:4" ht="14.4" hidden="1" x14ac:dyDescent="0.3">
      <c r="D2591" s="19"/>
    </row>
    <row r="2592" spans="4:4" ht="14.4" hidden="1" x14ac:dyDescent="0.3">
      <c r="D2592" s="19"/>
    </row>
    <row r="2593" spans="4:4" ht="14.4" hidden="1" x14ac:dyDescent="0.3">
      <c r="D2593" s="19"/>
    </row>
    <row r="2594" spans="4:4" ht="14.4" hidden="1" x14ac:dyDescent="0.3">
      <c r="D2594" s="19"/>
    </row>
    <row r="2595" spans="4:4" ht="14.4" hidden="1" x14ac:dyDescent="0.3">
      <c r="D2595" s="19"/>
    </row>
    <row r="2596" spans="4:4" ht="14.4" hidden="1" x14ac:dyDescent="0.3">
      <c r="D2596" s="19"/>
    </row>
    <row r="2597" spans="4:4" ht="14.4" hidden="1" x14ac:dyDescent="0.3">
      <c r="D2597" s="19"/>
    </row>
    <row r="2598" spans="4:4" ht="14.4" hidden="1" x14ac:dyDescent="0.3">
      <c r="D2598" s="19"/>
    </row>
    <row r="2599" spans="4:4" ht="14.4" hidden="1" x14ac:dyDescent="0.3">
      <c r="D2599" s="19"/>
    </row>
    <row r="2600" spans="4:4" ht="14.4" hidden="1" x14ac:dyDescent="0.3">
      <c r="D2600" s="19"/>
    </row>
    <row r="2601" spans="4:4" ht="14.4" hidden="1" x14ac:dyDescent="0.3">
      <c r="D2601" s="19"/>
    </row>
    <row r="2602" spans="4:4" ht="14.4" hidden="1" x14ac:dyDescent="0.3">
      <c r="D2602" s="19"/>
    </row>
    <row r="2603" spans="4:4" ht="14.4" hidden="1" x14ac:dyDescent="0.3">
      <c r="D2603" s="19"/>
    </row>
    <row r="2604" spans="4:4" ht="14.4" hidden="1" x14ac:dyDescent="0.3">
      <c r="D2604" s="19"/>
    </row>
    <row r="2605" spans="4:4" ht="14.4" hidden="1" x14ac:dyDescent="0.3">
      <c r="D2605" s="19"/>
    </row>
    <row r="2606" spans="4:4" ht="14.4" hidden="1" x14ac:dyDescent="0.3">
      <c r="D2606" s="19"/>
    </row>
    <row r="2607" spans="4:4" ht="14.4" hidden="1" x14ac:dyDescent="0.3">
      <c r="D2607" s="19"/>
    </row>
    <row r="2608" spans="4:4" ht="14.4" hidden="1" x14ac:dyDescent="0.3">
      <c r="D2608" s="19"/>
    </row>
    <row r="2609" spans="4:4" ht="14.4" hidden="1" x14ac:dyDescent="0.3">
      <c r="D2609" s="19"/>
    </row>
    <row r="2610" spans="4:4" ht="14.4" hidden="1" x14ac:dyDescent="0.3">
      <c r="D2610" s="19"/>
    </row>
    <row r="2611" spans="4:4" ht="14.4" hidden="1" x14ac:dyDescent="0.3">
      <c r="D2611" s="19"/>
    </row>
    <row r="2612" spans="4:4" ht="14.4" hidden="1" x14ac:dyDescent="0.3">
      <c r="D2612" s="19"/>
    </row>
    <row r="2613" spans="4:4" ht="14.4" hidden="1" x14ac:dyDescent="0.3">
      <c r="D2613" s="19"/>
    </row>
    <row r="2614" spans="4:4" ht="14.4" hidden="1" x14ac:dyDescent="0.3">
      <c r="D2614" s="19"/>
    </row>
    <row r="2615" spans="4:4" ht="14.4" hidden="1" x14ac:dyDescent="0.3">
      <c r="D2615" s="19"/>
    </row>
    <row r="2616" spans="4:4" ht="14.4" hidden="1" x14ac:dyDescent="0.3">
      <c r="D2616" s="19"/>
    </row>
    <row r="2617" spans="4:4" ht="14.4" hidden="1" x14ac:dyDescent="0.3">
      <c r="D2617" s="19"/>
    </row>
    <row r="2618" spans="4:4" ht="14.4" hidden="1" x14ac:dyDescent="0.3">
      <c r="D2618" s="19"/>
    </row>
    <row r="2619" spans="4:4" ht="14.4" hidden="1" x14ac:dyDescent="0.3">
      <c r="D2619" s="19"/>
    </row>
    <row r="2620" spans="4:4" ht="14.4" hidden="1" x14ac:dyDescent="0.3">
      <c r="D2620" s="19"/>
    </row>
    <row r="2621" spans="4:4" ht="14.4" hidden="1" x14ac:dyDescent="0.3">
      <c r="D2621" s="19"/>
    </row>
    <row r="2622" spans="4:4" ht="14.4" hidden="1" x14ac:dyDescent="0.3">
      <c r="D2622" s="19"/>
    </row>
    <row r="2623" spans="4:4" ht="14.4" hidden="1" x14ac:dyDescent="0.3">
      <c r="D2623" s="19"/>
    </row>
    <row r="2624" spans="4:4" ht="14.4" hidden="1" x14ac:dyDescent="0.3">
      <c r="D2624" s="19"/>
    </row>
    <row r="2625" spans="4:4" ht="14.4" hidden="1" x14ac:dyDescent="0.3">
      <c r="D2625" s="19"/>
    </row>
    <row r="2626" spans="4:4" ht="14.4" hidden="1" x14ac:dyDescent="0.3">
      <c r="D2626" s="19"/>
    </row>
    <row r="2627" spans="4:4" ht="14.4" hidden="1" x14ac:dyDescent="0.3">
      <c r="D2627" s="19"/>
    </row>
    <row r="2628" spans="4:4" ht="14.4" hidden="1" x14ac:dyDescent="0.3">
      <c r="D2628" s="19"/>
    </row>
    <row r="2629" spans="4:4" ht="14.4" hidden="1" x14ac:dyDescent="0.3">
      <c r="D2629" s="19"/>
    </row>
    <row r="2630" spans="4:4" ht="14.4" hidden="1" x14ac:dyDescent="0.3">
      <c r="D2630" s="19"/>
    </row>
    <row r="2631" spans="4:4" ht="14.4" hidden="1" x14ac:dyDescent="0.3">
      <c r="D2631" s="19"/>
    </row>
    <row r="2632" spans="4:4" ht="14.4" hidden="1" x14ac:dyDescent="0.3">
      <c r="D2632" s="19"/>
    </row>
    <row r="2633" spans="4:4" ht="14.4" hidden="1" x14ac:dyDescent="0.3">
      <c r="D2633" s="19"/>
    </row>
    <row r="2634" spans="4:4" ht="14.4" hidden="1" x14ac:dyDescent="0.3">
      <c r="D2634" s="19"/>
    </row>
    <row r="2635" spans="4:4" ht="14.4" hidden="1" x14ac:dyDescent="0.3">
      <c r="D2635" s="19"/>
    </row>
    <row r="2636" spans="4:4" ht="14.4" hidden="1" x14ac:dyDescent="0.3">
      <c r="D2636" s="19"/>
    </row>
    <row r="2637" spans="4:4" ht="14.4" hidden="1" x14ac:dyDescent="0.3">
      <c r="D2637" s="19"/>
    </row>
    <row r="2638" spans="4:4" ht="14.4" hidden="1" x14ac:dyDescent="0.3">
      <c r="D2638" s="19"/>
    </row>
    <row r="2639" spans="4:4" ht="14.4" hidden="1" x14ac:dyDescent="0.3">
      <c r="D2639" s="19"/>
    </row>
    <row r="2640" spans="4:4" ht="14.4" hidden="1" x14ac:dyDescent="0.3">
      <c r="D2640" s="19"/>
    </row>
    <row r="2641" spans="4:4" ht="14.4" hidden="1" x14ac:dyDescent="0.3">
      <c r="D2641" s="19"/>
    </row>
    <row r="2642" spans="4:4" ht="14.4" hidden="1" x14ac:dyDescent="0.3">
      <c r="D2642" s="19"/>
    </row>
    <row r="2643" spans="4:4" ht="14.4" hidden="1" x14ac:dyDescent="0.3">
      <c r="D2643" s="19"/>
    </row>
    <row r="2644" spans="4:4" ht="14.4" hidden="1" x14ac:dyDescent="0.3">
      <c r="D2644" s="19"/>
    </row>
    <row r="2645" spans="4:4" ht="14.4" hidden="1" x14ac:dyDescent="0.3">
      <c r="D2645" s="19"/>
    </row>
    <row r="2646" spans="4:4" ht="14.4" hidden="1" x14ac:dyDescent="0.3">
      <c r="D2646" s="19"/>
    </row>
    <row r="2647" spans="4:4" ht="14.4" hidden="1" x14ac:dyDescent="0.3">
      <c r="D2647" s="19"/>
    </row>
    <row r="2648" spans="4:4" ht="14.4" hidden="1" x14ac:dyDescent="0.3">
      <c r="D2648" s="19"/>
    </row>
    <row r="2649" spans="4:4" ht="14.4" hidden="1" x14ac:dyDescent="0.3">
      <c r="D2649" s="19"/>
    </row>
    <row r="2650" spans="4:4" ht="14.4" hidden="1" x14ac:dyDescent="0.3">
      <c r="D2650" s="19"/>
    </row>
    <row r="2651" spans="4:4" ht="14.4" hidden="1" x14ac:dyDescent="0.3">
      <c r="D2651" s="19"/>
    </row>
    <row r="2652" spans="4:4" ht="14.4" hidden="1" x14ac:dyDescent="0.3">
      <c r="D2652" s="19"/>
    </row>
    <row r="2653" spans="4:4" ht="14.4" hidden="1" x14ac:dyDescent="0.3">
      <c r="D2653" s="19"/>
    </row>
    <row r="2654" spans="4:4" ht="14.4" hidden="1" x14ac:dyDescent="0.3">
      <c r="D2654" s="19"/>
    </row>
    <row r="2655" spans="4:4" ht="14.4" hidden="1" x14ac:dyDescent="0.3">
      <c r="D2655" s="19"/>
    </row>
    <row r="2656" spans="4:4" ht="14.4" hidden="1" x14ac:dyDescent="0.3">
      <c r="D2656" s="19"/>
    </row>
    <row r="2657" spans="4:4" ht="14.4" hidden="1" x14ac:dyDescent="0.3">
      <c r="D2657" s="19"/>
    </row>
    <row r="2658" spans="4:4" ht="14.4" hidden="1" x14ac:dyDescent="0.3">
      <c r="D2658" s="19"/>
    </row>
    <row r="2659" spans="4:4" ht="14.4" hidden="1" x14ac:dyDescent="0.3">
      <c r="D2659" s="19"/>
    </row>
    <row r="2660" spans="4:4" ht="14.4" hidden="1" x14ac:dyDescent="0.3">
      <c r="D2660" s="19"/>
    </row>
    <row r="2661" spans="4:4" ht="14.4" hidden="1" x14ac:dyDescent="0.3">
      <c r="D2661" s="19"/>
    </row>
    <row r="2662" spans="4:4" ht="14.4" hidden="1" x14ac:dyDescent="0.3">
      <c r="D2662" s="19"/>
    </row>
    <row r="2663" spans="4:4" ht="14.4" hidden="1" x14ac:dyDescent="0.3">
      <c r="D2663" s="19"/>
    </row>
    <row r="2664" spans="4:4" ht="14.4" hidden="1" x14ac:dyDescent="0.3">
      <c r="D2664" s="19"/>
    </row>
    <row r="2665" spans="4:4" ht="14.4" hidden="1" x14ac:dyDescent="0.3">
      <c r="D2665" s="19"/>
    </row>
    <row r="2666" spans="4:4" ht="14.4" hidden="1" x14ac:dyDescent="0.3">
      <c r="D2666" s="19"/>
    </row>
    <row r="2667" spans="4:4" ht="14.4" hidden="1" x14ac:dyDescent="0.3">
      <c r="D2667" s="19"/>
    </row>
    <row r="2668" spans="4:4" ht="14.4" hidden="1" x14ac:dyDescent="0.3">
      <c r="D2668" s="19"/>
    </row>
    <row r="2669" spans="4:4" ht="14.4" hidden="1" x14ac:dyDescent="0.3">
      <c r="D2669" s="19"/>
    </row>
    <row r="2670" spans="4:4" ht="14.4" hidden="1" x14ac:dyDescent="0.3">
      <c r="D2670" s="19"/>
    </row>
    <row r="2671" spans="4:4" ht="14.4" hidden="1" x14ac:dyDescent="0.3">
      <c r="D2671" s="19"/>
    </row>
    <row r="2672" spans="4:4" ht="14.4" hidden="1" x14ac:dyDescent="0.3">
      <c r="D2672" s="19"/>
    </row>
    <row r="2673" spans="4:4" ht="14.4" hidden="1" x14ac:dyDescent="0.3">
      <c r="D2673" s="19"/>
    </row>
    <row r="2674" spans="4:4" ht="14.4" hidden="1" x14ac:dyDescent="0.3">
      <c r="D2674" s="19"/>
    </row>
    <row r="2675" spans="4:4" ht="14.4" hidden="1" x14ac:dyDescent="0.3">
      <c r="D2675" s="19"/>
    </row>
    <row r="2676" spans="4:4" ht="14.4" hidden="1" x14ac:dyDescent="0.3">
      <c r="D2676" s="19"/>
    </row>
    <row r="2677" spans="4:4" ht="14.4" hidden="1" x14ac:dyDescent="0.3">
      <c r="D2677" s="19"/>
    </row>
    <row r="2678" spans="4:4" ht="14.4" hidden="1" x14ac:dyDescent="0.3">
      <c r="D2678" s="19"/>
    </row>
    <row r="2679" spans="4:4" ht="14.4" hidden="1" x14ac:dyDescent="0.3">
      <c r="D2679" s="19"/>
    </row>
    <row r="2680" spans="4:4" ht="14.4" hidden="1" x14ac:dyDescent="0.3">
      <c r="D2680" s="19"/>
    </row>
    <row r="2681" spans="4:4" ht="14.4" hidden="1" x14ac:dyDescent="0.3">
      <c r="D2681" s="19"/>
    </row>
    <row r="2682" spans="4:4" ht="14.4" hidden="1" x14ac:dyDescent="0.3">
      <c r="D2682" s="19"/>
    </row>
    <row r="2683" spans="4:4" ht="14.4" hidden="1" x14ac:dyDescent="0.3">
      <c r="D2683" s="19"/>
    </row>
    <row r="2684" spans="4:4" ht="14.4" hidden="1" x14ac:dyDescent="0.3">
      <c r="D2684" s="19"/>
    </row>
    <row r="2685" spans="4:4" ht="14.4" hidden="1" x14ac:dyDescent="0.3">
      <c r="D2685" s="19"/>
    </row>
    <row r="2686" spans="4:4" ht="14.4" hidden="1" x14ac:dyDescent="0.3">
      <c r="D2686" s="19"/>
    </row>
    <row r="2687" spans="4:4" ht="14.4" hidden="1" x14ac:dyDescent="0.3">
      <c r="D2687" s="19"/>
    </row>
    <row r="2688" spans="4:4" ht="14.4" hidden="1" x14ac:dyDescent="0.3">
      <c r="D2688" s="19"/>
    </row>
    <row r="2689" spans="4:4" ht="14.4" hidden="1" x14ac:dyDescent="0.3">
      <c r="D2689" s="19"/>
    </row>
    <row r="2690" spans="4:4" ht="14.4" hidden="1" x14ac:dyDescent="0.3">
      <c r="D2690" s="19"/>
    </row>
    <row r="2691" spans="4:4" ht="14.4" hidden="1" x14ac:dyDescent="0.3">
      <c r="D2691" s="19"/>
    </row>
    <row r="2692" spans="4:4" ht="14.4" hidden="1" x14ac:dyDescent="0.3">
      <c r="D2692" s="19"/>
    </row>
    <row r="2693" spans="4:4" ht="14.4" hidden="1" x14ac:dyDescent="0.3">
      <c r="D2693" s="19"/>
    </row>
    <row r="2694" spans="4:4" ht="14.4" hidden="1" x14ac:dyDescent="0.3">
      <c r="D2694" s="19"/>
    </row>
    <row r="2695" spans="4:4" ht="14.4" hidden="1" x14ac:dyDescent="0.3">
      <c r="D2695" s="19"/>
    </row>
    <row r="2696" spans="4:4" ht="14.4" hidden="1" x14ac:dyDescent="0.3">
      <c r="D2696" s="19"/>
    </row>
    <row r="2697" spans="4:4" ht="14.4" hidden="1" x14ac:dyDescent="0.3">
      <c r="D2697" s="19"/>
    </row>
    <row r="2698" spans="4:4" ht="14.4" hidden="1" x14ac:dyDescent="0.3">
      <c r="D2698" s="19"/>
    </row>
    <row r="2699" spans="4:4" ht="14.4" hidden="1" x14ac:dyDescent="0.3">
      <c r="D2699" s="19"/>
    </row>
    <row r="2700" spans="4:4" ht="14.4" hidden="1" x14ac:dyDescent="0.3">
      <c r="D2700" s="19"/>
    </row>
    <row r="2701" spans="4:4" ht="14.4" hidden="1" x14ac:dyDescent="0.3">
      <c r="D2701" s="19"/>
    </row>
    <row r="2702" spans="4:4" ht="14.4" hidden="1" x14ac:dyDescent="0.3">
      <c r="D2702" s="19"/>
    </row>
    <row r="2703" spans="4:4" ht="14.4" hidden="1" x14ac:dyDescent="0.3">
      <c r="D2703" s="19"/>
    </row>
    <row r="2704" spans="4:4" ht="14.4" hidden="1" x14ac:dyDescent="0.3">
      <c r="D2704" s="19"/>
    </row>
    <row r="2705" spans="4:4" ht="14.4" hidden="1" x14ac:dyDescent="0.3">
      <c r="D2705" s="19"/>
    </row>
    <row r="2706" spans="4:4" ht="14.4" hidden="1" x14ac:dyDescent="0.3">
      <c r="D2706" s="19"/>
    </row>
    <row r="2707" spans="4:4" ht="14.4" hidden="1" x14ac:dyDescent="0.3">
      <c r="D2707" s="19"/>
    </row>
    <row r="2708" spans="4:4" ht="14.4" hidden="1" x14ac:dyDescent="0.3">
      <c r="D2708" s="19"/>
    </row>
    <row r="2709" spans="4:4" ht="14.4" hidden="1" x14ac:dyDescent="0.3">
      <c r="D2709" s="19"/>
    </row>
    <row r="2710" spans="4:4" ht="14.4" hidden="1" x14ac:dyDescent="0.3">
      <c r="D2710" s="19"/>
    </row>
    <row r="2711" spans="4:4" ht="14.4" hidden="1" x14ac:dyDescent="0.3">
      <c r="D2711" s="19"/>
    </row>
    <row r="2712" spans="4:4" ht="14.4" hidden="1" x14ac:dyDescent="0.3">
      <c r="D2712" s="19"/>
    </row>
    <row r="2713" spans="4:4" ht="14.4" hidden="1" x14ac:dyDescent="0.3">
      <c r="D2713" s="19"/>
    </row>
    <row r="2714" spans="4:4" ht="14.4" hidden="1" x14ac:dyDescent="0.3">
      <c r="D2714" s="19"/>
    </row>
    <row r="2715" spans="4:4" ht="14.4" hidden="1" x14ac:dyDescent="0.3">
      <c r="D2715" s="19"/>
    </row>
    <row r="2716" spans="4:4" ht="14.4" hidden="1" x14ac:dyDescent="0.3">
      <c r="D2716" s="19"/>
    </row>
    <row r="2717" spans="4:4" ht="14.4" hidden="1" x14ac:dyDescent="0.3">
      <c r="D2717" s="19"/>
    </row>
    <row r="2718" spans="4:4" ht="14.4" hidden="1" x14ac:dyDescent="0.3">
      <c r="D2718" s="19"/>
    </row>
    <row r="2719" spans="4:4" ht="14.4" hidden="1" x14ac:dyDescent="0.3">
      <c r="D2719" s="19"/>
    </row>
    <row r="2720" spans="4:4" ht="14.4" hidden="1" x14ac:dyDescent="0.3">
      <c r="D2720" s="19"/>
    </row>
    <row r="2721" spans="4:4" ht="14.4" hidden="1" x14ac:dyDescent="0.3">
      <c r="D2721" s="19"/>
    </row>
    <row r="2722" spans="4:4" ht="14.4" hidden="1" x14ac:dyDescent="0.3">
      <c r="D2722" s="19"/>
    </row>
    <row r="2723" spans="4:4" ht="14.4" hidden="1" x14ac:dyDescent="0.3">
      <c r="D2723" s="19"/>
    </row>
    <row r="2724" spans="4:4" ht="14.4" hidden="1" x14ac:dyDescent="0.3">
      <c r="D2724" s="19"/>
    </row>
    <row r="2725" spans="4:4" ht="14.4" hidden="1" x14ac:dyDescent="0.3">
      <c r="D2725" s="19"/>
    </row>
    <row r="2726" spans="4:4" ht="14.4" hidden="1" x14ac:dyDescent="0.3">
      <c r="D2726" s="19"/>
    </row>
    <row r="2727" spans="4:4" ht="14.4" hidden="1" x14ac:dyDescent="0.3">
      <c r="D2727" s="19"/>
    </row>
    <row r="2728" spans="4:4" ht="14.4" hidden="1" x14ac:dyDescent="0.3">
      <c r="D2728" s="19"/>
    </row>
    <row r="2729" spans="4:4" ht="14.4" hidden="1" x14ac:dyDescent="0.3">
      <c r="D2729" s="19"/>
    </row>
    <row r="2730" spans="4:4" ht="14.4" hidden="1" x14ac:dyDescent="0.3">
      <c r="D2730" s="19"/>
    </row>
    <row r="2731" spans="4:4" ht="14.4" hidden="1" x14ac:dyDescent="0.3">
      <c r="D2731" s="19"/>
    </row>
    <row r="2732" spans="4:4" ht="14.4" hidden="1" x14ac:dyDescent="0.3">
      <c r="D2732" s="19"/>
    </row>
    <row r="2733" spans="4:4" ht="14.4" hidden="1" x14ac:dyDescent="0.3">
      <c r="D2733" s="19"/>
    </row>
    <row r="2734" spans="4:4" ht="14.4" hidden="1" x14ac:dyDescent="0.3">
      <c r="D2734" s="19"/>
    </row>
    <row r="2735" spans="4:4" ht="14.4" hidden="1" x14ac:dyDescent="0.3">
      <c r="D2735" s="19"/>
    </row>
    <row r="2736" spans="4:4" ht="14.4" hidden="1" x14ac:dyDescent="0.3">
      <c r="D2736" s="19"/>
    </row>
    <row r="2737" spans="4:4" ht="14.4" hidden="1" x14ac:dyDescent="0.3">
      <c r="D2737" s="19"/>
    </row>
    <row r="2738" spans="4:4" ht="14.4" hidden="1" x14ac:dyDescent="0.3">
      <c r="D2738" s="19"/>
    </row>
    <row r="2739" spans="4:4" ht="14.4" hidden="1" x14ac:dyDescent="0.3">
      <c r="D2739" s="19"/>
    </row>
    <row r="2740" spans="4:4" ht="14.4" hidden="1" x14ac:dyDescent="0.3">
      <c r="D2740" s="19"/>
    </row>
    <row r="2741" spans="4:4" ht="14.4" hidden="1" x14ac:dyDescent="0.3">
      <c r="D2741" s="19"/>
    </row>
    <row r="2742" spans="4:4" ht="14.4" hidden="1" x14ac:dyDescent="0.3">
      <c r="D2742" s="19"/>
    </row>
    <row r="2743" spans="4:4" ht="14.4" hidden="1" x14ac:dyDescent="0.3">
      <c r="D2743" s="19"/>
    </row>
    <row r="2744" spans="4:4" ht="14.4" hidden="1" x14ac:dyDescent="0.3">
      <c r="D2744" s="19"/>
    </row>
    <row r="2745" spans="4:4" ht="14.4" hidden="1" x14ac:dyDescent="0.3">
      <c r="D2745" s="19"/>
    </row>
    <row r="2746" spans="4:4" ht="14.4" hidden="1" x14ac:dyDescent="0.3">
      <c r="D2746" s="19"/>
    </row>
    <row r="2747" spans="4:4" ht="14.4" hidden="1" x14ac:dyDescent="0.3">
      <c r="D2747" s="19"/>
    </row>
    <row r="2748" spans="4:4" ht="14.4" hidden="1" x14ac:dyDescent="0.3">
      <c r="D2748" s="19"/>
    </row>
    <row r="2749" spans="4:4" ht="14.4" hidden="1" x14ac:dyDescent="0.3">
      <c r="D2749" s="19"/>
    </row>
    <row r="2750" spans="4:4" ht="14.4" hidden="1" x14ac:dyDescent="0.3">
      <c r="D2750" s="19"/>
    </row>
    <row r="2751" spans="4:4" ht="14.4" hidden="1" x14ac:dyDescent="0.3">
      <c r="D2751" s="19"/>
    </row>
    <row r="2752" spans="4:4" ht="14.4" hidden="1" x14ac:dyDescent="0.3">
      <c r="D2752" s="19"/>
    </row>
    <row r="2753" spans="4:4" ht="14.4" hidden="1" x14ac:dyDescent="0.3">
      <c r="D2753" s="19"/>
    </row>
    <row r="2754" spans="4:4" ht="14.4" hidden="1" x14ac:dyDescent="0.3">
      <c r="D2754" s="19"/>
    </row>
    <row r="2755" spans="4:4" ht="14.4" hidden="1" x14ac:dyDescent="0.3">
      <c r="D2755" s="19"/>
    </row>
    <row r="2756" spans="4:4" ht="14.4" hidden="1" x14ac:dyDescent="0.3">
      <c r="D2756" s="19"/>
    </row>
    <row r="2757" spans="4:4" ht="14.4" hidden="1" x14ac:dyDescent="0.3">
      <c r="D2757" s="19"/>
    </row>
    <row r="2758" spans="4:4" ht="14.4" hidden="1" x14ac:dyDescent="0.3">
      <c r="D2758" s="19"/>
    </row>
    <row r="2759" spans="4:4" ht="14.4" hidden="1" x14ac:dyDescent="0.3">
      <c r="D2759" s="19"/>
    </row>
    <row r="2760" spans="4:4" ht="14.4" hidden="1" x14ac:dyDescent="0.3">
      <c r="D2760" s="19"/>
    </row>
    <row r="2761" spans="4:4" ht="14.4" hidden="1" x14ac:dyDescent="0.3">
      <c r="D2761" s="19"/>
    </row>
    <row r="2762" spans="4:4" ht="14.4" hidden="1" x14ac:dyDescent="0.3">
      <c r="D2762" s="19"/>
    </row>
    <row r="2763" spans="4:4" ht="14.4" hidden="1" x14ac:dyDescent="0.3">
      <c r="D2763" s="19"/>
    </row>
    <row r="2764" spans="4:4" ht="14.4" hidden="1" x14ac:dyDescent="0.3">
      <c r="D2764" s="19"/>
    </row>
    <row r="2765" spans="4:4" ht="14.4" hidden="1" x14ac:dyDescent="0.3">
      <c r="D2765" s="19"/>
    </row>
    <row r="2766" spans="4:4" ht="14.4" hidden="1" x14ac:dyDescent="0.3">
      <c r="D2766" s="19"/>
    </row>
    <row r="2767" spans="4:4" ht="14.4" hidden="1" x14ac:dyDescent="0.3">
      <c r="D2767" s="19"/>
    </row>
    <row r="2768" spans="4:4" ht="14.4" hidden="1" x14ac:dyDescent="0.3">
      <c r="D2768" s="19"/>
    </row>
    <row r="2769" spans="4:4" ht="14.4" hidden="1" x14ac:dyDescent="0.3">
      <c r="D2769" s="19"/>
    </row>
    <row r="2770" spans="4:4" ht="14.4" hidden="1" x14ac:dyDescent="0.3">
      <c r="D2770" s="19"/>
    </row>
    <row r="2771" spans="4:4" ht="14.4" hidden="1" x14ac:dyDescent="0.3">
      <c r="D2771" s="19"/>
    </row>
    <row r="2772" spans="4:4" ht="14.4" hidden="1" x14ac:dyDescent="0.3">
      <c r="D2772" s="19"/>
    </row>
    <row r="2773" spans="4:4" ht="14.4" hidden="1" x14ac:dyDescent="0.3">
      <c r="D2773" s="19"/>
    </row>
    <row r="2774" spans="4:4" ht="14.4" hidden="1" x14ac:dyDescent="0.3">
      <c r="D2774" s="19"/>
    </row>
    <row r="2775" spans="4:4" ht="14.4" hidden="1" x14ac:dyDescent="0.3">
      <c r="D2775" s="19"/>
    </row>
    <row r="2776" spans="4:4" ht="14.4" hidden="1" x14ac:dyDescent="0.3">
      <c r="D2776" s="19"/>
    </row>
    <row r="2777" spans="4:4" ht="14.4" hidden="1" x14ac:dyDescent="0.3">
      <c r="D2777" s="19"/>
    </row>
    <row r="2778" spans="4:4" ht="14.4" hidden="1" x14ac:dyDescent="0.3">
      <c r="D2778" s="19"/>
    </row>
    <row r="2779" spans="4:4" ht="14.4" hidden="1" x14ac:dyDescent="0.3">
      <c r="D2779" s="19"/>
    </row>
    <row r="2780" spans="4:4" ht="14.4" hidden="1" x14ac:dyDescent="0.3">
      <c r="D2780" s="19"/>
    </row>
    <row r="2781" spans="4:4" ht="14.4" hidden="1" x14ac:dyDescent="0.3">
      <c r="D2781" s="19"/>
    </row>
    <row r="2782" spans="4:4" ht="14.4" hidden="1" x14ac:dyDescent="0.3">
      <c r="D2782" s="19"/>
    </row>
    <row r="2783" spans="4:4" ht="14.4" hidden="1" x14ac:dyDescent="0.3">
      <c r="D2783" s="19"/>
    </row>
    <row r="2784" spans="4:4" ht="14.4" hidden="1" x14ac:dyDescent="0.3">
      <c r="D2784" s="19"/>
    </row>
    <row r="2785" spans="4:4" ht="14.4" hidden="1" x14ac:dyDescent="0.3">
      <c r="D2785" s="19"/>
    </row>
    <row r="2786" spans="4:4" ht="14.4" hidden="1" x14ac:dyDescent="0.3">
      <c r="D2786" s="19"/>
    </row>
    <row r="2787" spans="4:4" ht="14.4" hidden="1" x14ac:dyDescent="0.3">
      <c r="D2787" s="19"/>
    </row>
    <row r="2788" spans="4:4" ht="14.4" hidden="1" x14ac:dyDescent="0.3">
      <c r="D2788" s="19"/>
    </row>
    <row r="2789" spans="4:4" ht="14.4" hidden="1" x14ac:dyDescent="0.3">
      <c r="D2789" s="19"/>
    </row>
    <row r="2790" spans="4:4" ht="14.4" x14ac:dyDescent="0.3"/>
    <row r="2791" spans="4:4" ht="14.4" x14ac:dyDescent="0.3"/>
    <row r="2792" spans="4:4" ht="14.4" x14ac:dyDescent="0.3"/>
    <row r="2793" spans="4:4" ht="14.4" x14ac:dyDescent="0.3"/>
    <row r="2794" spans="4:4" ht="14.4" x14ac:dyDescent="0.3"/>
    <row r="2795" spans="4:4" ht="14.4" x14ac:dyDescent="0.3"/>
    <row r="2796" spans="4:4" ht="14.4" x14ac:dyDescent="0.3"/>
    <row r="2797" spans="4:4" ht="14.4" x14ac:dyDescent="0.3"/>
    <row r="2798" spans="4:4" ht="14.4" x14ac:dyDescent="0.3"/>
    <row r="2799" spans="4:4" ht="14.4" x14ac:dyDescent="0.3"/>
    <row r="2800" spans="4:4" ht="14.4" x14ac:dyDescent="0.3"/>
    <row r="2801" ht="14.4" x14ac:dyDescent="0.3"/>
    <row r="2802" ht="14.4" x14ac:dyDescent="0.3"/>
    <row r="2803" ht="14.4" x14ac:dyDescent="0.3"/>
  </sheetData>
  <autoFilter ref="B7:O61" xr:uid="{00000000-0001-0000-0100-000000000000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870F-EE95-4697-9052-BF34529814A5}">
  <dimension ref="A1:L61"/>
  <sheetViews>
    <sheetView topLeftCell="D1" workbookViewId="0">
      <selection activeCell="J9" sqref="J9"/>
    </sheetView>
  </sheetViews>
  <sheetFormatPr defaultRowHeight="14.4" x14ac:dyDescent="0.3"/>
  <cols>
    <col min="1" max="1" width="14.44140625" bestFit="1" customWidth="1"/>
    <col min="2" max="2" width="5.88671875" bestFit="1" customWidth="1"/>
    <col min="3" max="3" width="25.109375" bestFit="1" customWidth="1"/>
    <col min="4" max="4" width="15" bestFit="1" customWidth="1"/>
    <col min="5" max="5" width="17.88671875" bestFit="1" customWidth="1"/>
    <col min="7" max="7" width="12.33203125" bestFit="1" customWidth="1"/>
    <col min="8" max="9" width="21.44140625" bestFit="1" customWidth="1"/>
    <col min="10" max="10" width="36.88671875" bestFit="1" customWidth="1"/>
    <col min="11" max="11" width="12" bestFit="1" customWidth="1"/>
    <col min="12" max="12" width="15.21875" bestFit="1" customWidth="1"/>
  </cols>
  <sheetData>
    <row r="1" spans="1:12" x14ac:dyDescent="0.3">
      <c r="A1" t="s">
        <v>28</v>
      </c>
      <c r="B1" t="s">
        <v>61</v>
      </c>
      <c r="C1" t="s">
        <v>62</v>
      </c>
      <c r="D1" t="s">
        <v>37</v>
      </c>
      <c r="E1" t="s">
        <v>63</v>
      </c>
      <c r="G1" t="s">
        <v>28</v>
      </c>
      <c r="H1" t="s">
        <v>88</v>
      </c>
      <c r="I1" t="s">
        <v>89</v>
      </c>
      <c r="J1" t="s">
        <v>90</v>
      </c>
      <c r="K1" t="s">
        <v>37</v>
      </c>
      <c r="L1" t="s">
        <v>63</v>
      </c>
    </row>
    <row r="2" spans="1:12" x14ac:dyDescent="0.3">
      <c r="A2" t="s">
        <v>6</v>
      </c>
      <c r="B2" t="s">
        <v>51</v>
      </c>
      <c r="C2" t="s">
        <v>64</v>
      </c>
      <c r="D2" s="6">
        <v>7983.4497520814703</v>
      </c>
      <c r="E2" s="6" t="s">
        <v>40</v>
      </c>
      <c r="G2" t="s">
        <v>15</v>
      </c>
      <c r="H2" t="s">
        <v>40</v>
      </c>
      <c r="I2" t="s">
        <v>40</v>
      </c>
      <c r="J2" t="s">
        <v>175</v>
      </c>
      <c r="K2">
        <v>36675990.390000001</v>
      </c>
      <c r="L2" t="s">
        <v>40</v>
      </c>
    </row>
    <row r="3" spans="1:12" x14ac:dyDescent="0.3">
      <c r="A3" t="s">
        <v>6</v>
      </c>
      <c r="B3" t="s">
        <v>52</v>
      </c>
      <c r="C3" t="s">
        <v>65</v>
      </c>
      <c r="D3" s="6">
        <v>98538605.594622806</v>
      </c>
      <c r="E3" s="6">
        <v>15226.141492791099</v>
      </c>
      <c r="G3" t="s">
        <v>15</v>
      </c>
      <c r="H3" t="s">
        <v>91</v>
      </c>
      <c r="I3" t="s">
        <v>91</v>
      </c>
      <c r="J3" t="s">
        <v>150</v>
      </c>
      <c r="K3">
        <v>488523826.58202201</v>
      </c>
      <c r="L3">
        <v>17715.575174982099</v>
      </c>
    </row>
    <row r="4" spans="1:12" x14ac:dyDescent="0.3">
      <c r="A4" t="s">
        <v>6</v>
      </c>
      <c r="B4" t="s">
        <v>56</v>
      </c>
      <c r="C4" t="s">
        <v>64</v>
      </c>
      <c r="D4" s="6">
        <v>1611442.45387249</v>
      </c>
      <c r="E4" s="6" t="s">
        <v>40</v>
      </c>
      <c r="G4" t="s">
        <v>15</v>
      </c>
      <c r="H4" t="s">
        <v>92</v>
      </c>
      <c r="I4" t="s">
        <v>92</v>
      </c>
      <c r="J4" t="s">
        <v>175</v>
      </c>
      <c r="K4">
        <v>2893663.8905747598</v>
      </c>
      <c r="L4" t="s">
        <v>40</v>
      </c>
    </row>
    <row r="5" spans="1:12" x14ac:dyDescent="0.3">
      <c r="A5" t="s">
        <v>6</v>
      </c>
      <c r="C5" t="s">
        <v>60</v>
      </c>
      <c r="D5" s="6">
        <v>7405941.3126334501</v>
      </c>
      <c r="E5" s="6">
        <v>967.07771872659998</v>
      </c>
      <c r="G5" t="s">
        <v>15</v>
      </c>
      <c r="H5" t="s">
        <v>93</v>
      </c>
      <c r="I5" t="s">
        <v>93</v>
      </c>
      <c r="J5" t="s">
        <v>175</v>
      </c>
      <c r="K5">
        <v>44313.97</v>
      </c>
      <c r="L5" t="s">
        <v>40</v>
      </c>
    </row>
    <row r="6" spans="1:12" x14ac:dyDescent="0.3">
      <c r="A6" t="s">
        <v>6</v>
      </c>
      <c r="B6" t="s">
        <v>56</v>
      </c>
      <c r="C6" t="s">
        <v>66</v>
      </c>
      <c r="D6" s="6">
        <v>18208719.8855564</v>
      </c>
      <c r="E6" s="6">
        <v>224.43223953825</v>
      </c>
      <c r="G6" t="s">
        <v>6</v>
      </c>
      <c r="H6" t="s">
        <v>92</v>
      </c>
      <c r="I6" t="s">
        <v>92</v>
      </c>
      <c r="J6" t="s">
        <v>175</v>
      </c>
      <c r="K6">
        <v>16444257.7666991</v>
      </c>
      <c r="L6" t="s">
        <v>40</v>
      </c>
    </row>
    <row r="7" spans="1:12" x14ac:dyDescent="0.3">
      <c r="A7" t="s">
        <v>6</v>
      </c>
      <c r="B7" t="s">
        <v>58</v>
      </c>
      <c r="C7" t="s">
        <v>66</v>
      </c>
      <c r="D7" s="6">
        <v>668499.77</v>
      </c>
      <c r="E7" s="6">
        <v>1.9982254181500001</v>
      </c>
      <c r="G7" t="s">
        <v>6</v>
      </c>
      <c r="H7" t="s">
        <v>40</v>
      </c>
      <c r="I7" t="s">
        <v>40</v>
      </c>
      <c r="J7" t="s">
        <v>175</v>
      </c>
      <c r="K7">
        <v>52787540.299999997</v>
      </c>
      <c r="L7" t="s">
        <v>40</v>
      </c>
    </row>
    <row r="8" spans="1:12" x14ac:dyDescent="0.3">
      <c r="A8" t="s">
        <v>6</v>
      </c>
      <c r="B8" t="s">
        <v>53</v>
      </c>
      <c r="C8" t="s">
        <v>65</v>
      </c>
      <c r="D8" s="6">
        <v>184152982.278633</v>
      </c>
      <c r="E8" s="6">
        <v>11922.752905023999</v>
      </c>
      <c r="G8" t="s">
        <v>15</v>
      </c>
      <c r="H8" t="s">
        <v>94</v>
      </c>
      <c r="I8" t="s">
        <v>94</v>
      </c>
      <c r="J8" t="s">
        <v>149</v>
      </c>
      <c r="K8">
        <v>10464690414.8256</v>
      </c>
      <c r="L8">
        <v>317322.74944347702</v>
      </c>
    </row>
    <row r="9" spans="1:12" x14ac:dyDescent="0.3">
      <c r="A9" t="s">
        <v>6</v>
      </c>
      <c r="B9" t="s">
        <v>52</v>
      </c>
      <c r="C9" t="s">
        <v>64</v>
      </c>
      <c r="D9" s="6">
        <v>160350.17724360601</v>
      </c>
      <c r="E9" s="6" t="s">
        <v>40</v>
      </c>
      <c r="G9" t="s">
        <v>6</v>
      </c>
      <c r="H9" t="s">
        <v>93</v>
      </c>
      <c r="I9" t="s">
        <v>93</v>
      </c>
      <c r="J9" t="s">
        <v>175</v>
      </c>
      <c r="K9">
        <v>557086.54</v>
      </c>
      <c r="L9" t="s">
        <v>40</v>
      </c>
    </row>
    <row r="10" spans="1:12" x14ac:dyDescent="0.3">
      <c r="A10" t="s">
        <v>6</v>
      </c>
      <c r="B10" t="s">
        <v>54</v>
      </c>
      <c r="C10" t="s">
        <v>64</v>
      </c>
      <c r="D10" s="6">
        <v>5571795.6398635497</v>
      </c>
      <c r="E10" s="6" t="s">
        <v>40</v>
      </c>
      <c r="G10" t="s">
        <v>6</v>
      </c>
      <c r="H10" t="s">
        <v>91</v>
      </c>
      <c r="I10" t="s">
        <v>91</v>
      </c>
      <c r="J10" t="s">
        <v>150</v>
      </c>
      <c r="K10">
        <v>541425664.16458905</v>
      </c>
      <c r="L10">
        <v>37241.120258311501</v>
      </c>
    </row>
    <row r="11" spans="1:12" x14ac:dyDescent="0.3">
      <c r="A11" t="s">
        <v>6</v>
      </c>
      <c r="B11" t="s">
        <v>57</v>
      </c>
      <c r="C11" t="s">
        <v>64</v>
      </c>
      <c r="D11" s="6">
        <v>20860.6558202095</v>
      </c>
      <c r="E11" s="6" t="s">
        <v>40</v>
      </c>
      <c r="G11" t="s">
        <v>6</v>
      </c>
      <c r="H11" t="s">
        <v>95</v>
      </c>
      <c r="I11" t="s">
        <v>95</v>
      </c>
      <c r="J11" t="s">
        <v>148</v>
      </c>
      <c r="K11">
        <v>252736519.15900901</v>
      </c>
      <c r="L11">
        <v>6517.6473833845803</v>
      </c>
    </row>
    <row r="12" spans="1:12" x14ac:dyDescent="0.3">
      <c r="A12" t="s">
        <v>6</v>
      </c>
      <c r="B12" t="s">
        <v>55</v>
      </c>
      <c r="C12" t="s">
        <v>65</v>
      </c>
      <c r="D12" s="6">
        <v>360816702.98650801</v>
      </c>
      <c r="E12" s="6">
        <v>127123.55158711399</v>
      </c>
      <c r="G12" t="s">
        <v>6</v>
      </c>
      <c r="H12" t="s">
        <v>94</v>
      </c>
      <c r="I12" t="s">
        <v>94</v>
      </c>
      <c r="J12" t="s">
        <v>149</v>
      </c>
      <c r="K12">
        <v>1522116076.3257599</v>
      </c>
      <c r="L12">
        <v>790916.69082982105</v>
      </c>
    </row>
    <row r="13" spans="1:12" x14ac:dyDescent="0.3">
      <c r="A13" t="s">
        <v>6</v>
      </c>
      <c r="B13" t="s">
        <v>53</v>
      </c>
      <c r="C13" t="s">
        <v>66</v>
      </c>
      <c r="D13" s="6">
        <v>55144200.679906301</v>
      </c>
      <c r="E13" s="6">
        <v>749.21836744655002</v>
      </c>
      <c r="G13" t="s">
        <v>15</v>
      </c>
      <c r="H13" t="s">
        <v>95</v>
      </c>
      <c r="I13" t="s">
        <v>95</v>
      </c>
      <c r="J13" t="s">
        <v>148</v>
      </c>
      <c r="K13">
        <v>12314289343.2414</v>
      </c>
      <c r="L13">
        <v>87350.829258739497</v>
      </c>
    </row>
    <row r="14" spans="1:12" x14ac:dyDescent="0.3">
      <c r="A14" t="s">
        <v>6</v>
      </c>
      <c r="B14" t="s">
        <v>51</v>
      </c>
      <c r="C14" t="s">
        <v>65</v>
      </c>
      <c r="D14" s="6">
        <v>7792022.4534692504</v>
      </c>
      <c r="E14" s="6">
        <v>9027.0737609504395</v>
      </c>
    </row>
    <row r="15" spans="1:12" x14ac:dyDescent="0.3">
      <c r="A15" t="s">
        <v>6</v>
      </c>
      <c r="B15" t="s">
        <v>54</v>
      </c>
      <c r="C15" t="s">
        <v>65</v>
      </c>
      <c r="D15" s="6">
        <v>985602316.16979802</v>
      </c>
      <c r="E15" s="6">
        <v>99167.333191554295</v>
      </c>
    </row>
    <row r="16" spans="1:12" x14ac:dyDescent="0.3">
      <c r="A16" t="s">
        <v>6</v>
      </c>
      <c r="B16" t="s">
        <v>54</v>
      </c>
      <c r="C16" t="s">
        <v>66</v>
      </c>
      <c r="D16" s="6">
        <v>93233211.795725897</v>
      </c>
      <c r="E16" s="6">
        <v>1776.68881580519</v>
      </c>
    </row>
    <row r="17" spans="1:5" x14ac:dyDescent="0.3">
      <c r="A17" t="s">
        <v>6</v>
      </c>
      <c r="B17" t="s">
        <v>51</v>
      </c>
      <c r="C17" t="s">
        <v>66</v>
      </c>
      <c r="D17" s="6">
        <v>1786795.07</v>
      </c>
      <c r="E17" s="6">
        <v>6.9953706710999999</v>
      </c>
    </row>
    <row r="18" spans="1:5" x14ac:dyDescent="0.3">
      <c r="A18" t="s">
        <v>6</v>
      </c>
      <c r="B18" t="s">
        <v>50</v>
      </c>
      <c r="C18" t="s">
        <v>64</v>
      </c>
      <c r="D18" s="6">
        <v>71424.591941439503</v>
      </c>
      <c r="E18" s="6" t="s">
        <v>40</v>
      </c>
    </row>
    <row r="19" spans="1:5" x14ac:dyDescent="0.3">
      <c r="A19" t="s">
        <v>6</v>
      </c>
      <c r="B19" t="s">
        <v>58</v>
      </c>
      <c r="C19" t="s">
        <v>65</v>
      </c>
      <c r="D19" s="6">
        <v>11321516.81446</v>
      </c>
      <c r="E19" s="6">
        <v>699.99275531610999</v>
      </c>
    </row>
    <row r="20" spans="1:5" x14ac:dyDescent="0.3">
      <c r="A20" t="s">
        <v>6</v>
      </c>
      <c r="B20" t="s">
        <v>40</v>
      </c>
      <c r="C20" t="s">
        <v>67</v>
      </c>
      <c r="D20" s="6">
        <v>52787540.299999997</v>
      </c>
      <c r="E20" s="6" t="s">
        <v>40</v>
      </c>
    </row>
    <row r="21" spans="1:5" x14ac:dyDescent="0.3">
      <c r="A21" t="s">
        <v>6</v>
      </c>
      <c r="B21" t="s">
        <v>55</v>
      </c>
      <c r="C21" t="s">
        <v>66</v>
      </c>
      <c r="D21" s="6">
        <v>65502919.713451803</v>
      </c>
      <c r="E21" s="6">
        <v>540.90802885419896</v>
      </c>
    </row>
    <row r="22" spans="1:5" x14ac:dyDescent="0.3">
      <c r="A22" t="s">
        <v>6</v>
      </c>
      <c r="B22" t="s">
        <v>40</v>
      </c>
      <c r="C22" t="s">
        <v>64</v>
      </c>
      <c r="D22" s="6">
        <v>3.5471454517765301E-3</v>
      </c>
      <c r="E22" s="6" t="s">
        <v>40</v>
      </c>
    </row>
    <row r="23" spans="1:5" x14ac:dyDescent="0.3">
      <c r="A23" t="s">
        <v>6</v>
      </c>
      <c r="B23" t="s">
        <v>57</v>
      </c>
      <c r="C23" t="s">
        <v>66</v>
      </c>
      <c r="D23" s="6">
        <v>13269354.8199999</v>
      </c>
      <c r="E23" s="6">
        <v>4620.1745721899297</v>
      </c>
    </row>
    <row r="24" spans="1:5" x14ac:dyDescent="0.3">
      <c r="A24" t="s">
        <v>6</v>
      </c>
      <c r="B24" t="s">
        <v>56</v>
      </c>
      <c r="C24" t="s">
        <v>65</v>
      </c>
      <c r="D24" s="6">
        <v>148334764.212378</v>
      </c>
      <c r="E24" s="6">
        <v>72637.539087754601</v>
      </c>
    </row>
    <row r="25" spans="1:5" x14ac:dyDescent="0.3">
      <c r="A25" t="s">
        <v>6</v>
      </c>
      <c r="B25" t="s">
        <v>57</v>
      </c>
      <c r="C25" t="s">
        <v>65</v>
      </c>
      <c r="D25" s="6">
        <v>92735492.154708907</v>
      </c>
      <c r="E25" s="6">
        <v>288507.345715084</v>
      </c>
    </row>
    <row r="26" spans="1:5" x14ac:dyDescent="0.3">
      <c r="A26" t="s">
        <v>6</v>
      </c>
      <c r="B26" t="s">
        <v>52</v>
      </c>
      <c r="C26" t="s">
        <v>66</v>
      </c>
      <c r="D26" s="6">
        <v>37128347.428131998</v>
      </c>
      <c r="E26" s="6">
        <v>270.01945538989901</v>
      </c>
    </row>
    <row r="27" spans="1:5" x14ac:dyDescent="0.3">
      <c r="A27" t="s">
        <v>6</v>
      </c>
      <c r="B27" t="s">
        <v>40</v>
      </c>
      <c r="C27" t="s">
        <v>60</v>
      </c>
      <c r="D27" s="6">
        <v>5605812.2201682497</v>
      </c>
      <c r="E27" s="6">
        <v>169.30219518954999</v>
      </c>
    </row>
    <row r="28" spans="1:5" x14ac:dyDescent="0.3">
      <c r="A28" t="s">
        <v>6</v>
      </c>
      <c r="B28" t="s">
        <v>55</v>
      </c>
      <c r="C28" t="s">
        <v>64</v>
      </c>
      <c r="D28" s="6">
        <v>8588531.2279879805</v>
      </c>
      <c r="E28" s="6" t="s">
        <v>40</v>
      </c>
    </row>
    <row r="29" spans="1:5" x14ac:dyDescent="0.3">
      <c r="A29" t="s">
        <v>6</v>
      </c>
      <c r="B29" t="s">
        <v>50</v>
      </c>
      <c r="C29" t="s">
        <v>66</v>
      </c>
      <c r="D29" s="6">
        <v>11339142.855346801</v>
      </c>
      <c r="E29" s="6">
        <v>98.453366540549993</v>
      </c>
    </row>
    <row r="30" spans="1:5" x14ac:dyDescent="0.3">
      <c r="A30" t="s">
        <v>6</v>
      </c>
      <c r="B30" t="s">
        <v>53</v>
      </c>
      <c r="C30" t="s">
        <v>64</v>
      </c>
      <c r="D30" s="6">
        <v>411869.56667062599</v>
      </c>
      <c r="E30" s="6" t="s">
        <v>40</v>
      </c>
    </row>
    <row r="31" spans="1:5" x14ac:dyDescent="0.3">
      <c r="A31" t="s">
        <v>6</v>
      </c>
      <c r="B31" t="s">
        <v>50</v>
      </c>
      <c r="C31" t="s">
        <v>65</v>
      </c>
      <c r="D31" s="6">
        <v>118247997.97386099</v>
      </c>
      <c r="E31" s="6">
        <v>200938.45962015699</v>
      </c>
    </row>
    <row r="32" spans="1:5" x14ac:dyDescent="0.3">
      <c r="A32" t="s">
        <v>15</v>
      </c>
      <c r="B32" t="s">
        <v>58</v>
      </c>
      <c r="C32" t="s">
        <v>64</v>
      </c>
      <c r="D32" s="6">
        <v>27188.3767106288</v>
      </c>
      <c r="E32" s="6" t="s">
        <v>40</v>
      </c>
    </row>
    <row r="33" spans="1:5" x14ac:dyDescent="0.3">
      <c r="A33" t="s">
        <v>15</v>
      </c>
      <c r="B33" t="s">
        <v>52</v>
      </c>
      <c r="C33" t="s">
        <v>64</v>
      </c>
      <c r="D33" s="6">
        <v>106059.41729120701</v>
      </c>
      <c r="E33" s="6" t="s">
        <v>40</v>
      </c>
    </row>
    <row r="34" spans="1:5" x14ac:dyDescent="0.3">
      <c r="A34" t="s">
        <v>15</v>
      </c>
      <c r="B34" t="s">
        <v>56</v>
      </c>
      <c r="C34" t="s">
        <v>64</v>
      </c>
      <c r="D34" s="6">
        <v>333076.51660380198</v>
      </c>
      <c r="E34" s="6" t="s">
        <v>40</v>
      </c>
    </row>
    <row r="35" spans="1:5" x14ac:dyDescent="0.3">
      <c r="A35" t="s">
        <v>15</v>
      </c>
      <c r="B35" t="s">
        <v>40</v>
      </c>
      <c r="C35" t="s">
        <v>60</v>
      </c>
      <c r="D35" s="6">
        <v>90461.437174139704</v>
      </c>
      <c r="E35" s="6">
        <v>1.0950651923000001</v>
      </c>
    </row>
    <row r="36" spans="1:5" x14ac:dyDescent="0.3">
      <c r="A36" t="s">
        <v>15</v>
      </c>
      <c r="B36" t="s">
        <v>58</v>
      </c>
      <c r="C36" t="s">
        <v>66</v>
      </c>
      <c r="D36" s="6">
        <v>2310673.65</v>
      </c>
      <c r="E36" s="6">
        <v>36.781589250000003</v>
      </c>
    </row>
    <row r="37" spans="1:5" x14ac:dyDescent="0.3">
      <c r="A37" t="s">
        <v>15</v>
      </c>
      <c r="B37" t="s">
        <v>51</v>
      </c>
      <c r="C37" t="s">
        <v>64</v>
      </c>
      <c r="D37" s="6">
        <v>23232.501531179099</v>
      </c>
      <c r="E37" s="6" t="s">
        <v>40</v>
      </c>
    </row>
    <row r="38" spans="1:5" x14ac:dyDescent="0.3">
      <c r="A38" t="s">
        <v>15</v>
      </c>
      <c r="B38" t="s">
        <v>58</v>
      </c>
      <c r="C38" t="s">
        <v>65</v>
      </c>
      <c r="D38" s="6">
        <v>47548621.642100401</v>
      </c>
      <c r="E38" s="6">
        <v>1029.24155064405</v>
      </c>
    </row>
    <row r="39" spans="1:5" x14ac:dyDescent="0.3">
      <c r="A39" t="s">
        <v>15</v>
      </c>
      <c r="B39" t="s">
        <v>51</v>
      </c>
      <c r="C39" t="s">
        <v>65</v>
      </c>
      <c r="D39" s="6">
        <v>186948690.72251201</v>
      </c>
      <c r="E39" s="6">
        <v>4152.0524416903399</v>
      </c>
    </row>
    <row r="40" spans="1:5" x14ac:dyDescent="0.3">
      <c r="A40" t="s">
        <v>15</v>
      </c>
      <c r="B40" t="s">
        <v>55</v>
      </c>
      <c r="C40" t="s">
        <v>66</v>
      </c>
      <c r="D40" s="6">
        <v>3215966375.55234</v>
      </c>
      <c r="E40" s="6">
        <v>26845.312980732</v>
      </c>
    </row>
    <row r="41" spans="1:5" x14ac:dyDescent="0.3">
      <c r="A41" t="s">
        <v>15</v>
      </c>
      <c r="B41" t="s">
        <v>50</v>
      </c>
      <c r="C41" t="s">
        <v>64</v>
      </c>
      <c r="D41" s="6">
        <v>42797.688362865898</v>
      </c>
      <c r="E41" s="6" t="s">
        <v>40</v>
      </c>
    </row>
    <row r="42" spans="1:5" x14ac:dyDescent="0.3">
      <c r="A42" t="s">
        <v>15</v>
      </c>
      <c r="C42" t="s">
        <v>60</v>
      </c>
      <c r="D42" s="6">
        <v>729321.88758620596</v>
      </c>
      <c r="E42" s="6">
        <v>238.43664045200001</v>
      </c>
    </row>
    <row r="43" spans="1:5" x14ac:dyDescent="0.3">
      <c r="A43" t="s">
        <v>15</v>
      </c>
      <c r="B43" t="s">
        <v>53</v>
      </c>
      <c r="C43" t="s">
        <v>64</v>
      </c>
      <c r="D43" s="6">
        <v>83884.275717754499</v>
      </c>
      <c r="E43" s="6" t="s">
        <v>40</v>
      </c>
    </row>
    <row r="44" spans="1:5" x14ac:dyDescent="0.3">
      <c r="A44" t="s">
        <v>15</v>
      </c>
      <c r="B44" t="s">
        <v>54</v>
      </c>
      <c r="C44" t="s">
        <v>64</v>
      </c>
      <c r="D44" s="6">
        <v>1309083.7247045201</v>
      </c>
      <c r="E44" s="6" t="s">
        <v>40</v>
      </c>
    </row>
    <row r="45" spans="1:5" x14ac:dyDescent="0.3">
      <c r="A45" t="s">
        <v>15</v>
      </c>
      <c r="B45" t="s">
        <v>53</v>
      </c>
      <c r="C45" t="s">
        <v>66</v>
      </c>
      <c r="D45" s="6">
        <v>862835003.22305501</v>
      </c>
      <c r="E45" s="6">
        <v>3515.5613449252401</v>
      </c>
    </row>
    <row r="46" spans="1:5" x14ac:dyDescent="0.3">
      <c r="A46" t="s">
        <v>15</v>
      </c>
      <c r="B46" t="s">
        <v>57</v>
      </c>
      <c r="C46" t="s">
        <v>64</v>
      </c>
      <c r="D46" s="6">
        <v>122264.699598975</v>
      </c>
      <c r="E46" s="6" t="s">
        <v>40</v>
      </c>
    </row>
    <row r="47" spans="1:5" x14ac:dyDescent="0.3">
      <c r="A47" t="s">
        <v>15</v>
      </c>
      <c r="B47" t="s">
        <v>52</v>
      </c>
      <c r="C47" t="s">
        <v>66</v>
      </c>
      <c r="D47" s="6">
        <v>790066918.75412703</v>
      </c>
      <c r="E47" s="6">
        <v>2313.3510086731499</v>
      </c>
    </row>
    <row r="48" spans="1:5" x14ac:dyDescent="0.3">
      <c r="A48" t="s">
        <v>15</v>
      </c>
      <c r="B48" t="s">
        <v>55</v>
      </c>
      <c r="C48" t="s">
        <v>64</v>
      </c>
      <c r="D48" s="6">
        <v>846076.69005382701</v>
      </c>
      <c r="E48" s="6" t="s">
        <v>40</v>
      </c>
    </row>
    <row r="49" spans="1:5" x14ac:dyDescent="0.3">
      <c r="A49" t="s">
        <v>15</v>
      </c>
      <c r="B49" t="s">
        <v>54</v>
      </c>
      <c r="C49" t="s">
        <v>66</v>
      </c>
      <c r="D49" s="6">
        <v>3210616442.7512999</v>
      </c>
      <c r="E49" s="6">
        <v>17605.226406739399</v>
      </c>
    </row>
    <row r="50" spans="1:5" x14ac:dyDescent="0.3">
      <c r="A50" t="s">
        <v>15</v>
      </c>
      <c r="B50" t="s">
        <v>55</v>
      </c>
      <c r="C50" t="s">
        <v>65</v>
      </c>
      <c r="D50" s="6">
        <v>3244184519.01864</v>
      </c>
      <c r="E50" s="6">
        <v>130722.06146285099</v>
      </c>
    </row>
    <row r="51" spans="1:5" x14ac:dyDescent="0.3">
      <c r="A51" t="s">
        <v>15</v>
      </c>
      <c r="B51" t="s">
        <v>53</v>
      </c>
      <c r="C51" t="s">
        <v>65</v>
      </c>
      <c r="D51" s="6">
        <v>600855811.032745</v>
      </c>
      <c r="E51" s="6">
        <v>11618.4055120147</v>
      </c>
    </row>
    <row r="52" spans="1:5" x14ac:dyDescent="0.3">
      <c r="A52" t="s">
        <v>15</v>
      </c>
      <c r="B52" t="s">
        <v>50</v>
      </c>
      <c r="C52" t="s">
        <v>66</v>
      </c>
      <c r="D52" s="6">
        <v>1167430129.0543399</v>
      </c>
      <c r="E52" s="6">
        <v>1845.9660128569001</v>
      </c>
    </row>
    <row r="53" spans="1:5" x14ac:dyDescent="0.3">
      <c r="A53" t="s">
        <v>15</v>
      </c>
      <c r="B53" t="s">
        <v>54</v>
      </c>
      <c r="C53" t="s">
        <v>65</v>
      </c>
      <c r="D53" s="6">
        <v>3432446983.9467802</v>
      </c>
      <c r="E53" s="6">
        <v>71345.767272631696</v>
      </c>
    </row>
    <row r="54" spans="1:5" x14ac:dyDescent="0.3">
      <c r="A54" t="s">
        <v>15</v>
      </c>
      <c r="B54" t="s">
        <v>50</v>
      </c>
      <c r="C54" t="s">
        <v>65</v>
      </c>
      <c r="D54" s="6">
        <v>507983691.03065503</v>
      </c>
      <c r="E54" s="6">
        <v>9032.0622654625604</v>
      </c>
    </row>
    <row r="55" spans="1:5" x14ac:dyDescent="0.3">
      <c r="A55" t="s">
        <v>15</v>
      </c>
      <c r="B55" t="s">
        <v>51</v>
      </c>
      <c r="C55" t="s">
        <v>66</v>
      </c>
      <c r="D55" s="6">
        <v>499039026.67188698</v>
      </c>
      <c r="E55" s="6">
        <v>302.36619585239998</v>
      </c>
    </row>
    <row r="56" spans="1:5" x14ac:dyDescent="0.3">
      <c r="A56" t="s">
        <v>15</v>
      </c>
      <c r="B56" t="s">
        <v>40</v>
      </c>
      <c r="C56" t="s">
        <v>67</v>
      </c>
      <c r="D56" s="6">
        <v>36675990.390000001</v>
      </c>
      <c r="E56" s="6" t="s">
        <v>40</v>
      </c>
    </row>
    <row r="57" spans="1:5" x14ac:dyDescent="0.3">
      <c r="A57" t="s">
        <v>15</v>
      </c>
      <c r="B57" t="s">
        <v>56</v>
      </c>
      <c r="C57" t="s">
        <v>66</v>
      </c>
      <c r="D57" s="6">
        <v>1798652199.90046</v>
      </c>
      <c r="E57" s="6">
        <v>21641.393918226298</v>
      </c>
    </row>
    <row r="58" spans="1:5" x14ac:dyDescent="0.3">
      <c r="A58" t="s">
        <v>15</v>
      </c>
      <c r="B58" t="s">
        <v>57</v>
      </c>
      <c r="C58" t="s">
        <v>65</v>
      </c>
      <c r="D58" s="6">
        <v>906530140.02200699</v>
      </c>
      <c r="E58" s="6">
        <v>43870.412001985103</v>
      </c>
    </row>
    <row r="59" spans="1:5" x14ac:dyDescent="0.3">
      <c r="A59" t="s">
        <v>15</v>
      </c>
      <c r="B59" t="s">
        <v>52</v>
      </c>
      <c r="C59" t="s">
        <v>65</v>
      </c>
      <c r="D59" s="6">
        <v>574733107.43702304</v>
      </c>
      <c r="E59" s="6">
        <v>32974.470361174099</v>
      </c>
    </row>
    <row r="60" spans="1:5" x14ac:dyDescent="0.3">
      <c r="A60" t="s">
        <v>15</v>
      </c>
      <c r="B60" t="s">
        <v>57</v>
      </c>
      <c r="C60" t="s">
        <v>66</v>
      </c>
      <c r="D60" s="6">
        <v>789068945.70535898</v>
      </c>
      <c r="E60" s="6">
        <v>13809.533351230901</v>
      </c>
    </row>
    <row r="61" spans="1:5" x14ac:dyDescent="0.3">
      <c r="A61" t="s">
        <v>15</v>
      </c>
      <c r="B61" t="s">
        <v>56</v>
      </c>
      <c r="C61" t="s">
        <v>65</v>
      </c>
      <c r="D61" s="6">
        <v>1429510835.1790299</v>
      </c>
      <c r="E61" s="6">
        <v>29489.656494614701</v>
      </c>
    </row>
  </sheetData>
  <autoFilter ref="A1:E61" xr:uid="{3E33870F-EE95-4697-9052-BF34529814A5}">
    <sortState xmlns:xlrd2="http://schemas.microsoft.com/office/spreadsheetml/2017/richdata2" ref="A2:E61">
      <sortCondition ref="A1:A6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740C589-4C3B-4898-82B0-37A36CFE0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Capa</vt:lpstr>
      <vt:lpstr>1. Pressupostos</vt:lpstr>
      <vt:lpstr>2. Resumo Emissões Dez 24</vt:lpstr>
      <vt:lpstr>Analises &gt;&gt;</vt:lpstr>
      <vt:lpstr>3. EPC - Commercial Real Estate</vt:lpstr>
      <vt:lpstr>Sheet2</vt:lpstr>
      <vt:lpstr>4. EPC - Mortgages Loans</vt:lpstr>
      <vt:lpstr>Sheet3</vt:lpstr>
      <vt:lpstr>5. Área Bruta</vt:lpstr>
      <vt:lpstr>Sheet4</vt:lpstr>
      <vt:lpstr>6. Finalidade</vt:lpstr>
      <vt:lpstr>Input Finalidade</vt:lpstr>
      <vt:lpstr>5. Input</vt:lpstr>
      <vt:lpstr>Input Análises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cp:lastPrinted>2025-12-22T21:17:30Z</cp:lastPrinted>
  <dcterms:created xsi:type="dcterms:W3CDTF">2025-12-22T16:36:01Z</dcterms:created>
  <dcterms:modified xsi:type="dcterms:W3CDTF">2026-01-05T11:59:48Z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