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xr:revisionPtr revIDLastSave="0" documentId="13_ncr:1_{6724F196-760B-4537-85F4-8528121F298A}" xr6:coauthVersionLast="47" xr6:coauthVersionMax="47" xr10:uidLastSave="{00000000-0000-0000-0000-000000000000}"/>
  <bookViews>
    <workbookView xWindow="15" yWindow="-16320" windowWidth="29040" windowHeight="15720" xr2:uid="{00000000-000D-0000-FFFF-FFFF00000000}"/>
  </bookViews>
  <sheets>
    <sheet name="1. Resumo Emissões Dez 24" sheetId="6" r:id="rId1"/>
    <sheet name="2. EPC - Commercial Real Estate" sheetId="4" r:id="rId2"/>
    <sheet name="3. EPC - Mortgages Loans" sheetId="9" r:id="rId3"/>
    <sheet name="Input" sheetId="7" state="hidden" r:id="rId4"/>
  </sheets>
  <externalReferences>
    <externalReference r:id="rId5"/>
  </externalReferences>
  <definedNames>
    <definedName name="_xlnm._FilterDatabase" localSheetId="3" hidden="1">Input!$B$2:$G$153</definedName>
    <definedName name="Ambiente">#REF!</definedName>
    <definedName name="Estado">#REF!</definedName>
    <definedName name="Met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9" l="1"/>
  <c r="C38" i="9"/>
  <c r="D21" i="9"/>
  <c r="C21" i="9"/>
  <c r="D21" i="4"/>
  <c r="C21" i="4"/>
  <c r="D38" i="4"/>
  <c r="C38" i="4"/>
  <c r="C68" i="6"/>
  <c r="E68" i="6" s="1"/>
  <c r="C66" i="6"/>
  <c r="E66" i="6" s="1"/>
  <c r="C64" i="6"/>
  <c r="E64" i="6" s="1"/>
  <c r="C62" i="6"/>
  <c r="E62" i="6" s="1"/>
  <c r="E60" i="6"/>
  <c r="C59" i="6"/>
  <c r="C57" i="6"/>
  <c r="E56" i="6"/>
  <c r="C54" i="6"/>
  <c r="D55" i="6" s="1"/>
  <c r="E55" i="6"/>
  <c r="C53" i="6" l="1"/>
  <c r="D57" i="6" s="1"/>
  <c r="D56" i="6"/>
  <c r="E59" i="6"/>
  <c r="E63" i="6"/>
  <c r="E67" i="6"/>
  <c r="C61" i="6"/>
  <c r="D68" i="6" s="1"/>
  <c r="E57" i="6"/>
  <c r="E65" i="6"/>
  <c r="E69" i="6"/>
  <c r="E54" i="6"/>
  <c r="E58" i="6"/>
  <c r="D54" i="6" l="1"/>
  <c r="E53" i="6"/>
  <c r="D59" i="6"/>
  <c r="D64" i="6"/>
  <c r="D62" i="6"/>
  <c r="D66" i="6"/>
  <c r="C70" i="6"/>
  <c r="E61" i="6"/>
  <c r="E70" i="6" l="1"/>
  <c r="D70" i="6"/>
  <c r="D53" i="6"/>
  <c r="D61" i="6"/>
</calcChain>
</file>

<file path=xl/sharedStrings.xml><?xml version="1.0" encoding="utf-8"?>
<sst xmlns="http://schemas.openxmlformats.org/spreadsheetml/2006/main" count="737" uniqueCount="77">
  <si>
    <t>epc</t>
  </si>
  <si>
    <t>outras empresas nao financeiras</t>
  </si>
  <si>
    <t>CRE_OUTRO</t>
  </si>
  <si>
    <t>C</t>
  </si>
  <si>
    <t>4-MEDIA</t>
  </si>
  <si>
    <t>B</t>
  </si>
  <si>
    <t>2-MUY ALTA</t>
  </si>
  <si>
    <t>particulares</t>
  </si>
  <si>
    <t>Habitacao</t>
  </si>
  <si>
    <t>A</t>
  </si>
  <si>
    <t>3-ALTA</t>
  </si>
  <si>
    <t>1-REAL</t>
  </si>
  <si>
    <t>D</t>
  </si>
  <si>
    <t>E</t>
  </si>
  <si>
    <t>NULL</t>
  </si>
  <si>
    <t>SANTANDER</t>
  </si>
  <si>
    <t>B-</t>
  </si>
  <si>
    <t>F</t>
  </si>
  <si>
    <t>outras instituicoes financeiras</t>
  </si>
  <si>
    <t>A+</t>
  </si>
  <si>
    <t>instituicoes de credito</t>
  </si>
  <si>
    <t>5-MEDIA BAJA</t>
  </si>
  <si>
    <t>7-SIN DATO</t>
  </si>
  <si>
    <t>G</t>
  </si>
  <si>
    <t>6-BAJA</t>
  </si>
  <si>
    <t>setor publico</t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</si>
  <si>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o valor da exposição (€) e emissões (tCO2e) por setor para a data de referência de dezembro de 2024:</t>
    </r>
  </si>
  <si>
    <t>Setor</t>
  </si>
  <si>
    <t>Número de Financiamentos (#)</t>
  </si>
  <si>
    <t>Valor bruto (€)</t>
  </si>
  <si>
    <t>Valor bruto (%)</t>
  </si>
  <si>
    <t>Emissões Financiadas (tCO2e)</t>
  </si>
  <si>
    <t>Cenário 1</t>
  </si>
  <si>
    <t>Cenário 2</t>
  </si>
  <si>
    <t>Cenário 2A</t>
  </si>
  <si>
    <t>Cenário 2B</t>
  </si>
  <si>
    <t>Cenário 2C</t>
  </si>
  <si>
    <t>Cenário 2D</t>
  </si>
  <si>
    <t>Cenário 3</t>
  </si>
  <si>
    <t>Financiamentos Com Colateral Imobiliário</t>
  </si>
  <si>
    <t>Commercial Real Estate (CRE)</t>
  </si>
  <si>
    <t>Outras Empresas Não Financeiras</t>
  </si>
  <si>
    <t>Outras Instituições Financeiras</t>
  </si>
  <si>
    <t>Instituições de Crêdito</t>
  </si>
  <si>
    <t>Setor Público</t>
  </si>
  <si>
    <t>Mortgages Loans</t>
  </si>
  <si>
    <t>Particulares</t>
  </si>
  <si>
    <t>Financiamentos para Construção (FC)</t>
  </si>
  <si>
    <t xml:space="preserve">Consumo </t>
  </si>
  <si>
    <t>Outros</t>
  </si>
  <si>
    <t>Blanks</t>
  </si>
  <si>
    <t>Financiamentos Sem Colateral Imobiliário</t>
  </si>
  <si>
    <t>Total</t>
  </si>
  <si>
    <t>Legenda:</t>
  </si>
  <si>
    <t>▪   Cenário 1: Aplicação da metodologia de cálculo sem restrições, independentemente dos valores de montante em dívida do empréstimo ou do preço de aquisição.</t>
  </si>
  <si>
    <t>▪   Cenário 2: Aplicação da metodologia de cálculo garantindo que o valor máximo que o rácio assume é 100%, quando o montante em dívida do empréstimo excede o preço de aquisição.</t>
  </si>
  <si>
    <r>
      <t xml:space="preserve">▪   Cenário 3: Aplicação da metodologia de cálculo:
                  1. Qando o valor do preço de aquisição é </t>
    </r>
    <r>
      <rPr>
        <sz val="8"/>
        <color theme="1"/>
        <rFont val="Aptos Narrow"/>
        <family val="2"/>
      </rPr>
      <t>≤</t>
    </r>
    <r>
      <rPr>
        <sz val="8"/>
        <color theme="1"/>
        <rFont val="Calibri"/>
        <family val="2"/>
        <scheme val="minor"/>
      </rPr>
      <t xml:space="preserve"> 100€, utiliza-se o montante de avaliação;
                  2. Quando o montante em dívida do empréstimo xcede o preço de aquisição, o valor máximo que o rácio assume é 100%.</t>
    </r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</si>
  <si>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o valor da exposição (€) para financiamentos colaterizados por garagens e estacionamentos:</t>
    </r>
  </si>
  <si>
    <t>Representação na Carteira Colaterizada (%)</t>
  </si>
  <si>
    <t>Financiamentos Coletarizados (Garagens e Estacionamentos)</t>
  </si>
  <si>
    <t>Financiamentos Coletarizados (Garagens e Estacionamentos e Outro Imóvel)</t>
  </si>
  <si>
    <t>Financiamento para Construção (FC)</t>
  </si>
  <si>
    <t>EPC</t>
  </si>
  <si>
    <t>Sem informação</t>
  </si>
  <si>
    <t>▪   Cenário 2A: Aplicação da metodologia tendo em consideração certificados energéticos EPC reais, ao invés de estimados;</t>
  </si>
  <si>
    <t xml:space="preserve">▪   Cenário 2B: Aplicação da metodoloia passando a considerar, para o mapeamento da finalidade do bem, um campo adicional aquando a finalidade se assumia como 'outras', permitindo mapear um maior número de finalidades; </t>
  </si>
  <si>
    <t>▪   Cenário 2C: Aplicação da metodologia assumindo valores de certificados energéticos (EPC) mais recentes;</t>
  </si>
  <si>
    <t xml:space="preserve">▪   Cenário 2D: Aplicação da metodologia assumindo para o cálculo o montante de avaliação do bem imóvel, em vez do preço de aquisição. </t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</si>
  <si>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a distribuição dos EPC's reais do Banco para a carteira de </t>
    </r>
    <r>
      <rPr>
        <i/>
        <sz val="11"/>
        <color theme="1"/>
        <rFont val="Calibri"/>
        <family val="2"/>
        <scheme val="minor"/>
      </rPr>
      <t>Commercial Real Estate (CRE)</t>
    </r>
    <r>
      <rPr>
        <sz val="11"/>
        <color theme="1"/>
        <rFont val="Calibri"/>
        <family val="2"/>
        <scheme val="minor"/>
      </rPr>
      <t>.</t>
    </r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</si>
  <si>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a distribuição dos EPC's estimados do Banco para a carteira de </t>
    </r>
    <r>
      <rPr>
        <i/>
        <sz val="11"/>
        <color theme="1"/>
        <rFont val="Calibri"/>
        <family val="2"/>
        <scheme val="minor"/>
      </rPr>
      <t>Commercial Real Estate (CRE)</t>
    </r>
    <r>
      <rPr>
        <sz val="11"/>
        <color theme="1"/>
        <rFont val="Calibri"/>
        <family val="2"/>
        <scheme val="minor"/>
      </rPr>
      <t>.</t>
    </r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</si>
  <si>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a distribuição dos EPC's reais do Banco para a carteira de </t>
    </r>
    <r>
      <rPr>
        <i/>
        <sz val="11"/>
        <color theme="1"/>
        <rFont val="Calibri"/>
        <family val="2"/>
        <scheme val="minor"/>
      </rPr>
      <t>Mortgages Loans</t>
    </r>
    <r>
      <rPr>
        <sz val="11"/>
        <color theme="1"/>
        <rFont val="Calibri"/>
        <family val="2"/>
        <scheme val="minor"/>
      </rPr>
      <t>.</t>
    </r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</si>
  <si>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a distribuição dos EPC's estimados do Banco para a carteira de </t>
    </r>
    <r>
      <rPr>
        <i/>
        <sz val="11"/>
        <color theme="1"/>
        <rFont val="Calibri"/>
        <family val="2"/>
        <scheme val="minor"/>
      </rPr>
      <t>Mortgages Loans</t>
    </r>
    <r>
      <rPr>
        <sz val="11"/>
        <color theme="1"/>
        <rFont val="Calibri"/>
        <family val="2"/>
        <scheme val="minor"/>
      </rPr>
      <t>.</t>
    </r>
  </si>
  <si>
    <t>Quality Score</t>
  </si>
  <si>
    <t>Purpose Code</t>
  </si>
  <si>
    <t>Contraparte</t>
  </si>
  <si>
    <t>Valor bruto</t>
  </si>
  <si>
    <t>▪   Denote-se que estes EPC's não são utilizados para apurar o fator de emissão do imóvel.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</si>
</sst>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7" formatCode="0.00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ptos Narrow"/>
      <family val="2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4" fontId="0" fillId="0" borderId="0" xfId="0" applyNumberFormat="1"/>
    <xf numFmtId="0" fontId="5" fillId="3" borderId="0" xfId="0" applyFont="1" applyFill="1"/>
    <xf numFmtId="0" fontId="0" fillId="3" borderId="0" xfId="0" applyFill="1"/>
    <xf numFmtId="0" fontId="5" fillId="0" borderId="0" xfId="0" applyFont="1"/>
    <xf numFmtId="0" fontId="0" fillId="0" borderId="1" xfId="0" applyBorder="1" applyAlignment="1">
      <alignment horizontal="left" indent="1"/>
    </xf>
    <xf numFmtId="0" fontId="6" fillId="0" borderId="0" xfId="0" applyFont="1"/>
    <xf numFmtId="3" fontId="7" fillId="0" borderId="0" xfId="0" applyNumberFormat="1" applyFont="1"/>
    <xf numFmtId="0" fontId="4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Continuous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5" xfId="0" applyFont="1" applyFill="1" applyBorder="1"/>
    <xf numFmtId="164" fontId="3" fillId="2" borderId="5" xfId="0" applyNumberFormat="1" applyFont="1" applyFill="1" applyBorder="1"/>
    <xf numFmtId="9" fontId="3" fillId="2" borderId="5" xfId="1" applyFont="1" applyFill="1" applyBorder="1"/>
    <xf numFmtId="3" fontId="0" fillId="0" borderId="0" xfId="0" applyNumberFormat="1"/>
    <xf numFmtId="0" fontId="3" fillId="7" borderId="5" xfId="0" applyFont="1" applyFill="1" applyBorder="1" applyAlignment="1">
      <alignment horizontal="left" indent="2"/>
    </xf>
    <xf numFmtId="3" fontId="3" fillId="7" borderId="5" xfId="0" applyNumberFormat="1" applyFont="1" applyFill="1" applyBorder="1"/>
    <xf numFmtId="164" fontId="3" fillId="7" borderId="5" xfId="0" applyNumberFormat="1" applyFont="1" applyFill="1" applyBorder="1"/>
    <xf numFmtId="9" fontId="3" fillId="7" borderId="5" xfId="1" applyFont="1" applyFill="1" applyBorder="1"/>
    <xf numFmtId="0" fontId="0" fillId="0" borderId="5" xfId="0" applyBorder="1" applyAlignment="1">
      <alignment horizontal="left" indent="5"/>
    </xf>
    <xf numFmtId="3" fontId="6" fillId="0" borderId="5" xfId="0" applyNumberFormat="1" applyFont="1" applyBorder="1"/>
    <xf numFmtId="164" fontId="6" fillId="0" borderId="5" xfId="0" applyNumberFormat="1" applyFont="1" applyBorder="1"/>
    <xf numFmtId="9" fontId="6" fillId="0" borderId="5" xfId="1" applyFont="1" applyBorder="1"/>
    <xf numFmtId="9" fontId="0" fillId="0" borderId="0" xfId="1" applyFont="1"/>
    <xf numFmtId="3" fontId="0" fillId="0" borderId="5" xfId="0" applyNumberFormat="1" applyBorder="1"/>
    <xf numFmtId="164" fontId="0" fillId="0" borderId="5" xfId="0" applyNumberFormat="1" applyBorder="1"/>
    <xf numFmtId="9" fontId="0" fillId="0" borderId="5" xfId="1" applyFont="1" applyBorder="1"/>
    <xf numFmtId="0" fontId="3" fillId="8" borderId="0" xfId="0" applyFont="1" applyFill="1"/>
    <xf numFmtId="164" fontId="3" fillId="8" borderId="0" xfId="0" applyNumberFormat="1" applyFont="1" applyFill="1"/>
    <xf numFmtId="9" fontId="3" fillId="8" borderId="0" xfId="1" applyFont="1" applyFill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indent="2"/>
    </xf>
    <xf numFmtId="0" fontId="9" fillId="0" borderId="0" xfId="0" applyFont="1" applyAlignment="1">
      <alignment horizontal="left" vertical="top" wrapText="1" indent="2"/>
    </xf>
    <xf numFmtId="0" fontId="9" fillId="0" borderId="0" xfId="0" applyFont="1" applyAlignment="1">
      <alignment horizontal="left" vertical="top" wrapText="1" indent="2"/>
    </xf>
    <xf numFmtId="0" fontId="11" fillId="0" borderId="0" xfId="0" applyFont="1"/>
    <xf numFmtId="167" fontId="3" fillId="2" borderId="5" xfId="1" applyNumberFormat="1" applyFont="1" applyFill="1" applyBorder="1"/>
    <xf numFmtId="164" fontId="0" fillId="7" borderId="5" xfId="0" applyNumberFormat="1" applyFill="1" applyBorder="1"/>
    <xf numFmtId="9" fontId="0" fillId="7" borderId="5" xfId="1" applyFont="1" applyFill="1" applyBorder="1"/>
    <xf numFmtId="167" fontId="0" fillId="7" borderId="5" xfId="1" applyNumberFormat="1" applyFont="1" applyFill="1" applyBorder="1"/>
    <xf numFmtId="167" fontId="6" fillId="0" borderId="5" xfId="1" applyNumberFormat="1" applyFont="1" applyBorder="1"/>
    <xf numFmtId="167" fontId="3" fillId="8" borderId="0" xfId="1" applyNumberFormat="1" applyFont="1" applyFill="1"/>
    <xf numFmtId="0" fontId="5" fillId="9" borderId="0" xfId="0" applyFont="1" applyFill="1"/>
    <xf numFmtId="0" fontId="0" fillId="9" borderId="0" xfId="0" applyFill="1"/>
    <xf numFmtId="0" fontId="3" fillId="10" borderId="5" xfId="0" applyFont="1" applyFill="1" applyBorder="1"/>
    <xf numFmtId="3" fontId="3" fillId="10" borderId="5" xfId="0" applyNumberFormat="1" applyFont="1" applyFill="1" applyBorder="1"/>
    <xf numFmtId="164" fontId="3" fillId="10" borderId="5" xfId="0" applyNumberFormat="1" applyFont="1" applyFill="1" applyBorder="1"/>
    <xf numFmtId="9" fontId="3" fillId="10" borderId="5" xfId="1" applyFont="1" applyFill="1" applyBorder="1"/>
    <xf numFmtId="164" fontId="0" fillId="0" borderId="0" xfId="0" applyNumberFormat="1"/>
    <xf numFmtId="0" fontId="0" fillId="0" borderId="7" xfId="0" applyBorder="1"/>
    <xf numFmtId="164" fontId="0" fillId="0" borderId="7" xfId="0" applyNumberFormat="1" applyBorder="1"/>
    <xf numFmtId="4" fontId="0" fillId="0" borderId="7" xfId="0" applyNumberFormat="1" applyBorder="1"/>
    <xf numFmtId="0" fontId="0" fillId="0" borderId="8" xfId="0" applyBorder="1"/>
    <xf numFmtId="164" fontId="0" fillId="0" borderId="8" xfId="0" applyNumberFormat="1" applyBorder="1"/>
    <xf numFmtId="4" fontId="0" fillId="0" borderId="8" xfId="0" applyNumberFormat="1" applyBorder="1"/>
    <xf numFmtId="0" fontId="0" fillId="0" borderId="9" xfId="0" applyBorder="1"/>
    <xf numFmtId="164" fontId="0" fillId="0" borderId="9" xfId="0" applyNumberFormat="1" applyBorder="1"/>
    <xf numFmtId="4" fontId="0" fillId="0" borderId="9" xfId="0" applyNumberFormat="1" applyBorder="1"/>
    <xf numFmtId="0" fontId="3" fillId="11" borderId="6" xfId="0" applyFont="1" applyFill="1" applyBorder="1"/>
    <xf numFmtId="164" fontId="3" fillId="11" borderId="6" xfId="0" applyNumberFormat="1" applyFont="1" applyFill="1" applyBorder="1"/>
    <xf numFmtId="4" fontId="3" fillId="11" borderId="6" xfId="0" applyNumberFormat="1" applyFont="1" applyFill="1" applyBorder="1"/>
    <xf numFmtId="0" fontId="9" fillId="0" borderId="0" xfId="0" applyFont="1" applyAlignment="1">
      <alignment horizontal="left" indent="4"/>
    </xf>
    <xf numFmtId="0" fontId="3" fillId="12" borderId="0" xfId="0" applyFont="1" applyFill="1"/>
    <xf numFmtId="3" fontId="3" fillId="12" borderId="0" xfId="0" applyNumberFormat="1" applyFont="1" applyFill="1"/>
    <xf numFmtId="164" fontId="3" fillId="12" borderId="0" xfId="0" applyNumberFormat="1" applyFont="1" applyFill="1"/>
    <xf numFmtId="9" fontId="3" fillId="12" borderId="0" xfId="1" applyFont="1" applyFill="1"/>
    <xf numFmtId="3" fontId="0" fillId="0" borderId="8" xfId="0" applyNumberFormat="1" applyBorder="1"/>
    <xf numFmtId="3" fontId="3" fillId="11" borderId="6" xfId="0" applyNumberFormat="1" applyFont="1" applyFill="1" applyBorder="1"/>
    <xf numFmtId="3" fontId="0" fillId="0" borderId="7" xfId="0" applyNumberFormat="1" applyBorder="1"/>
    <xf numFmtId="3" fontId="0" fillId="0" borderId="9" xfId="0" applyNumberFormat="1" applyBorder="1"/>
    <xf numFmtId="0" fontId="3" fillId="0" borderId="0" xfId="0" applyFont="1"/>
    <xf numFmtId="0" fontId="0" fillId="0" borderId="0" xfId="0" applyFont="1" applyAlignment="1">
      <alignment horizontal="left" indent="2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2397748</xdr:colOff>
      <xdr:row>3</xdr:row>
      <xdr:rowOff>43345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1F1EB01-9F31-47FA-B9F1-0C01BB8DB49A}"/>
            </a:ext>
          </a:extLst>
        </xdr:cNvPr>
        <xdr:cNvGrpSpPr/>
      </xdr:nvGrpSpPr>
      <xdr:grpSpPr>
        <a:xfrm>
          <a:off x="243417" y="190500"/>
          <a:ext cx="2397748" cy="424345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7CBD5A42-D778-386A-CC26-B0C3B79DE3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159D32F0-04B0-E76F-AC1F-558700BF74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2397748</xdr:colOff>
      <xdr:row>3</xdr:row>
      <xdr:rowOff>43345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D8A3881-9320-424C-9B9F-027621B9AB11}"/>
            </a:ext>
          </a:extLst>
        </xdr:cNvPr>
        <xdr:cNvGrpSpPr/>
      </xdr:nvGrpSpPr>
      <xdr:grpSpPr>
        <a:xfrm>
          <a:off x="243417" y="190500"/>
          <a:ext cx="2397748" cy="424345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51F42C11-6AB9-44E4-E58F-C55F0B0558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54977682-30E7-10B1-0BFC-AB072E25A5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2397748</xdr:colOff>
      <xdr:row>3</xdr:row>
      <xdr:rowOff>43345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77C0227-91AD-4C6F-AA7D-5C620E0BB4E3}"/>
            </a:ext>
          </a:extLst>
        </xdr:cNvPr>
        <xdr:cNvGrpSpPr/>
      </xdr:nvGrpSpPr>
      <xdr:grpSpPr>
        <a:xfrm>
          <a:off x="243417" y="190500"/>
          <a:ext cx="2397748" cy="424345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E7ACFBC-092E-91C2-2DC8-8FAB6E579C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F30A598A-60A9-4BB4-0D30-B5C04E3212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BSCalculadoradeemissoesFinanciadas/Shared%20Documents/General/04.%20Documentos%20de%20trabalho/BS_An&#225;lise%20-%20Calculadora%20de%20Emiss&#245;es%20Dez%2024%20v0.2.xlsx" TargetMode="External"/><Relationship Id="rId1" Type="http://schemas.openxmlformats.org/officeDocument/2006/relationships/externalLinkPath" Target="https://santandernet.sharepoint.com/sites/BSCalculadoradeemissoesFinanciadas/Shared%20Documents/General/04.%20Documentos%20de%20trabalho/BS_An&#225;lise%20-%20Calculadora%20de%20Emiss&#245;es%20Dez%2024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Pressupostos"/>
      <sheetName val="2. Resumo Emissões Dez 24 V1"/>
      <sheetName val="2. Resumo Emissões Dez 24"/>
      <sheetName val="Sheet2"/>
      <sheetName val="Sheet3"/>
      <sheetName val="Sheet1"/>
      <sheetName val="ANL1"/>
      <sheetName val="5. Input"/>
      <sheetName val="3. Classificação finalidade bem"/>
      <sheetName val="4. Análises &gt;&gt;"/>
      <sheetName val="ID1"/>
      <sheetName val="ID1_Aux"/>
      <sheetName val="ID3"/>
      <sheetName val="ID4"/>
      <sheetName val="ID5"/>
      <sheetName val="ID5_Aux1"/>
      <sheetName val="ID5_Aux2"/>
      <sheetName val="ID6"/>
      <sheetName val="ID7"/>
      <sheetName val="Auxili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E91A-4350-4113-A67C-EC6369C81150}">
  <dimension ref="A1:AG1621"/>
  <sheetViews>
    <sheetView showGridLines="0" tabSelected="1" zoomScale="90" zoomScaleNormal="120" workbookViewId="0"/>
  </sheetViews>
  <sheetFormatPr defaultColWidth="0" defaultRowHeight="15" customHeight="1" zeroHeight="1" x14ac:dyDescent="0.25"/>
  <cols>
    <col min="1" max="1" width="3.7109375" style="4" customWidth="1"/>
    <col min="2" max="2" width="55.85546875" customWidth="1"/>
    <col min="3" max="5" width="19.5703125" customWidth="1"/>
    <col min="6" max="6" width="15.85546875" bestFit="1" customWidth="1"/>
    <col min="7" max="12" width="14.5703125" customWidth="1"/>
    <col min="13" max="13" width="3.7109375" customWidth="1"/>
    <col min="14" max="17" width="14.5703125" hidden="1"/>
    <col min="18" max="33" width="11.42578125" hidden="1"/>
    <col min="34" max="16384" width="9.140625" hidden="1"/>
  </cols>
  <sheetData>
    <row r="1" spans="1:29" s="46" customFormat="1" x14ac:dyDescent="0.25">
      <c r="A1" s="45"/>
    </row>
    <row r="2" spans="1:29" s="46" customFormat="1" x14ac:dyDescent="0.25">
      <c r="A2" s="45"/>
    </row>
    <row r="3" spans="1:29" s="46" customFormat="1" x14ac:dyDescent="0.25">
      <c r="A3" s="45"/>
    </row>
    <row r="4" spans="1:29" s="46" customFormat="1" x14ac:dyDescent="0.25">
      <c r="A4" s="45"/>
    </row>
    <row r="5" spans="1:29" ht="3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5"/>
    <row r="7" spans="1:29" x14ac:dyDescent="0.25">
      <c r="B7" s="5" t="s">
        <v>26</v>
      </c>
      <c r="F7" s="6"/>
    </row>
    <row r="8" spans="1:29" x14ac:dyDescent="0.25">
      <c r="C8" s="8"/>
      <c r="D8" s="7"/>
      <c r="E8" s="8"/>
      <c r="F8" s="7"/>
      <c r="G8" s="7"/>
      <c r="H8" s="7"/>
      <c r="I8" s="7"/>
      <c r="J8" s="7"/>
      <c r="K8" s="7"/>
      <c r="L8" s="7"/>
    </row>
    <row r="9" spans="1:29" ht="19.5" customHeight="1" x14ac:dyDescent="0.25">
      <c r="B9" s="9" t="s">
        <v>27</v>
      </c>
      <c r="C9" s="10" t="s">
        <v>28</v>
      </c>
      <c r="D9" s="10" t="s">
        <v>29</v>
      </c>
      <c r="E9" s="10" t="s">
        <v>30</v>
      </c>
      <c r="F9" s="11" t="s">
        <v>31</v>
      </c>
      <c r="G9" s="11"/>
      <c r="H9" s="11"/>
      <c r="I9" s="11"/>
      <c r="J9" s="11"/>
      <c r="K9" s="11"/>
      <c r="L9" s="11"/>
    </row>
    <row r="10" spans="1:29" ht="19.5" customHeight="1" x14ac:dyDescent="0.25">
      <c r="B10" s="9"/>
      <c r="C10" s="12"/>
      <c r="D10" s="12"/>
      <c r="E10" s="12"/>
      <c r="F10" s="13" t="s">
        <v>32</v>
      </c>
      <c r="G10" s="13" t="s">
        <v>33</v>
      </c>
      <c r="H10" s="14" t="s">
        <v>34</v>
      </c>
      <c r="I10" s="14" t="s">
        <v>35</v>
      </c>
      <c r="J10" s="14" t="s">
        <v>36</v>
      </c>
      <c r="K10" s="14" t="s">
        <v>37</v>
      </c>
      <c r="L10" s="13" t="s">
        <v>38</v>
      </c>
    </row>
    <row r="11" spans="1:29" x14ac:dyDescent="0.25">
      <c r="A11" s="8"/>
      <c r="B11" s="47" t="s">
        <v>39</v>
      </c>
      <c r="C11" s="48">
        <v>357626</v>
      </c>
      <c r="D11" s="49">
        <v>26726730416.085747</v>
      </c>
      <c r="E11" s="50">
        <v>0.44696862846548718</v>
      </c>
      <c r="F11" s="48">
        <v>335658696.90944785</v>
      </c>
      <c r="G11" s="48">
        <v>1768358.2613744496</v>
      </c>
      <c r="H11" s="48">
        <v>1021099.7009004269</v>
      </c>
      <c r="I11" s="48">
        <v>1336591.7318136797</v>
      </c>
      <c r="J11" s="48">
        <v>1767379.9583431329</v>
      </c>
      <c r="K11" s="48">
        <v>1494510.239160866</v>
      </c>
      <c r="L11" s="48">
        <v>1768108.6164593166</v>
      </c>
      <c r="M11" s="18"/>
    </row>
    <row r="12" spans="1:29" x14ac:dyDescent="0.25">
      <c r="A12" s="8"/>
      <c r="B12" s="19" t="s">
        <v>40</v>
      </c>
      <c r="C12" s="20">
        <v>5552</v>
      </c>
      <c r="D12" s="21">
        <v>2386067144.2560587</v>
      </c>
      <c r="E12" s="22">
        <v>8.9276432511923742E-2</v>
      </c>
      <c r="F12" s="20">
        <v>1232634.615730017</v>
      </c>
      <c r="G12" s="20">
        <v>1113806.844091038</v>
      </c>
      <c r="H12" s="20">
        <v>603079.40492195904</v>
      </c>
      <c r="I12" s="20">
        <v>834675.4584715165</v>
      </c>
      <c r="J12" s="20">
        <v>1113682.7845624781</v>
      </c>
      <c r="K12" s="20">
        <v>1028738.5903879839</v>
      </c>
      <c r="L12" s="20">
        <v>1113806.2253975379</v>
      </c>
      <c r="M12" s="18"/>
      <c r="N12" s="18"/>
    </row>
    <row r="13" spans="1:29" x14ac:dyDescent="0.25">
      <c r="A13" s="8"/>
      <c r="B13" s="23" t="s">
        <v>41</v>
      </c>
      <c r="C13" s="24">
        <v>5460</v>
      </c>
      <c r="D13" s="25">
        <v>2244357118.37606</v>
      </c>
      <c r="E13" s="26">
        <v>0.94060937211212392</v>
      </c>
      <c r="F13" s="24">
        <v>1213682.5254691311</v>
      </c>
      <c r="G13" s="24">
        <v>1098054.0821546207</v>
      </c>
      <c r="H13" s="24">
        <v>594494.41390947835</v>
      </c>
      <c r="I13" s="24">
        <v>819201.46493320109</v>
      </c>
      <c r="J13" s="24">
        <v>1097930.0226260608</v>
      </c>
      <c r="K13" s="24">
        <v>1013073.6642424477</v>
      </c>
      <c r="L13" s="24">
        <v>1098053.4634611206</v>
      </c>
      <c r="M13" s="27"/>
    </row>
    <row r="14" spans="1:29" x14ac:dyDescent="0.25">
      <c r="A14" s="8"/>
      <c r="B14" s="23" t="s">
        <v>42</v>
      </c>
      <c r="C14" s="24">
        <v>77</v>
      </c>
      <c r="D14" s="25">
        <v>140539843.14999899</v>
      </c>
      <c r="E14" s="26">
        <v>5.8900204668723727E-2</v>
      </c>
      <c r="F14" s="24">
        <v>18832.788071791631</v>
      </c>
      <c r="G14" s="24">
        <v>15633.45974732273</v>
      </c>
      <c r="H14" s="24">
        <v>8479.2011197662796</v>
      </c>
      <c r="I14" s="24">
        <v>15354.94273911832</v>
      </c>
      <c r="J14" s="24">
        <v>15633.45974732273</v>
      </c>
      <c r="K14" s="24">
        <v>15594.205950678181</v>
      </c>
      <c r="L14" s="24">
        <v>15633.45974732273</v>
      </c>
    </row>
    <row r="15" spans="1:29" x14ac:dyDescent="0.25">
      <c r="A15" s="8"/>
      <c r="B15" s="23" t="s">
        <v>43</v>
      </c>
      <c r="C15" s="24">
        <v>8</v>
      </c>
      <c r="D15" s="25">
        <v>814512.41999999899</v>
      </c>
      <c r="E15" s="26">
        <v>3.4136190256035408E-4</v>
      </c>
      <c r="F15" s="24">
        <v>84.114311943350003</v>
      </c>
      <c r="G15" s="24">
        <v>84.114311943350003</v>
      </c>
      <c r="H15" s="24">
        <v>84.114311943350003</v>
      </c>
      <c r="I15" s="24">
        <v>84.114311943350003</v>
      </c>
      <c r="J15" s="24">
        <v>84.114311943350003</v>
      </c>
      <c r="K15" s="24">
        <v>30.653560202200001</v>
      </c>
      <c r="L15" s="24">
        <v>84.114311943350003</v>
      </c>
    </row>
    <row r="16" spans="1:29" x14ac:dyDescent="0.25">
      <c r="A16" s="8"/>
      <c r="B16" s="23" t="s">
        <v>44</v>
      </c>
      <c r="C16" s="24">
        <v>7</v>
      </c>
      <c r="D16" s="25">
        <v>355670.30999999901</v>
      </c>
      <c r="E16" s="26">
        <v>1.4906131659211621E-4</v>
      </c>
      <c r="F16" s="24">
        <v>35.1878771512906</v>
      </c>
      <c r="G16" s="24">
        <v>35.1878771512906</v>
      </c>
      <c r="H16" s="24">
        <v>21.675580771</v>
      </c>
      <c r="I16" s="24">
        <v>34.936487253698999</v>
      </c>
      <c r="J16" s="24">
        <v>35.1878771512906</v>
      </c>
      <c r="K16" s="24">
        <v>40.06663465578</v>
      </c>
      <c r="L16" s="24">
        <v>35.1878771512906</v>
      </c>
    </row>
    <row r="17" spans="1:14" x14ac:dyDescent="0.25">
      <c r="A17" s="8"/>
      <c r="B17" s="19" t="s">
        <v>45</v>
      </c>
      <c r="C17" s="20">
        <v>350885</v>
      </c>
      <c r="D17" s="21">
        <v>23307117552.899696</v>
      </c>
      <c r="E17" s="22">
        <v>0.87205270491567788</v>
      </c>
      <c r="F17" s="20">
        <v>334240241.33648086</v>
      </c>
      <c r="G17" s="20">
        <v>525198.69013495732</v>
      </c>
      <c r="H17" s="20">
        <v>343138.23962782847</v>
      </c>
      <c r="I17" s="20">
        <v>422389.15387719905</v>
      </c>
      <c r="J17" s="20">
        <v>524345.9151408918</v>
      </c>
      <c r="K17" s="20">
        <v>342136.53317028424</v>
      </c>
      <c r="L17" s="20">
        <v>524949.66391332436</v>
      </c>
      <c r="M17" s="18"/>
      <c r="N17" s="18"/>
    </row>
    <row r="18" spans="1:14" x14ac:dyDescent="0.25">
      <c r="A18" s="8"/>
      <c r="B18" s="23" t="s">
        <v>46</v>
      </c>
      <c r="C18" s="28">
        <v>350885</v>
      </c>
      <c r="D18" s="29">
        <v>23307117552.899696</v>
      </c>
      <c r="E18" s="30">
        <v>1</v>
      </c>
      <c r="F18" s="28">
        <v>334240241.33648086</v>
      </c>
      <c r="G18" s="28">
        <v>525198.69013495732</v>
      </c>
      <c r="H18" s="28">
        <v>343138.23962782847</v>
      </c>
      <c r="I18" s="28">
        <v>422389.15387719905</v>
      </c>
      <c r="J18" s="28">
        <v>524345.9151408918</v>
      </c>
      <c r="K18" s="28">
        <v>342136.53317028424</v>
      </c>
      <c r="L18" s="28">
        <v>524949.66391332436</v>
      </c>
      <c r="M18" s="18"/>
    </row>
    <row r="19" spans="1:14" x14ac:dyDescent="0.25">
      <c r="A19" s="8"/>
      <c r="B19" s="19" t="s">
        <v>47</v>
      </c>
      <c r="C19" s="20">
        <v>510</v>
      </c>
      <c r="D19" s="21">
        <v>876406734.65999794</v>
      </c>
      <c r="E19" s="22">
        <v>3.2791393523112125E-2</v>
      </c>
      <c r="F19" s="20">
        <v>18322.297445918768</v>
      </c>
      <c r="G19" s="20">
        <v>16190.682371722269</v>
      </c>
      <c r="H19" s="20">
        <v>9468.1620238655378</v>
      </c>
      <c r="I19" s="20">
        <v>12148.850648519639</v>
      </c>
      <c r="J19" s="20">
        <v>16189.213863031269</v>
      </c>
      <c r="K19" s="20">
        <v>16190.491208386269</v>
      </c>
      <c r="L19" s="20">
        <v>16190.682371722269</v>
      </c>
    </row>
    <row r="20" spans="1:14" x14ac:dyDescent="0.25">
      <c r="A20" s="8"/>
      <c r="B20" s="23" t="s">
        <v>41</v>
      </c>
      <c r="C20" s="24">
        <v>490</v>
      </c>
      <c r="D20" s="25">
        <v>758133074.00999892</v>
      </c>
      <c r="E20" s="26">
        <v>0.86504706550904897</v>
      </c>
      <c r="F20" s="24">
        <v>16904.5889469717</v>
      </c>
      <c r="G20" s="24">
        <v>14772.973872775201</v>
      </c>
      <c r="H20" s="24">
        <v>8683.7480077776891</v>
      </c>
      <c r="I20" s="24">
        <v>11442.487747327625</v>
      </c>
      <c r="J20" s="24">
        <v>14771.505364084202</v>
      </c>
      <c r="K20" s="24">
        <v>14772.782709439201</v>
      </c>
      <c r="L20" s="24">
        <v>14772.973872775201</v>
      </c>
      <c r="M20" s="18"/>
    </row>
    <row r="21" spans="1:14" x14ac:dyDescent="0.25">
      <c r="A21" s="8"/>
      <c r="B21" s="23" t="s">
        <v>42</v>
      </c>
      <c r="C21" s="24">
        <v>20</v>
      </c>
      <c r="D21" s="25">
        <v>118273660.64999899</v>
      </c>
      <c r="E21" s="26">
        <v>0.13495293449095103</v>
      </c>
      <c r="F21" s="24">
        <v>1417.70849894707</v>
      </c>
      <c r="G21" s="24">
        <v>1417.70849894707</v>
      </c>
      <c r="H21" s="24">
        <v>784.41401608784895</v>
      </c>
      <c r="I21" s="24">
        <v>706.36290119201499</v>
      </c>
      <c r="J21" s="24">
        <v>1417.70849894707</v>
      </c>
      <c r="K21" s="24">
        <v>1417.70849894707</v>
      </c>
      <c r="L21" s="24">
        <v>1417.70849894707</v>
      </c>
      <c r="M21" s="27"/>
    </row>
    <row r="22" spans="1:14" x14ac:dyDescent="0.25">
      <c r="A22" s="8"/>
      <c r="B22" s="19" t="s">
        <v>48</v>
      </c>
      <c r="C22" s="20">
        <v>32</v>
      </c>
      <c r="D22" s="21">
        <v>5547890.0499999896</v>
      </c>
      <c r="E22" s="22">
        <v>2.0757832939643589E-4</v>
      </c>
      <c r="F22" s="20">
        <v>3116.363376532554</v>
      </c>
      <c r="G22" s="20">
        <v>2681.5049995882459</v>
      </c>
      <c r="H22" s="20">
        <v>1880.5815537152489</v>
      </c>
      <c r="I22" s="20">
        <v>2675.4690627241157</v>
      </c>
      <c r="J22" s="20">
        <v>2681.5049995882459</v>
      </c>
      <c r="K22" s="20">
        <v>2681.5049995882459</v>
      </c>
      <c r="L22" s="20">
        <v>2681.5049995882459</v>
      </c>
    </row>
    <row r="23" spans="1:14" x14ac:dyDescent="0.25">
      <c r="A23" s="8"/>
      <c r="B23" s="19" t="s">
        <v>49</v>
      </c>
      <c r="C23" s="20">
        <v>646</v>
      </c>
      <c r="D23" s="21">
        <v>151591082.019999</v>
      </c>
      <c r="E23" s="22">
        <v>5.6718902634181698E-3</v>
      </c>
      <c r="F23" s="20">
        <v>164382.29613014139</v>
      </c>
      <c r="G23" s="20">
        <v>110480.53949283379</v>
      </c>
      <c r="H23" s="20">
        <v>63533.312757895503</v>
      </c>
      <c r="I23" s="20">
        <v>64702.7994694105</v>
      </c>
      <c r="J23" s="20">
        <v>110480.53949283379</v>
      </c>
      <c r="K23" s="20">
        <v>104763.11911031339</v>
      </c>
      <c r="L23" s="20">
        <v>110480.53949283379</v>
      </c>
    </row>
    <row r="24" spans="1:14" x14ac:dyDescent="0.25">
      <c r="A24" s="8"/>
      <c r="B24" s="19" t="s">
        <v>50</v>
      </c>
      <c r="C24" s="20">
        <v>1</v>
      </c>
      <c r="D24" s="21">
        <v>12.2</v>
      </c>
      <c r="E24" s="22">
        <v>4.5647184710095736E-10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</row>
    <row r="25" spans="1:14" x14ac:dyDescent="0.25">
      <c r="A25" s="8"/>
      <c r="B25" s="47" t="s">
        <v>51</v>
      </c>
      <c r="C25" s="48">
        <v>1486175</v>
      </c>
      <c r="D25" s="49">
        <v>33068809391.356144</v>
      </c>
      <c r="E25" s="50">
        <v>0.55303137153451276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</row>
    <row r="26" spans="1:14" x14ac:dyDescent="0.25">
      <c r="A26" s="8"/>
      <c r="B26" s="19" t="s">
        <v>40</v>
      </c>
      <c r="C26" s="20">
        <v>7</v>
      </c>
      <c r="D26" s="21">
        <v>38084645.469999999</v>
      </c>
      <c r="E26" s="22">
        <v>1.151678762282713E-3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</row>
    <row r="27" spans="1:14" x14ac:dyDescent="0.25">
      <c r="A27" s="8"/>
      <c r="B27" s="19" t="s">
        <v>45</v>
      </c>
      <c r="C27" s="20">
        <v>1397</v>
      </c>
      <c r="D27" s="21">
        <v>26610736.539999999</v>
      </c>
      <c r="E27" s="22">
        <v>8.0470803242634374E-4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</row>
    <row r="28" spans="1:14" x14ac:dyDescent="0.25">
      <c r="A28" s="8"/>
      <c r="B28" s="19" t="s">
        <v>47</v>
      </c>
      <c r="C28" s="20">
        <v>17</v>
      </c>
      <c r="D28" s="21">
        <v>124634873.28</v>
      </c>
      <c r="E28" s="22">
        <v>3.7689555679188834E-3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</row>
    <row r="29" spans="1:14" x14ac:dyDescent="0.25">
      <c r="A29" s="8"/>
      <c r="B29" s="19" t="s">
        <v>48</v>
      </c>
      <c r="C29" s="20">
        <v>1079589</v>
      </c>
      <c r="D29" s="21">
        <v>1966625472.2755201</v>
      </c>
      <c r="E29" s="22">
        <v>5.947070694324956E-2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</row>
    <row r="30" spans="1:14" x14ac:dyDescent="0.25">
      <c r="A30" s="8"/>
      <c r="B30" s="19" t="s">
        <v>49</v>
      </c>
      <c r="C30" s="20">
        <v>52893</v>
      </c>
      <c r="D30" s="21">
        <v>269953412.231857</v>
      </c>
      <c r="E30" s="22">
        <v>8.1633846878811471E-3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</row>
    <row r="31" spans="1:14" x14ac:dyDescent="0.25">
      <c r="A31" s="8"/>
      <c r="B31" s="19" t="s">
        <v>50</v>
      </c>
      <c r="C31" s="20">
        <v>352272</v>
      </c>
      <c r="D31" s="21">
        <v>30642900251.558765</v>
      </c>
      <c r="E31" s="22">
        <v>0.92664056600624134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</row>
    <row r="32" spans="1:14" x14ac:dyDescent="0.25">
      <c r="B32" s="65" t="s">
        <v>52</v>
      </c>
      <c r="C32" s="66">
        <v>1843801</v>
      </c>
      <c r="D32" s="67">
        <v>59795539807.441895</v>
      </c>
      <c r="E32" s="68">
        <v>1</v>
      </c>
      <c r="F32" s="66">
        <v>335658696.90944785</v>
      </c>
      <c r="G32" s="66">
        <v>1768358.2613744496</v>
      </c>
      <c r="H32" s="66">
        <v>1021099.7009004269</v>
      </c>
      <c r="I32" s="66">
        <v>1336591.7318136797</v>
      </c>
      <c r="J32" s="66">
        <v>1767379.9583431329</v>
      </c>
      <c r="K32" s="66">
        <v>1494510.239160866</v>
      </c>
      <c r="L32" s="66">
        <v>1768108.6164593166</v>
      </c>
    </row>
    <row r="33" spans="2:12" x14ac:dyDescent="0.25">
      <c r="B33" s="34" t="s">
        <v>53</v>
      </c>
      <c r="G33" s="18"/>
      <c r="H33" s="18"/>
      <c r="I33" s="18"/>
      <c r="J33" s="18"/>
      <c r="K33" s="18"/>
    </row>
    <row r="34" spans="2:12" x14ac:dyDescent="0.25">
      <c r="B34" s="35" t="s">
        <v>54</v>
      </c>
      <c r="C34" s="35"/>
      <c r="G34" s="18"/>
      <c r="H34" s="18"/>
      <c r="I34" s="18"/>
      <c r="J34" s="18"/>
      <c r="K34" s="18"/>
    </row>
    <row r="35" spans="2:12" x14ac:dyDescent="0.25">
      <c r="B35" s="35" t="s">
        <v>55</v>
      </c>
      <c r="C35" s="35"/>
      <c r="G35" s="18"/>
      <c r="H35" s="18"/>
      <c r="I35" s="18"/>
      <c r="J35" s="18"/>
      <c r="K35" s="18"/>
    </row>
    <row r="36" spans="2:12" x14ac:dyDescent="0.25">
      <c r="B36" s="64" t="s">
        <v>64</v>
      </c>
      <c r="C36" s="35"/>
      <c r="G36" s="18"/>
      <c r="H36" s="18"/>
      <c r="I36" s="18"/>
      <c r="J36" s="18"/>
      <c r="K36" s="18"/>
    </row>
    <row r="37" spans="2:12" x14ac:dyDescent="0.25">
      <c r="B37" s="64" t="s">
        <v>65</v>
      </c>
      <c r="C37" s="35"/>
      <c r="G37" s="18"/>
      <c r="H37" s="18"/>
      <c r="I37" s="18"/>
      <c r="J37" s="18"/>
      <c r="K37" s="18"/>
    </row>
    <row r="38" spans="2:12" x14ac:dyDescent="0.25">
      <c r="B38" s="64" t="s">
        <v>66</v>
      </c>
      <c r="C38" s="35"/>
      <c r="G38" s="18"/>
      <c r="H38" s="18"/>
      <c r="I38" s="18"/>
      <c r="J38" s="18"/>
      <c r="K38" s="18"/>
    </row>
    <row r="39" spans="2:12" x14ac:dyDescent="0.25">
      <c r="B39" s="64" t="s">
        <v>67</v>
      </c>
      <c r="C39" s="35"/>
      <c r="G39" s="18"/>
      <c r="H39" s="18"/>
      <c r="I39" s="18"/>
      <c r="J39" s="18"/>
      <c r="K39" s="18"/>
    </row>
    <row r="40" spans="2:12" ht="36.75" customHeight="1" x14ac:dyDescent="0.25">
      <c r="B40" s="36" t="s">
        <v>56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</row>
    <row r="41" spans="2:12" ht="15" customHeight="1" x14ac:dyDescent="0.25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</row>
    <row r="42" spans="2:12" hidden="1" x14ac:dyDescent="0.25">
      <c r="B42" s="38"/>
      <c r="G42" s="18"/>
      <c r="H42" s="18"/>
      <c r="I42" s="18"/>
      <c r="J42" s="18"/>
      <c r="K42" s="18"/>
    </row>
    <row r="43" spans="2:12" hidden="1" x14ac:dyDescent="0.25">
      <c r="B43" s="38"/>
      <c r="E43" s="1"/>
      <c r="G43" s="18"/>
      <c r="H43" s="18"/>
      <c r="I43" s="18"/>
      <c r="J43" s="18"/>
      <c r="K43" s="18"/>
    </row>
    <row r="44" spans="2:12" hidden="1" x14ac:dyDescent="0.25">
      <c r="B44" s="38"/>
      <c r="G44" s="18"/>
      <c r="H44" s="18"/>
      <c r="I44" s="18"/>
      <c r="J44" s="18"/>
      <c r="K44" s="18"/>
    </row>
    <row r="45" spans="2:12" hidden="1" x14ac:dyDescent="0.25">
      <c r="B45" s="38"/>
      <c r="G45" s="18"/>
      <c r="H45" s="18"/>
      <c r="I45" s="18"/>
      <c r="J45" s="18"/>
      <c r="K45" s="18"/>
    </row>
    <row r="46" spans="2:12" hidden="1" x14ac:dyDescent="0.25">
      <c r="B46" s="38"/>
      <c r="G46" s="18"/>
      <c r="H46" s="18"/>
      <c r="I46" s="18"/>
      <c r="J46" s="18"/>
      <c r="K46" s="18"/>
    </row>
    <row r="47" spans="2:12" hidden="1" x14ac:dyDescent="0.25">
      <c r="B47" s="38"/>
      <c r="G47" s="18"/>
      <c r="H47" s="18"/>
      <c r="I47" s="18"/>
      <c r="J47" s="18"/>
      <c r="K47" s="18"/>
    </row>
    <row r="48" spans="2:12" hidden="1" x14ac:dyDescent="0.25">
      <c r="B48" s="38"/>
      <c r="G48" s="18"/>
      <c r="H48" s="18"/>
      <c r="I48" s="18"/>
      <c r="J48" s="18"/>
      <c r="K48" s="18"/>
    </row>
    <row r="49" spans="2:5" hidden="1" x14ac:dyDescent="0.25">
      <c r="B49" s="5" t="s">
        <v>57</v>
      </c>
    </row>
    <row r="50" spans="2:5" hidden="1" x14ac:dyDescent="0.25"/>
    <row r="51" spans="2:5" hidden="1" x14ac:dyDescent="0.25">
      <c r="B51" s="9" t="s">
        <v>27</v>
      </c>
      <c r="C51" s="10" t="s">
        <v>29</v>
      </c>
      <c r="D51" s="10" t="s">
        <v>30</v>
      </c>
      <c r="E51" s="10" t="s">
        <v>58</v>
      </c>
    </row>
    <row r="52" spans="2:5" hidden="1" x14ac:dyDescent="0.25">
      <c r="B52" s="9"/>
      <c r="C52" s="12"/>
      <c r="D52" s="12"/>
      <c r="E52" s="12"/>
    </row>
    <row r="53" spans="2:5" hidden="1" x14ac:dyDescent="0.25">
      <c r="B53" s="15" t="s">
        <v>59</v>
      </c>
      <c r="C53" s="16">
        <f>+SUM(C54,C57,C59)</f>
        <v>14407786.969999889</v>
      </c>
      <c r="D53" s="17">
        <f>+C53/$C$70</f>
        <v>0.22066472524671873</v>
      </c>
      <c r="E53" s="39">
        <f>+C53/$D$11</f>
        <v>5.3907779760925859E-4</v>
      </c>
    </row>
    <row r="54" spans="2:5" hidden="1" x14ac:dyDescent="0.25">
      <c r="B54" s="19" t="s">
        <v>40</v>
      </c>
      <c r="C54" s="40">
        <f>+SUM(C55:C56)</f>
        <v>13310612.009999899</v>
      </c>
      <c r="D54" s="41">
        <f>+C54/$C$53</f>
        <v>0.92384847428098815</v>
      </c>
      <c r="E54" s="42">
        <f t="shared" ref="E54:E70" si="0">+C54/$D$11</f>
        <v>4.9802620084006891E-4</v>
      </c>
    </row>
    <row r="55" spans="2:5" hidden="1" x14ac:dyDescent="0.25">
      <c r="B55" s="23" t="s">
        <v>41</v>
      </c>
      <c r="C55" s="25">
        <v>13261468.4799999</v>
      </c>
      <c r="D55" s="26">
        <f>+C55/$C$54</f>
        <v>0.99630794361949104</v>
      </c>
      <c r="E55" s="43">
        <f t="shared" si="0"/>
        <v>4.9618746002759668E-4</v>
      </c>
    </row>
    <row r="56" spans="2:5" hidden="1" x14ac:dyDescent="0.25">
      <c r="B56" s="23" t="s">
        <v>42</v>
      </c>
      <c r="C56" s="25">
        <v>49143.53</v>
      </c>
      <c r="D56" s="26">
        <f>+C56/$C$54</f>
        <v>3.692056380509011E-3</v>
      </c>
      <c r="E56" s="43">
        <f t="shared" si="0"/>
        <v>1.8387408124722385E-6</v>
      </c>
    </row>
    <row r="57" spans="2:5" hidden="1" x14ac:dyDescent="0.25">
      <c r="B57" s="19" t="s">
        <v>45</v>
      </c>
      <c r="C57" s="40">
        <f>+C58</f>
        <v>1086658.9499999899</v>
      </c>
      <c r="D57" s="41">
        <f>+C57/$C$53</f>
        <v>7.542164194005975E-2</v>
      </c>
      <c r="E57" s="42">
        <f t="shared" si="0"/>
        <v>4.0658132629121501E-5</v>
      </c>
    </row>
    <row r="58" spans="2:5" hidden="1" x14ac:dyDescent="0.25">
      <c r="B58" s="23" t="s">
        <v>46</v>
      </c>
      <c r="C58" s="25">
        <v>1086658.9499999899</v>
      </c>
      <c r="D58" s="26">
        <v>1</v>
      </c>
      <c r="E58" s="43">
        <f t="shared" si="0"/>
        <v>4.0658132629121501E-5</v>
      </c>
    </row>
    <row r="59" spans="2:5" hidden="1" x14ac:dyDescent="0.25">
      <c r="B59" s="19" t="s">
        <v>49</v>
      </c>
      <c r="C59" s="40">
        <f>+C60</f>
        <v>10516.0099999999</v>
      </c>
      <c r="D59" s="41">
        <f>+C59/$C$53</f>
        <v>7.2988377895206904E-4</v>
      </c>
      <c r="E59" s="42">
        <f t="shared" si="0"/>
        <v>3.9346414006820438E-7</v>
      </c>
    </row>
    <row r="60" spans="2:5" hidden="1" x14ac:dyDescent="0.25">
      <c r="B60" s="23" t="s">
        <v>46</v>
      </c>
      <c r="C60" s="25">
        <v>10516.0099999999</v>
      </c>
      <c r="D60" s="26">
        <v>1</v>
      </c>
      <c r="E60" s="43">
        <f t="shared" si="0"/>
        <v>3.9346414006820438E-7</v>
      </c>
    </row>
    <row r="61" spans="2:5" hidden="1" x14ac:dyDescent="0.25">
      <c r="B61" s="15" t="s">
        <v>60</v>
      </c>
      <c r="C61" s="16">
        <f>+SUM(C62,C64,C66,C68)</f>
        <v>50884873.439999789</v>
      </c>
      <c r="D61" s="17">
        <f>+C61/$C$70</f>
        <v>0.77933527475328124</v>
      </c>
      <c r="E61" s="39">
        <f t="shared" si="0"/>
        <v>1.9038944400537009E-3</v>
      </c>
    </row>
    <row r="62" spans="2:5" hidden="1" x14ac:dyDescent="0.25">
      <c r="B62" s="19" t="s">
        <v>40</v>
      </c>
      <c r="C62" s="40">
        <f>+C63</f>
        <v>24065728.7099999</v>
      </c>
      <c r="D62" s="41">
        <f>+C62/$C$61</f>
        <v>0.47294465099489102</v>
      </c>
      <c r="E62" s="42">
        <f t="shared" si="0"/>
        <v>9.0043669148231109E-4</v>
      </c>
    </row>
    <row r="63" spans="2:5" hidden="1" x14ac:dyDescent="0.25">
      <c r="B63" s="23" t="s">
        <v>41</v>
      </c>
      <c r="C63" s="25">
        <v>24065728.7099999</v>
      </c>
      <c r="D63" s="26">
        <v>1</v>
      </c>
      <c r="E63" s="43">
        <f t="shared" si="0"/>
        <v>9.0043669148231109E-4</v>
      </c>
    </row>
    <row r="64" spans="2:5" hidden="1" x14ac:dyDescent="0.25">
      <c r="B64" s="19" t="s">
        <v>45</v>
      </c>
      <c r="C64" s="40">
        <f>+C65</f>
        <v>24865008.0699999</v>
      </c>
      <c r="D64" s="41">
        <f>+C64/$C$61</f>
        <v>0.48865225339155333</v>
      </c>
      <c r="E64" s="42">
        <f t="shared" si="0"/>
        <v>9.3034230835189059E-4</v>
      </c>
    </row>
    <row r="65" spans="2:29" hidden="1" x14ac:dyDescent="0.25">
      <c r="B65" s="23" t="s">
        <v>46</v>
      </c>
      <c r="C65" s="25">
        <v>24865008.0699999</v>
      </c>
      <c r="D65" s="26">
        <v>1</v>
      </c>
      <c r="E65" s="43">
        <f t="shared" si="0"/>
        <v>9.3034230835189059E-4</v>
      </c>
    </row>
    <row r="66" spans="2:29" hidden="1" x14ac:dyDescent="0.25">
      <c r="B66" s="19" t="s">
        <v>61</v>
      </c>
      <c r="C66" s="40">
        <f>+C67</f>
        <v>737896.69999999902</v>
      </c>
      <c r="D66" s="41">
        <f>+C66/$C$61</f>
        <v>1.4501297735761885E-2</v>
      </c>
      <c r="E66" s="42">
        <f t="shared" si="0"/>
        <v>2.7608940132680375E-5</v>
      </c>
    </row>
    <row r="67" spans="2:29" hidden="1" x14ac:dyDescent="0.25">
      <c r="B67" s="23" t="s">
        <v>41</v>
      </c>
      <c r="C67" s="25">
        <v>737896.69999999902</v>
      </c>
      <c r="D67" s="26">
        <v>1</v>
      </c>
      <c r="E67" s="43">
        <f t="shared" si="0"/>
        <v>2.7608940132680375E-5</v>
      </c>
    </row>
    <row r="68" spans="2:29" hidden="1" x14ac:dyDescent="0.25">
      <c r="B68" s="19" t="s">
        <v>49</v>
      </c>
      <c r="C68" s="40">
        <f>+C69</f>
        <v>1216239.95999999</v>
      </c>
      <c r="D68" s="41">
        <f>+C68/$C$61</f>
        <v>2.3901797877793739E-2</v>
      </c>
      <c r="E68" s="42">
        <f t="shared" si="0"/>
        <v>4.5506500086818846E-5</v>
      </c>
    </row>
    <row r="69" spans="2:29" hidden="1" x14ac:dyDescent="0.25">
      <c r="B69" s="23" t="s">
        <v>46</v>
      </c>
      <c r="C69" s="25">
        <v>1216239.95999999</v>
      </c>
      <c r="D69" s="26">
        <v>1</v>
      </c>
      <c r="E69" s="43">
        <f t="shared" si="0"/>
        <v>4.5506500086818846E-5</v>
      </c>
    </row>
    <row r="70" spans="2:29" hidden="1" x14ac:dyDescent="0.25">
      <c r="B70" s="31" t="s">
        <v>52</v>
      </c>
      <c r="C70" s="32">
        <f>+SUM(C61,C53)</f>
        <v>65292660.409999676</v>
      </c>
      <c r="D70" s="33">
        <f>+C70/$C$70</f>
        <v>1</v>
      </c>
      <c r="E70" s="44">
        <f t="shared" si="0"/>
        <v>2.4429722376629595E-3</v>
      </c>
    </row>
    <row r="71" spans="2:29" hidden="1" x14ac:dyDescent="0.25"/>
    <row r="72" spans="2:29" s="4" customFormat="1" hidden="1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2:29" s="4" customFormat="1" hidden="1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2:29" s="4" customFormat="1" hidden="1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2:29" s="4" customFormat="1" hidden="1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2:29" s="4" customFormat="1" hidden="1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2:29" s="4" customFormat="1" hidden="1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2:29" s="4" customFormat="1" hidden="1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2:29" s="4" customFormat="1" hidden="1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2:29" s="4" customFormat="1" hidden="1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2:29" s="4" customFormat="1" hidden="1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2:29" s="4" customFormat="1" hidden="1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2:29" s="4" customFormat="1" hidden="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2:29" s="4" customFormat="1" hidden="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2:29" s="4" customFormat="1" hidden="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2:29" s="4" customFormat="1" hidden="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2:29" s="4" customFormat="1" hidden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2:29" s="4" customFormat="1" hidden="1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2:29" s="4" customFormat="1" hidden="1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2:29" s="4" customFormat="1" hidden="1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2:29" s="4" customFormat="1" hidden="1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2:29" s="4" customFormat="1" hidden="1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2:29" s="4" customFormat="1" hidden="1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2:29" s="4" customFormat="1" hidden="1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2:29" s="4" customFormat="1" hidden="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2:29" s="4" customFormat="1" hidden="1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2:29" s="4" customFormat="1" hidden="1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2:29" s="4" customFormat="1" hidden="1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2:29" s="4" customFormat="1" hidden="1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2:29" s="4" customFormat="1" hidden="1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2:29" s="4" customFormat="1" hidden="1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2:29" s="4" customFormat="1" hidden="1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2:29" s="4" customFormat="1" hidden="1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2:29" s="4" customFormat="1" hidden="1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2:29" s="4" customFormat="1" hidden="1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2:29" s="4" customFormat="1" hidden="1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2:29" s="4" customFormat="1" hidden="1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2:29" s="4" customFormat="1" hidden="1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2:29" s="4" customFormat="1" hidden="1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2:29" s="4" customFormat="1" hidden="1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2:29" s="4" customFormat="1" hidden="1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2:29" s="4" customFormat="1" hidden="1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2:29" s="4" customFormat="1" hidden="1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2:29" s="4" customFormat="1" hidden="1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2:29" s="4" customFormat="1" hidden="1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2:29" s="4" customFormat="1" hidden="1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2:29" s="4" customFormat="1" hidden="1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2:29" s="4" customFormat="1" hidden="1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2:29" s="4" customFormat="1" hidden="1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2:29" s="4" customFormat="1" hidden="1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2:29" s="4" customFormat="1" hidden="1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2:29" s="4" customFormat="1" hidden="1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2:29" s="4" customFormat="1" hidden="1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2:29" s="4" customFormat="1" hidden="1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2:29" s="4" customFormat="1" hidden="1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2:29" s="4" customFormat="1" hidden="1" x14ac:dyDescent="0.2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2:29" s="4" customFormat="1" hidden="1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2:29" s="4" customFormat="1" hidden="1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2:29" s="4" customFormat="1" hidden="1" x14ac:dyDescent="0.2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2:29" s="4" customFormat="1" hidden="1" x14ac:dyDescent="0.2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2:29" s="4" customFormat="1" hidden="1" x14ac:dyDescent="0.2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2:29" s="4" customFormat="1" hidden="1" x14ac:dyDescent="0.2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2:29" s="4" customFormat="1" hidden="1" x14ac:dyDescent="0.2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2:29" s="4" customFormat="1" hidden="1" x14ac:dyDescent="0.2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2:29" s="4" customFormat="1" hidden="1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2:29" s="4" customFormat="1" hidden="1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2:29" s="4" customFormat="1" hidden="1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2:29" s="4" customFormat="1" hidden="1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2:29" s="4" customFormat="1" hidden="1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2:29" s="4" customFormat="1" hidden="1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2:29" s="4" customFormat="1" hidden="1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2:29" s="4" customFormat="1" hidden="1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2:29" s="4" customFormat="1" hidden="1" x14ac:dyDescent="0.2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2:29" s="4" customFormat="1" hidden="1" x14ac:dyDescent="0.2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2:29" s="4" customFormat="1" hidden="1" x14ac:dyDescent="0.2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2:29" s="4" customFormat="1" hidden="1" x14ac:dyDescent="0.2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2:29" s="4" customFormat="1" hidden="1" x14ac:dyDescent="0.2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2:29" s="4" customFormat="1" hidden="1" x14ac:dyDescent="0.2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2:29" s="4" customFormat="1" hidden="1" x14ac:dyDescent="0.2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2:29" s="4" customFormat="1" hidden="1" x14ac:dyDescent="0.2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2:29" s="4" customFormat="1" hidden="1" x14ac:dyDescent="0.2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2:29" s="4" customFormat="1" hidden="1" x14ac:dyDescent="0.2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2:29" s="4" customFormat="1" hidden="1" x14ac:dyDescent="0.2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2:29" s="4" customFormat="1" hidden="1" x14ac:dyDescent="0.2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2:29" s="4" customFormat="1" hidden="1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2:29" s="4" customFormat="1" hidden="1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2:29" s="4" customFormat="1" hidden="1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2:29" s="4" customFormat="1" hidden="1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2:29" s="4" customFormat="1" hidden="1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2:29" s="4" customFormat="1" hidden="1" x14ac:dyDescent="0.2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2:29" s="4" customFormat="1" hidden="1" x14ac:dyDescent="0.2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2:29" s="4" customFormat="1" hidden="1" x14ac:dyDescent="0.2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2:29" s="4" customFormat="1" hidden="1" x14ac:dyDescent="0.2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2:29" s="4" customFormat="1" hidden="1" x14ac:dyDescent="0.2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2:29" s="4" customFormat="1" hidden="1" x14ac:dyDescent="0.2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2:29" s="4" customFormat="1" hidden="1" x14ac:dyDescent="0.2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2:29" s="4" customFormat="1" hidden="1" x14ac:dyDescent="0.2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2:29" s="4" customFormat="1" hidden="1" x14ac:dyDescent="0.2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2:29" s="4" customFormat="1" hidden="1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2:29" s="4" customFormat="1" hidden="1" x14ac:dyDescent="0.2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2:29" s="4" customFormat="1" hidden="1" x14ac:dyDescent="0.2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2:29" s="4" customFormat="1" hidden="1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2:29" s="4" customFormat="1" hidden="1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2:29" s="4" customFormat="1" hidden="1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2:29" s="4" customFormat="1" hidden="1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2:29" s="4" customFormat="1" hidden="1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2:29" s="4" customFormat="1" hidden="1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2:29" s="4" customFormat="1" hidden="1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2:29" s="4" customFormat="1" hidden="1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2:29" s="4" customFormat="1" hidden="1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2:29" s="4" customFormat="1" hidden="1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2:29" s="4" customFormat="1" hidden="1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2:29" s="4" customFormat="1" hidden="1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2:29" s="4" customFormat="1" hidden="1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2:29" s="4" customFormat="1" hidden="1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2:29" s="4" customFormat="1" hidden="1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2:29" s="4" customFormat="1" hidden="1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2:29" s="4" customFormat="1" hidden="1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2:29" s="4" customFormat="1" hidden="1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2:29" s="4" customFormat="1" hidden="1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2:29" s="4" customFormat="1" hidden="1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2:29" s="4" customFormat="1" hidden="1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2:29" s="4" customFormat="1" hidden="1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2:29" s="4" customFormat="1" hidden="1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2:29" s="4" customFormat="1" hidden="1" x14ac:dyDescent="0.2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2:29" s="4" customFormat="1" hidden="1" x14ac:dyDescent="0.2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2:29" s="4" customFormat="1" hidden="1" x14ac:dyDescent="0.2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2:29" s="4" customFormat="1" hidden="1" x14ac:dyDescent="0.2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2:29" s="4" customFormat="1" hidden="1" x14ac:dyDescent="0.2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2:29" s="4" customFormat="1" hidden="1" x14ac:dyDescent="0.2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2:29" s="4" customFormat="1" hidden="1" x14ac:dyDescent="0.2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2:29" s="4" customFormat="1" hidden="1" x14ac:dyDescent="0.2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2:29" s="4" customFormat="1" hidden="1" x14ac:dyDescent="0.2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2:29" s="4" customFormat="1" hidden="1" x14ac:dyDescent="0.2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2:29" s="4" customFormat="1" hidden="1" x14ac:dyDescent="0.2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2:29" s="4" customFormat="1" hidden="1" x14ac:dyDescent="0.2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2:29" s="4" customFormat="1" hidden="1" x14ac:dyDescent="0.2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2:29" s="4" customFormat="1" hidden="1" x14ac:dyDescent="0.2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2:29" s="4" customFormat="1" hidden="1" x14ac:dyDescent="0.2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2:29" s="4" customFormat="1" hidden="1" x14ac:dyDescent="0.2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2:29" s="4" customFormat="1" hidden="1" x14ac:dyDescent="0.2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2:29" s="4" customFormat="1" hidden="1" x14ac:dyDescent="0.2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2:29" s="4" customFormat="1" hidden="1" x14ac:dyDescent="0.2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2:29" s="4" customFormat="1" hidden="1" x14ac:dyDescent="0.2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2:29" s="4" customFormat="1" hidden="1" x14ac:dyDescent="0.2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2:29" s="4" customFormat="1" hidden="1" x14ac:dyDescent="0.2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2:29" s="4" customFormat="1" hidden="1" x14ac:dyDescent="0.2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2:29" s="4" customFormat="1" hidden="1" x14ac:dyDescent="0.25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2:29" s="4" customFormat="1" hidden="1" x14ac:dyDescent="0.25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2:29" s="4" customFormat="1" hidden="1" x14ac:dyDescent="0.25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2:29" s="4" customFormat="1" hidden="1" x14ac:dyDescent="0.25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2:29" s="4" customFormat="1" hidden="1" x14ac:dyDescent="0.25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2:29" s="4" customFormat="1" hidden="1" x14ac:dyDescent="0.25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2:29" s="4" customFormat="1" hidden="1" x14ac:dyDescent="0.25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2:29" s="4" customFormat="1" hidden="1" x14ac:dyDescent="0.2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2:29" s="4" customFormat="1" hidden="1" x14ac:dyDescent="0.2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2:29" s="4" customFormat="1" hidden="1" x14ac:dyDescent="0.2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2:29" s="4" customFormat="1" hidden="1" x14ac:dyDescent="0.2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2:29" s="4" customFormat="1" hidden="1" x14ac:dyDescent="0.2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2:29" s="4" customFormat="1" hidden="1" x14ac:dyDescent="0.2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2:29" s="4" customFormat="1" hidden="1" x14ac:dyDescent="0.2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2:29" s="4" customFormat="1" hidden="1" x14ac:dyDescent="0.2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2:29" s="4" customFormat="1" hidden="1" x14ac:dyDescent="0.2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2:29" s="4" customFormat="1" hidden="1" x14ac:dyDescent="0.2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2:29" s="4" customFormat="1" hidden="1" x14ac:dyDescent="0.2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2:29" s="4" customFormat="1" hidden="1" x14ac:dyDescent="0.2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2:29" s="4" customFormat="1" hidden="1" x14ac:dyDescent="0.2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2:29" s="4" customFormat="1" hidden="1" x14ac:dyDescent="0.2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2:29" s="4" customFormat="1" hidden="1" x14ac:dyDescent="0.2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2:29" s="4" customFormat="1" hidden="1" x14ac:dyDescent="0.2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2:29" s="4" customFormat="1" hidden="1" x14ac:dyDescent="0.25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2:29" s="4" customFormat="1" hidden="1" x14ac:dyDescent="0.25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2:29" s="4" customFormat="1" hidden="1" x14ac:dyDescent="0.25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2:29" s="4" customFormat="1" hidden="1" x14ac:dyDescent="0.25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2:29" s="4" customFormat="1" hidden="1" x14ac:dyDescent="0.25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2:29" s="4" customFormat="1" hidden="1" x14ac:dyDescent="0.25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2:29" s="4" customFormat="1" hidden="1" x14ac:dyDescent="0.25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2:29" s="4" customFormat="1" hidden="1" x14ac:dyDescent="0.25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2:29" s="4" customFormat="1" hidden="1" x14ac:dyDescent="0.25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2:29" s="4" customFormat="1" hidden="1" x14ac:dyDescent="0.25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2:29" s="4" customFormat="1" hidden="1" x14ac:dyDescent="0.25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2:29" s="4" customFormat="1" hidden="1" x14ac:dyDescent="0.25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2:29" s="4" customFormat="1" hidden="1" x14ac:dyDescent="0.25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2:29" s="4" customFormat="1" hidden="1" x14ac:dyDescent="0.25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2:29" s="4" customFormat="1" hidden="1" x14ac:dyDescent="0.25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2:29" s="4" customFormat="1" hidden="1" x14ac:dyDescent="0.25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2:29" s="4" customFormat="1" hidden="1" x14ac:dyDescent="0.25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2:29" s="4" customFormat="1" hidden="1" x14ac:dyDescent="0.25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2:29" s="4" customFormat="1" hidden="1" x14ac:dyDescent="0.25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2:29" s="4" customFormat="1" hidden="1" x14ac:dyDescent="0.25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2:29" s="4" customFormat="1" hidden="1" x14ac:dyDescent="0.25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2:29" s="4" customFormat="1" hidden="1" x14ac:dyDescent="0.25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2:29" s="4" customFormat="1" hidden="1" x14ac:dyDescent="0.25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2:29" s="4" customFormat="1" hidden="1" x14ac:dyDescent="0.25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2:29" s="4" customFormat="1" hidden="1" x14ac:dyDescent="0.25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2:29" s="4" customFormat="1" hidden="1" x14ac:dyDescent="0.25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2:29" s="4" customFormat="1" hidden="1" x14ac:dyDescent="0.25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2:29" s="4" customFormat="1" hidden="1" x14ac:dyDescent="0.25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2:29" s="4" customFormat="1" hidden="1" x14ac:dyDescent="0.25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2:29" s="4" customFormat="1" hidden="1" x14ac:dyDescent="0.25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2:29" s="4" customFormat="1" hidden="1" x14ac:dyDescent="0.25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2:29" s="4" customFormat="1" hidden="1" x14ac:dyDescent="0.25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2:29" s="4" customFormat="1" hidden="1" x14ac:dyDescent="0.25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2:29" s="4" customFormat="1" hidden="1" x14ac:dyDescent="0.25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2:29" s="4" customFormat="1" hidden="1" x14ac:dyDescent="0.25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2:29" s="4" customFormat="1" hidden="1" x14ac:dyDescent="0.25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2:29" s="4" customFormat="1" hidden="1" x14ac:dyDescent="0.25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2:29" s="4" customFormat="1" hidden="1" x14ac:dyDescent="0.25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2:29" s="4" customFormat="1" hidden="1" x14ac:dyDescent="0.25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2:29" s="4" customFormat="1" hidden="1" x14ac:dyDescent="0.25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2:29" s="4" customFormat="1" hidden="1" x14ac:dyDescent="0.25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2:29" s="4" customFormat="1" hidden="1" x14ac:dyDescent="0.25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2:29" s="4" customFormat="1" hidden="1" x14ac:dyDescent="0.25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2:29" s="4" customFormat="1" hidden="1" x14ac:dyDescent="0.25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2:29" s="4" customFormat="1" hidden="1" x14ac:dyDescent="0.25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2:29" s="4" customFormat="1" hidden="1" x14ac:dyDescent="0.25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2:29" s="4" customFormat="1" hidden="1" x14ac:dyDescent="0.25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2:29" s="4" customFormat="1" hidden="1" x14ac:dyDescent="0.25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2:29" s="4" customFormat="1" hidden="1" x14ac:dyDescent="0.25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2:29" s="4" customFormat="1" hidden="1" x14ac:dyDescent="0.25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2:29" s="4" customFormat="1" hidden="1" x14ac:dyDescent="0.25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2:29" s="4" customFormat="1" hidden="1" x14ac:dyDescent="0.25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2:29" s="4" customFormat="1" hidden="1" x14ac:dyDescent="0.25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2:29" s="4" customFormat="1" hidden="1" x14ac:dyDescent="0.25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2:29" s="4" customFormat="1" hidden="1" x14ac:dyDescent="0.25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2:29" s="4" customFormat="1" hidden="1" x14ac:dyDescent="0.25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2:29" s="4" customFormat="1" hidden="1" x14ac:dyDescent="0.25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2:29" s="4" customFormat="1" hidden="1" x14ac:dyDescent="0.25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2:29" s="4" customFormat="1" hidden="1" x14ac:dyDescent="0.25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2:29" s="4" customFormat="1" hidden="1" x14ac:dyDescent="0.25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2:29" s="4" customFormat="1" hidden="1" x14ac:dyDescent="0.25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2:29" s="4" customFormat="1" hidden="1" x14ac:dyDescent="0.25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2:29" s="4" customFormat="1" hidden="1" x14ac:dyDescent="0.25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2:29" s="4" customFormat="1" hidden="1" x14ac:dyDescent="0.25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2:29" s="4" customFormat="1" hidden="1" x14ac:dyDescent="0.25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2:29" s="4" customFormat="1" hidden="1" x14ac:dyDescent="0.25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2:29" s="4" customFormat="1" hidden="1" x14ac:dyDescent="0.25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2:29" s="4" customFormat="1" hidden="1" x14ac:dyDescent="0.25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2:29" s="4" customFormat="1" hidden="1" x14ac:dyDescent="0.25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2:29" s="4" customFormat="1" hidden="1" x14ac:dyDescent="0.25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2:29" s="4" customFormat="1" hidden="1" x14ac:dyDescent="0.25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2:29" s="4" customFormat="1" hidden="1" x14ac:dyDescent="0.25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2:29" s="4" customFormat="1" hidden="1" x14ac:dyDescent="0.25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2:29" s="4" customFormat="1" hidden="1" x14ac:dyDescent="0.25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2:29" s="4" customFormat="1" hidden="1" x14ac:dyDescent="0.25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2:29" s="4" customFormat="1" hidden="1" x14ac:dyDescent="0.25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2:29" s="4" customFormat="1" hidden="1" x14ac:dyDescent="0.25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2:29" s="4" customFormat="1" hidden="1" x14ac:dyDescent="0.25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2:29" s="4" customFormat="1" hidden="1" x14ac:dyDescent="0.25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2:29" s="4" customFormat="1" hidden="1" x14ac:dyDescent="0.25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2:29" s="4" customFormat="1" hidden="1" x14ac:dyDescent="0.25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2:29" s="4" customFormat="1" hidden="1" x14ac:dyDescent="0.25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2:29" s="4" customFormat="1" hidden="1" x14ac:dyDescent="0.25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2:29" s="4" customFormat="1" hidden="1" x14ac:dyDescent="0.25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2:29" s="4" customFormat="1" hidden="1" x14ac:dyDescent="0.25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2:29" s="4" customFormat="1" hidden="1" x14ac:dyDescent="0.25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2:29" s="4" customFormat="1" hidden="1" x14ac:dyDescent="0.25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2:29" s="4" customFormat="1" hidden="1" x14ac:dyDescent="0.25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2:29" s="4" customFormat="1" hidden="1" x14ac:dyDescent="0.25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2:29" s="4" customFormat="1" hidden="1" x14ac:dyDescent="0.25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2:29" s="4" customFormat="1" hidden="1" x14ac:dyDescent="0.25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2:29" s="4" customFormat="1" hidden="1" x14ac:dyDescent="0.25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2:29" s="4" customFormat="1" hidden="1" x14ac:dyDescent="0.25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2:29" s="4" customFormat="1" hidden="1" x14ac:dyDescent="0.25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2:29" s="4" customFormat="1" hidden="1" x14ac:dyDescent="0.25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2:29" s="4" customFormat="1" hidden="1" x14ac:dyDescent="0.25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2:29" s="4" customFormat="1" hidden="1" x14ac:dyDescent="0.2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2:29" s="4" customFormat="1" hidden="1" x14ac:dyDescent="0.2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2:29" s="4" customFormat="1" hidden="1" x14ac:dyDescent="0.2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2:29" s="4" customFormat="1" hidden="1" x14ac:dyDescent="0.2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2:29" s="4" customFormat="1" hidden="1" x14ac:dyDescent="0.2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2:29" s="4" customFormat="1" hidden="1" x14ac:dyDescent="0.2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2:29" s="4" customFormat="1" hidden="1" x14ac:dyDescent="0.2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2:29" s="4" customFormat="1" hidden="1" x14ac:dyDescent="0.2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2:29" s="4" customFormat="1" hidden="1" x14ac:dyDescent="0.2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2:29" s="4" customFormat="1" hidden="1" x14ac:dyDescent="0.2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2:29" s="4" customFormat="1" hidden="1" x14ac:dyDescent="0.2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2:29" s="4" customFormat="1" hidden="1" x14ac:dyDescent="0.2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2:29" s="4" customFormat="1" hidden="1" x14ac:dyDescent="0.2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2:29" s="4" customFormat="1" hidden="1" x14ac:dyDescent="0.2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2:29" s="4" customFormat="1" hidden="1" x14ac:dyDescent="0.2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2:29" s="4" customFormat="1" hidden="1" x14ac:dyDescent="0.2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2:29" s="4" customFormat="1" hidden="1" x14ac:dyDescent="0.2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2:29" s="4" customFormat="1" hidden="1" x14ac:dyDescent="0.2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2:29" s="4" customFormat="1" hidden="1" x14ac:dyDescent="0.2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2:29" s="4" customFormat="1" hidden="1" x14ac:dyDescent="0.2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2:29" s="4" customFormat="1" hidden="1" x14ac:dyDescent="0.2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2:29" s="4" customFormat="1" hidden="1" x14ac:dyDescent="0.2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2:29" s="4" customFormat="1" hidden="1" x14ac:dyDescent="0.2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2:29" s="4" customFormat="1" hidden="1" x14ac:dyDescent="0.2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2:29" s="4" customFormat="1" hidden="1" x14ac:dyDescent="0.2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2:29" s="4" customFormat="1" hidden="1" x14ac:dyDescent="0.2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2:29" s="4" customFormat="1" hidden="1" x14ac:dyDescent="0.2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2:29" s="4" customFormat="1" hidden="1" x14ac:dyDescent="0.2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2:29" s="4" customFormat="1" hidden="1" x14ac:dyDescent="0.2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2:29" s="4" customFormat="1" hidden="1" x14ac:dyDescent="0.2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2:29" s="4" customFormat="1" hidden="1" x14ac:dyDescent="0.2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2:29" s="4" customFormat="1" hidden="1" x14ac:dyDescent="0.2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2:29" s="4" customFormat="1" hidden="1" x14ac:dyDescent="0.2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 spans="2:29" s="4" customFormat="1" hidden="1" x14ac:dyDescent="0.2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 spans="2:29" s="4" customFormat="1" hidden="1" x14ac:dyDescent="0.2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 spans="2:29" s="4" customFormat="1" hidden="1" x14ac:dyDescent="0.2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 spans="2:29" s="4" customFormat="1" hidden="1" x14ac:dyDescent="0.2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 spans="2:29" s="4" customFormat="1" hidden="1" x14ac:dyDescent="0.2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2:29" s="4" customFormat="1" hidden="1" x14ac:dyDescent="0.2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 spans="2:29" s="4" customFormat="1" hidden="1" x14ac:dyDescent="0.2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2:29" s="4" customFormat="1" hidden="1" x14ac:dyDescent="0.2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 spans="2:29" s="4" customFormat="1" hidden="1" x14ac:dyDescent="0.2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2:29" s="4" customFormat="1" hidden="1" x14ac:dyDescent="0.2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 spans="2:29" s="4" customFormat="1" hidden="1" x14ac:dyDescent="0.2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2:29" s="4" customFormat="1" hidden="1" x14ac:dyDescent="0.2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 spans="2:29" s="4" customFormat="1" hidden="1" x14ac:dyDescent="0.2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2:29" s="4" customFormat="1" hidden="1" x14ac:dyDescent="0.2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2:29" s="4" customFormat="1" hidden="1" x14ac:dyDescent="0.2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2:29" s="4" customFormat="1" hidden="1" x14ac:dyDescent="0.2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2:29" s="4" customFormat="1" hidden="1" x14ac:dyDescent="0.2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2:29" s="4" customFormat="1" hidden="1" x14ac:dyDescent="0.2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2:29" s="4" customFormat="1" hidden="1" x14ac:dyDescent="0.2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 spans="2:29" s="4" customFormat="1" hidden="1" x14ac:dyDescent="0.2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2:29" s="4" customFormat="1" hidden="1" x14ac:dyDescent="0.2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2:29" s="4" customFormat="1" hidden="1" x14ac:dyDescent="0.2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2:29" s="4" customFormat="1" hidden="1" x14ac:dyDescent="0.2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2:29" s="4" customFormat="1" hidden="1" x14ac:dyDescent="0.2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2:29" s="4" customFormat="1" hidden="1" x14ac:dyDescent="0.2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2:29" s="4" customFormat="1" hidden="1" x14ac:dyDescent="0.2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2:29" s="4" customFormat="1" hidden="1" x14ac:dyDescent="0.2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2:29" s="4" customFormat="1" hidden="1" x14ac:dyDescent="0.2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2:29" s="4" customFormat="1" hidden="1" x14ac:dyDescent="0.2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2:29" s="4" customFormat="1" hidden="1" x14ac:dyDescent="0.2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2:29" s="4" customFormat="1" hidden="1" x14ac:dyDescent="0.2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2:29" s="4" customFormat="1" hidden="1" x14ac:dyDescent="0.2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2:29" s="4" customFormat="1" hidden="1" x14ac:dyDescent="0.2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2:29" s="4" customFormat="1" hidden="1" x14ac:dyDescent="0.2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2:29" s="4" customFormat="1" hidden="1" x14ac:dyDescent="0.2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2:29" s="4" customFormat="1" hidden="1" x14ac:dyDescent="0.2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 spans="2:29" s="4" customFormat="1" hidden="1" x14ac:dyDescent="0.2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2:29" s="4" customFormat="1" hidden="1" x14ac:dyDescent="0.2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 spans="2:29" s="4" customFormat="1" hidden="1" x14ac:dyDescent="0.2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2:29" s="4" customFormat="1" hidden="1" x14ac:dyDescent="0.2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 spans="2:29" s="4" customFormat="1" hidden="1" x14ac:dyDescent="0.2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 spans="2:29" s="4" customFormat="1" hidden="1" x14ac:dyDescent="0.2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2:29" s="4" customFormat="1" hidden="1" x14ac:dyDescent="0.2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 spans="2:29" s="4" customFormat="1" hidden="1" x14ac:dyDescent="0.2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 spans="2:29" s="4" customFormat="1" hidden="1" x14ac:dyDescent="0.2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 spans="2:29" s="4" customFormat="1" hidden="1" x14ac:dyDescent="0.2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 spans="2:29" s="4" customFormat="1" hidden="1" x14ac:dyDescent="0.2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 spans="2:29" s="4" customFormat="1" hidden="1" x14ac:dyDescent="0.2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 spans="2:29" s="4" customFormat="1" hidden="1" x14ac:dyDescent="0.2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 spans="2:29" s="4" customFormat="1" hidden="1" x14ac:dyDescent="0.2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 spans="2:29" s="4" customFormat="1" hidden="1" x14ac:dyDescent="0.2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 spans="2:29" s="4" customFormat="1" hidden="1" x14ac:dyDescent="0.2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2:29" s="4" customFormat="1" hidden="1" x14ac:dyDescent="0.2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 spans="2:29" s="4" customFormat="1" hidden="1" x14ac:dyDescent="0.2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 spans="2:29" s="4" customFormat="1" hidden="1" x14ac:dyDescent="0.2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 spans="2:29" s="4" customFormat="1" hidden="1" x14ac:dyDescent="0.2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 spans="2:29" s="4" customFormat="1" hidden="1" x14ac:dyDescent="0.2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 spans="2:29" s="4" customFormat="1" hidden="1" x14ac:dyDescent="0.2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 spans="2:29" s="4" customFormat="1" hidden="1" x14ac:dyDescent="0.2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 spans="2:29" s="4" customFormat="1" hidden="1" x14ac:dyDescent="0.2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 spans="2:29" s="4" customFormat="1" hidden="1" x14ac:dyDescent="0.2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 spans="2:29" s="4" customFormat="1" hidden="1" x14ac:dyDescent="0.2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2:29" s="4" customFormat="1" hidden="1" x14ac:dyDescent="0.2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2:29" s="4" customFormat="1" hidden="1" x14ac:dyDescent="0.2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 spans="2:29" s="4" customFormat="1" hidden="1" x14ac:dyDescent="0.2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 spans="2:29" s="4" customFormat="1" hidden="1" x14ac:dyDescent="0.2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 spans="2:29" s="4" customFormat="1" hidden="1" x14ac:dyDescent="0.2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 spans="2:29" s="4" customFormat="1" hidden="1" x14ac:dyDescent="0.2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 spans="2:29" s="4" customFormat="1" hidden="1" x14ac:dyDescent="0.2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 spans="2:29" s="4" customFormat="1" hidden="1" x14ac:dyDescent="0.2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 spans="2:29" s="4" customFormat="1" hidden="1" x14ac:dyDescent="0.2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 spans="2:29" s="4" customFormat="1" hidden="1" x14ac:dyDescent="0.2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 spans="2:29" s="4" customFormat="1" hidden="1" x14ac:dyDescent="0.2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 spans="2:29" s="4" customFormat="1" hidden="1" x14ac:dyDescent="0.2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 spans="2:29" s="4" customFormat="1" hidden="1" x14ac:dyDescent="0.2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2:29" s="4" customFormat="1" hidden="1" x14ac:dyDescent="0.2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2:29" s="4" customFormat="1" hidden="1" x14ac:dyDescent="0.2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 spans="2:29" s="4" customFormat="1" hidden="1" x14ac:dyDescent="0.2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 spans="2:29" s="4" customFormat="1" hidden="1" x14ac:dyDescent="0.2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 spans="2:29" s="4" customFormat="1" hidden="1" x14ac:dyDescent="0.2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 spans="2:29" s="4" customFormat="1" hidden="1" x14ac:dyDescent="0.2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 spans="2:29" s="4" customFormat="1" hidden="1" x14ac:dyDescent="0.2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2:29" s="4" customFormat="1" hidden="1" x14ac:dyDescent="0.2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2:29" s="4" customFormat="1" hidden="1" x14ac:dyDescent="0.25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 spans="2:29" s="4" customFormat="1" hidden="1" x14ac:dyDescent="0.25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 spans="2:29" s="4" customFormat="1" hidden="1" x14ac:dyDescent="0.25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2:29" s="4" customFormat="1" hidden="1" x14ac:dyDescent="0.25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 spans="2:29" s="4" customFormat="1" hidden="1" x14ac:dyDescent="0.25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 spans="2:29" s="4" customFormat="1" hidden="1" x14ac:dyDescent="0.25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 spans="2:29" s="4" customFormat="1" hidden="1" x14ac:dyDescent="0.25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2:29" s="4" customFormat="1" hidden="1" x14ac:dyDescent="0.25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 spans="2:29" s="4" customFormat="1" hidden="1" x14ac:dyDescent="0.25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 spans="2:29" s="4" customFormat="1" hidden="1" x14ac:dyDescent="0.25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</row>
    <row r="463" spans="2:29" s="4" customFormat="1" hidden="1" x14ac:dyDescent="0.25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</row>
    <row r="464" spans="2:29" s="4" customFormat="1" hidden="1" x14ac:dyDescent="0.25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 spans="2:29" s="4" customFormat="1" hidden="1" x14ac:dyDescent="0.25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 spans="2:29" s="4" customFormat="1" hidden="1" x14ac:dyDescent="0.25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</row>
    <row r="467" spans="2:29" s="4" customFormat="1" hidden="1" x14ac:dyDescent="0.25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 spans="2:29" s="4" customFormat="1" hidden="1" x14ac:dyDescent="0.25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 spans="2:29" s="4" customFormat="1" hidden="1" x14ac:dyDescent="0.25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 spans="2:29" s="4" customFormat="1" hidden="1" x14ac:dyDescent="0.25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 spans="2:29" s="4" customFormat="1" hidden="1" x14ac:dyDescent="0.25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 spans="2:29" s="4" customFormat="1" hidden="1" x14ac:dyDescent="0.25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 spans="2:29" s="4" customFormat="1" hidden="1" x14ac:dyDescent="0.25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2:29" s="4" customFormat="1" hidden="1" x14ac:dyDescent="0.25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 spans="2:29" s="4" customFormat="1" hidden="1" x14ac:dyDescent="0.25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 spans="2:29" s="4" customFormat="1" hidden="1" x14ac:dyDescent="0.25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 spans="2:29" s="4" customFormat="1" hidden="1" x14ac:dyDescent="0.25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 spans="2:29" s="4" customFormat="1" hidden="1" x14ac:dyDescent="0.25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 spans="2:29" s="4" customFormat="1" hidden="1" x14ac:dyDescent="0.25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 spans="2:29" s="4" customFormat="1" hidden="1" x14ac:dyDescent="0.25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 spans="2:29" s="4" customFormat="1" hidden="1" x14ac:dyDescent="0.25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 spans="2:29" s="4" customFormat="1" hidden="1" x14ac:dyDescent="0.25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 spans="2:29" s="4" customFormat="1" hidden="1" x14ac:dyDescent="0.25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 spans="2:29" s="4" customFormat="1" hidden="1" x14ac:dyDescent="0.25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 spans="2:29" s="4" customFormat="1" hidden="1" x14ac:dyDescent="0.25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 spans="2:29" s="4" customFormat="1" hidden="1" x14ac:dyDescent="0.25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 spans="2:29" s="4" customFormat="1" hidden="1" x14ac:dyDescent="0.25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 spans="2:29" s="4" customFormat="1" hidden="1" x14ac:dyDescent="0.25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 spans="2:29" s="4" customFormat="1" hidden="1" x14ac:dyDescent="0.25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 spans="2:29" s="4" customFormat="1" hidden="1" x14ac:dyDescent="0.25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 spans="2:29" s="4" customFormat="1" hidden="1" x14ac:dyDescent="0.25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 spans="2:29" s="4" customFormat="1" hidden="1" x14ac:dyDescent="0.25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2:29" s="4" customFormat="1" hidden="1" x14ac:dyDescent="0.25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2:29" s="4" customFormat="1" hidden="1" x14ac:dyDescent="0.25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2:29" s="4" customFormat="1" hidden="1" x14ac:dyDescent="0.25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2:29" s="4" customFormat="1" hidden="1" x14ac:dyDescent="0.25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2:29" s="4" customFormat="1" hidden="1" x14ac:dyDescent="0.25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2:29" s="4" customFormat="1" hidden="1" x14ac:dyDescent="0.25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2:29" s="4" customFormat="1" hidden="1" x14ac:dyDescent="0.25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2:29" s="4" customFormat="1" hidden="1" x14ac:dyDescent="0.25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2:29" s="4" customFormat="1" hidden="1" x14ac:dyDescent="0.25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2:29" s="4" customFormat="1" hidden="1" x14ac:dyDescent="0.25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2:29" s="4" customFormat="1" hidden="1" x14ac:dyDescent="0.25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2:29" s="4" customFormat="1" hidden="1" x14ac:dyDescent="0.25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2:29" s="4" customFormat="1" hidden="1" x14ac:dyDescent="0.25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2:29" s="4" customFormat="1" hidden="1" x14ac:dyDescent="0.25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2:29" s="4" customFormat="1" hidden="1" x14ac:dyDescent="0.25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2:29" s="4" customFormat="1" hidden="1" x14ac:dyDescent="0.25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2:29" s="4" customFormat="1" hidden="1" x14ac:dyDescent="0.25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2:29" s="4" customFormat="1" hidden="1" x14ac:dyDescent="0.25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2:29" s="4" customFormat="1" hidden="1" x14ac:dyDescent="0.25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2:29" s="4" customFormat="1" hidden="1" x14ac:dyDescent="0.25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2:29" s="4" customFormat="1" hidden="1" x14ac:dyDescent="0.25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2:29" s="4" customFormat="1" hidden="1" x14ac:dyDescent="0.25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2:29" s="4" customFormat="1" hidden="1" x14ac:dyDescent="0.25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2:29" s="4" customFormat="1" hidden="1" x14ac:dyDescent="0.25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2:29" s="4" customFormat="1" hidden="1" x14ac:dyDescent="0.25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2:29" s="4" customFormat="1" hidden="1" x14ac:dyDescent="0.25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2:29" s="4" customFormat="1" hidden="1" x14ac:dyDescent="0.25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2:29" s="4" customFormat="1" hidden="1" x14ac:dyDescent="0.25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2:29" s="4" customFormat="1" hidden="1" x14ac:dyDescent="0.25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2:29" s="4" customFormat="1" hidden="1" x14ac:dyDescent="0.25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2:29" s="4" customFormat="1" hidden="1" x14ac:dyDescent="0.25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2:29" s="4" customFormat="1" hidden="1" x14ac:dyDescent="0.25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2:29" s="4" customFormat="1" hidden="1" x14ac:dyDescent="0.25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2:29" s="4" customFormat="1" hidden="1" x14ac:dyDescent="0.25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2:29" s="4" customFormat="1" hidden="1" x14ac:dyDescent="0.25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 spans="2:29" s="4" customFormat="1" hidden="1" x14ac:dyDescent="0.25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 spans="2:29" s="4" customFormat="1" hidden="1" x14ac:dyDescent="0.25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 spans="2:29" s="4" customFormat="1" hidden="1" x14ac:dyDescent="0.25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 spans="2:29" s="4" customFormat="1" hidden="1" x14ac:dyDescent="0.25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 spans="2:29" s="4" customFormat="1" hidden="1" x14ac:dyDescent="0.25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 spans="2:29" s="4" customFormat="1" hidden="1" x14ac:dyDescent="0.25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 spans="2:29" s="4" customFormat="1" hidden="1" x14ac:dyDescent="0.25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 spans="2:29" s="4" customFormat="1" hidden="1" x14ac:dyDescent="0.25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 spans="2:29" s="4" customFormat="1" hidden="1" x14ac:dyDescent="0.25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 spans="2:29" s="4" customFormat="1" hidden="1" x14ac:dyDescent="0.25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 spans="2:29" s="4" customFormat="1" hidden="1" x14ac:dyDescent="0.25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 spans="2:29" s="4" customFormat="1" hidden="1" x14ac:dyDescent="0.25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 spans="2:29" s="4" customFormat="1" hidden="1" x14ac:dyDescent="0.25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 spans="2:29" s="4" customFormat="1" hidden="1" x14ac:dyDescent="0.25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 spans="2:29" s="4" customFormat="1" hidden="1" x14ac:dyDescent="0.25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 spans="2:29" s="4" customFormat="1" hidden="1" x14ac:dyDescent="0.25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 spans="2:29" s="4" customFormat="1" hidden="1" x14ac:dyDescent="0.25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 spans="2:29" s="4" customFormat="1" hidden="1" x14ac:dyDescent="0.25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 spans="2:29" s="4" customFormat="1" hidden="1" x14ac:dyDescent="0.25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 spans="2:29" s="4" customFormat="1" hidden="1" x14ac:dyDescent="0.25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 spans="2:29" s="4" customFormat="1" hidden="1" x14ac:dyDescent="0.25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 spans="2:29" s="4" customFormat="1" hidden="1" x14ac:dyDescent="0.25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2:29" s="4" customFormat="1" hidden="1" x14ac:dyDescent="0.25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2:29" s="4" customFormat="1" hidden="1" x14ac:dyDescent="0.25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2:29" s="4" customFormat="1" hidden="1" x14ac:dyDescent="0.25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 spans="2:29" s="4" customFormat="1" hidden="1" x14ac:dyDescent="0.25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 spans="2:29" s="4" customFormat="1" hidden="1" x14ac:dyDescent="0.25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 spans="2:29" s="4" customFormat="1" hidden="1" x14ac:dyDescent="0.25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 spans="2:29" s="4" customFormat="1" hidden="1" x14ac:dyDescent="0.25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 spans="2:29" s="4" customFormat="1" hidden="1" x14ac:dyDescent="0.25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 spans="2:29" s="4" customFormat="1" hidden="1" x14ac:dyDescent="0.25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 spans="2:29" s="4" customFormat="1" hidden="1" x14ac:dyDescent="0.25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 spans="2:29" s="4" customFormat="1" hidden="1" x14ac:dyDescent="0.25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 spans="2:29" s="4" customFormat="1" hidden="1" x14ac:dyDescent="0.25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 spans="2:29" s="4" customFormat="1" hidden="1" x14ac:dyDescent="0.25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 spans="2:29" s="4" customFormat="1" hidden="1" x14ac:dyDescent="0.25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 spans="2:29" s="4" customFormat="1" hidden="1" x14ac:dyDescent="0.25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 spans="2:29" s="4" customFormat="1" hidden="1" x14ac:dyDescent="0.25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 spans="2:29" s="4" customFormat="1" hidden="1" x14ac:dyDescent="0.25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 spans="2:29" s="4" customFormat="1" hidden="1" x14ac:dyDescent="0.25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 spans="2:29" s="4" customFormat="1" hidden="1" x14ac:dyDescent="0.25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 spans="2:29" s="4" customFormat="1" hidden="1" x14ac:dyDescent="0.25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 spans="2:29" s="4" customFormat="1" hidden="1" x14ac:dyDescent="0.25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 spans="2:29" s="4" customFormat="1" hidden="1" x14ac:dyDescent="0.25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 spans="2:29" s="4" customFormat="1" hidden="1" x14ac:dyDescent="0.25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 spans="2:29" s="4" customFormat="1" hidden="1" x14ac:dyDescent="0.25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 spans="2:29" s="4" customFormat="1" hidden="1" x14ac:dyDescent="0.25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 spans="2:29" s="4" customFormat="1" hidden="1" x14ac:dyDescent="0.25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 spans="2:29" s="4" customFormat="1" hidden="1" x14ac:dyDescent="0.25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 spans="2:29" s="4" customFormat="1" hidden="1" x14ac:dyDescent="0.25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 spans="2:29" s="4" customFormat="1" hidden="1" x14ac:dyDescent="0.25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 spans="2:29" s="4" customFormat="1" hidden="1" x14ac:dyDescent="0.25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</row>
    <row r="580" spans="2:29" s="4" customFormat="1" hidden="1" x14ac:dyDescent="0.25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 spans="2:29" s="4" customFormat="1" hidden="1" x14ac:dyDescent="0.25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 spans="2:29" s="4" customFormat="1" hidden="1" x14ac:dyDescent="0.25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 spans="2:29" s="4" customFormat="1" hidden="1" x14ac:dyDescent="0.25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</row>
    <row r="584" spans="2:29" s="4" customFormat="1" hidden="1" x14ac:dyDescent="0.25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</row>
    <row r="585" spans="2:29" s="4" customFormat="1" hidden="1" x14ac:dyDescent="0.25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 spans="2:29" s="4" customFormat="1" hidden="1" x14ac:dyDescent="0.25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 spans="2:29" s="4" customFormat="1" hidden="1" x14ac:dyDescent="0.25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 spans="2:29" s="4" customFormat="1" hidden="1" x14ac:dyDescent="0.25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 spans="2:29" s="4" customFormat="1" hidden="1" x14ac:dyDescent="0.25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 spans="2:29" s="4" customFormat="1" hidden="1" x14ac:dyDescent="0.25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 spans="2:29" s="4" customFormat="1" hidden="1" x14ac:dyDescent="0.25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</row>
    <row r="592" spans="2:29" s="4" customFormat="1" hidden="1" x14ac:dyDescent="0.25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 spans="2:29" s="4" customFormat="1" hidden="1" x14ac:dyDescent="0.25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 spans="2:29" s="4" customFormat="1" hidden="1" x14ac:dyDescent="0.25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</row>
    <row r="595" spans="2:29" s="4" customFormat="1" hidden="1" x14ac:dyDescent="0.25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 spans="2:29" s="4" customFormat="1" hidden="1" x14ac:dyDescent="0.25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 spans="2:29" s="4" customFormat="1" hidden="1" x14ac:dyDescent="0.25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 spans="2:29" s="4" customFormat="1" hidden="1" x14ac:dyDescent="0.25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 spans="2:29" s="4" customFormat="1" hidden="1" x14ac:dyDescent="0.25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 spans="2:29" s="4" customFormat="1" hidden="1" x14ac:dyDescent="0.25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2:29" s="4" customFormat="1" hidden="1" x14ac:dyDescent="0.25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2:29" s="4" customFormat="1" hidden="1" x14ac:dyDescent="0.25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2:29" s="4" customFormat="1" hidden="1" x14ac:dyDescent="0.25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2:29" s="4" customFormat="1" hidden="1" x14ac:dyDescent="0.25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2:29" s="4" customFormat="1" hidden="1" x14ac:dyDescent="0.25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2:29" s="4" customFormat="1" hidden="1" x14ac:dyDescent="0.25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2:29" s="4" customFormat="1" hidden="1" x14ac:dyDescent="0.25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2:29" s="4" customFormat="1" hidden="1" x14ac:dyDescent="0.25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2:29" s="4" customFormat="1" hidden="1" x14ac:dyDescent="0.25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2:29" s="4" customFormat="1" hidden="1" x14ac:dyDescent="0.25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 spans="2:29" s="4" customFormat="1" hidden="1" x14ac:dyDescent="0.25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 spans="2:29" s="4" customFormat="1" hidden="1" x14ac:dyDescent="0.25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 spans="2:29" s="4" customFormat="1" hidden="1" x14ac:dyDescent="0.25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 spans="2:29" s="4" customFormat="1" hidden="1" x14ac:dyDescent="0.25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 spans="2:29" s="4" customFormat="1" hidden="1" x14ac:dyDescent="0.25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 spans="2:29" s="4" customFormat="1" hidden="1" x14ac:dyDescent="0.25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 spans="2:29" s="4" customFormat="1" hidden="1" x14ac:dyDescent="0.25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 spans="2:29" s="4" customFormat="1" hidden="1" x14ac:dyDescent="0.25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 spans="2:29" s="4" customFormat="1" hidden="1" x14ac:dyDescent="0.25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 spans="2:29" s="4" customFormat="1" hidden="1" x14ac:dyDescent="0.25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 spans="2:29" s="4" customFormat="1" hidden="1" x14ac:dyDescent="0.25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 spans="2:29" s="4" customFormat="1" hidden="1" x14ac:dyDescent="0.25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 spans="2:29" s="4" customFormat="1" hidden="1" x14ac:dyDescent="0.25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 spans="2:29" s="4" customFormat="1" hidden="1" x14ac:dyDescent="0.25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 spans="2:29" s="4" customFormat="1" hidden="1" x14ac:dyDescent="0.25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 spans="2:29" s="4" customFormat="1" hidden="1" x14ac:dyDescent="0.25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 spans="2:29" s="4" customFormat="1" hidden="1" x14ac:dyDescent="0.25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 spans="2:29" s="4" customFormat="1" hidden="1" x14ac:dyDescent="0.25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 spans="2:29" s="4" customFormat="1" hidden="1" x14ac:dyDescent="0.25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</row>
    <row r="630" spans="2:29" s="4" customFormat="1" hidden="1" x14ac:dyDescent="0.25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 spans="2:29" s="4" customFormat="1" hidden="1" x14ac:dyDescent="0.25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 spans="2:29" s="4" customFormat="1" hidden="1" x14ac:dyDescent="0.25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 spans="2:29" s="4" customFormat="1" hidden="1" x14ac:dyDescent="0.25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 spans="2:29" s="4" customFormat="1" hidden="1" x14ac:dyDescent="0.25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 spans="2:29" s="4" customFormat="1" hidden="1" x14ac:dyDescent="0.25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 spans="2:29" s="4" customFormat="1" hidden="1" x14ac:dyDescent="0.25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 spans="2:29" s="4" customFormat="1" hidden="1" x14ac:dyDescent="0.25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 spans="2:29" s="4" customFormat="1" hidden="1" x14ac:dyDescent="0.25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 spans="2:29" s="4" customFormat="1" hidden="1" x14ac:dyDescent="0.25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 spans="2:29" s="4" customFormat="1" hidden="1" x14ac:dyDescent="0.25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</row>
    <row r="641" spans="2:29" s="4" customFormat="1" hidden="1" x14ac:dyDescent="0.25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</row>
    <row r="642" spans="2:29" s="4" customFormat="1" hidden="1" x14ac:dyDescent="0.25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</row>
    <row r="643" spans="2:29" s="4" customFormat="1" hidden="1" x14ac:dyDescent="0.25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</row>
    <row r="644" spans="2:29" s="4" customFormat="1" hidden="1" x14ac:dyDescent="0.25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 spans="2:29" s="4" customFormat="1" hidden="1" x14ac:dyDescent="0.25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</row>
    <row r="646" spans="2:29" s="4" customFormat="1" hidden="1" x14ac:dyDescent="0.25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 spans="2:29" s="4" customFormat="1" hidden="1" x14ac:dyDescent="0.25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 spans="2:29" s="4" customFormat="1" hidden="1" x14ac:dyDescent="0.25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 spans="2:29" s="4" customFormat="1" hidden="1" x14ac:dyDescent="0.25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 spans="2:29" s="4" customFormat="1" hidden="1" x14ac:dyDescent="0.25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 spans="2:29" s="4" customFormat="1" hidden="1" x14ac:dyDescent="0.25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 spans="2:29" s="4" customFormat="1" hidden="1" x14ac:dyDescent="0.25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 spans="2:29" s="4" customFormat="1" hidden="1" x14ac:dyDescent="0.25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</row>
    <row r="654" spans="2:29" s="4" customFormat="1" hidden="1" x14ac:dyDescent="0.25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 spans="2:29" s="4" customFormat="1" hidden="1" x14ac:dyDescent="0.25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 spans="2:29" s="4" customFormat="1" hidden="1" x14ac:dyDescent="0.25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 spans="2:29" s="4" customFormat="1" hidden="1" x14ac:dyDescent="0.25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 spans="2:29" s="4" customFormat="1" hidden="1" x14ac:dyDescent="0.25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 spans="2:29" s="4" customFormat="1" hidden="1" x14ac:dyDescent="0.25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 spans="2:29" s="4" customFormat="1" hidden="1" x14ac:dyDescent="0.25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 spans="2:29" s="4" customFormat="1" hidden="1" x14ac:dyDescent="0.25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 spans="2:29" s="4" customFormat="1" hidden="1" x14ac:dyDescent="0.25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 spans="2:29" s="4" customFormat="1" hidden="1" x14ac:dyDescent="0.25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 spans="2:29" s="4" customFormat="1" hidden="1" x14ac:dyDescent="0.25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 spans="2:29" s="4" customFormat="1" hidden="1" x14ac:dyDescent="0.25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 spans="2:29" s="4" customFormat="1" hidden="1" x14ac:dyDescent="0.25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 spans="2:29" s="4" customFormat="1" hidden="1" x14ac:dyDescent="0.25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 spans="2:29" s="4" customFormat="1" hidden="1" x14ac:dyDescent="0.25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 spans="2:29" s="4" customFormat="1" hidden="1" x14ac:dyDescent="0.25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 spans="2:29" s="4" customFormat="1" hidden="1" x14ac:dyDescent="0.25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 spans="2:29" s="4" customFormat="1" hidden="1" x14ac:dyDescent="0.25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 spans="2:29" s="4" customFormat="1" hidden="1" x14ac:dyDescent="0.25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 spans="2:29" s="4" customFormat="1" hidden="1" x14ac:dyDescent="0.25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 spans="2:29" s="4" customFormat="1" hidden="1" x14ac:dyDescent="0.25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 spans="2:29" s="4" customFormat="1" hidden="1" x14ac:dyDescent="0.25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 spans="2:29" s="4" customFormat="1" hidden="1" x14ac:dyDescent="0.25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 spans="2:29" s="4" customFormat="1" hidden="1" x14ac:dyDescent="0.25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 spans="2:29" s="4" customFormat="1" hidden="1" x14ac:dyDescent="0.25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 spans="2:29" s="4" customFormat="1" hidden="1" x14ac:dyDescent="0.25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 spans="2:29" s="4" customFormat="1" hidden="1" x14ac:dyDescent="0.25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 spans="2:29" s="4" customFormat="1" hidden="1" x14ac:dyDescent="0.25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</row>
    <row r="682" spans="2:29" s="4" customFormat="1" hidden="1" x14ac:dyDescent="0.25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</row>
    <row r="683" spans="2:29" s="4" customFormat="1" hidden="1" x14ac:dyDescent="0.25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 spans="2:29" s="4" customFormat="1" hidden="1" x14ac:dyDescent="0.25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 spans="2:29" s="4" customFormat="1" hidden="1" x14ac:dyDescent="0.25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</row>
    <row r="686" spans="2:29" s="4" customFormat="1" hidden="1" x14ac:dyDescent="0.25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 spans="2:29" s="4" customFormat="1" hidden="1" x14ac:dyDescent="0.25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</row>
    <row r="688" spans="2:29" s="4" customFormat="1" hidden="1" x14ac:dyDescent="0.25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</row>
    <row r="689" spans="2:29" s="4" customFormat="1" hidden="1" x14ac:dyDescent="0.25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 spans="2:29" s="4" customFormat="1" hidden="1" x14ac:dyDescent="0.25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 spans="2:29" s="4" customFormat="1" hidden="1" x14ac:dyDescent="0.25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 spans="2:29" s="4" customFormat="1" hidden="1" x14ac:dyDescent="0.25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</row>
    <row r="693" spans="2:29" s="4" customFormat="1" hidden="1" x14ac:dyDescent="0.25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 spans="2:29" s="4" customFormat="1" hidden="1" x14ac:dyDescent="0.25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 spans="2:29" s="4" customFormat="1" hidden="1" x14ac:dyDescent="0.25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 spans="2:29" s="4" customFormat="1" hidden="1" x14ac:dyDescent="0.25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</row>
    <row r="697" spans="2:29" s="4" customFormat="1" hidden="1" x14ac:dyDescent="0.25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</row>
    <row r="698" spans="2:29" s="4" customFormat="1" hidden="1" x14ac:dyDescent="0.25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 spans="2:29" s="4" customFormat="1" hidden="1" x14ac:dyDescent="0.25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 spans="2:29" s="4" customFormat="1" hidden="1" x14ac:dyDescent="0.25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 spans="2:29" s="4" customFormat="1" hidden="1" x14ac:dyDescent="0.25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 spans="2:29" s="4" customFormat="1" hidden="1" x14ac:dyDescent="0.25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 spans="2:29" s="4" customFormat="1" hidden="1" x14ac:dyDescent="0.25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 spans="2:29" s="4" customFormat="1" hidden="1" x14ac:dyDescent="0.25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 spans="2:29" s="4" customFormat="1" hidden="1" x14ac:dyDescent="0.25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 spans="2:29" s="4" customFormat="1" hidden="1" x14ac:dyDescent="0.25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 spans="2:29" s="4" customFormat="1" hidden="1" x14ac:dyDescent="0.25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 spans="2:29" s="4" customFormat="1" hidden="1" x14ac:dyDescent="0.25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 spans="2:29" s="4" customFormat="1" hidden="1" x14ac:dyDescent="0.25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</row>
    <row r="710" spans="2:29" s="4" customFormat="1" hidden="1" x14ac:dyDescent="0.25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 spans="2:29" s="4" customFormat="1" hidden="1" x14ac:dyDescent="0.25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 spans="2:29" s="4" customFormat="1" hidden="1" x14ac:dyDescent="0.25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</row>
    <row r="713" spans="2:29" s="4" customFormat="1" hidden="1" x14ac:dyDescent="0.25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 spans="2:29" s="4" customFormat="1" hidden="1" x14ac:dyDescent="0.25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</row>
    <row r="715" spans="2:29" s="4" customFormat="1" hidden="1" x14ac:dyDescent="0.25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 spans="2:29" s="4" customFormat="1" hidden="1" x14ac:dyDescent="0.25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</row>
    <row r="717" spans="2:29" s="4" customFormat="1" hidden="1" x14ac:dyDescent="0.25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 spans="2:29" s="4" customFormat="1" hidden="1" x14ac:dyDescent="0.25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</row>
    <row r="719" spans="2:29" s="4" customFormat="1" hidden="1" x14ac:dyDescent="0.25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 spans="2:29" s="4" customFormat="1" hidden="1" x14ac:dyDescent="0.25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 spans="2:29" s="4" customFormat="1" hidden="1" x14ac:dyDescent="0.25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</row>
    <row r="722" spans="2:29" s="4" customFormat="1" hidden="1" x14ac:dyDescent="0.25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 spans="2:29" s="4" customFormat="1" hidden="1" x14ac:dyDescent="0.25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 spans="2:29" s="4" customFormat="1" hidden="1" x14ac:dyDescent="0.25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 spans="2:29" s="4" customFormat="1" hidden="1" x14ac:dyDescent="0.25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 spans="2:29" s="4" customFormat="1" hidden="1" x14ac:dyDescent="0.25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 spans="2:29" s="4" customFormat="1" hidden="1" x14ac:dyDescent="0.25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 spans="2:29" s="4" customFormat="1" hidden="1" x14ac:dyDescent="0.25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 spans="2:29" s="4" customFormat="1" hidden="1" x14ac:dyDescent="0.25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 spans="2:29" s="4" customFormat="1" hidden="1" x14ac:dyDescent="0.25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 spans="2:29" s="4" customFormat="1" hidden="1" x14ac:dyDescent="0.25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 spans="2:29" s="4" customFormat="1" hidden="1" x14ac:dyDescent="0.25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 spans="2:29" s="4" customFormat="1" hidden="1" x14ac:dyDescent="0.25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 spans="2:29" s="4" customFormat="1" hidden="1" x14ac:dyDescent="0.25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 spans="2:29" s="4" customFormat="1" hidden="1" x14ac:dyDescent="0.25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 spans="2:29" s="4" customFormat="1" hidden="1" x14ac:dyDescent="0.25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 spans="2:29" s="4" customFormat="1" hidden="1" x14ac:dyDescent="0.25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 spans="2:29" s="4" customFormat="1" hidden="1" x14ac:dyDescent="0.25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 spans="2:29" s="4" customFormat="1" hidden="1" x14ac:dyDescent="0.25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 spans="2:29" s="4" customFormat="1" hidden="1" x14ac:dyDescent="0.25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 spans="2:29" s="4" customFormat="1" hidden="1" x14ac:dyDescent="0.25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 spans="2:29" s="4" customFormat="1" hidden="1" x14ac:dyDescent="0.25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</row>
    <row r="743" spans="2:29" s="4" customFormat="1" hidden="1" x14ac:dyDescent="0.2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</row>
    <row r="744" spans="2:29" s="4" customFormat="1" hidden="1" x14ac:dyDescent="0.2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 spans="2:29" s="4" customFormat="1" hidden="1" x14ac:dyDescent="0.25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 spans="2:29" s="4" customFormat="1" hidden="1" x14ac:dyDescent="0.25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 spans="2:29" s="4" customFormat="1" hidden="1" x14ac:dyDescent="0.25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 spans="2:29" s="4" customFormat="1" hidden="1" x14ac:dyDescent="0.25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 spans="2:29" s="4" customFormat="1" hidden="1" x14ac:dyDescent="0.25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 spans="2:29" s="4" customFormat="1" hidden="1" x14ac:dyDescent="0.25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 spans="2:29" s="4" customFormat="1" hidden="1" x14ac:dyDescent="0.25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 spans="2:29" s="4" customFormat="1" hidden="1" x14ac:dyDescent="0.25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</row>
    <row r="753" spans="2:29" s="4" customFormat="1" hidden="1" x14ac:dyDescent="0.25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 spans="2:29" s="4" customFormat="1" hidden="1" x14ac:dyDescent="0.25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 spans="2:29" s="4" customFormat="1" hidden="1" x14ac:dyDescent="0.25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</row>
    <row r="756" spans="2:29" s="4" customFormat="1" hidden="1" x14ac:dyDescent="0.25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 spans="2:29" s="4" customFormat="1" hidden="1" x14ac:dyDescent="0.25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 spans="2:29" s="4" customFormat="1" hidden="1" x14ac:dyDescent="0.25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 spans="2:29" s="4" customFormat="1" hidden="1" x14ac:dyDescent="0.25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 spans="2:29" s="4" customFormat="1" hidden="1" x14ac:dyDescent="0.25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 spans="2:29" s="4" customFormat="1" hidden="1" x14ac:dyDescent="0.25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 spans="2:29" s="4" customFormat="1" hidden="1" x14ac:dyDescent="0.25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</row>
    <row r="763" spans="2:29" s="4" customFormat="1" hidden="1" x14ac:dyDescent="0.25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 spans="2:29" s="4" customFormat="1" hidden="1" x14ac:dyDescent="0.25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 spans="2:29" s="4" customFormat="1" hidden="1" x14ac:dyDescent="0.25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 spans="2:29" s="4" customFormat="1" hidden="1" x14ac:dyDescent="0.25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</row>
    <row r="767" spans="2:29" s="4" customFormat="1" hidden="1" x14ac:dyDescent="0.25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 spans="2:29" s="4" customFormat="1" hidden="1" x14ac:dyDescent="0.25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</row>
    <row r="769" spans="2:29" s="4" customFormat="1" hidden="1" x14ac:dyDescent="0.25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</row>
    <row r="770" spans="2:29" s="4" customFormat="1" hidden="1" x14ac:dyDescent="0.25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</row>
    <row r="771" spans="2:29" s="4" customFormat="1" hidden="1" x14ac:dyDescent="0.25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2:29" s="4" customFormat="1" hidden="1" x14ac:dyDescent="0.25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</row>
    <row r="773" spans="2:29" s="4" customFormat="1" hidden="1" x14ac:dyDescent="0.25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</row>
    <row r="774" spans="2:29" s="4" customFormat="1" hidden="1" x14ac:dyDescent="0.25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</row>
    <row r="775" spans="2:29" s="4" customFormat="1" hidden="1" x14ac:dyDescent="0.25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</row>
    <row r="776" spans="2:29" s="4" customFormat="1" hidden="1" x14ac:dyDescent="0.25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 spans="2:29" s="4" customFormat="1" hidden="1" x14ac:dyDescent="0.25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 spans="2:29" s="4" customFormat="1" hidden="1" x14ac:dyDescent="0.25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 spans="2:29" s="4" customFormat="1" hidden="1" x14ac:dyDescent="0.25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 spans="2:29" s="4" customFormat="1" hidden="1" x14ac:dyDescent="0.25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 spans="2:29" s="4" customFormat="1" hidden="1" x14ac:dyDescent="0.25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 spans="2:29" s="4" customFormat="1" hidden="1" x14ac:dyDescent="0.25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 spans="2:29" s="4" customFormat="1" hidden="1" x14ac:dyDescent="0.25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 spans="2:29" s="4" customFormat="1" hidden="1" x14ac:dyDescent="0.25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 spans="2:29" s="4" customFormat="1" hidden="1" x14ac:dyDescent="0.25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 spans="2:29" s="4" customFormat="1" hidden="1" x14ac:dyDescent="0.25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 spans="2:29" s="4" customFormat="1" hidden="1" x14ac:dyDescent="0.25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 spans="2:29" s="4" customFormat="1" hidden="1" x14ac:dyDescent="0.25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 spans="2:29" s="4" customFormat="1" hidden="1" x14ac:dyDescent="0.25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 spans="2:29" s="4" customFormat="1" hidden="1" x14ac:dyDescent="0.25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 spans="2:29" s="4" customFormat="1" hidden="1" x14ac:dyDescent="0.25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 spans="2:29" s="4" customFormat="1" hidden="1" x14ac:dyDescent="0.25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 spans="2:29" s="4" customFormat="1" hidden="1" x14ac:dyDescent="0.25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 spans="2:29" s="4" customFormat="1" hidden="1" x14ac:dyDescent="0.25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 spans="2:29" s="4" customFormat="1" hidden="1" x14ac:dyDescent="0.25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 spans="2:29" s="4" customFormat="1" hidden="1" x14ac:dyDescent="0.25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 spans="2:29" s="4" customFormat="1" hidden="1" x14ac:dyDescent="0.25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 spans="2:29" s="4" customFormat="1" hidden="1" x14ac:dyDescent="0.25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</row>
    <row r="799" spans="2:29" s="4" customFormat="1" hidden="1" x14ac:dyDescent="0.25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 spans="2:29" s="4" customFormat="1" hidden="1" x14ac:dyDescent="0.25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</row>
    <row r="801" spans="2:29" s="4" customFormat="1" hidden="1" x14ac:dyDescent="0.25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</row>
    <row r="802" spans="2:29" s="4" customFormat="1" hidden="1" x14ac:dyDescent="0.25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 spans="2:29" s="4" customFormat="1" hidden="1" x14ac:dyDescent="0.25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 spans="2:29" s="4" customFormat="1" hidden="1" x14ac:dyDescent="0.25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 spans="2:29" s="4" customFormat="1" hidden="1" x14ac:dyDescent="0.25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</row>
    <row r="806" spans="2:29" s="4" customFormat="1" hidden="1" x14ac:dyDescent="0.25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 spans="2:29" s="4" customFormat="1" hidden="1" x14ac:dyDescent="0.25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</row>
    <row r="808" spans="2:29" s="4" customFormat="1" hidden="1" x14ac:dyDescent="0.25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 spans="2:29" s="4" customFormat="1" hidden="1" x14ac:dyDescent="0.25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 spans="2:29" s="4" customFormat="1" hidden="1" x14ac:dyDescent="0.25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 spans="2:29" s="4" customFormat="1" hidden="1" x14ac:dyDescent="0.25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 spans="2:29" s="4" customFormat="1" hidden="1" x14ac:dyDescent="0.25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 spans="2:29" s="4" customFormat="1" hidden="1" x14ac:dyDescent="0.25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</row>
    <row r="814" spans="2:29" s="4" customFormat="1" hidden="1" x14ac:dyDescent="0.25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 spans="2:29" s="4" customFormat="1" hidden="1" x14ac:dyDescent="0.25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 spans="2:29" s="4" customFormat="1" hidden="1" x14ac:dyDescent="0.25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 spans="2:29" s="4" customFormat="1" hidden="1" x14ac:dyDescent="0.25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2:29" s="4" customFormat="1" hidden="1" x14ac:dyDescent="0.25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2:29" s="4" customFormat="1" hidden="1" x14ac:dyDescent="0.25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2:29" s="4" customFormat="1" hidden="1" x14ac:dyDescent="0.25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2:29" s="4" customFormat="1" hidden="1" x14ac:dyDescent="0.25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 spans="2:29" s="4" customFormat="1" hidden="1" x14ac:dyDescent="0.25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 spans="2:29" s="4" customFormat="1" hidden="1" x14ac:dyDescent="0.25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 spans="2:29" s="4" customFormat="1" hidden="1" x14ac:dyDescent="0.2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 spans="2:29" s="4" customFormat="1" hidden="1" x14ac:dyDescent="0.2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 spans="2:29" s="4" customFormat="1" hidden="1" x14ac:dyDescent="0.25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 spans="2:29" s="4" customFormat="1" hidden="1" x14ac:dyDescent="0.25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 spans="2:29" s="4" customFormat="1" hidden="1" x14ac:dyDescent="0.2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 spans="2:29" s="4" customFormat="1" hidden="1" x14ac:dyDescent="0.25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 spans="2:29" s="4" customFormat="1" hidden="1" x14ac:dyDescent="0.25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 spans="2:29" s="4" customFormat="1" hidden="1" x14ac:dyDescent="0.25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 spans="2:29" s="4" customFormat="1" hidden="1" x14ac:dyDescent="0.25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 spans="2:29" s="4" customFormat="1" hidden="1" x14ac:dyDescent="0.25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 spans="2:29" s="4" customFormat="1" hidden="1" x14ac:dyDescent="0.25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 spans="2:29" s="4" customFormat="1" hidden="1" x14ac:dyDescent="0.25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 spans="2:29" s="4" customFormat="1" hidden="1" x14ac:dyDescent="0.25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 spans="2:29" s="4" customFormat="1" hidden="1" x14ac:dyDescent="0.25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 spans="2:29" s="4" customFormat="1" hidden="1" x14ac:dyDescent="0.25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 spans="2:29" s="4" customFormat="1" hidden="1" x14ac:dyDescent="0.25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 spans="2:29" s="4" customFormat="1" hidden="1" x14ac:dyDescent="0.25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 spans="2:29" s="4" customFormat="1" hidden="1" x14ac:dyDescent="0.25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 spans="2:29" s="4" customFormat="1" hidden="1" x14ac:dyDescent="0.25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 spans="2:29" s="4" customFormat="1" hidden="1" x14ac:dyDescent="0.25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</row>
    <row r="844" spans="2:29" s="4" customFormat="1" hidden="1" x14ac:dyDescent="0.25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 spans="2:29" s="4" customFormat="1" hidden="1" x14ac:dyDescent="0.25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 spans="2:29" s="4" customFormat="1" hidden="1" x14ac:dyDescent="0.25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</row>
    <row r="847" spans="2:29" s="4" customFormat="1" hidden="1" x14ac:dyDescent="0.25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</row>
    <row r="848" spans="2:29" s="4" customFormat="1" hidden="1" x14ac:dyDescent="0.25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 spans="2:29" s="4" customFormat="1" hidden="1" x14ac:dyDescent="0.25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 spans="2:29" s="4" customFormat="1" hidden="1" x14ac:dyDescent="0.25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 spans="2:29" s="4" customFormat="1" hidden="1" x14ac:dyDescent="0.25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 spans="2:29" s="4" customFormat="1" hidden="1" x14ac:dyDescent="0.25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 spans="2:29" s="4" customFormat="1" hidden="1" x14ac:dyDescent="0.25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 spans="2:29" s="4" customFormat="1" hidden="1" x14ac:dyDescent="0.25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 spans="2:29" s="4" customFormat="1" hidden="1" x14ac:dyDescent="0.25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 spans="2:29" s="4" customFormat="1" hidden="1" x14ac:dyDescent="0.25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 spans="2:29" s="4" customFormat="1" hidden="1" x14ac:dyDescent="0.25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 spans="2:29" s="4" customFormat="1" hidden="1" x14ac:dyDescent="0.25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 spans="2:29" s="4" customFormat="1" hidden="1" x14ac:dyDescent="0.25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</row>
    <row r="860" spans="2:29" s="4" customFormat="1" hidden="1" x14ac:dyDescent="0.25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 spans="2:29" s="4" customFormat="1" hidden="1" x14ac:dyDescent="0.25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 spans="2:29" s="4" customFormat="1" hidden="1" x14ac:dyDescent="0.25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 spans="2:29" s="4" customFormat="1" hidden="1" x14ac:dyDescent="0.25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 spans="2:29" s="4" customFormat="1" hidden="1" x14ac:dyDescent="0.25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 spans="2:29" s="4" customFormat="1" hidden="1" x14ac:dyDescent="0.25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 spans="2:29" s="4" customFormat="1" hidden="1" x14ac:dyDescent="0.25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 spans="2:29" s="4" customFormat="1" hidden="1" x14ac:dyDescent="0.25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 spans="2:29" s="4" customFormat="1" hidden="1" x14ac:dyDescent="0.25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 spans="2:29" s="4" customFormat="1" hidden="1" x14ac:dyDescent="0.25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 spans="2:29" s="4" customFormat="1" hidden="1" x14ac:dyDescent="0.25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</row>
    <row r="871" spans="2:29" s="4" customFormat="1" hidden="1" x14ac:dyDescent="0.25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</row>
    <row r="872" spans="2:29" s="4" customFormat="1" hidden="1" x14ac:dyDescent="0.25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</row>
    <row r="873" spans="2:29" s="4" customFormat="1" hidden="1" x14ac:dyDescent="0.25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</row>
    <row r="874" spans="2:29" s="4" customFormat="1" hidden="1" x14ac:dyDescent="0.25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 spans="2:29" s="4" customFormat="1" hidden="1" x14ac:dyDescent="0.25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 spans="2:29" s="4" customFormat="1" hidden="1" x14ac:dyDescent="0.25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 spans="2:29" s="4" customFormat="1" hidden="1" x14ac:dyDescent="0.25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 spans="2:29" s="4" customFormat="1" hidden="1" x14ac:dyDescent="0.25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 spans="2:29" s="4" customFormat="1" hidden="1" x14ac:dyDescent="0.25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 spans="2:29" s="4" customFormat="1" hidden="1" x14ac:dyDescent="0.25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 spans="2:29" s="4" customFormat="1" hidden="1" x14ac:dyDescent="0.25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 spans="2:29" s="4" customFormat="1" hidden="1" x14ac:dyDescent="0.25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 spans="2:29" s="4" customFormat="1" hidden="1" x14ac:dyDescent="0.25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 spans="2:29" s="4" customFormat="1" hidden="1" x14ac:dyDescent="0.25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 spans="2:29" s="4" customFormat="1" hidden="1" x14ac:dyDescent="0.25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 spans="2:29" s="4" customFormat="1" hidden="1" x14ac:dyDescent="0.25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 spans="2:29" s="4" customFormat="1" hidden="1" x14ac:dyDescent="0.25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 spans="2:29" s="4" customFormat="1" hidden="1" x14ac:dyDescent="0.25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 spans="2:29" s="4" customFormat="1" hidden="1" x14ac:dyDescent="0.25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 spans="2:29" s="4" customFormat="1" hidden="1" x14ac:dyDescent="0.25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 spans="2:29" s="4" customFormat="1" hidden="1" x14ac:dyDescent="0.25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 spans="2:29" s="4" customFormat="1" hidden="1" x14ac:dyDescent="0.25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 spans="2:29" s="4" customFormat="1" hidden="1" x14ac:dyDescent="0.25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 spans="2:29" s="4" customFormat="1" hidden="1" x14ac:dyDescent="0.25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 spans="2:29" s="4" customFormat="1" hidden="1" x14ac:dyDescent="0.25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 spans="2:29" s="4" customFormat="1" hidden="1" x14ac:dyDescent="0.25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 spans="2:29" s="4" customFormat="1" hidden="1" x14ac:dyDescent="0.25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2:29" s="4" customFormat="1" hidden="1" x14ac:dyDescent="0.25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 spans="2:29" s="4" customFormat="1" hidden="1" x14ac:dyDescent="0.25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 spans="2:29" s="4" customFormat="1" hidden="1" x14ac:dyDescent="0.25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 spans="2:29" s="4" customFormat="1" hidden="1" x14ac:dyDescent="0.25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</row>
    <row r="902" spans="2:29" s="4" customFormat="1" hidden="1" x14ac:dyDescent="0.25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 spans="2:29" s="4" customFormat="1" hidden="1" x14ac:dyDescent="0.25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 spans="2:29" s="4" customFormat="1" hidden="1" x14ac:dyDescent="0.25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 spans="2:29" s="4" customFormat="1" hidden="1" x14ac:dyDescent="0.2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 spans="2:29" s="4" customFormat="1" hidden="1" x14ac:dyDescent="0.2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 spans="2:29" s="4" customFormat="1" hidden="1" x14ac:dyDescent="0.25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 spans="2:29" s="4" customFormat="1" hidden="1" x14ac:dyDescent="0.25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 spans="2:29" s="4" customFormat="1" hidden="1" x14ac:dyDescent="0.25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</row>
    <row r="910" spans="2:29" s="4" customFormat="1" hidden="1" x14ac:dyDescent="0.25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 spans="2:29" s="4" customFormat="1" hidden="1" x14ac:dyDescent="0.25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 spans="2:29" s="4" customFormat="1" hidden="1" x14ac:dyDescent="0.25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 spans="2:29" s="4" customFormat="1" hidden="1" x14ac:dyDescent="0.25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 spans="2:29" s="4" customFormat="1" hidden="1" x14ac:dyDescent="0.25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 spans="2:29" s="4" customFormat="1" hidden="1" x14ac:dyDescent="0.25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 spans="2:29" s="4" customFormat="1" hidden="1" x14ac:dyDescent="0.25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 spans="2:29" s="4" customFormat="1" hidden="1" x14ac:dyDescent="0.25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 spans="2:29" s="4" customFormat="1" hidden="1" x14ac:dyDescent="0.25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 spans="2:29" s="4" customFormat="1" hidden="1" x14ac:dyDescent="0.25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 spans="2:29" s="4" customFormat="1" hidden="1" x14ac:dyDescent="0.25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 spans="2:29" s="4" customFormat="1" hidden="1" x14ac:dyDescent="0.25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</row>
    <row r="922" spans="2:29" s="4" customFormat="1" hidden="1" x14ac:dyDescent="0.25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</row>
    <row r="923" spans="2:29" s="4" customFormat="1" hidden="1" x14ac:dyDescent="0.25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 spans="2:29" s="4" customFormat="1" hidden="1" x14ac:dyDescent="0.25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 spans="2:29" s="4" customFormat="1" hidden="1" x14ac:dyDescent="0.25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 spans="2:29" s="4" customFormat="1" hidden="1" x14ac:dyDescent="0.25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</row>
    <row r="927" spans="2:29" s="4" customFormat="1" hidden="1" x14ac:dyDescent="0.25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 spans="2:29" s="4" customFormat="1" hidden="1" x14ac:dyDescent="0.25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 spans="2:29" s="4" customFormat="1" hidden="1" x14ac:dyDescent="0.25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 spans="2:29" s="4" customFormat="1" hidden="1" x14ac:dyDescent="0.25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 spans="2:29" s="4" customFormat="1" hidden="1" x14ac:dyDescent="0.25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 spans="2:29" s="4" customFormat="1" hidden="1" x14ac:dyDescent="0.25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 spans="2:29" s="4" customFormat="1" hidden="1" x14ac:dyDescent="0.25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 spans="2:29" s="4" customFormat="1" hidden="1" x14ac:dyDescent="0.25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 spans="2:29" s="4" customFormat="1" hidden="1" x14ac:dyDescent="0.25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 spans="2:29" s="4" customFormat="1" hidden="1" x14ac:dyDescent="0.25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 spans="2:29" s="4" customFormat="1" hidden="1" x14ac:dyDescent="0.25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 spans="2:29" s="4" customFormat="1" hidden="1" x14ac:dyDescent="0.25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 spans="2:29" s="4" customFormat="1" hidden="1" x14ac:dyDescent="0.25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 spans="2:29" s="4" customFormat="1" hidden="1" x14ac:dyDescent="0.25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 spans="2:29" s="4" customFormat="1" hidden="1" x14ac:dyDescent="0.25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 spans="2:29" s="4" customFormat="1" hidden="1" x14ac:dyDescent="0.25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 spans="2:29" s="4" customFormat="1" hidden="1" x14ac:dyDescent="0.25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 spans="2:29" s="4" customFormat="1" hidden="1" x14ac:dyDescent="0.25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 spans="2:29" s="4" customFormat="1" hidden="1" x14ac:dyDescent="0.25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</row>
    <row r="946" spans="2:29" s="4" customFormat="1" hidden="1" x14ac:dyDescent="0.25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</row>
    <row r="947" spans="2:29" s="4" customFormat="1" hidden="1" x14ac:dyDescent="0.25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 spans="2:29" s="4" customFormat="1" hidden="1" x14ac:dyDescent="0.25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</row>
    <row r="949" spans="2:29" s="4" customFormat="1" hidden="1" x14ac:dyDescent="0.25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 spans="2:29" s="4" customFormat="1" hidden="1" x14ac:dyDescent="0.25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 spans="2:29" s="4" customFormat="1" hidden="1" x14ac:dyDescent="0.25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 spans="2:29" s="4" customFormat="1" hidden="1" x14ac:dyDescent="0.25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</row>
    <row r="953" spans="2:29" s="4" customFormat="1" hidden="1" x14ac:dyDescent="0.25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</row>
    <row r="954" spans="2:29" s="4" customFormat="1" hidden="1" x14ac:dyDescent="0.25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</row>
    <row r="955" spans="2:29" s="4" customFormat="1" hidden="1" x14ac:dyDescent="0.25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</row>
    <row r="956" spans="2:29" s="4" customFormat="1" hidden="1" x14ac:dyDescent="0.25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 spans="2:29" s="4" customFormat="1" hidden="1" x14ac:dyDescent="0.25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</row>
    <row r="958" spans="2:29" s="4" customFormat="1" hidden="1" x14ac:dyDescent="0.25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</row>
    <row r="959" spans="2:29" s="4" customFormat="1" hidden="1" x14ac:dyDescent="0.25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 spans="2:29" s="4" customFormat="1" hidden="1" x14ac:dyDescent="0.25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</row>
    <row r="961" spans="2:29" s="4" customFormat="1" hidden="1" x14ac:dyDescent="0.25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</row>
    <row r="962" spans="2:29" s="4" customFormat="1" hidden="1" x14ac:dyDescent="0.25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 spans="2:29" s="4" customFormat="1" hidden="1" x14ac:dyDescent="0.25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 spans="2:29" s="4" customFormat="1" hidden="1" x14ac:dyDescent="0.25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 spans="2:29" s="4" customFormat="1" hidden="1" x14ac:dyDescent="0.25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 spans="2:29" s="4" customFormat="1" hidden="1" x14ac:dyDescent="0.25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 spans="2:29" s="4" customFormat="1" hidden="1" x14ac:dyDescent="0.25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 spans="2:29" s="4" customFormat="1" hidden="1" x14ac:dyDescent="0.25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 spans="2:29" s="4" customFormat="1" hidden="1" x14ac:dyDescent="0.25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</row>
    <row r="970" spans="2:29" s="4" customFormat="1" hidden="1" x14ac:dyDescent="0.25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 spans="2:29" s="4" customFormat="1" hidden="1" x14ac:dyDescent="0.25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 spans="2:29" s="4" customFormat="1" hidden="1" x14ac:dyDescent="0.25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</row>
    <row r="973" spans="2:29" s="4" customFormat="1" hidden="1" x14ac:dyDescent="0.25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 spans="2:29" s="4" customFormat="1" hidden="1" x14ac:dyDescent="0.25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</row>
    <row r="975" spans="2:29" s="4" customFormat="1" hidden="1" x14ac:dyDescent="0.25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 spans="2:29" s="4" customFormat="1" hidden="1" x14ac:dyDescent="0.25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</row>
    <row r="977" spans="2:29" s="4" customFormat="1" hidden="1" x14ac:dyDescent="0.25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 spans="2:29" s="4" customFormat="1" hidden="1" x14ac:dyDescent="0.25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 spans="2:29" s="4" customFormat="1" hidden="1" x14ac:dyDescent="0.25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 spans="2:29" s="4" customFormat="1" hidden="1" x14ac:dyDescent="0.25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 spans="2:29" s="4" customFormat="1" hidden="1" x14ac:dyDescent="0.25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</row>
    <row r="982" spans="2:29" s="4" customFormat="1" hidden="1" x14ac:dyDescent="0.25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 spans="2:29" s="4" customFormat="1" hidden="1" x14ac:dyDescent="0.25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 spans="2:29" s="4" customFormat="1" hidden="1" x14ac:dyDescent="0.25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 spans="2:29" s="4" customFormat="1" hidden="1" x14ac:dyDescent="0.25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 spans="2:29" s="4" customFormat="1" hidden="1" x14ac:dyDescent="0.25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 spans="2:29" s="4" customFormat="1" hidden="1" x14ac:dyDescent="0.25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 spans="2:29" s="4" customFormat="1" hidden="1" x14ac:dyDescent="0.25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 spans="2:29" s="4" customFormat="1" hidden="1" x14ac:dyDescent="0.25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 spans="2:29" s="4" customFormat="1" hidden="1" x14ac:dyDescent="0.25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 spans="2:29" s="4" customFormat="1" hidden="1" x14ac:dyDescent="0.25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 spans="2:29" s="4" customFormat="1" hidden="1" x14ac:dyDescent="0.25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 spans="2:29" s="4" customFormat="1" hidden="1" x14ac:dyDescent="0.25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 spans="2:29" s="4" customFormat="1" hidden="1" x14ac:dyDescent="0.25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 spans="2:29" s="4" customFormat="1" hidden="1" x14ac:dyDescent="0.25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 spans="2:29" s="4" customFormat="1" hidden="1" x14ac:dyDescent="0.25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 spans="2:29" s="4" customFormat="1" hidden="1" x14ac:dyDescent="0.25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 spans="2:29" s="4" customFormat="1" hidden="1" x14ac:dyDescent="0.25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 spans="2:29" s="4" customFormat="1" hidden="1" x14ac:dyDescent="0.25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</row>
    <row r="1000" spans="2:29" s="4" customFormat="1" hidden="1" x14ac:dyDescent="0.25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</row>
    <row r="1001" spans="2:29" s="4" customFormat="1" hidden="1" x14ac:dyDescent="0.25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</row>
    <row r="1002" spans="2:29" s="4" customFormat="1" hidden="1" x14ac:dyDescent="0.25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 spans="2:29" s="4" customFormat="1" hidden="1" x14ac:dyDescent="0.25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 spans="2:29" s="4" customFormat="1" hidden="1" x14ac:dyDescent="0.25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 spans="2:29" s="4" customFormat="1" hidden="1" x14ac:dyDescent="0.25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 spans="2:29" s="4" customFormat="1" hidden="1" x14ac:dyDescent="0.25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 spans="2:29" s="4" customFormat="1" hidden="1" x14ac:dyDescent="0.25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 spans="2:29" s="4" customFormat="1" hidden="1" x14ac:dyDescent="0.25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 spans="2:29" s="4" customFormat="1" hidden="1" x14ac:dyDescent="0.25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 spans="2:29" s="4" customFormat="1" hidden="1" x14ac:dyDescent="0.25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 spans="2:29" s="4" customFormat="1" hidden="1" x14ac:dyDescent="0.25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 spans="2:29" s="4" customFormat="1" hidden="1" x14ac:dyDescent="0.25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 spans="2:29" s="4" customFormat="1" hidden="1" x14ac:dyDescent="0.25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 spans="2:29" s="4" customFormat="1" hidden="1" x14ac:dyDescent="0.25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</row>
    <row r="1015" spans="2:29" s="4" customFormat="1" hidden="1" x14ac:dyDescent="0.25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 spans="2:29" s="4" customFormat="1" hidden="1" x14ac:dyDescent="0.25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</row>
    <row r="1017" spans="2:29" s="4" customFormat="1" hidden="1" x14ac:dyDescent="0.25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 spans="2:29" s="4" customFormat="1" hidden="1" x14ac:dyDescent="0.25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 spans="2:29" s="4" customFormat="1" hidden="1" x14ac:dyDescent="0.25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 spans="2:29" s="4" customFormat="1" hidden="1" x14ac:dyDescent="0.25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 spans="2:29" s="4" customFormat="1" hidden="1" x14ac:dyDescent="0.25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 spans="2:29" s="4" customFormat="1" hidden="1" x14ac:dyDescent="0.25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 spans="2:29" s="4" customFormat="1" hidden="1" x14ac:dyDescent="0.25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 spans="2:29" s="4" customFormat="1" hidden="1" x14ac:dyDescent="0.25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 spans="2:29" s="4" customFormat="1" hidden="1" x14ac:dyDescent="0.25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 spans="2:29" s="4" customFormat="1" hidden="1" x14ac:dyDescent="0.25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 spans="2:29" s="4" customFormat="1" hidden="1" x14ac:dyDescent="0.25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 spans="2:29" s="4" customFormat="1" hidden="1" x14ac:dyDescent="0.25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 spans="2:29" s="4" customFormat="1" hidden="1" x14ac:dyDescent="0.25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</row>
    <row r="1030" spans="2:29" s="4" customFormat="1" hidden="1" x14ac:dyDescent="0.25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</row>
    <row r="1031" spans="2:29" s="4" customFormat="1" hidden="1" x14ac:dyDescent="0.25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 spans="2:29" s="4" customFormat="1" hidden="1" x14ac:dyDescent="0.25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</row>
    <row r="1033" spans="2:29" s="4" customFormat="1" hidden="1" x14ac:dyDescent="0.25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 spans="2:29" s="4" customFormat="1" hidden="1" x14ac:dyDescent="0.25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 spans="2:29" s="4" customFormat="1" hidden="1" x14ac:dyDescent="0.25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 spans="2:29" s="4" customFormat="1" hidden="1" x14ac:dyDescent="0.25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 spans="2:29" s="4" customFormat="1" hidden="1" x14ac:dyDescent="0.25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 spans="2:29" s="4" customFormat="1" hidden="1" x14ac:dyDescent="0.25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 spans="2:29" s="4" customFormat="1" hidden="1" x14ac:dyDescent="0.25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 spans="2:29" s="4" customFormat="1" hidden="1" x14ac:dyDescent="0.25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 spans="2:29" s="4" customFormat="1" hidden="1" x14ac:dyDescent="0.25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 spans="2:29" s="4" customFormat="1" hidden="1" x14ac:dyDescent="0.25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 spans="2:29" s="4" customFormat="1" hidden="1" x14ac:dyDescent="0.25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 spans="2:29" s="4" customFormat="1" hidden="1" x14ac:dyDescent="0.25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 spans="2:29" s="4" customFormat="1" hidden="1" x14ac:dyDescent="0.25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</row>
    <row r="1046" spans="2:29" s="4" customFormat="1" hidden="1" x14ac:dyDescent="0.25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 spans="2:29" s="4" customFormat="1" hidden="1" x14ac:dyDescent="0.25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 spans="2:29" s="4" customFormat="1" hidden="1" x14ac:dyDescent="0.25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 spans="2:29" s="4" customFormat="1" hidden="1" x14ac:dyDescent="0.25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 spans="2:29" s="4" customFormat="1" hidden="1" x14ac:dyDescent="0.25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 spans="2:29" s="4" customFormat="1" hidden="1" x14ac:dyDescent="0.25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 spans="2:29" s="4" customFormat="1" hidden="1" x14ac:dyDescent="0.25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 spans="2:29" s="4" customFormat="1" hidden="1" x14ac:dyDescent="0.25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 spans="2:29" s="4" customFormat="1" hidden="1" x14ac:dyDescent="0.25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 spans="2:29" s="4" customFormat="1" hidden="1" x14ac:dyDescent="0.25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 spans="2:29" s="4" customFormat="1" hidden="1" x14ac:dyDescent="0.25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 spans="2:29" s="4" customFormat="1" hidden="1" x14ac:dyDescent="0.25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 spans="2:29" s="4" customFormat="1" hidden="1" x14ac:dyDescent="0.25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 spans="2:29" s="4" customFormat="1" hidden="1" x14ac:dyDescent="0.25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 spans="2:29" s="4" customFormat="1" hidden="1" x14ac:dyDescent="0.25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 spans="2:29" s="4" customFormat="1" hidden="1" x14ac:dyDescent="0.25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 spans="2:29" s="4" customFormat="1" hidden="1" x14ac:dyDescent="0.25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 spans="2:29" s="4" customFormat="1" hidden="1" x14ac:dyDescent="0.25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 spans="2:29" s="4" customFormat="1" hidden="1" x14ac:dyDescent="0.25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 spans="2:29" s="4" customFormat="1" hidden="1" x14ac:dyDescent="0.25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 spans="2:29" s="4" customFormat="1" hidden="1" x14ac:dyDescent="0.25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 spans="2:29" s="4" customFormat="1" hidden="1" x14ac:dyDescent="0.25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 spans="2:29" s="4" customFormat="1" hidden="1" x14ac:dyDescent="0.25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</row>
    <row r="1069" spans="2:29" s="4" customFormat="1" hidden="1" x14ac:dyDescent="0.25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 spans="2:29" s="4" customFormat="1" hidden="1" x14ac:dyDescent="0.25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 spans="2:29" s="4" customFormat="1" hidden="1" x14ac:dyDescent="0.25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</row>
    <row r="1072" spans="2:29" s="4" customFormat="1" hidden="1" x14ac:dyDescent="0.25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 spans="2:29" s="4" customFormat="1" hidden="1" x14ac:dyDescent="0.25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</row>
    <row r="1074" spans="2:29" s="4" customFormat="1" hidden="1" x14ac:dyDescent="0.25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 spans="2:29" s="4" customFormat="1" hidden="1" x14ac:dyDescent="0.25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</row>
    <row r="1076" spans="2:29" s="4" customFormat="1" hidden="1" x14ac:dyDescent="0.25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</row>
    <row r="1077" spans="2:29" s="4" customFormat="1" hidden="1" x14ac:dyDescent="0.25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</row>
    <row r="1078" spans="2:29" s="4" customFormat="1" hidden="1" x14ac:dyDescent="0.25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 spans="2:29" s="4" customFormat="1" hidden="1" x14ac:dyDescent="0.25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 spans="2:29" s="4" customFormat="1" hidden="1" x14ac:dyDescent="0.25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</row>
    <row r="1081" spans="2:29" s="4" customFormat="1" hidden="1" x14ac:dyDescent="0.25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 spans="2:29" s="4" customFormat="1" hidden="1" x14ac:dyDescent="0.25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 spans="2:29" s="4" customFormat="1" hidden="1" x14ac:dyDescent="0.25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 spans="2:29" s="4" customFormat="1" hidden="1" x14ac:dyDescent="0.25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 spans="2:29" s="4" customFormat="1" hidden="1" x14ac:dyDescent="0.25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 spans="2:29" s="4" customFormat="1" hidden="1" x14ac:dyDescent="0.25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 spans="2:29" s="4" customFormat="1" hidden="1" x14ac:dyDescent="0.25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 spans="2:29" s="4" customFormat="1" hidden="1" x14ac:dyDescent="0.25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 spans="2:29" s="4" customFormat="1" hidden="1" x14ac:dyDescent="0.25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 spans="2:29" s="4" customFormat="1" hidden="1" x14ac:dyDescent="0.25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 spans="2:29" s="4" customFormat="1" hidden="1" x14ac:dyDescent="0.25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 spans="2:29" s="4" customFormat="1" hidden="1" x14ac:dyDescent="0.25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 spans="2:29" s="4" customFormat="1" hidden="1" x14ac:dyDescent="0.25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 spans="2:29" s="4" customFormat="1" hidden="1" x14ac:dyDescent="0.25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 spans="2:29" s="4" customFormat="1" hidden="1" x14ac:dyDescent="0.25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 spans="2:29" s="4" customFormat="1" hidden="1" x14ac:dyDescent="0.25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</row>
    <row r="1097" spans="2:29" s="4" customFormat="1" hidden="1" x14ac:dyDescent="0.25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 spans="2:29" s="4" customFormat="1" hidden="1" x14ac:dyDescent="0.25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 spans="2:29" s="4" customFormat="1" hidden="1" x14ac:dyDescent="0.25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</row>
    <row r="1100" spans="2:29" s="4" customFormat="1" hidden="1" x14ac:dyDescent="0.25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 spans="2:29" s="4" customFormat="1" hidden="1" x14ac:dyDescent="0.25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 spans="2:29" s="4" customFormat="1" hidden="1" x14ac:dyDescent="0.25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 spans="2:29" s="4" customFormat="1" hidden="1" x14ac:dyDescent="0.25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</row>
    <row r="1104" spans="2:29" s="4" customFormat="1" hidden="1" x14ac:dyDescent="0.25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</row>
    <row r="1105" spans="2:29" s="4" customFormat="1" hidden="1" x14ac:dyDescent="0.25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</row>
    <row r="1106" spans="2:29" s="4" customFormat="1" hidden="1" x14ac:dyDescent="0.25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 spans="2:29" s="4" customFormat="1" hidden="1" x14ac:dyDescent="0.25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 spans="2:29" s="4" customFormat="1" hidden="1" x14ac:dyDescent="0.25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 spans="2:29" s="4" customFormat="1" hidden="1" x14ac:dyDescent="0.25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 spans="2:29" s="4" customFormat="1" hidden="1" x14ac:dyDescent="0.25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 spans="2:29" s="4" customFormat="1" hidden="1" x14ac:dyDescent="0.25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 spans="2:29" s="4" customFormat="1" hidden="1" x14ac:dyDescent="0.25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</row>
    <row r="1113" spans="2:29" s="4" customFormat="1" hidden="1" x14ac:dyDescent="0.25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</row>
    <row r="1114" spans="2:29" s="4" customFormat="1" hidden="1" x14ac:dyDescent="0.25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</row>
    <row r="1115" spans="2:29" s="4" customFormat="1" hidden="1" x14ac:dyDescent="0.25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 spans="2:29" s="4" customFormat="1" hidden="1" x14ac:dyDescent="0.25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</row>
    <row r="1117" spans="2:29" s="4" customFormat="1" hidden="1" x14ac:dyDescent="0.25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 spans="2:29" s="4" customFormat="1" hidden="1" x14ac:dyDescent="0.25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 spans="2:29" s="4" customFormat="1" hidden="1" x14ac:dyDescent="0.25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 spans="2:29" s="4" customFormat="1" hidden="1" x14ac:dyDescent="0.25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 spans="2:29" s="4" customFormat="1" hidden="1" x14ac:dyDescent="0.25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 spans="2:29" s="4" customFormat="1" hidden="1" x14ac:dyDescent="0.25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</row>
    <row r="1123" spans="2:29" s="4" customFormat="1" hidden="1" x14ac:dyDescent="0.25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 spans="2:29" s="4" customFormat="1" hidden="1" x14ac:dyDescent="0.25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</row>
    <row r="1125" spans="2:29" s="4" customFormat="1" hidden="1" x14ac:dyDescent="0.25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</row>
    <row r="1126" spans="2:29" s="4" customFormat="1" hidden="1" x14ac:dyDescent="0.25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 spans="2:29" s="4" customFormat="1" hidden="1" x14ac:dyDescent="0.25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 spans="2:29" s="4" customFormat="1" hidden="1" x14ac:dyDescent="0.25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 spans="2:29" s="4" customFormat="1" hidden="1" x14ac:dyDescent="0.25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 spans="2:29" s="4" customFormat="1" hidden="1" x14ac:dyDescent="0.25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</row>
    <row r="1131" spans="2:29" s="4" customFormat="1" hidden="1" x14ac:dyDescent="0.25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</row>
    <row r="1132" spans="2:29" s="4" customFormat="1" hidden="1" x14ac:dyDescent="0.25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 spans="2:29" s="4" customFormat="1" hidden="1" x14ac:dyDescent="0.25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</row>
    <row r="1134" spans="2:29" s="4" customFormat="1" hidden="1" x14ac:dyDescent="0.25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 spans="2:29" s="4" customFormat="1" hidden="1" x14ac:dyDescent="0.25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 spans="2:29" s="4" customFormat="1" hidden="1" x14ac:dyDescent="0.25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 spans="2:29" s="4" customFormat="1" hidden="1" x14ac:dyDescent="0.25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 spans="2:29" s="4" customFormat="1" hidden="1" x14ac:dyDescent="0.25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 spans="2:29" s="4" customFormat="1" hidden="1" x14ac:dyDescent="0.25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 spans="2:29" s="4" customFormat="1" hidden="1" x14ac:dyDescent="0.25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 spans="2:29" s="4" customFormat="1" hidden="1" x14ac:dyDescent="0.25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 spans="2:29" s="4" customFormat="1" hidden="1" x14ac:dyDescent="0.25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 spans="2:29" s="4" customFormat="1" hidden="1" x14ac:dyDescent="0.25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 spans="2:29" s="4" customFormat="1" hidden="1" x14ac:dyDescent="0.25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 spans="2:29" s="4" customFormat="1" hidden="1" x14ac:dyDescent="0.25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 spans="2:29" s="4" customFormat="1" hidden="1" x14ac:dyDescent="0.25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 spans="2:29" s="4" customFormat="1" hidden="1" x14ac:dyDescent="0.25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 spans="2:29" s="4" customFormat="1" hidden="1" x14ac:dyDescent="0.25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 spans="2:29" s="4" customFormat="1" hidden="1" x14ac:dyDescent="0.25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</row>
    <row r="1150" spans="2:29" s="4" customFormat="1" hidden="1" x14ac:dyDescent="0.25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 spans="2:29" s="4" customFormat="1" hidden="1" x14ac:dyDescent="0.25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 spans="2:29" s="4" customFormat="1" hidden="1" x14ac:dyDescent="0.25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 spans="2:29" s="4" customFormat="1" hidden="1" x14ac:dyDescent="0.25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 spans="2:29" s="4" customFormat="1" hidden="1" x14ac:dyDescent="0.25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</row>
    <row r="1155" spans="2:29" s="4" customFormat="1" hidden="1" x14ac:dyDescent="0.25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 spans="2:29" s="4" customFormat="1" hidden="1" x14ac:dyDescent="0.25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 spans="2:29" s="4" customFormat="1" hidden="1" x14ac:dyDescent="0.25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 spans="2:29" s="4" customFormat="1" hidden="1" x14ac:dyDescent="0.25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 spans="2:29" s="4" customFormat="1" hidden="1" x14ac:dyDescent="0.25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</row>
    <row r="1160" spans="2:29" s="4" customFormat="1" hidden="1" x14ac:dyDescent="0.25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 spans="2:29" s="4" customFormat="1" hidden="1" x14ac:dyDescent="0.25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 spans="2:29" s="4" customFormat="1" hidden="1" x14ac:dyDescent="0.25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 spans="2:29" s="4" customFormat="1" hidden="1" x14ac:dyDescent="0.25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 spans="2:29" s="4" customFormat="1" hidden="1" x14ac:dyDescent="0.25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 spans="2:29" s="4" customFormat="1" hidden="1" x14ac:dyDescent="0.25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</row>
    <row r="1166" spans="2:29" s="4" customFormat="1" hidden="1" x14ac:dyDescent="0.25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 spans="2:29" s="4" customFormat="1" hidden="1" x14ac:dyDescent="0.25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 spans="2:29" s="4" customFormat="1" hidden="1" x14ac:dyDescent="0.25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 spans="2:29" s="4" customFormat="1" hidden="1" x14ac:dyDescent="0.25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 spans="2:29" s="4" customFormat="1" hidden="1" x14ac:dyDescent="0.25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 spans="2:29" s="4" customFormat="1" hidden="1" x14ac:dyDescent="0.25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 spans="2:29" s="4" customFormat="1" hidden="1" x14ac:dyDescent="0.25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 spans="2:29" s="4" customFormat="1" hidden="1" x14ac:dyDescent="0.25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 spans="2:29" s="4" customFormat="1" hidden="1" x14ac:dyDescent="0.25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 spans="2:29" s="4" customFormat="1" hidden="1" x14ac:dyDescent="0.25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</row>
    <row r="1176" spans="2:29" s="4" customFormat="1" hidden="1" x14ac:dyDescent="0.25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 spans="2:29" s="4" customFormat="1" hidden="1" x14ac:dyDescent="0.25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</row>
    <row r="1178" spans="2:29" s="4" customFormat="1" hidden="1" x14ac:dyDescent="0.25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</row>
    <row r="1179" spans="2:29" s="4" customFormat="1" hidden="1" x14ac:dyDescent="0.25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</row>
    <row r="1180" spans="2:29" s="4" customFormat="1" hidden="1" x14ac:dyDescent="0.25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 spans="2:29" s="4" customFormat="1" hidden="1" x14ac:dyDescent="0.25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 spans="2:29" s="4" customFormat="1" hidden="1" x14ac:dyDescent="0.25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 spans="2:29" s="4" customFormat="1" hidden="1" x14ac:dyDescent="0.25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 spans="2:29" s="4" customFormat="1" hidden="1" x14ac:dyDescent="0.25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 spans="2:29" s="4" customFormat="1" hidden="1" x14ac:dyDescent="0.25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 spans="2:29" s="4" customFormat="1" hidden="1" x14ac:dyDescent="0.25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 spans="2:29" s="4" customFormat="1" hidden="1" x14ac:dyDescent="0.25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 spans="2:29" s="4" customFormat="1" hidden="1" x14ac:dyDescent="0.25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 spans="2:29" s="4" customFormat="1" hidden="1" x14ac:dyDescent="0.25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 spans="2:29" s="4" customFormat="1" hidden="1" x14ac:dyDescent="0.25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 spans="2:29" s="4" customFormat="1" hidden="1" x14ac:dyDescent="0.25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 spans="2:29" s="4" customFormat="1" hidden="1" x14ac:dyDescent="0.25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 spans="2:29" s="4" customFormat="1" hidden="1" x14ac:dyDescent="0.25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 spans="2:29" s="4" customFormat="1" hidden="1" x14ac:dyDescent="0.25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 spans="2:29" s="4" customFormat="1" hidden="1" x14ac:dyDescent="0.25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 spans="2:29" s="4" customFormat="1" hidden="1" x14ac:dyDescent="0.25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 spans="2:29" s="4" customFormat="1" hidden="1" x14ac:dyDescent="0.25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 spans="2:29" s="4" customFormat="1" hidden="1" x14ac:dyDescent="0.25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 spans="2:29" s="4" customFormat="1" hidden="1" x14ac:dyDescent="0.25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 spans="2:29" s="4" customFormat="1" hidden="1" x14ac:dyDescent="0.25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 spans="2:29" s="4" customFormat="1" hidden="1" x14ac:dyDescent="0.25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</row>
    <row r="1202" spans="2:29" s="4" customFormat="1" hidden="1" x14ac:dyDescent="0.25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</row>
    <row r="1203" spans="2:29" s="4" customFormat="1" hidden="1" x14ac:dyDescent="0.25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</row>
    <row r="1204" spans="2:29" s="4" customFormat="1" hidden="1" x14ac:dyDescent="0.25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 spans="2:29" s="4" customFormat="1" hidden="1" x14ac:dyDescent="0.25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</row>
    <row r="1206" spans="2:29" s="4" customFormat="1" hidden="1" x14ac:dyDescent="0.25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 spans="2:29" s="4" customFormat="1" hidden="1" x14ac:dyDescent="0.25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</row>
    <row r="1208" spans="2:29" s="4" customFormat="1" hidden="1" x14ac:dyDescent="0.25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</row>
    <row r="1209" spans="2:29" s="4" customFormat="1" hidden="1" x14ac:dyDescent="0.25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 spans="2:29" s="4" customFormat="1" hidden="1" x14ac:dyDescent="0.25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 spans="2:29" s="4" customFormat="1" hidden="1" x14ac:dyDescent="0.25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 spans="2:29" s="4" customFormat="1" hidden="1" x14ac:dyDescent="0.25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 spans="2:29" s="4" customFormat="1" hidden="1" x14ac:dyDescent="0.25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2:29" s="4" customFormat="1" hidden="1" x14ac:dyDescent="0.25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 spans="2:29" s="4" customFormat="1" hidden="1" x14ac:dyDescent="0.25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 spans="2:29" s="4" customFormat="1" hidden="1" x14ac:dyDescent="0.25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 spans="2:29" s="4" customFormat="1" hidden="1" x14ac:dyDescent="0.25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 spans="2:29" s="4" customFormat="1" hidden="1" x14ac:dyDescent="0.25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</row>
    <row r="1219" spans="2:29" s="4" customFormat="1" hidden="1" x14ac:dyDescent="0.25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 spans="2:29" s="4" customFormat="1" hidden="1" x14ac:dyDescent="0.25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</row>
    <row r="1221" spans="2:29" s="4" customFormat="1" hidden="1" x14ac:dyDescent="0.25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</row>
    <row r="1222" spans="2:29" s="4" customFormat="1" hidden="1" x14ac:dyDescent="0.25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 spans="2:29" s="4" customFormat="1" hidden="1" x14ac:dyDescent="0.25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 spans="2:29" s="4" customFormat="1" hidden="1" x14ac:dyDescent="0.25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 spans="2:29" s="4" customFormat="1" hidden="1" x14ac:dyDescent="0.25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 spans="2:29" s="4" customFormat="1" hidden="1" x14ac:dyDescent="0.25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 spans="2:29" s="4" customFormat="1" hidden="1" x14ac:dyDescent="0.25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 spans="2:29" s="4" customFormat="1" hidden="1" x14ac:dyDescent="0.25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 spans="2:29" s="4" customFormat="1" hidden="1" x14ac:dyDescent="0.25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 spans="2:29" s="4" customFormat="1" hidden="1" x14ac:dyDescent="0.25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 spans="2:29" s="4" customFormat="1" hidden="1" x14ac:dyDescent="0.25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 spans="2:29" s="4" customFormat="1" hidden="1" x14ac:dyDescent="0.25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 spans="2:29" s="4" customFormat="1" hidden="1" x14ac:dyDescent="0.25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 spans="2:29" s="4" customFormat="1" hidden="1" x14ac:dyDescent="0.25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 spans="2:29" s="4" customFormat="1" hidden="1" x14ac:dyDescent="0.25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 spans="2:29" s="4" customFormat="1" hidden="1" x14ac:dyDescent="0.25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</row>
    <row r="1237" spans="2:29" s="4" customFormat="1" hidden="1" x14ac:dyDescent="0.25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 spans="2:29" s="4" customFormat="1" hidden="1" x14ac:dyDescent="0.25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 spans="2:29" s="4" customFormat="1" hidden="1" x14ac:dyDescent="0.25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 spans="2:29" s="4" customFormat="1" hidden="1" x14ac:dyDescent="0.25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 spans="2:29" s="4" customFormat="1" hidden="1" x14ac:dyDescent="0.25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 spans="2:29" s="4" customFormat="1" hidden="1" x14ac:dyDescent="0.25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 spans="2:29" s="4" customFormat="1" hidden="1" x14ac:dyDescent="0.25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 spans="2:29" s="4" customFormat="1" hidden="1" x14ac:dyDescent="0.25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 spans="2:29" s="4" customFormat="1" hidden="1" x14ac:dyDescent="0.25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 spans="2:29" s="4" customFormat="1" hidden="1" x14ac:dyDescent="0.25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 spans="2:29" s="4" customFormat="1" hidden="1" x14ac:dyDescent="0.25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 spans="2:29" s="4" customFormat="1" hidden="1" x14ac:dyDescent="0.25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 spans="2:29" s="4" customFormat="1" hidden="1" x14ac:dyDescent="0.25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 spans="2:29" s="4" customFormat="1" hidden="1" x14ac:dyDescent="0.25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 spans="2:29" s="4" customFormat="1" hidden="1" x14ac:dyDescent="0.25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 spans="2:29" s="4" customFormat="1" hidden="1" x14ac:dyDescent="0.25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 spans="2:29" s="4" customFormat="1" hidden="1" x14ac:dyDescent="0.25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 spans="2:29" s="4" customFormat="1" hidden="1" x14ac:dyDescent="0.25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 spans="2:29" s="4" customFormat="1" hidden="1" x14ac:dyDescent="0.25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</row>
    <row r="1256" spans="2:29" s="4" customFormat="1" hidden="1" x14ac:dyDescent="0.25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</row>
    <row r="1257" spans="2:29" s="4" customFormat="1" hidden="1" x14ac:dyDescent="0.25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</row>
    <row r="1258" spans="2:29" s="4" customFormat="1" hidden="1" x14ac:dyDescent="0.25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</row>
    <row r="1259" spans="2:29" s="4" customFormat="1" hidden="1" x14ac:dyDescent="0.25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 spans="2:29" s="4" customFormat="1" hidden="1" x14ac:dyDescent="0.25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 spans="2:29" s="4" customFormat="1" hidden="1" x14ac:dyDescent="0.25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 spans="2:29" s="4" customFormat="1" hidden="1" x14ac:dyDescent="0.25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</row>
    <row r="1263" spans="2:29" s="4" customFormat="1" hidden="1" x14ac:dyDescent="0.25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</row>
    <row r="1264" spans="2:29" s="4" customFormat="1" hidden="1" x14ac:dyDescent="0.25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</row>
    <row r="1265" spans="2:29" s="4" customFormat="1" hidden="1" x14ac:dyDescent="0.25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 spans="2:29" s="4" customFormat="1" hidden="1" x14ac:dyDescent="0.25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 spans="2:29" s="4" customFormat="1" hidden="1" x14ac:dyDescent="0.25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 spans="2:29" s="4" customFormat="1" hidden="1" x14ac:dyDescent="0.25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</row>
    <row r="1269" spans="2:29" s="4" customFormat="1" hidden="1" x14ac:dyDescent="0.25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 spans="2:29" s="4" customFormat="1" hidden="1" x14ac:dyDescent="0.25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 spans="2:29" s="4" customFormat="1" hidden="1" x14ac:dyDescent="0.25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</row>
    <row r="1272" spans="2:29" s="4" customFormat="1" hidden="1" x14ac:dyDescent="0.25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 spans="2:29" s="4" customFormat="1" hidden="1" x14ac:dyDescent="0.25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 spans="2:29" s="4" customFormat="1" hidden="1" x14ac:dyDescent="0.25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 spans="2:29" s="4" customFormat="1" hidden="1" x14ac:dyDescent="0.25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 spans="2:29" s="4" customFormat="1" hidden="1" x14ac:dyDescent="0.25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 spans="2:29" s="4" customFormat="1" hidden="1" x14ac:dyDescent="0.25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 spans="2:29" s="4" customFormat="1" hidden="1" x14ac:dyDescent="0.25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 spans="2:29" s="4" customFormat="1" hidden="1" x14ac:dyDescent="0.25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2:29" s="4" customFormat="1" hidden="1" x14ac:dyDescent="0.25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 spans="2:29" s="4" customFormat="1" hidden="1" x14ac:dyDescent="0.25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 spans="2:29" s="4" customFormat="1" hidden="1" x14ac:dyDescent="0.25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 spans="2:29" s="4" customFormat="1" hidden="1" x14ac:dyDescent="0.25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2:29" s="4" customFormat="1" hidden="1" x14ac:dyDescent="0.25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 spans="2:29" s="4" customFormat="1" hidden="1" x14ac:dyDescent="0.25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 spans="2:29" s="4" customFormat="1" hidden="1" x14ac:dyDescent="0.25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 spans="2:29" s="4" customFormat="1" hidden="1" x14ac:dyDescent="0.25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</row>
    <row r="1288" spans="2:29" s="4" customFormat="1" hidden="1" x14ac:dyDescent="0.25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 spans="2:29" s="4" customFormat="1" hidden="1" x14ac:dyDescent="0.25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 spans="2:29" s="4" customFormat="1" hidden="1" x14ac:dyDescent="0.25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 spans="2:29" s="4" customFormat="1" hidden="1" x14ac:dyDescent="0.25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 spans="2:29" s="4" customFormat="1" hidden="1" x14ac:dyDescent="0.25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 spans="2:29" s="4" customFormat="1" hidden="1" x14ac:dyDescent="0.25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 spans="2:29" s="4" customFormat="1" hidden="1" x14ac:dyDescent="0.25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2:29" s="4" customFormat="1" hidden="1" x14ac:dyDescent="0.25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 spans="2:29" s="4" customFormat="1" hidden="1" x14ac:dyDescent="0.25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 spans="2:29" s="4" customFormat="1" hidden="1" x14ac:dyDescent="0.25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 spans="2:29" s="4" customFormat="1" hidden="1" x14ac:dyDescent="0.25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</row>
    <row r="1299" spans="2:29" s="4" customFormat="1" hidden="1" x14ac:dyDescent="0.25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 spans="2:29" s="4" customFormat="1" hidden="1" x14ac:dyDescent="0.25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</row>
    <row r="1301" spans="2:29" s="4" customFormat="1" hidden="1" x14ac:dyDescent="0.25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 spans="2:29" s="4" customFormat="1" hidden="1" x14ac:dyDescent="0.25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</row>
    <row r="1303" spans="2:29" s="4" customFormat="1" hidden="1" x14ac:dyDescent="0.25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 spans="2:29" s="4" customFormat="1" hidden="1" x14ac:dyDescent="0.25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</row>
    <row r="1305" spans="2:29" s="4" customFormat="1" hidden="1" x14ac:dyDescent="0.25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</row>
    <row r="1306" spans="2:29" s="4" customFormat="1" hidden="1" x14ac:dyDescent="0.25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</row>
    <row r="1307" spans="2:29" s="4" customFormat="1" hidden="1" x14ac:dyDescent="0.25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 spans="2:29" s="4" customFormat="1" hidden="1" x14ac:dyDescent="0.25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 spans="2:29" s="4" customFormat="1" hidden="1" x14ac:dyDescent="0.25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</row>
    <row r="1310" spans="2:29" s="4" customFormat="1" hidden="1" x14ac:dyDescent="0.25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 spans="2:29" s="4" customFormat="1" hidden="1" x14ac:dyDescent="0.25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 spans="2:29" s="4" customFormat="1" hidden="1" x14ac:dyDescent="0.25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 spans="2:29" s="4" customFormat="1" hidden="1" x14ac:dyDescent="0.25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 spans="2:29" s="4" customFormat="1" hidden="1" x14ac:dyDescent="0.25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 spans="2:29" s="4" customFormat="1" hidden="1" x14ac:dyDescent="0.25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 spans="2:29" s="4" customFormat="1" hidden="1" x14ac:dyDescent="0.25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 spans="2:29" s="4" customFormat="1" hidden="1" x14ac:dyDescent="0.25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 spans="2:29" s="4" customFormat="1" hidden="1" x14ac:dyDescent="0.25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 spans="2:29" s="4" customFormat="1" hidden="1" x14ac:dyDescent="0.25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 spans="2:29" s="4" customFormat="1" hidden="1" x14ac:dyDescent="0.25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 spans="2:29" s="4" customFormat="1" hidden="1" x14ac:dyDescent="0.25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 spans="2:29" s="4" customFormat="1" hidden="1" x14ac:dyDescent="0.25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 spans="2:29" s="4" customFormat="1" hidden="1" x14ac:dyDescent="0.25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</row>
    <row r="1324" spans="2:29" s="4" customFormat="1" hidden="1" x14ac:dyDescent="0.25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 spans="2:29" s="4" customFormat="1" hidden="1" x14ac:dyDescent="0.25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 spans="2:29" s="4" customFormat="1" hidden="1" x14ac:dyDescent="0.25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 spans="2:29" s="4" customFormat="1" hidden="1" x14ac:dyDescent="0.25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</row>
    <row r="1328" spans="2:29" s="4" customFormat="1" hidden="1" x14ac:dyDescent="0.25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</row>
    <row r="1329" spans="2:29" s="4" customFormat="1" hidden="1" x14ac:dyDescent="0.25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</row>
    <row r="1330" spans="2:29" s="4" customFormat="1" hidden="1" x14ac:dyDescent="0.25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</row>
    <row r="1331" spans="2:29" s="4" customFormat="1" hidden="1" x14ac:dyDescent="0.25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 spans="2:29" s="4" customFormat="1" hidden="1" x14ac:dyDescent="0.25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 spans="2:29" s="4" customFormat="1" hidden="1" x14ac:dyDescent="0.25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</row>
    <row r="1334" spans="2:29" s="4" customFormat="1" hidden="1" x14ac:dyDescent="0.25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</row>
    <row r="1335" spans="2:29" s="4" customFormat="1" hidden="1" x14ac:dyDescent="0.25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</row>
    <row r="1336" spans="2:29" s="4" customFormat="1" hidden="1" x14ac:dyDescent="0.25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 spans="2:29" s="4" customFormat="1" hidden="1" x14ac:dyDescent="0.25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 spans="2:29" s="4" customFormat="1" hidden="1" x14ac:dyDescent="0.25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 spans="2:29" s="4" customFormat="1" hidden="1" x14ac:dyDescent="0.25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 spans="2:29" s="4" customFormat="1" hidden="1" x14ac:dyDescent="0.25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</row>
    <row r="1341" spans="2:29" s="4" customFormat="1" hidden="1" x14ac:dyDescent="0.25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</row>
    <row r="1342" spans="2:29" s="4" customFormat="1" hidden="1" x14ac:dyDescent="0.25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 spans="2:29" s="4" customFormat="1" hidden="1" x14ac:dyDescent="0.25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 spans="2:29" s="4" customFormat="1" hidden="1" x14ac:dyDescent="0.25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 spans="2:29" s="4" customFormat="1" hidden="1" x14ac:dyDescent="0.25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 spans="2:29" s="4" customFormat="1" hidden="1" x14ac:dyDescent="0.25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 spans="2:29" s="4" customFormat="1" hidden="1" x14ac:dyDescent="0.25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 spans="2:29" s="4" customFormat="1" hidden="1" x14ac:dyDescent="0.25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</row>
    <row r="1349" spans="2:29" s="4" customFormat="1" hidden="1" x14ac:dyDescent="0.25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 spans="2:29" s="4" customFormat="1" hidden="1" x14ac:dyDescent="0.25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</row>
    <row r="1351" spans="2:29" s="4" customFormat="1" hidden="1" x14ac:dyDescent="0.25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 spans="2:29" s="4" customFormat="1" hidden="1" x14ac:dyDescent="0.25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 spans="2:29" s="4" customFormat="1" hidden="1" x14ac:dyDescent="0.25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 spans="2:29" s="4" customFormat="1" hidden="1" x14ac:dyDescent="0.25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</row>
    <row r="1355" spans="2:29" s="4" customFormat="1" hidden="1" x14ac:dyDescent="0.25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</row>
    <row r="1356" spans="2:29" s="4" customFormat="1" hidden="1" x14ac:dyDescent="0.25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 spans="2:29" s="4" customFormat="1" hidden="1" x14ac:dyDescent="0.25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 spans="2:29" s="4" customFormat="1" hidden="1" x14ac:dyDescent="0.25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 spans="2:29" s="4" customFormat="1" hidden="1" x14ac:dyDescent="0.25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 spans="2:29" s="4" customFormat="1" hidden="1" x14ac:dyDescent="0.25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</row>
    <row r="1361" spans="2:29" s="4" customFormat="1" hidden="1" x14ac:dyDescent="0.25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</row>
    <row r="1362" spans="2:29" s="4" customFormat="1" hidden="1" x14ac:dyDescent="0.25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 spans="2:29" s="4" customFormat="1" hidden="1" x14ac:dyDescent="0.25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 spans="2:29" s="4" customFormat="1" hidden="1" x14ac:dyDescent="0.25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 spans="2:29" s="4" customFormat="1" hidden="1" x14ac:dyDescent="0.25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</row>
    <row r="1366" spans="2:29" s="4" customFormat="1" hidden="1" x14ac:dyDescent="0.25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 spans="2:29" s="4" customFormat="1" hidden="1" x14ac:dyDescent="0.25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 spans="2:29" s="4" customFormat="1" hidden="1" x14ac:dyDescent="0.25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 spans="2:29" s="4" customFormat="1" hidden="1" x14ac:dyDescent="0.25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 spans="2:29" s="4" customFormat="1" hidden="1" x14ac:dyDescent="0.25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 spans="2:29" s="4" customFormat="1" hidden="1" x14ac:dyDescent="0.25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 spans="2:29" s="4" customFormat="1" hidden="1" x14ac:dyDescent="0.25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</row>
    <row r="1373" spans="2:29" s="4" customFormat="1" hidden="1" x14ac:dyDescent="0.25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</row>
    <row r="1374" spans="2:29" s="4" customFormat="1" hidden="1" x14ac:dyDescent="0.25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</row>
    <row r="1375" spans="2:29" s="4" customFormat="1" hidden="1" x14ac:dyDescent="0.25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 spans="2:29" s="4" customFormat="1" hidden="1" x14ac:dyDescent="0.25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</row>
    <row r="1377" spans="2:29" s="4" customFormat="1" hidden="1" x14ac:dyDescent="0.25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 spans="2:29" s="4" customFormat="1" hidden="1" x14ac:dyDescent="0.25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</row>
    <row r="1379" spans="2:29" s="4" customFormat="1" hidden="1" x14ac:dyDescent="0.25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 spans="2:29" s="4" customFormat="1" hidden="1" x14ac:dyDescent="0.25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 spans="2:29" s="4" customFormat="1" hidden="1" x14ac:dyDescent="0.25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 spans="2:29" s="4" customFormat="1" hidden="1" x14ac:dyDescent="0.25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 spans="2:29" s="4" customFormat="1" hidden="1" x14ac:dyDescent="0.25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</row>
    <row r="1384" spans="2:29" s="4" customFormat="1" hidden="1" x14ac:dyDescent="0.25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</row>
    <row r="1385" spans="2:29" s="4" customFormat="1" hidden="1" x14ac:dyDescent="0.25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</row>
    <row r="1386" spans="2:29" s="4" customFormat="1" hidden="1" x14ac:dyDescent="0.25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 spans="2:29" s="4" customFormat="1" hidden="1" x14ac:dyDescent="0.25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 spans="2:29" s="4" customFormat="1" hidden="1" x14ac:dyDescent="0.25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</row>
    <row r="1389" spans="2:29" s="4" customFormat="1" hidden="1" x14ac:dyDescent="0.25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</row>
    <row r="1390" spans="2:29" s="4" customFormat="1" hidden="1" x14ac:dyDescent="0.25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 spans="2:29" s="4" customFormat="1" hidden="1" x14ac:dyDescent="0.25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 spans="2:29" s="4" customFormat="1" hidden="1" x14ac:dyDescent="0.25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 spans="2:29" s="4" customFormat="1" hidden="1" x14ac:dyDescent="0.25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 spans="2:29" s="4" customFormat="1" hidden="1" x14ac:dyDescent="0.25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 spans="2:29" s="4" customFormat="1" hidden="1" x14ac:dyDescent="0.25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</row>
    <row r="1396" spans="2:29" s="4" customFormat="1" hidden="1" x14ac:dyDescent="0.25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 spans="2:29" s="4" customFormat="1" hidden="1" x14ac:dyDescent="0.25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 spans="2:29" s="4" customFormat="1" hidden="1" x14ac:dyDescent="0.25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</row>
    <row r="1399" spans="2:29" s="4" customFormat="1" hidden="1" x14ac:dyDescent="0.25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 spans="2:29" s="4" customFormat="1" hidden="1" x14ac:dyDescent="0.25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 spans="2:29" s="4" customFormat="1" hidden="1" x14ac:dyDescent="0.25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</row>
    <row r="1402" spans="2:29" s="4" customFormat="1" hidden="1" x14ac:dyDescent="0.25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 spans="2:29" s="4" customFormat="1" hidden="1" x14ac:dyDescent="0.25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 spans="2:29" s="4" customFormat="1" hidden="1" x14ac:dyDescent="0.25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 spans="2:29" s="4" customFormat="1" hidden="1" x14ac:dyDescent="0.25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 spans="2:29" s="4" customFormat="1" hidden="1" x14ac:dyDescent="0.25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 spans="2:29" s="4" customFormat="1" hidden="1" x14ac:dyDescent="0.25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 spans="2:29" s="4" customFormat="1" hidden="1" x14ac:dyDescent="0.25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 spans="2:29" s="4" customFormat="1" hidden="1" x14ac:dyDescent="0.25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 spans="2:29" s="4" customFormat="1" hidden="1" x14ac:dyDescent="0.25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 spans="2:29" s="4" customFormat="1" hidden="1" x14ac:dyDescent="0.25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 spans="2:29" s="4" customFormat="1" hidden="1" x14ac:dyDescent="0.25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 spans="2:29" s="4" customFormat="1" hidden="1" x14ac:dyDescent="0.25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 spans="2:29" s="4" customFormat="1" hidden="1" x14ac:dyDescent="0.25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 spans="2:29" s="4" customFormat="1" hidden="1" x14ac:dyDescent="0.25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2:29" s="4" customFormat="1" hidden="1" x14ac:dyDescent="0.25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2:29" s="4" customFormat="1" hidden="1" x14ac:dyDescent="0.25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 spans="2:29" s="4" customFormat="1" hidden="1" x14ac:dyDescent="0.25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 spans="2:29" s="4" customFormat="1" hidden="1" x14ac:dyDescent="0.25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 spans="2:29" s="4" customFormat="1" hidden="1" x14ac:dyDescent="0.25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 spans="2:29" s="4" customFormat="1" hidden="1" x14ac:dyDescent="0.25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 spans="2:29" s="4" customFormat="1" hidden="1" x14ac:dyDescent="0.25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 spans="2:29" s="4" customFormat="1" hidden="1" x14ac:dyDescent="0.25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 spans="2:29" s="4" customFormat="1" hidden="1" x14ac:dyDescent="0.25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 spans="2:29" s="4" customFormat="1" hidden="1" x14ac:dyDescent="0.25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 spans="2:29" s="4" customFormat="1" hidden="1" x14ac:dyDescent="0.25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 spans="2:29" s="4" customFormat="1" hidden="1" x14ac:dyDescent="0.25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 spans="2:29" s="4" customFormat="1" hidden="1" x14ac:dyDescent="0.25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 spans="2:29" s="4" customFormat="1" hidden="1" x14ac:dyDescent="0.25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 spans="2:29" s="4" customFormat="1" hidden="1" x14ac:dyDescent="0.25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 spans="2:29" s="4" customFormat="1" hidden="1" x14ac:dyDescent="0.25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 spans="2:29" s="4" customFormat="1" hidden="1" x14ac:dyDescent="0.25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 spans="2:29" s="4" customFormat="1" hidden="1" x14ac:dyDescent="0.25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 spans="2:29" s="4" customFormat="1" hidden="1" x14ac:dyDescent="0.25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 spans="2:29" s="4" customFormat="1" hidden="1" x14ac:dyDescent="0.25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 spans="2:29" s="4" customFormat="1" hidden="1" x14ac:dyDescent="0.25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 spans="2:29" s="4" customFormat="1" hidden="1" x14ac:dyDescent="0.25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</row>
    <row r="1438" spans="2:29" s="4" customFormat="1" hidden="1" x14ac:dyDescent="0.25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</row>
    <row r="1439" spans="2:29" s="4" customFormat="1" hidden="1" x14ac:dyDescent="0.25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</row>
    <row r="1440" spans="2:29" s="4" customFormat="1" hidden="1" x14ac:dyDescent="0.25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 spans="2:29" s="4" customFormat="1" hidden="1" x14ac:dyDescent="0.25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 spans="2:29" s="4" customFormat="1" hidden="1" x14ac:dyDescent="0.25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 spans="2:29" s="4" customFormat="1" hidden="1" x14ac:dyDescent="0.25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 spans="2:29" s="4" customFormat="1" hidden="1" x14ac:dyDescent="0.25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 spans="2:29" s="4" customFormat="1" hidden="1" x14ac:dyDescent="0.25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 spans="2:29" s="4" customFormat="1" hidden="1" x14ac:dyDescent="0.25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 spans="2:29" s="4" customFormat="1" hidden="1" x14ac:dyDescent="0.25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 spans="2:29" s="4" customFormat="1" hidden="1" x14ac:dyDescent="0.25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 spans="2:29" s="4" customFormat="1" hidden="1" x14ac:dyDescent="0.25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 spans="2:29" s="4" customFormat="1" hidden="1" x14ac:dyDescent="0.25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 spans="2:29" s="4" customFormat="1" hidden="1" x14ac:dyDescent="0.25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 spans="2:29" s="4" customFormat="1" hidden="1" x14ac:dyDescent="0.25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 spans="2:29" s="4" customFormat="1" hidden="1" x14ac:dyDescent="0.25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 spans="2:29" s="4" customFormat="1" hidden="1" x14ac:dyDescent="0.25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 spans="2:29" s="4" customFormat="1" hidden="1" x14ac:dyDescent="0.25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 spans="2:29" s="4" customFormat="1" hidden="1" x14ac:dyDescent="0.25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 spans="2:29" s="4" customFormat="1" hidden="1" x14ac:dyDescent="0.25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 spans="2:29" s="4" customFormat="1" hidden="1" x14ac:dyDescent="0.25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 spans="2:29" s="4" customFormat="1" hidden="1" x14ac:dyDescent="0.25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 spans="2:29" s="4" customFormat="1" hidden="1" x14ac:dyDescent="0.25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 spans="2:29" s="4" customFormat="1" hidden="1" x14ac:dyDescent="0.25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 spans="2:29" s="4" customFormat="1" hidden="1" x14ac:dyDescent="0.25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 spans="2:29" s="4" customFormat="1" hidden="1" x14ac:dyDescent="0.25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</row>
    <row r="1464" spans="2:29" s="4" customFormat="1" hidden="1" x14ac:dyDescent="0.25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</row>
    <row r="1465" spans="2:29" s="4" customFormat="1" hidden="1" x14ac:dyDescent="0.25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 spans="2:29" s="4" customFormat="1" hidden="1" x14ac:dyDescent="0.25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 spans="2:29" s="4" customFormat="1" hidden="1" x14ac:dyDescent="0.25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 spans="2:29" s="4" customFormat="1" hidden="1" x14ac:dyDescent="0.25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 spans="2:29" s="4" customFormat="1" hidden="1" x14ac:dyDescent="0.25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 spans="2:29" s="4" customFormat="1" hidden="1" x14ac:dyDescent="0.25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 spans="2:29" s="4" customFormat="1" hidden="1" x14ac:dyDescent="0.25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 spans="2:29" s="4" customFormat="1" hidden="1" x14ac:dyDescent="0.25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 spans="2:29" s="4" customFormat="1" hidden="1" x14ac:dyDescent="0.25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 spans="2:29" s="4" customFormat="1" hidden="1" x14ac:dyDescent="0.25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 spans="2:29" s="4" customFormat="1" hidden="1" x14ac:dyDescent="0.25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2:29" s="4" customFormat="1" hidden="1" x14ac:dyDescent="0.25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2:29" s="4" customFormat="1" hidden="1" x14ac:dyDescent="0.25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2:29" s="4" customFormat="1" hidden="1" x14ac:dyDescent="0.25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2:29" s="4" customFormat="1" hidden="1" x14ac:dyDescent="0.25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2:29" s="4" customFormat="1" hidden="1" x14ac:dyDescent="0.25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2:29" s="4" customFormat="1" hidden="1" x14ac:dyDescent="0.25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2:29" s="4" customFormat="1" hidden="1" x14ac:dyDescent="0.25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2:29" s="4" customFormat="1" hidden="1" x14ac:dyDescent="0.25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2:29" s="4" customFormat="1" hidden="1" x14ac:dyDescent="0.25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2:29" s="4" customFormat="1" hidden="1" x14ac:dyDescent="0.25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2:29" s="4" customFormat="1" hidden="1" x14ac:dyDescent="0.25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2:29" s="4" customFormat="1" hidden="1" x14ac:dyDescent="0.25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2:29" s="4" customFormat="1" hidden="1" x14ac:dyDescent="0.25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2:29" s="4" customFormat="1" hidden="1" x14ac:dyDescent="0.25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2:29" s="4" customFormat="1" hidden="1" x14ac:dyDescent="0.25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2:29" s="4" customFormat="1" hidden="1" x14ac:dyDescent="0.25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2:29" s="4" customFormat="1" hidden="1" x14ac:dyDescent="0.25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2:29" s="4" customFormat="1" hidden="1" x14ac:dyDescent="0.25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2:29" s="4" customFormat="1" hidden="1" x14ac:dyDescent="0.25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2:29" s="4" customFormat="1" hidden="1" x14ac:dyDescent="0.25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2:29" s="4" customFormat="1" hidden="1" x14ac:dyDescent="0.25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2:29" s="4" customFormat="1" hidden="1" x14ac:dyDescent="0.25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2:29" s="4" customFormat="1" hidden="1" x14ac:dyDescent="0.25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2:29" s="4" customFormat="1" hidden="1" x14ac:dyDescent="0.25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2:29" s="4" customFormat="1" hidden="1" x14ac:dyDescent="0.25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2:29" s="4" customFormat="1" hidden="1" x14ac:dyDescent="0.25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2:29" s="4" customFormat="1" hidden="1" x14ac:dyDescent="0.25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2:29" s="4" customFormat="1" hidden="1" x14ac:dyDescent="0.25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2:29" s="4" customFormat="1" hidden="1" x14ac:dyDescent="0.25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2:29" s="4" customFormat="1" hidden="1" x14ac:dyDescent="0.25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2:29" s="4" customFormat="1" hidden="1" x14ac:dyDescent="0.25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2:29" s="4" customFormat="1" hidden="1" x14ac:dyDescent="0.25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 spans="2:29" s="4" customFormat="1" hidden="1" x14ac:dyDescent="0.25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 spans="2:29" s="4" customFormat="1" hidden="1" x14ac:dyDescent="0.25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 spans="2:29" s="4" customFormat="1" hidden="1" x14ac:dyDescent="0.25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 spans="2:29" s="4" customFormat="1" hidden="1" x14ac:dyDescent="0.25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 spans="2:29" s="4" customFormat="1" hidden="1" x14ac:dyDescent="0.25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 spans="2:29" s="4" customFormat="1" hidden="1" x14ac:dyDescent="0.25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 spans="2:29" s="4" customFormat="1" hidden="1" x14ac:dyDescent="0.25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 spans="2:29" s="4" customFormat="1" hidden="1" x14ac:dyDescent="0.25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 spans="2:29" s="4" customFormat="1" hidden="1" x14ac:dyDescent="0.25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 spans="2:29" s="4" customFormat="1" hidden="1" x14ac:dyDescent="0.25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 spans="2:29" s="4" customFormat="1" hidden="1" x14ac:dyDescent="0.25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 spans="2:29" s="4" customFormat="1" hidden="1" x14ac:dyDescent="0.25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 spans="2:29" s="4" customFormat="1" hidden="1" x14ac:dyDescent="0.25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 spans="2:29" s="4" customFormat="1" hidden="1" x14ac:dyDescent="0.25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 spans="2:29" s="4" customFormat="1" hidden="1" x14ac:dyDescent="0.25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 spans="2:29" s="4" customFormat="1" hidden="1" x14ac:dyDescent="0.25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 spans="2:29" s="4" customFormat="1" hidden="1" x14ac:dyDescent="0.25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 spans="2:29" s="4" customFormat="1" hidden="1" x14ac:dyDescent="0.25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29" s="4" customFormat="1" hidden="1" x14ac:dyDescent="0.25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 spans="2:29" s="4" customFormat="1" hidden="1" x14ac:dyDescent="0.25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 spans="2:29" s="4" customFormat="1" hidden="1" x14ac:dyDescent="0.25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29" s="4" customFormat="1" hidden="1" x14ac:dyDescent="0.25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 spans="2:29" s="4" customFormat="1" hidden="1" x14ac:dyDescent="0.25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 spans="2:29" s="4" customFormat="1" hidden="1" x14ac:dyDescent="0.25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 spans="2:29" s="4" customFormat="1" hidden="1" x14ac:dyDescent="0.25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 spans="2:29" s="4" customFormat="1" hidden="1" x14ac:dyDescent="0.25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 spans="2:29" s="4" customFormat="1" hidden="1" x14ac:dyDescent="0.25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 spans="2:29" s="4" customFormat="1" hidden="1" x14ac:dyDescent="0.25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 spans="2:29" s="4" customFormat="1" hidden="1" x14ac:dyDescent="0.25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 spans="2:29" s="4" customFormat="1" hidden="1" x14ac:dyDescent="0.25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 spans="2:29" s="4" customFormat="1" hidden="1" x14ac:dyDescent="0.25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 spans="2:29" s="4" customFormat="1" hidden="1" x14ac:dyDescent="0.25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 spans="2:29" s="4" customFormat="1" hidden="1" x14ac:dyDescent="0.25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 spans="2:29" s="4" customFormat="1" hidden="1" x14ac:dyDescent="0.25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 spans="2:29" s="4" customFormat="1" hidden="1" x14ac:dyDescent="0.25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 spans="2:29" s="4" customFormat="1" hidden="1" x14ac:dyDescent="0.25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 spans="2:29" s="4" customFormat="1" hidden="1" x14ac:dyDescent="0.25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 spans="2:29" s="4" customFormat="1" hidden="1" x14ac:dyDescent="0.25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 spans="2:29" s="4" customFormat="1" hidden="1" x14ac:dyDescent="0.25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 spans="2:29" s="4" customFormat="1" hidden="1" x14ac:dyDescent="0.25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 spans="2:29" s="4" customFormat="1" hidden="1" x14ac:dyDescent="0.25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 spans="2:29" s="4" customFormat="1" hidden="1" x14ac:dyDescent="0.25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 spans="2:29" s="4" customFormat="1" hidden="1" x14ac:dyDescent="0.25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 spans="2:29" s="4" customFormat="1" hidden="1" x14ac:dyDescent="0.25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 spans="2:29" s="4" customFormat="1" hidden="1" x14ac:dyDescent="0.25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 spans="2:29" s="4" customFormat="1" hidden="1" x14ac:dyDescent="0.25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</row>
    <row r="1554" spans="2:29" s="4" customFormat="1" hidden="1" x14ac:dyDescent="0.25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</row>
    <row r="1555" spans="2:29" s="4" customFormat="1" hidden="1" x14ac:dyDescent="0.25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</row>
    <row r="1556" spans="2:29" s="4" customFormat="1" hidden="1" x14ac:dyDescent="0.25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</row>
    <row r="1557" spans="2:29" s="4" customFormat="1" ht="15" hidden="1" customHeight="1" x14ac:dyDescent="0.25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</row>
    <row r="1558" spans="2:29" s="4" customFormat="1" ht="15" hidden="1" customHeight="1" x14ac:dyDescent="0.25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</row>
    <row r="1559" spans="2:29" s="4" customFormat="1" ht="15" hidden="1" customHeight="1" x14ac:dyDescent="0.25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</row>
    <row r="1560" spans="2:29" s="4" customFormat="1" ht="15" hidden="1" customHeight="1" x14ac:dyDescent="0.25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</row>
    <row r="1561" spans="2:29" s="4" customFormat="1" ht="15" hidden="1" customHeight="1" x14ac:dyDescent="0.25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</row>
    <row r="1562" spans="2:29" s="4" customFormat="1" ht="15" hidden="1" customHeight="1" x14ac:dyDescent="0.25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</row>
    <row r="1563" spans="2:29" s="4" customFormat="1" ht="15" hidden="1" customHeight="1" x14ac:dyDescent="0.25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</row>
    <row r="1564" spans="2:29" s="4" customFormat="1" ht="15" hidden="1" customHeight="1" x14ac:dyDescent="0.25"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</row>
    <row r="1565" spans="2:29" s="4" customFormat="1" ht="15" hidden="1" customHeight="1" x14ac:dyDescent="0.25"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</row>
    <row r="1566" spans="2:29" s="4" customFormat="1" ht="15" hidden="1" customHeight="1" x14ac:dyDescent="0.25"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</row>
    <row r="1567" spans="2:29" s="4" customFormat="1" ht="15" hidden="1" customHeight="1" x14ac:dyDescent="0.25"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</row>
    <row r="1568" spans="2:29" s="4" customFormat="1" ht="15" hidden="1" customHeight="1" x14ac:dyDescent="0.25"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</row>
    <row r="1569" spans="2:29" s="4" customFormat="1" ht="15" hidden="1" customHeight="1" x14ac:dyDescent="0.25"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</row>
    <row r="1570" spans="2:29" s="4" customFormat="1" ht="15" hidden="1" customHeight="1" x14ac:dyDescent="0.25"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</row>
    <row r="1571" spans="2:29" s="4" customFormat="1" ht="15" hidden="1" customHeight="1" x14ac:dyDescent="0.25"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</row>
    <row r="1572" spans="2:29" s="4" customFormat="1" ht="15" hidden="1" customHeight="1" x14ac:dyDescent="0.25"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</row>
    <row r="1573" spans="2:29" s="4" customFormat="1" ht="15" hidden="1" customHeight="1" x14ac:dyDescent="0.25"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</row>
    <row r="1574" spans="2:29" s="4" customFormat="1" ht="15" hidden="1" customHeight="1" x14ac:dyDescent="0.25"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</row>
    <row r="1575" spans="2:29" s="4" customFormat="1" ht="15" hidden="1" customHeight="1" x14ac:dyDescent="0.25"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</row>
    <row r="1576" spans="2:29" s="4" customFormat="1" ht="15" hidden="1" customHeight="1" x14ac:dyDescent="0.25"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</row>
    <row r="1577" spans="2:29" s="4" customFormat="1" ht="15" hidden="1" customHeight="1" x14ac:dyDescent="0.25"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</row>
    <row r="1578" spans="2:29" s="4" customFormat="1" ht="15" hidden="1" customHeight="1" x14ac:dyDescent="0.25"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</row>
    <row r="1579" spans="2:29" s="4" customFormat="1" ht="15" hidden="1" customHeight="1" x14ac:dyDescent="0.25"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</row>
    <row r="1580" spans="2:29" s="4" customFormat="1" ht="15" hidden="1" customHeight="1" x14ac:dyDescent="0.25"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</row>
    <row r="1581" spans="2:29" s="4" customFormat="1" ht="15" hidden="1" customHeight="1" x14ac:dyDescent="0.25"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</row>
    <row r="1582" spans="2:29" s="4" customFormat="1" ht="15" hidden="1" customHeight="1" x14ac:dyDescent="0.25"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</row>
    <row r="1583" spans="2:29" s="4" customFormat="1" ht="15" hidden="1" customHeight="1" x14ac:dyDescent="0.25"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</row>
    <row r="1584" spans="2:29" s="4" customFormat="1" ht="15" hidden="1" customHeight="1" x14ac:dyDescent="0.25"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</row>
    <row r="1585" spans="2:29" s="4" customFormat="1" ht="15" hidden="1" customHeight="1" x14ac:dyDescent="0.25"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</row>
    <row r="1586" spans="2:29" s="4" customFormat="1" ht="15" hidden="1" customHeight="1" x14ac:dyDescent="0.25"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</row>
    <row r="1587" spans="2:29" s="4" customFormat="1" ht="15" hidden="1" customHeight="1" x14ac:dyDescent="0.25"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</row>
    <row r="1588" spans="2:29" s="4" customFormat="1" ht="15" hidden="1" customHeight="1" x14ac:dyDescent="0.25"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</row>
    <row r="1589" spans="2:29" s="4" customFormat="1" ht="15" hidden="1" customHeight="1" x14ac:dyDescent="0.25"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</row>
    <row r="1590" spans="2:29" s="4" customFormat="1" ht="15" hidden="1" customHeight="1" x14ac:dyDescent="0.25"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</row>
    <row r="1591" spans="2:29" s="4" customFormat="1" ht="15" hidden="1" customHeight="1" x14ac:dyDescent="0.25"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</row>
    <row r="1592" spans="2:29" s="4" customFormat="1" ht="15" hidden="1" customHeight="1" x14ac:dyDescent="0.25"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</row>
    <row r="1593" spans="2:29" s="4" customFormat="1" ht="15" hidden="1" customHeight="1" x14ac:dyDescent="0.25"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</row>
    <row r="1594" spans="2:29" s="4" customFormat="1" ht="15" hidden="1" customHeight="1" x14ac:dyDescent="0.25"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</row>
    <row r="1595" spans="2:29" s="4" customFormat="1" ht="15" hidden="1" customHeight="1" x14ac:dyDescent="0.25"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</row>
    <row r="1596" spans="2:29" s="4" customFormat="1" ht="15" hidden="1" customHeight="1" x14ac:dyDescent="0.25"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</row>
    <row r="1597" spans="2:29" s="4" customFormat="1" ht="15" hidden="1" customHeight="1" x14ac:dyDescent="0.25"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</row>
    <row r="1598" spans="2:29" s="4" customFormat="1" ht="15" hidden="1" customHeight="1" x14ac:dyDescent="0.25"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</row>
    <row r="1599" spans="2:29" s="4" customFormat="1" ht="15" hidden="1" customHeight="1" x14ac:dyDescent="0.25"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</row>
    <row r="1600" spans="2:29" s="4" customFormat="1" ht="15" hidden="1" customHeight="1" x14ac:dyDescent="0.25"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</row>
    <row r="1601" spans="2:29" s="4" customFormat="1" ht="15" hidden="1" customHeight="1" x14ac:dyDescent="0.25"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</row>
    <row r="1602" spans="2:29" s="4" customFormat="1" ht="15" hidden="1" customHeight="1" x14ac:dyDescent="0.25"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</row>
    <row r="1603" spans="2:29" s="4" customFormat="1" ht="15" hidden="1" customHeight="1" x14ac:dyDescent="0.25"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</row>
    <row r="1604" spans="2:29" s="4" customFormat="1" ht="15" hidden="1" customHeight="1" x14ac:dyDescent="0.25"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</row>
    <row r="1605" spans="2:29" s="4" customFormat="1" ht="15" hidden="1" customHeight="1" x14ac:dyDescent="0.25"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</row>
    <row r="1606" spans="2:29" s="4" customFormat="1" ht="15" hidden="1" customHeight="1" x14ac:dyDescent="0.25"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</row>
    <row r="1607" spans="2:29" s="4" customFormat="1" ht="15" hidden="1" customHeight="1" x14ac:dyDescent="0.25"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</row>
    <row r="1608" spans="2:29" s="4" customFormat="1" ht="15" hidden="1" customHeight="1" x14ac:dyDescent="0.25"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</row>
    <row r="1609" spans="2:29" s="4" customFormat="1" ht="15" hidden="1" customHeight="1" x14ac:dyDescent="0.25"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</row>
    <row r="1610" spans="2:29" s="4" customFormat="1" ht="15" hidden="1" customHeight="1" x14ac:dyDescent="0.25"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</row>
    <row r="1611" spans="2:29" s="4" customFormat="1" ht="15" hidden="1" customHeight="1" x14ac:dyDescent="0.25"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</row>
    <row r="1612" spans="2:29" s="4" customFormat="1" ht="15" hidden="1" customHeight="1" x14ac:dyDescent="0.25"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</row>
    <row r="1613" spans="2:29" s="4" customFormat="1" ht="15" hidden="1" customHeight="1" x14ac:dyDescent="0.25"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</row>
    <row r="1614" spans="2:29" s="4" customFormat="1" ht="15" hidden="1" customHeight="1" x14ac:dyDescent="0.25"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</row>
    <row r="1615" spans="2:29" s="4" customFormat="1" ht="15" hidden="1" customHeight="1" x14ac:dyDescent="0.25"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</row>
    <row r="1616" spans="2:29" s="4" customFormat="1" ht="15" hidden="1" customHeight="1" x14ac:dyDescent="0.25"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</row>
    <row r="1617" spans="2:29" s="4" customFormat="1" ht="15" hidden="1" customHeight="1" x14ac:dyDescent="0.25"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</row>
    <row r="1618" spans="2:29" s="4" customFormat="1" ht="15" hidden="1" customHeight="1" x14ac:dyDescent="0.25"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</row>
    <row r="1619" spans="2:29" s="4" customFormat="1" ht="15" hidden="1" customHeight="1" x14ac:dyDescent="0.25"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</row>
    <row r="1620" spans="2:29" s="4" customFormat="1" ht="15" hidden="1" customHeight="1" x14ac:dyDescent="0.25"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</row>
    <row r="1621" spans="2:29" s="4" customFormat="1" ht="15" hidden="1" customHeight="1" x14ac:dyDescent="0.25"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</row>
  </sheetData>
  <mergeCells count="9">
    <mergeCell ref="B51:B52"/>
    <mergeCell ref="C51:C52"/>
    <mergeCell ref="D51:D52"/>
    <mergeCell ref="E51:E52"/>
    <mergeCell ref="B9:B10"/>
    <mergeCell ref="C9:C10"/>
    <mergeCell ref="D9:D10"/>
    <mergeCell ref="E9:E10"/>
    <mergeCell ref="B40:L4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1F03-74C5-4C87-8527-66B7B9C7F80C}">
  <dimension ref="A1:AI1655"/>
  <sheetViews>
    <sheetView showGridLines="0" zoomScale="90" zoomScaleNormal="90" workbookViewId="0"/>
  </sheetViews>
  <sheetFormatPr defaultColWidth="0" defaultRowHeight="0" customHeight="1" zeroHeight="1" x14ac:dyDescent="0.25"/>
  <cols>
    <col min="1" max="1" width="3.7109375" style="4" customWidth="1"/>
    <col min="2" max="2" width="55.28515625" customWidth="1"/>
    <col min="3" max="4" width="29.42578125" customWidth="1"/>
    <col min="5" max="5" width="3.7109375" customWidth="1"/>
    <col min="6" max="11" width="18" hidden="1" customWidth="1"/>
    <col min="12" max="12" width="3.7109375" hidden="1" customWidth="1"/>
    <col min="13" max="16" width="14.5703125" hidden="1"/>
    <col min="17" max="32" width="11.42578125" hidden="1"/>
    <col min="33" max="35" width="9.140625" hidden="1"/>
  </cols>
  <sheetData>
    <row r="1" spans="1:28" s="46" customFormat="1" ht="15" x14ac:dyDescent="0.25">
      <c r="A1" s="45"/>
    </row>
    <row r="2" spans="1:28" s="46" customFormat="1" ht="15" x14ac:dyDescent="0.25">
      <c r="A2" s="45"/>
    </row>
    <row r="3" spans="1:28" s="46" customFormat="1" ht="15" x14ac:dyDescent="0.25">
      <c r="A3" s="45"/>
    </row>
    <row r="4" spans="1:28" s="46" customFormat="1" ht="15" x14ac:dyDescent="0.25">
      <c r="A4" s="45"/>
    </row>
    <row r="5" spans="1:28" ht="3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" x14ac:dyDescent="0.25"/>
    <row r="7" spans="1:28" ht="15" x14ac:dyDescent="0.25">
      <c r="B7" s="38"/>
      <c r="F7" s="18"/>
      <c r="G7" s="18"/>
      <c r="H7" s="18"/>
      <c r="I7" s="18"/>
      <c r="J7" s="18"/>
    </row>
    <row r="8" spans="1:28" ht="15" x14ac:dyDescent="0.25">
      <c r="B8" s="5" t="s">
        <v>68</v>
      </c>
      <c r="F8" s="18"/>
      <c r="G8" s="18"/>
      <c r="H8" s="18"/>
      <c r="I8" s="18"/>
      <c r="J8" s="18"/>
    </row>
    <row r="9" spans="1:28" ht="15" x14ac:dyDescent="0.25">
      <c r="B9" s="38"/>
      <c r="F9" s="18"/>
      <c r="G9" s="18"/>
      <c r="H9" s="18"/>
      <c r="I9" s="18"/>
      <c r="J9" s="18"/>
    </row>
    <row r="10" spans="1:28" ht="21" customHeight="1" x14ac:dyDescent="0.25">
      <c r="B10" s="9" t="s">
        <v>62</v>
      </c>
      <c r="C10" s="10" t="s">
        <v>29</v>
      </c>
      <c r="D10" s="11" t="s">
        <v>31</v>
      </c>
      <c r="H10" s="18"/>
    </row>
    <row r="11" spans="1:28" ht="21" customHeight="1" x14ac:dyDescent="0.25">
      <c r="B11" s="9"/>
      <c r="C11" s="12"/>
      <c r="D11" s="13" t="s">
        <v>33</v>
      </c>
      <c r="H11" s="18"/>
    </row>
    <row r="12" spans="1:28" ht="15" x14ac:dyDescent="0.25">
      <c r="B12" s="52" t="s">
        <v>9</v>
      </c>
      <c r="C12" s="53">
        <v>11339142.85534681</v>
      </c>
      <c r="D12" s="54">
        <v>98.453366540550007</v>
      </c>
    </row>
    <row r="13" spans="1:28" s="4" customFormat="1" ht="15" x14ac:dyDescent="0.25">
      <c r="B13" s="55" t="s">
        <v>19</v>
      </c>
      <c r="C13" s="56">
        <v>1786795.07</v>
      </c>
      <c r="D13" s="57">
        <v>6.9953706710999999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8" s="4" customFormat="1" ht="15" x14ac:dyDescent="0.25">
      <c r="B14" s="55" t="s">
        <v>5</v>
      </c>
      <c r="C14" s="56">
        <v>37128347.428131998</v>
      </c>
      <c r="D14" s="57">
        <v>270.01945538989901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8" s="4" customFormat="1" ht="15" x14ac:dyDescent="0.25">
      <c r="B15" s="55" t="s">
        <v>16</v>
      </c>
      <c r="C15" s="56">
        <v>55144200.679906301</v>
      </c>
      <c r="D15" s="57">
        <v>749.21836744654979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8" s="4" customFormat="1" ht="15" x14ac:dyDescent="0.25">
      <c r="B16" s="55" t="s">
        <v>3</v>
      </c>
      <c r="C16" s="56">
        <v>93248856.710249111</v>
      </c>
      <c r="D16" s="57">
        <v>1776.68881580519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2:26" s="4" customFormat="1" ht="15" x14ac:dyDescent="0.25">
      <c r="B17" s="55" t="s">
        <v>12</v>
      </c>
      <c r="C17" s="56">
        <v>65525977.1987966</v>
      </c>
      <c r="D17" s="57">
        <v>540.90802885419896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2:26" s="4" customFormat="1" ht="15" x14ac:dyDescent="0.25">
      <c r="B18" s="55" t="s">
        <v>13</v>
      </c>
      <c r="C18" s="56">
        <v>18208719.8855564</v>
      </c>
      <c r="D18" s="57">
        <v>224.43223953825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2:26" s="4" customFormat="1" ht="15" x14ac:dyDescent="0.25">
      <c r="B19" s="55" t="s">
        <v>17</v>
      </c>
      <c r="C19" s="56">
        <v>13269354.8199999</v>
      </c>
      <c r="D19" s="57">
        <v>4620.1745721899297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2:26" s="4" customFormat="1" ht="15" x14ac:dyDescent="0.25">
      <c r="B20" s="58" t="s">
        <v>23</v>
      </c>
      <c r="C20" s="59">
        <v>668499.77</v>
      </c>
      <c r="D20" s="60">
        <v>1.9982254181500001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2:26" s="4" customFormat="1" ht="15" x14ac:dyDescent="0.25">
      <c r="B21" s="61" t="s">
        <v>52</v>
      </c>
      <c r="C21" s="62">
        <f>+SUM(C12:C20)</f>
        <v>296319894.41798705</v>
      </c>
      <c r="D21" s="63">
        <f>+SUM(D12:D20)</f>
        <v>8288.8884418538182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2:26" s="4" customFormat="1" ht="15" x14ac:dyDescent="0.25">
      <c r="B22"/>
      <c r="C22" s="51"/>
      <c r="D22" s="1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2:26" s="4" customFormat="1" ht="15" x14ac:dyDescent="0.25">
      <c r="B23" s="5" t="s">
        <v>69</v>
      </c>
      <c r="C23" s="51"/>
      <c r="D23" s="1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2:26" s="4" customFormat="1" ht="15" x14ac:dyDescent="0.25">
      <c r="B24" s="74" t="s">
        <v>76</v>
      </c>
      <c r="C24" s="51"/>
      <c r="D24" s="1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2:26" s="4" customFormat="1" ht="15" x14ac:dyDescent="0.25">
      <c r="B25"/>
      <c r="C25" s="51"/>
      <c r="D25" s="1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2:26" s="4" customFormat="1" ht="15" x14ac:dyDescent="0.25">
      <c r="B26" s="9" t="s">
        <v>62</v>
      </c>
      <c r="C26" s="10" t="s">
        <v>29</v>
      </c>
      <c r="D26" s="11" t="s">
        <v>31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2:26" s="4" customFormat="1" ht="15" x14ac:dyDescent="0.25">
      <c r="B27" s="9"/>
      <c r="C27" s="12"/>
      <c r="D27" s="13" t="s">
        <v>33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2:26" s="4" customFormat="1" ht="15" x14ac:dyDescent="0.25">
      <c r="B28" s="55" t="s">
        <v>9</v>
      </c>
      <c r="C28" s="56">
        <v>118319422.56580251</v>
      </c>
      <c r="D28" s="57">
        <v>200938.45962015752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2:26" s="4" customFormat="1" ht="15" x14ac:dyDescent="0.25">
      <c r="B29" s="55" t="s">
        <v>19</v>
      </c>
      <c r="C29" s="56">
        <v>7800005.9032213259</v>
      </c>
      <c r="D29" s="57">
        <v>9027.0737609504395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2:26" s="4" customFormat="1" ht="15" x14ac:dyDescent="0.25">
      <c r="B30" s="55" t="s">
        <v>5</v>
      </c>
      <c r="C30" s="56">
        <v>98698955.771866441</v>
      </c>
      <c r="D30" s="57">
        <v>15226.141492791134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2:26" s="4" customFormat="1" ht="15" x14ac:dyDescent="0.25">
      <c r="B31" s="55" t="s">
        <v>16</v>
      </c>
      <c r="C31" s="56">
        <v>184564851.84530351</v>
      </c>
      <c r="D31" s="57">
        <v>11922.752905024081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2:26" s="4" customFormat="1" ht="15" x14ac:dyDescent="0.25">
      <c r="B32" s="55" t="s">
        <v>3</v>
      </c>
      <c r="C32" s="56">
        <v>991158466.89513671</v>
      </c>
      <c r="D32" s="57">
        <v>99167.333191554295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2:28" s="4" customFormat="1" ht="15" x14ac:dyDescent="0.25">
      <c r="B33" s="55" t="s">
        <v>12</v>
      </c>
      <c r="C33" s="56">
        <v>369382176.72914988</v>
      </c>
      <c r="D33" s="57">
        <v>127123.55158711447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2:28" s="4" customFormat="1" ht="15" x14ac:dyDescent="0.25">
      <c r="B34" s="55" t="s">
        <v>13</v>
      </c>
      <c r="C34" s="56">
        <v>149946206.66625112</v>
      </c>
      <c r="D34" s="57">
        <v>72637.539087754587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2:28" s="4" customFormat="1" ht="15" x14ac:dyDescent="0.25">
      <c r="B35" s="55" t="s">
        <v>17</v>
      </c>
      <c r="C35" s="56">
        <v>92756352.810529128</v>
      </c>
      <c r="D35" s="57">
        <v>288507.34571508324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2:28" s="4" customFormat="1" ht="15" x14ac:dyDescent="0.25">
      <c r="B36" s="55" t="s">
        <v>23</v>
      </c>
      <c r="C36" s="56">
        <v>11321516.814460028</v>
      </c>
      <c r="D36" s="57">
        <v>699.99275531610976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2:28" s="4" customFormat="1" ht="15" x14ac:dyDescent="0.25">
      <c r="B37" s="55" t="s">
        <v>63</v>
      </c>
      <c r="C37" s="56">
        <v>65799293.836348832</v>
      </c>
      <c r="D37" s="57">
        <v>1136.3799139161499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2:28" s="4" customFormat="1" ht="15" x14ac:dyDescent="0.25">
      <c r="B38" s="61" t="s">
        <v>52</v>
      </c>
      <c r="C38" s="62">
        <f>+SUM(C28:C37)</f>
        <v>2089747249.8380694</v>
      </c>
      <c r="D38" s="63">
        <f>+SUM(D28:D37)</f>
        <v>826386.57002966187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2:28" s="4" customFormat="1" ht="15" x14ac:dyDescent="0.25">
      <c r="B39"/>
      <c r="C39" s="51"/>
      <c r="D39" s="1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2:28" s="4" customFormat="1" ht="15" hidden="1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2:28" s="4" customFormat="1" ht="15" hidden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2:28" s="4" customFormat="1" ht="15" hidden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2:28" s="4" customFormat="1" ht="15" hidden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2:28" s="4" customFormat="1" ht="15" hidden="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2:28" s="4" customFormat="1" ht="15" hidden="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2:28" s="4" customFormat="1" ht="15" hidden="1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2:28" s="4" customFormat="1" ht="15" hidden="1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2:28" s="4" customFormat="1" ht="15" hidden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2:28" s="4" customFormat="1" ht="15" hidden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2:28" s="4" customFormat="1" ht="15" hidden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2:28" s="4" customFormat="1" ht="15" hidden="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2:28" s="4" customFormat="1" ht="15" hidden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2:28" s="4" customFormat="1" ht="15" hidden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2:28" s="4" customFormat="1" ht="15" hidden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2:28" s="4" customFormat="1" ht="15" hidden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2:28" s="4" customFormat="1" ht="15" hidden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2:28" s="4" customFormat="1" ht="15" hidden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2:28" s="4" customFormat="1" ht="15" hidden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2:28" s="4" customFormat="1" ht="15" hidden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2:28" s="4" customFormat="1" ht="15" hidden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2:28" s="4" customFormat="1" ht="15" hidden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2:28" s="4" customFormat="1" ht="15" hidden="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2:28" s="4" customFormat="1" ht="15" hidden="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2:28" s="4" customFormat="1" ht="15" hidden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2:28" s="4" customFormat="1" ht="15" hidden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2:28" s="4" customFormat="1" ht="15" hidden="1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2:28" s="4" customFormat="1" ht="15" hidden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2:28" s="4" customFormat="1" ht="15" hidden="1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2:28" s="4" customFormat="1" ht="15" hidden="1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2:28" s="4" customFormat="1" ht="15" hidden="1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2:28" s="4" customFormat="1" ht="15" hidden="1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2:28" s="4" customFormat="1" ht="15" hidden="1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2:28" s="4" customFormat="1" ht="15" hidden="1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2:28" s="4" customFormat="1" ht="15" hidden="1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2:28" s="4" customFormat="1" ht="15" hidden="1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2:28" s="4" customFormat="1" ht="15" hidden="1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2:28" s="4" customFormat="1" ht="15" hidden="1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2:28" s="4" customFormat="1" ht="15" hidden="1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2:28" s="4" customFormat="1" ht="15" hidden="1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2:28" s="4" customFormat="1" ht="15" hidden="1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2:28" s="4" customFormat="1" ht="15" hidden="1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2:28" s="4" customFormat="1" ht="15" hidden="1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2:28" s="4" customFormat="1" ht="15" hidden="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2:28" s="4" customFormat="1" ht="15" hidden="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2:28" s="4" customFormat="1" ht="15" hidden="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2:28" s="4" customFormat="1" ht="15" hidden="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2:28" s="4" customFormat="1" ht="15" hidden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2:28" s="4" customFormat="1" ht="15" hidden="1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2:28" s="4" customFormat="1" ht="15" hidden="1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2:28" s="4" customFormat="1" ht="15" hidden="1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2:28" s="4" customFormat="1" ht="15" hidden="1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2:28" s="4" customFormat="1" ht="15" hidden="1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2:28" s="4" customFormat="1" ht="15" hidden="1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2:28" s="4" customFormat="1" ht="15" hidden="1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2:28" s="4" customFormat="1" ht="15" hidden="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2:28" s="4" customFormat="1" ht="15" hidden="1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2:28" s="4" customFormat="1" ht="15" hidden="1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2:28" s="4" customFormat="1" ht="15" hidden="1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2:28" s="4" customFormat="1" ht="15" hidden="1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2:28" s="4" customFormat="1" ht="15" hidden="1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2:28" s="4" customFormat="1" ht="15" hidden="1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2:28" s="4" customFormat="1" ht="15" hidden="1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2:28" s="4" customFormat="1" ht="15" hidden="1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2:28" s="4" customFormat="1" ht="15" hidden="1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2:28" s="4" customFormat="1" ht="15" hidden="1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2:28" s="4" customFormat="1" ht="15" hidden="1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2:28" s="4" customFormat="1" ht="15" hidden="1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2:28" s="4" customFormat="1" ht="15" hidden="1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2:28" s="4" customFormat="1" ht="15" hidden="1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2:28" s="4" customFormat="1" ht="15" hidden="1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2:28" s="4" customFormat="1" ht="15" hidden="1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2:28" s="4" customFormat="1" ht="15" hidden="1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2:28" s="4" customFormat="1" ht="15" hidden="1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2:28" s="4" customFormat="1" ht="15" hidden="1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2:28" s="4" customFormat="1" ht="15" hidden="1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2:28" s="4" customFormat="1" ht="15" hidden="1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2:28" s="4" customFormat="1" ht="15" hidden="1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2:28" s="4" customFormat="1" ht="15" hidden="1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2:28" s="4" customFormat="1" ht="15" hidden="1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2:28" s="4" customFormat="1" ht="15" hidden="1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2:28" s="4" customFormat="1" ht="15" hidden="1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2:28" s="4" customFormat="1" ht="15" hidden="1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2:28" s="4" customFormat="1" ht="15" hidden="1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2:28" s="4" customFormat="1" ht="15" hidden="1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2:28" s="4" customFormat="1" ht="15" hidden="1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2:28" s="4" customFormat="1" ht="15" hidden="1" x14ac:dyDescent="0.2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2:28" s="4" customFormat="1" ht="15" hidden="1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2:28" s="4" customFormat="1" ht="15" hidden="1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2:28" s="4" customFormat="1" ht="15" hidden="1" x14ac:dyDescent="0.2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2:28" s="4" customFormat="1" ht="15" hidden="1" x14ac:dyDescent="0.2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2:28" s="4" customFormat="1" ht="15" hidden="1" x14ac:dyDescent="0.2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2:28" s="4" customFormat="1" ht="15" hidden="1" x14ac:dyDescent="0.2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2:28" s="4" customFormat="1" ht="15" hidden="1" x14ac:dyDescent="0.2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2:28" s="4" customFormat="1" ht="15" hidden="1" x14ac:dyDescent="0.2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2:28" s="4" customFormat="1" ht="15" hidden="1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2:28" s="4" customFormat="1" ht="15" hidden="1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2:28" s="4" customFormat="1" ht="15" hidden="1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2:28" s="4" customFormat="1" ht="15" hidden="1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2:28" s="4" customFormat="1" ht="15" hidden="1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2:28" s="4" customFormat="1" ht="15" hidden="1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2:28" s="4" customFormat="1" ht="15" hidden="1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2:28" s="4" customFormat="1" ht="15" hidden="1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2:28" s="4" customFormat="1" ht="15" hidden="1" x14ac:dyDescent="0.2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2:28" s="4" customFormat="1" ht="15" hidden="1" x14ac:dyDescent="0.2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2:28" s="4" customFormat="1" ht="15" hidden="1" x14ac:dyDescent="0.2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2:28" s="4" customFormat="1" ht="15" hidden="1" x14ac:dyDescent="0.2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2:28" s="4" customFormat="1" ht="15" hidden="1" x14ac:dyDescent="0.2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2:28" s="4" customFormat="1" ht="15" hidden="1" x14ac:dyDescent="0.2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2:28" s="4" customFormat="1" ht="15" hidden="1" x14ac:dyDescent="0.2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2:28" s="4" customFormat="1" ht="15" hidden="1" x14ac:dyDescent="0.2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2:28" s="4" customFormat="1" ht="15" hidden="1" x14ac:dyDescent="0.2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2:28" s="4" customFormat="1" ht="15" hidden="1" x14ac:dyDescent="0.2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2:28" s="4" customFormat="1" ht="15" hidden="1" x14ac:dyDescent="0.2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2:28" s="4" customFormat="1" ht="15" hidden="1" x14ac:dyDescent="0.2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2:28" s="4" customFormat="1" ht="15" hidden="1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2:28" s="4" customFormat="1" ht="15" hidden="1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2:28" s="4" customFormat="1" ht="15" hidden="1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2:28" s="4" customFormat="1" ht="15" hidden="1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2:28" s="4" customFormat="1" ht="15" hidden="1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2:28" s="4" customFormat="1" ht="15" hidden="1" x14ac:dyDescent="0.2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2:28" s="4" customFormat="1" ht="15" hidden="1" x14ac:dyDescent="0.2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2:28" s="4" customFormat="1" ht="15" hidden="1" x14ac:dyDescent="0.2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2:28" s="4" customFormat="1" ht="15" hidden="1" x14ac:dyDescent="0.2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2:28" s="4" customFormat="1" ht="15" hidden="1" x14ac:dyDescent="0.2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2:28" s="4" customFormat="1" ht="15" hidden="1" x14ac:dyDescent="0.2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2:28" s="4" customFormat="1" ht="15" hidden="1" x14ac:dyDescent="0.2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2:28" s="4" customFormat="1" ht="15" hidden="1" x14ac:dyDescent="0.2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2:28" s="4" customFormat="1" ht="15" hidden="1" x14ac:dyDescent="0.2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2:28" s="4" customFormat="1" ht="15" hidden="1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2:28" s="4" customFormat="1" ht="15" hidden="1" x14ac:dyDescent="0.2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2:28" s="4" customFormat="1" ht="15" hidden="1" x14ac:dyDescent="0.2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2:28" s="4" customFormat="1" ht="15" hidden="1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2:28" s="4" customFormat="1" ht="15" hidden="1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2:28" s="4" customFormat="1" ht="15" hidden="1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2:28" s="4" customFormat="1" ht="15" hidden="1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2:28" s="4" customFormat="1" ht="15" hidden="1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2:28" s="4" customFormat="1" ht="15" hidden="1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2:28" s="4" customFormat="1" ht="15" hidden="1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2:28" s="4" customFormat="1" ht="15" hidden="1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2:28" s="4" customFormat="1" ht="15" hidden="1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2:28" s="4" customFormat="1" ht="15" hidden="1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2:28" s="4" customFormat="1" ht="15" hidden="1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2:28" s="4" customFormat="1" ht="15" hidden="1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2:28" s="4" customFormat="1" ht="15" hidden="1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2:28" s="4" customFormat="1" ht="15" hidden="1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2:28" s="4" customFormat="1" ht="15" hidden="1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2:28" s="4" customFormat="1" ht="15" hidden="1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2:28" s="4" customFormat="1" ht="15" hidden="1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2:28" s="4" customFormat="1" ht="15" hidden="1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2:28" s="4" customFormat="1" ht="15" hidden="1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2:28" s="4" customFormat="1" ht="15" hidden="1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2:28" s="4" customFormat="1" ht="15" hidden="1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2:28" s="4" customFormat="1" ht="15" hidden="1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2:28" s="4" customFormat="1" ht="15" hidden="1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2:28" s="4" customFormat="1" ht="15" hidden="1" x14ac:dyDescent="0.2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2:28" s="4" customFormat="1" ht="15" hidden="1" x14ac:dyDescent="0.2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2:28" s="4" customFormat="1" ht="15" hidden="1" x14ac:dyDescent="0.2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2:28" s="4" customFormat="1" ht="15" hidden="1" x14ac:dyDescent="0.2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2:28" s="4" customFormat="1" ht="15" hidden="1" x14ac:dyDescent="0.2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2:28" s="4" customFormat="1" ht="15" hidden="1" x14ac:dyDescent="0.2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2:28" s="4" customFormat="1" ht="15" hidden="1" x14ac:dyDescent="0.2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2:28" s="4" customFormat="1" ht="15" hidden="1" x14ac:dyDescent="0.2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2:28" s="4" customFormat="1" ht="15" hidden="1" x14ac:dyDescent="0.2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2:28" s="4" customFormat="1" ht="15" hidden="1" x14ac:dyDescent="0.2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2:28" s="4" customFormat="1" ht="15" hidden="1" x14ac:dyDescent="0.2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2:28" s="4" customFormat="1" ht="15" hidden="1" x14ac:dyDescent="0.2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2:28" s="4" customFormat="1" ht="15" hidden="1" x14ac:dyDescent="0.2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2:28" s="4" customFormat="1" ht="15" hidden="1" x14ac:dyDescent="0.2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2:28" s="4" customFormat="1" ht="15" hidden="1" x14ac:dyDescent="0.2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2:28" s="4" customFormat="1" ht="15" hidden="1" x14ac:dyDescent="0.2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2:28" s="4" customFormat="1" ht="15" hidden="1" x14ac:dyDescent="0.2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2:28" s="4" customFormat="1" ht="15" hidden="1" x14ac:dyDescent="0.2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2:28" s="4" customFormat="1" ht="15" hidden="1" x14ac:dyDescent="0.2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2:28" s="4" customFormat="1" ht="15" hidden="1" x14ac:dyDescent="0.2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2:28" s="4" customFormat="1" ht="15" hidden="1" x14ac:dyDescent="0.2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2:28" s="4" customFormat="1" ht="15" hidden="1" x14ac:dyDescent="0.2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2:28" s="4" customFormat="1" ht="15" hidden="1" x14ac:dyDescent="0.2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2:28" s="4" customFormat="1" ht="15" hidden="1" x14ac:dyDescent="0.25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2:28" s="4" customFormat="1" ht="15" hidden="1" x14ac:dyDescent="0.25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2:28" s="4" customFormat="1" ht="15" hidden="1" x14ac:dyDescent="0.25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2:28" s="4" customFormat="1" ht="15" hidden="1" x14ac:dyDescent="0.25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2:28" s="4" customFormat="1" ht="15" hidden="1" x14ac:dyDescent="0.25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2:28" s="4" customFormat="1" ht="15" hidden="1" x14ac:dyDescent="0.25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2:28" s="4" customFormat="1" ht="15" hidden="1" x14ac:dyDescent="0.25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2:28" s="4" customFormat="1" ht="15" hidden="1" x14ac:dyDescent="0.2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2:28" s="4" customFormat="1" ht="15" hidden="1" x14ac:dyDescent="0.2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2:28" s="4" customFormat="1" ht="15" hidden="1" x14ac:dyDescent="0.2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2:28" s="4" customFormat="1" ht="15" hidden="1" x14ac:dyDescent="0.2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2:28" s="4" customFormat="1" ht="15" hidden="1" x14ac:dyDescent="0.2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2:28" s="4" customFormat="1" ht="15" hidden="1" x14ac:dyDescent="0.2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2:28" s="4" customFormat="1" ht="15" hidden="1" x14ac:dyDescent="0.2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2:28" s="4" customFormat="1" ht="15" hidden="1" x14ac:dyDescent="0.2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2:28" s="4" customFormat="1" ht="15" hidden="1" x14ac:dyDescent="0.2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2:28" s="4" customFormat="1" ht="15" hidden="1" x14ac:dyDescent="0.2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2:28" s="4" customFormat="1" ht="15" hidden="1" x14ac:dyDescent="0.2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2:28" s="4" customFormat="1" ht="15" hidden="1" x14ac:dyDescent="0.2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2:28" s="4" customFormat="1" ht="15" hidden="1" x14ac:dyDescent="0.2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2:28" s="4" customFormat="1" ht="15" hidden="1" x14ac:dyDescent="0.2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2:28" s="4" customFormat="1" ht="15" hidden="1" x14ac:dyDescent="0.2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2:28" s="4" customFormat="1" ht="15" hidden="1" x14ac:dyDescent="0.2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2:28" s="4" customFormat="1" ht="15" hidden="1" x14ac:dyDescent="0.25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2:28" s="4" customFormat="1" ht="15" hidden="1" x14ac:dyDescent="0.25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2:28" s="4" customFormat="1" ht="15" hidden="1" x14ac:dyDescent="0.25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2:28" s="4" customFormat="1" ht="15" hidden="1" x14ac:dyDescent="0.25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2:28" s="4" customFormat="1" ht="15" hidden="1" x14ac:dyDescent="0.25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2:28" s="4" customFormat="1" ht="15" hidden="1" x14ac:dyDescent="0.25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2:28" s="4" customFormat="1" ht="15" hidden="1" x14ac:dyDescent="0.25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2:28" s="4" customFormat="1" ht="15" hidden="1" x14ac:dyDescent="0.25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2:28" s="4" customFormat="1" ht="15" hidden="1" x14ac:dyDescent="0.25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2:28" s="4" customFormat="1" ht="15" hidden="1" x14ac:dyDescent="0.25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2:28" s="4" customFormat="1" ht="15" hidden="1" x14ac:dyDescent="0.25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2:28" s="4" customFormat="1" ht="15" hidden="1" x14ac:dyDescent="0.25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2:28" s="4" customFormat="1" ht="15" hidden="1" x14ac:dyDescent="0.25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 spans="2:28" s="4" customFormat="1" ht="15" hidden="1" x14ac:dyDescent="0.25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2:28" s="4" customFormat="1" ht="15" hidden="1" x14ac:dyDescent="0.25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2:28" s="4" customFormat="1" ht="15" hidden="1" x14ac:dyDescent="0.25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2:28" s="4" customFormat="1" ht="15" hidden="1" x14ac:dyDescent="0.25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2:28" s="4" customFormat="1" ht="15" hidden="1" x14ac:dyDescent="0.25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2:28" s="4" customFormat="1" ht="15" hidden="1" x14ac:dyDescent="0.25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2:28" s="4" customFormat="1" ht="15" hidden="1" x14ac:dyDescent="0.25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2:28" s="4" customFormat="1" ht="15" hidden="1" x14ac:dyDescent="0.25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2:28" s="4" customFormat="1" ht="15" hidden="1" x14ac:dyDescent="0.25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2:28" s="4" customFormat="1" ht="15" hidden="1" x14ac:dyDescent="0.25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2:28" s="4" customFormat="1" ht="15" hidden="1" x14ac:dyDescent="0.25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2:28" s="4" customFormat="1" ht="15" hidden="1" x14ac:dyDescent="0.25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2:28" s="4" customFormat="1" ht="15" hidden="1" x14ac:dyDescent="0.25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2:28" s="4" customFormat="1" ht="15" hidden="1" x14ac:dyDescent="0.25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2:28" s="4" customFormat="1" ht="15" hidden="1" x14ac:dyDescent="0.25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2:28" s="4" customFormat="1" ht="15" hidden="1" x14ac:dyDescent="0.25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2:28" s="4" customFormat="1" ht="15" hidden="1" x14ac:dyDescent="0.25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2:28" s="4" customFormat="1" ht="15" hidden="1" x14ac:dyDescent="0.25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2:28" s="4" customFormat="1" ht="15" hidden="1" x14ac:dyDescent="0.25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2:28" s="4" customFormat="1" ht="15" hidden="1" x14ac:dyDescent="0.25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2:28" s="4" customFormat="1" ht="15" hidden="1" x14ac:dyDescent="0.25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2:28" s="4" customFormat="1" ht="15" hidden="1" x14ac:dyDescent="0.25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2:28" s="4" customFormat="1" ht="15" hidden="1" x14ac:dyDescent="0.25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2:28" s="4" customFormat="1" ht="15" hidden="1" x14ac:dyDescent="0.25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2:28" s="4" customFormat="1" ht="15" hidden="1" x14ac:dyDescent="0.25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2:28" s="4" customFormat="1" ht="15" hidden="1" x14ac:dyDescent="0.25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2:28" s="4" customFormat="1" ht="15" hidden="1" x14ac:dyDescent="0.25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2:28" s="4" customFormat="1" ht="15" hidden="1" x14ac:dyDescent="0.25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2:28" s="4" customFormat="1" ht="15" hidden="1" x14ac:dyDescent="0.25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2:28" s="4" customFormat="1" ht="15" hidden="1" x14ac:dyDescent="0.25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2:28" s="4" customFormat="1" ht="15" hidden="1" x14ac:dyDescent="0.25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2:28" s="4" customFormat="1" ht="15" hidden="1" x14ac:dyDescent="0.25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2:28" s="4" customFormat="1" ht="15" hidden="1" x14ac:dyDescent="0.25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2:28" s="4" customFormat="1" ht="15" hidden="1" x14ac:dyDescent="0.25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2:28" s="4" customFormat="1" ht="15" hidden="1" x14ac:dyDescent="0.25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2:28" s="4" customFormat="1" ht="15" hidden="1" x14ac:dyDescent="0.25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2:28" s="4" customFormat="1" ht="15" hidden="1" x14ac:dyDescent="0.25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2:28" s="4" customFormat="1" ht="15" hidden="1" x14ac:dyDescent="0.25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2:28" s="4" customFormat="1" ht="15" hidden="1" x14ac:dyDescent="0.25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2:28" s="4" customFormat="1" ht="15" hidden="1" x14ac:dyDescent="0.25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2:28" s="4" customFormat="1" ht="15" hidden="1" x14ac:dyDescent="0.25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2:28" s="4" customFormat="1" ht="15" hidden="1" x14ac:dyDescent="0.25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2:28" s="4" customFormat="1" ht="15" hidden="1" x14ac:dyDescent="0.25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2:28" s="4" customFormat="1" ht="15" hidden="1" x14ac:dyDescent="0.25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2:28" s="4" customFormat="1" ht="15" hidden="1" x14ac:dyDescent="0.25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2:28" s="4" customFormat="1" ht="15" hidden="1" x14ac:dyDescent="0.25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2:28" s="4" customFormat="1" ht="15" hidden="1" x14ac:dyDescent="0.25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2:28" s="4" customFormat="1" ht="15" hidden="1" x14ac:dyDescent="0.25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2:28" s="4" customFormat="1" ht="15" hidden="1" x14ac:dyDescent="0.25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2:28" s="4" customFormat="1" ht="15" hidden="1" x14ac:dyDescent="0.25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2:28" s="4" customFormat="1" ht="15" hidden="1" x14ac:dyDescent="0.25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2:28" s="4" customFormat="1" ht="15" hidden="1" x14ac:dyDescent="0.25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2:28" s="4" customFormat="1" ht="15" hidden="1" x14ac:dyDescent="0.25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2:28" s="4" customFormat="1" ht="15" hidden="1" x14ac:dyDescent="0.25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2:28" s="4" customFormat="1" ht="15" hidden="1" x14ac:dyDescent="0.25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2:28" s="4" customFormat="1" ht="15" hidden="1" x14ac:dyDescent="0.25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2:28" s="4" customFormat="1" ht="15" hidden="1" x14ac:dyDescent="0.25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2:28" s="4" customFormat="1" ht="15" hidden="1" x14ac:dyDescent="0.25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2:28" s="4" customFormat="1" ht="15" hidden="1" x14ac:dyDescent="0.25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2:28" s="4" customFormat="1" ht="15" hidden="1" x14ac:dyDescent="0.25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2:28" s="4" customFormat="1" ht="15" hidden="1" x14ac:dyDescent="0.25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2:28" s="4" customFormat="1" ht="15" hidden="1" x14ac:dyDescent="0.25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2:28" s="4" customFormat="1" ht="15" hidden="1" x14ac:dyDescent="0.25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2:28" s="4" customFormat="1" ht="15" hidden="1" x14ac:dyDescent="0.25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2:28" s="4" customFormat="1" ht="15" hidden="1" x14ac:dyDescent="0.25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2:28" s="4" customFormat="1" ht="15" hidden="1" x14ac:dyDescent="0.25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2:28" s="4" customFormat="1" ht="15" hidden="1" x14ac:dyDescent="0.25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2:28" s="4" customFormat="1" ht="15" hidden="1" x14ac:dyDescent="0.25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2:28" s="4" customFormat="1" ht="15" hidden="1" x14ac:dyDescent="0.25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2:28" s="4" customFormat="1" ht="15" hidden="1" x14ac:dyDescent="0.25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2:28" s="4" customFormat="1" ht="15" hidden="1" x14ac:dyDescent="0.25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2:28" s="4" customFormat="1" ht="15" hidden="1" x14ac:dyDescent="0.25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2:28" s="4" customFormat="1" ht="15" hidden="1" x14ac:dyDescent="0.25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2:28" s="4" customFormat="1" ht="15" hidden="1" x14ac:dyDescent="0.25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2:28" s="4" customFormat="1" ht="15" hidden="1" x14ac:dyDescent="0.25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2:28" s="4" customFormat="1" ht="15" hidden="1" x14ac:dyDescent="0.25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2:28" s="4" customFormat="1" ht="15" hidden="1" x14ac:dyDescent="0.25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2:28" s="4" customFormat="1" ht="15" hidden="1" x14ac:dyDescent="0.25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2:28" s="4" customFormat="1" ht="15" hidden="1" x14ac:dyDescent="0.25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2:28" s="4" customFormat="1" ht="15" hidden="1" x14ac:dyDescent="0.25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2:28" s="4" customFormat="1" ht="15" hidden="1" x14ac:dyDescent="0.25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2:28" s="4" customFormat="1" ht="15" hidden="1" x14ac:dyDescent="0.25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2:28" s="4" customFormat="1" ht="15" hidden="1" x14ac:dyDescent="0.25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2:28" s="4" customFormat="1" ht="15" hidden="1" x14ac:dyDescent="0.2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2:28" s="4" customFormat="1" ht="15" hidden="1" x14ac:dyDescent="0.2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2:28" s="4" customFormat="1" ht="15" hidden="1" x14ac:dyDescent="0.2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2:28" s="4" customFormat="1" ht="15" hidden="1" x14ac:dyDescent="0.2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2:28" s="4" customFormat="1" ht="15" hidden="1" x14ac:dyDescent="0.2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2:28" s="4" customFormat="1" ht="15" hidden="1" x14ac:dyDescent="0.2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2:28" s="4" customFormat="1" ht="15" hidden="1" x14ac:dyDescent="0.2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2:28" s="4" customFormat="1" ht="15" hidden="1" x14ac:dyDescent="0.2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2:28" s="4" customFormat="1" ht="15" hidden="1" x14ac:dyDescent="0.2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2:28" s="4" customFormat="1" ht="15" hidden="1" x14ac:dyDescent="0.2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2:28" s="4" customFormat="1" ht="15" hidden="1" x14ac:dyDescent="0.2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2:28" s="4" customFormat="1" ht="15" hidden="1" x14ac:dyDescent="0.2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2:28" s="4" customFormat="1" ht="15" hidden="1" x14ac:dyDescent="0.2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2:28" s="4" customFormat="1" ht="15" hidden="1" x14ac:dyDescent="0.2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2:28" s="4" customFormat="1" ht="15" hidden="1" x14ac:dyDescent="0.2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2:28" s="4" customFormat="1" ht="15" hidden="1" x14ac:dyDescent="0.2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2:28" s="4" customFormat="1" ht="15" hidden="1" x14ac:dyDescent="0.2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2:28" s="4" customFormat="1" ht="15" hidden="1" x14ac:dyDescent="0.2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2:28" s="4" customFormat="1" ht="15" hidden="1" x14ac:dyDescent="0.2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2:28" s="4" customFormat="1" ht="15" hidden="1" x14ac:dyDescent="0.2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2:28" s="4" customFormat="1" ht="15" hidden="1" x14ac:dyDescent="0.2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2:28" s="4" customFormat="1" ht="15" hidden="1" x14ac:dyDescent="0.2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2:28" s="4" customFormat="1" ht="15" hidden="1" x14ac:dyDescent="0.2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2:28" s="4" customFormat="1" ht="15" hidden="1" x14ac:dyDescent="0.2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2:28" s="4" customFormat="1" ht="15" hidden="1" x14ac:dyDescent="0.2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2:28" s="4" customFormat="1" ht="15" hidden="1" x14ac:dyDescent="0.2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2:28" s="4" customFormat="1" ht="15" hidden="1" x14ac:dyDescent="0.2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2:28" s="4" customFormat="1" ht="15" hidden="1" x14ac:dyDescent="0.2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2:28" s="4" customFormat="1" ht="15" hidden="1" x14ac:dyDescent="0.2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2:28" s="4" customFormat="1" ht="15" hidden="1" x14ac:dyDescent="0.2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2:28" s="4" customFormat="1" ht="15" hidden="1" x14ac:dyDescent="0.2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2:28" s="4" customFormat="1" ht="15" hidden="1" x14ac:dyDescent="0.2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2:28" s="4" customFormat="1" ht="15" hidden="1" x14ac:dyDescent="0.2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2:28" s="4" customFormat="1" ht="15" hidden="1" x14ac:dyDescent="0.2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2:28" s="4" customFormat="1" ht="15" hidden="1" x14ac:dyDescent="0.2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2:28" s="4" customFormat="1" ht="15" hidden="1" x14ac:dyDescent="0.2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2:28" s="4" customFormat="1" ht="15" hidden="1" x14ac:dyDescent="0.2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2:28" s="4" customFormat="1" ht="15" hidden="1" x14ac:dyDescent="0.2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2:28" s="4" customFormat="1" ht="15" hidden="1" x14ac:dyDescent="0.2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2:28" s="4" customFormat="1" ht="15" hidden="1" x14ac:dyDescent="0.2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2:28" s="4" customFormat="1" ht="15" hidden="1" x14ac:dyDescent="0.2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2:28" s="4" customFormat="1" ht="15" hidden="1" x14ac:dyDescent="0.2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2:28" s="4" customFormat="1" ht="15" hidden="1" x14ac:dyDescent="0.2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2:28" s="4" customFormat="1" ht="15" hidden="1" x14ac:dyDescent="0.2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2:28" s="4" customFormat="1" ht="15" hidden="1" x14ac:dyDescent="0.2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2:28" s="4" customFormat="1" ht="15" hidden="1" x14ac:dyDescent="0.2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2:28" s="4" customFormat="1" ht="15" hidden="1" x14ac:dyDescent="0.2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2:28" s="4" customFormat="1" ht="15" hidden="1" x14ac:dyDescent="0.2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2:28" s="4" customFormat="1" ht="15" hidden="1" x14ac:dyDescent="0.2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2:28" s="4" customFormat="1" ht="15" hidden="1" x14ac:dyDescent="0.2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2:28" s="4" customFormat="1" ht="15" hidden="1" x14ac:dyDescent="0.2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2:28" s="4" customFormat="1" ht="15" hidden="1" x14ac:dyDescent="0.2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2:28" s="4" customFormat="1" ht="15" hidden="1" x14ac:dyDescent="0.2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2:28" s="4" customFormat="1" ht="15" hidden="1" x14ac:dyDescent="0.2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2:28" s="4" customFormat="1" ht="15" hidden="1" x14ac:dyDescent="0.2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2:28" s="4" customFormat="1" ht="15" hidden="1" x14ac:dyDescent="0.2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2:28" s="4" customFormat="1" ht="15" hidden="1" x14ac:dyDescent="0.2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2:28" s="4" customFormat="1" ht="15" hidden="1" x14ac:dyDescent="0.2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2:28" s="4" customFormat="1" ht="15" hidden="1" x14ac:dyDescent="0.2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2:28" s="4" customFormat="1" ht="15" hidden="1" x14ac:dyDescent="0.2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2:28" s="4" customFormat="1" ht="15" hidden="1" x14ac:dyDescent="0.2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2:28" s="4" customFormat="1" ht="15" hidden="1" x14ac:dyDescent="0.2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2:28" s="4" customFormat="1" ht="15" hidden="1" x14ac:dyDescent="0.2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2:28" s="4" customFormat="1" ht="15" hidden="1" x14ac:dyDescent="0.2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2:28" s="4" customFormat="1" ht="15" hidden="1" x14ac:dyDescent="0.2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2:28" s="4" customFormat="1" ht="15" hidden="1" x14ac:dyDescent="0.2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2:28" s="4" customFormat="1" ht="15" hidden="1" x14ac:dyDescent="0.2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2:28" s="4" customFormat="1" ht="15" hidden="1" x14ac:dyDescent="0.2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2:28" s="4" customFormat="1" ht="15" hidden="1" x14ac:dyDescent="0.2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2:28" s="4" customFormat="1" ht="15" hidden="1" x14ac:dyDescent="0.2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2:28" s="4" customFormat="1" ht="15" hidden="1" x14ac:dyDescent="0.2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2:28" s="4" customFormat="1" ht="15" hidden="1" x14ac:dyDescent="0.2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2:28" s="4" customFormat="1" ht="15" hidden="1" x14ac:dyDescent="0.2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2:28" s="4" customFormat="1" ht="15" hidden="1" x14ac:dyDescent="0.2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2:28" s="4" customFormat="1" ht="15" hidden="1" x14ac:dyDescent="0.2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2:28" s="4" customFormat="1" ht="15" hidden="1" x14ac:dyDescent="0.2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2:28" s="4" customFormat="1" ht="15" hidden="1" x14ac:dyDescent="0.2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2:28" s="4" customFormat="1" ht="15" hidden="1" x14ac:dyDescent="0.2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2:28" s="4" customFormat="1" ht="15" hidden="1" x14ac:dyDescent="0.2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2:28" s="4" customFormat="1" ht="15" hidden="1" x14ac:dyDescent="0.2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2:28" s="4" customFormat="1" ht="15" hidden="1" x14ac:dyDescent="0.2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2:28" s="4" customFormat="1" ht="15" hidden="1" x14ac:dyDescent="0.2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2:28" s="4" customFormat="1" ht="15" hidden="1" x14ac:dyDescent="0.2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2:28" s="4" customFormat="1" ht="15" hidden="1" x14ac:dyDescent="0.2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2:28" s="4" customFormat="1" ht="15" hidden="1" x14ac:dyDescent="0.2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2:28" s="4" customFormat="1" ht="15" hidden="1" x14ac:dyDescent="0.2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2:28" s="4" customFormat="1" ht="15" hidden="1" x14ac:dyDescent="0.2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2:28" s="4" customFormat="1" ht="15" hidden="1" x14ac:dyDescent="0.2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2:28" s="4" customFormat="1" ht="15" hidden="1" x14ac:dyDescent="0.2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2:28" s="4" customFormat="1" ht="15" hidden="1" x14ac:dyDescent="0.2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2:28" s="4" customFormat="1" ht="15" hidden="1" x14ac:dyDescent="0.2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2:28" s="4" customFormat="1" ht="15" hidden="1" x14ac:dyDescent="0.2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2:28" s="4" customFormat="1" ht="15" hidden="1" x14ac:dyDescent="0.2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2:28" s="4" customFormat="1" ht="15" hidden="1" x14ac:dyDescent="0.2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2:28" s="4" customFormat="1" ht="15" hidden="1" x14ac:dyDescent="0.2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2:28" s="4" customFormat="1" ht="15" hidden="1" x14ac:dyDescent="0.2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2:28" s="4" customFormat="1" ht="15" hidden="1" x14ac:dyDescent="0.2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2:28" s="4" customFormat="1" ht="15" hidden="1" x14ac:dyDescent="0.2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2:28" s="4" customFormat="1" ht="15" hidden="1" x14ac:dyDescent="0.2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2:28" s="4" customFormat="1" ht="15" hidden="1" x14ac:dyDescent="0.2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2:28" s="4" customFormat="1" ht="15" hidden="1" x14ac:dyDescent="0.2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2:28" s="4" customFormat="1" ht="15" hidden="1" x14ac:dyDescent="0.2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2:28" s="4" customFormat="1" ht="15" hidden="1" x14ac:dyDescent="0.2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2:28" s="4" customFormat="1" ht="15" hidden="1" x14ac:dyDescent="0.2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2:28" s="4" customFormat="1" ht="15" hidden="1" x14ac:dyDescent="0.2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2:28" s="4" customFormat="1" ht="15" hidden="1" x14ac:dyDescent="0.2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2:28" s="4" customFormat="1" ht="15" hidden="1" x14ac:dyDescent="0.2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2:28" s="4" customFormat="1" ht="15" hidden="1" x14ac:dyDescent="0.2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2:28" s="4" customFormat="1" ht="15" hidden="1" x14ac:dyDescent="0.2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2:28" s="4" customFormat="1" ht="15" hidden="1" x14ac:dyDescent="0.2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2:28" s="4" customFormat="1" ht="15" hidden="1" x14ac:dyDescent="0.2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2:28" s="4" customFormat="1" ht="15" hidden="1" x14ac:dyDescent="0.2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2:28" s="4" customFormat="1" ht="15" hidden="1" x14ac:dyDescent="0.2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2:28" s="4" customFormat="1" ht="15" hidden="1" x14ac:dyDescent="0.2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2:28" s="4" customFormat="1" ht="15" hidden="1" x14ac:dyDescent="0.2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2:28" s="4" customFormat="1" ht="15" hidden="1" x14ac:dyDescent="0.2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2:28" s="4" customFormat="1" ht="15" hidden="1" x14ac:dyDescent="0.25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2:28" s="4" customFormat="1" ht="15" hidden="1" x14ac:dyDescent="0.25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2:28" s="4" customFormat="1" ht="15" hidden="1" x14ac:dyDescent="0.25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2:28" s="4" customFormat="1" ht="15" hidden="1" x14ac:dyDescent="0.25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2:28" s="4" customFormat="1" ht="15" hidden="1" x14ac:dyDescent="0.25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2:28" s="4" customFormat="1" ht="15" hidden="1" x14ac:dyDescent="0.25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</row>
    <row r="459" spans="2:28" s="4" customFormat="1" ht="15" hidden="1" x14ac:dyDescent="0.25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</row>
    <row r="460" spans="2:28" s="4" customFormat="1" ht="15" hidden="1" x14ac:dyDescent="0.25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</row>
    <row r="461" spans="2:28" s="4" customFormat="1" ht="15" hidden="1" x14ac:dyDescent="0.25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</row>
    <row r="462" spans="2:28" s="4" customFormat="1" ht="15" hidden="1" x14ac:dyDescent="0.25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</row>
    <row r="463" spans="2:28" s="4" customFormat="1" ht="15" hidden="1" x14ac:dyDescent="0.25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</row>
    <row r="464" spans="2:28" s="4" customFormat="1" ht="15" hidden="1" x14ac:dyDescent="0.25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</row>
    <row r="465" spans="2:28" s="4" customFormat="1" ht="15" hidden="1" x14ac:dyDescent="0.25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</row>
    <row r="466" spans="2:28" s="4" customFormat="1" ht="15" hidden="1" x14ac:dyDescent="0.25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</row>
    <row r="467" spans="2:28" s="4" customFormat="1" ht="15" hidden="1" x14ac:dyDescent="0.25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</row>
    <row r="468" spans="2:28" s="4" customFormat="1" ht="15" hidden="1" x14ac:dyDescent="0.25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</row>
    <row r="469" spans="2:28" s="4" customFormat="1" ht="15" hidden="1" x14ac:dyDescent="0.25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</row>
    <row r="470" spans="2:28" s="4" customFormat="1" ht="15" hidden="1" x14ac:dyDescent="0.25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</row>
    <row r="471" spans="2:28" s="4" customFormat="1" ht="15" hidden="1" x14ac:dyDescent="0.25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</row>
    <row r="472" spans="2:28" s="4" customFormat="1" ht="15" hidden="1" x14ac:dyDescent="0.25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</row>
    <row r="473" spans="2:28" s="4" customFormat="1" ht="15" hidden="1" x14ac:dyDescent="0.25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</row>
    <row r="474" spans="2:28" s="4" customFormat="1" ht="15" hidden="1" x14ac:dyDescent="0.25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</row>
    <row r="475" spans="2:28" s="4" customFormat="1" ht="15" hidden="1" x14ac:dyDescent="0.25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</row>
    <row r="476" spans="2:28" s="4" customFormat="1" ht="15" hidden="1" x14ac:dyDescent="0.25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</row>
    <row r="477" spans="2:28" s="4" customFormat="1" ht="15" hidden="1" x14ac:dyDescent="0.25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</row>
    <row r="478" spans="2:28" s="4" customFormat="1" ht="15" hidden="1" x14ac:dyDescent="0.25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</row>
    <row r="479" spans="2:28" s="4" customFormat="1" ht="15" hidden="1" x14ac:dyDescent="0.25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</row>
    <row r="480" spans="2:28" s="4" customFormat="1" ht="15" hidden="1" x14ac:dyDescent="0.25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</row>
    <row r="481" spans="2:28" s="4" customFormat="1" ht="15" hidden="1" x14ac:dyDescent="0.25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</row>
    <row r="482" spans="2:28" s="4" customFormat="1" ht="15" hidden="1" x14ac:dyDescent="0.25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</row>
    <row r="483" spans="2:28" s="4" customFormat="1" ht="15" hidden="1" x14ac:dyDescent="0.25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</row>
    <row r="484" spans="2:28" s="4" customFormat="1" ht="15" hidden="1" x14ac:dyDescent="0.25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</row>
    <row r="485" spans="2:28" s="4" customFormat="1" ht="15" hidden="1" x14ac:dyDescent="0.25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</row>
    <row r="486" spans="2:28" s="4" customFormat="1" ht="15" hidden="1" x14ac:dyDescent="0.25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</row>
    <row r="487" spans="2:28" s="4" customFormat="1" ht="15" hidden="1" x14ac:dyDescent="0.25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</row>
    <row r="488" spans="2:28" s="4" customFormat="1" ht="15" hidden="1" x14ac:dyDescent="0.25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</row>
    <row r="489" spans="2:28" s="4" customFormat="1" ht="15" hidden="1" x14ac:dyDescent="0.25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</row>
    <row r="490" spans="2:28" s="4" customFormat="1" ht="15" hidden="1" x14ac:dyDescent="0.25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</row>
    <row r="491" spans="2:28" s="4" customFormat="1" ht="15" hidden="1" x14ac:dyDescent="0.25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</row>
    <row r="492" spans="2:28" s="4" customFormat="1" ht="15" hidden="1" x14ac:dyDescent="0.25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</row>
    <row r="493" spans="2:28" s="4" customFormat="1" ht="15" hidden="1" x14ac:dyDescent="0.25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</row>
    <row r="494" spans="2:28" s="4" customFormat="1" ht="15" hidden="1" x14ac:dyDescent="0.25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</row>
    <row r="495" spans="2:28" s="4" customFormat="1" ht="15" hidden="1" x14ac:dyDescent="0.25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</row>
    <row r="496" spans="2:28" s="4" customFormat="1" ht="15" hidden="1" x14ac:dyDescent="0.25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</row>
    <row r="497" spans="2:28" s="4" customFormat="1" ht="15" hidden="1" x14ac:dyDescent="0.25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</row>
    <row r="498" spans="2:28" s="4" customFormat="1" ht="15" hidden="1" x14ac:dyDescent="0.25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</row>
    <row r="499" spans="2:28" s="4" customFormat="1" ht="15" hidden="1" x14ac:dyDescent="0.25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</row>
    <row r="500" spans="2:28" s="4" customFormat="1" ht="15" hidden="1" x14ac:dyDescent="0.25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</row>
    <row r="501" spans="2:28" s="4" customFormat="1" ht="15" hidden="1" x14ac:dyDescent="0.25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</row>
    <row r="502" spans="2:28" s="4" customFormat="1" ht="15" hidden="1" x14ac:dyDescent="0.25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</row>
    <row r="503" spans="2:28" s="4" customFormat="1" ht="15" hidden="1" x14ac:dyDescent="0.25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</row>
    <row r="504" spans="2:28" s="4" customFormat="1" ht="15" hidden="1" x14ac:dyDescent="0.25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</row>
    <row r="505" spans="2:28" s="4" customFormat="1" ht="15" hidden="1" x14ac:dyDescent="0.25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</row>
    <row r="506" spans="2:28" s="4" customFormat="1" ht="15" hidden="1" x14ac:dyDescent="0.25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</row>
    <row r="507" spans="2:28" s="4" customFormat="1" ht="15" hidden="1" x14ac:dyDescent="0.25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</row>
    <row r="508" spans="2:28" s="4" customFormat="1" ht="15" hidden="1" x14ac:dyDescent="0.25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</row>
    <row r="509" spans="2:28" s="4" customFormat="1" ht="15" hidden="1" x14ac:dyDescent="0.25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</row>
    <row r="510" spans="2:28" s="4" customFormat="1" ht="15" hidden="1" x14ac:dyDescent="0.25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</row>
    <row r="511" spans="2:28" s="4" customFormat="1" ht="15" hidden="1" x14ac:dyDescent="0.25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</row>
    <row r="512" spans="2:28" s="4" customFormat="1" ht="15" hidden="1" x14ac:dyDescent="0.25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</row>
    <row r="513" spans="2:28" s="4" customFormat="1" ht="15" hidden="1" x14ac:dyDescent="0.25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</row>
    <row r="514" spans="2:28" s="4" customFormat="1" ht="15" hidden="1" x14ac:dyDescent="0.25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</row>
    <row r="515" spans="2:28" s="4" customFormat="1" ht="15" hidden="1" x14ac:dyDescent="0.25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</row>
    <row r="516" spans="2:28" s="4" customFormat="1" ht="15" hidden="1" x14ac:dyDescent="0.25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</row>
    <row r="517" spans="2:28" s="4" customFormat="1" ht="15" hidden="1" x14ac:dyDescent="0.25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</row>
    <row r="518" spans="2:28" s="4" customFormat="1" ht="15" hidden="1" x14ac:dyDescent="0.25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</row>
    <row r="519" spans="2:28" s="4" customFormat="1" ht="15" hidden="1" x14ac:dyDescent="0.25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</row>
    <row r="520" spans="2:28" s="4" customFormat="1" ht="15" hidden="1" x14ac:dyDescent="0.25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</row>
    <row r="521" spans="2:28" s="4" customFormat="1" ht="15" hidden="1" x14ac:dyDescent="0.25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</row>
    <row r="522" spans="2:28" s="4" customFormat="1" ht="15" hidden="1" x14ac:dyDescent="0.25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</row>
    <row r="523" spans="2:28" s="4" customFormat="1" ht="15" hidden="1" x14ac:dyDescent="0.25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</row>
    <row r="524" spans="2:28" s="4" customFormat="1" ht="15" hidden="1" x14ac:dyDescent="0.25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</row>
    <row r="525" spans="2:28" s="4" customFormat="1" ht="15" hidden="1" x14ac:dyDescent="0.25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</row>
    <row r="526" spans="2:28" s="4" customFormat="1" ht="15" hidden="1" x14ac:dyDescent="0.25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</row>
    <row r="527" spans="2:28" s="4" customFormat="1" ht="15" hidden="1" x14ac:dyDescent="0.25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</row>
    <row r="528" spans="2:28" s="4" customFormat="1" ht="15" hidden="1" x14ac:dyDescent="0.25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</row>
    <row r="529" spans="2:28" s="4" customFormat="1" ht="15" hidden="1" x14ac:dyDescent="0.25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</row>
    <row r="530" spans="2:28" s="4" customFormat="1" ht="15" hidden="1" x14ac:dyDescent="0.25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</row>
    <row r="531" spans="2:28" s="4" customFormat="1" ht="15" hidden="1" x14ac:dyDescent="0.25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</row>
    <row r="532" spans="2:28" s="4" customFormat="1" ht="15" hidden="1" x14ac:dyDescent="0.25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</row>
    <row r="533" spans="2:28" s="4" customFormat="1" ht="15" hidden="1" x14ac:dyDescent="0.25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</row>
    <row r="534" spans="2:28" s="4" customFormat="1" ht="15" hidden="1" x14ac:dyDescent="0.25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</row>
    <row r="535" spans="2:28" s="4" customFormat="1" ht="15" hidden="1" x14ac:dyDescent="0.25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</row>
    <row r="536" spans="2:28" s="4" customFormat="1" ht="15" hidden="1" x14ac:dyDescent="0.25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</row>
    <row r="537" spans="2:28" s="4" customFormat="1" ht="15" hidden="1" x14ac:dyDescent="0.25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</row>
    <row r="538" spans="2:28" s="4" customFormat="1" ht="15" hidden="1" x14ac:dyDescent="0.25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</row>
    <row r="539" spans="2:28" s="4" customFormat="1" ht="15" hidden="1" x14ac:dyDescent="0.25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</row>
    <row r="540" spans="2:28" s="4" customFormat="1" ht="15" hidden="1" x14ac:dyDescent="0.25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</row>
    <row r="541" spans="2:28" s="4" customFormat="1" ht="15" hidden="1" x14ac:dyDescent="0.25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</row>
    <row r="542" spans="2:28" s="4" customFormat="1" ht="15" hidden="1" x14ac:dyDescent="0.25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</row>
    <row r="543" spans="2:28" s="4" customFormat="1" ht="15" hidden="1" x14ac:dyDescent="0.25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</row>
    <row r="544" spans="2:28" s="4" customFormat="1" ht="15" hidden="1" x14ac:dyDescent="0.25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</row>
    <row r="545" spans="2:28" s="4" customFormat="1" ht="15" hidden="1" x14ac:dyDescent="0.25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</row>
    <row r="546" spans="2:28" s="4" customFormat="1" ht="15" hidden="1" x14ac:dyDescent="0.25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</row>
    <row r="547" spans="2:28" s="4" customFormat="1" ht="15" hidden="1" x14ac:dyDescent="0.25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</row>
    <row r="548" spans="2:28" s="4" customFormat="1" ht="15" hidden="1" x14ac:dyDescent="0.25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</row>
    <row r="549" spans="2:28" s="4" customFormat="1" ht="15" hidden="1" x14ac:dyDescent="0.25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</row>
    <row r="550" spans="2:28" s="4" customFormat="1" ht="15" hidden="1" x14ac:dyDescent="0.25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</row>
    <row r="551" spans="2:28" s="4" customFormat="1" ht="15" hidden="1" x14ac:dyDescent="0.25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</row>
    <row r="552" spans="2:28" s="4" customFormat="1" ht="15" hidden="1" x14ac:dyDescent="0.25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</row>
    <row r="553" spans="2:28" s="4" customFormat="1" ht="15" hidden="1" x14ac:dyDescent="0.25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</row>
    <row r="554" spans="2:28" s="4" customFormat="1" ht="15" hidden="1" x14ac:dyDescent="0.25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</row>
    <row r="555" spans="2:28" s="4" customFormat="1" ht="15" hidden="1" x14ac:dyDescent="0.25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</row>
    <row r="556" spans="2:28" s="4" customFormat="1" ht="15" hidden="1" x14ac:dyDescent="0.25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</row>
    <row r="557" spans="2:28" s="4" customFormat="1" ht="15" hidden="1" x14ac:dyDescent="0.25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</row>
    <row r="558" spans="2:28" s="4" customFormat="1" ht="15" hidden="1" x14ac:dyDescent="0.25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</row>
    <row r="559" spans="2:28" s="4" customFormat="1" ht="15" hidden="1" x14ac:dyDescent="0.25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</row>
    <row r="560" spans="2:28" s="4" customFormat="1" ht="15" hidden="1" x14ac:dyDescent="0.25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</row>
    <row r="561" spans="2:28" s="4" customFormat="1" ht="15" hidden="1" x14ac:dyDescent="0.25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</row>
    <row r="562" spans="2:28" s="4" customFormat="1" ht="15" hidden="1" x14ac:dyDescent="0.25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</row>
    <row r="563" spans="2:28" s="4" customFormat="1" ht="15" hidden="1" x14ac:dyDescent="0.25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</row>
    <row r="564" spans="2:28" s="4" customFormat="1" ht="15" hidden="1" x14ac:dyDescent="0.25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</row>
    <row r="565" spans="2:28" s="4" customFormat="1" ht="15" hidden="1" x14ac:dyDescent="0.25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</row>
    <row r="566" spans="2:28" s="4" customFormat="1" ht="15" hidden="1" x14ac:dyDescent="0.25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</row>
    <row r="567" spans="2:28" s="4" customFormat="1" ht="15" hidden="1" x14ac:dyDescent="0.25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</row>
    <row r="568" spans="2:28" s="4" customFormat="1" ht="15" hidden="1" x14ac:dyDescent="0.25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</row>
    <row r="569" spans="2:28" s="4" customFormat="1" ht="15" hidden="1" x14ac:dyDescent="0.25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</row>
    <row r="570" spans="2:28" s="4" customFormat="1" ht="15" hidden="1" x14ac:dyDescent="0.25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</row>
    <row r="571" spans="2:28" s="4" customFormat="1" ht="15" hidden="1" x14ac:dyDescent="0.25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</row>
    <row r="572" spans="2:28" s="4" customFormat="1" ht="15" hidden="1" x14ac:dyDescent="0.25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</row>
    <row r="573" spans="2:28" s="4" customFormat="1" ht="15" hidden="1" x14ac:dyDescent="0.25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</row>
    <row r="574" spans="2:28" s="4" customFormat="1" ht="15" hidden="1" x14ac:dyDescent="0.25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</row>
    <row r="575" spans="2:28" s="4" customFormat="1" ht="15" hidden="1" x14ac:dyDescent="0.25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</row>
    <row r="576" spans="2:28" s="4" customFormat="1" ht="15" hidden="1" x14ac:dyDescent="0.25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</row>
    <row r="577" spans="2:28" s="4" customFormat="1" ht="15" hidden="1" x14ac:dyDescent="0.25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</row>
    <row r="578" spans="2:28" s="4" customFormat="1" ht="15" hidden="1" x14ac:dyDescent="0.25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</row>
    <row r="579" spans="2:28" s="4" customFormat="1" ht="15" hidden="1" x14ac:dyDescent="0.25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</row>
    <row r="580" spans="2:28" s="4" customFormat="1" ht="15" hidden="1" x14ac:dyDescent="0.25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</row>
    <row r="581" spans="2:28" s="4" customFormat="1" ht="15" hidden="1" x14ac:dyDescent="0.25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</row>
    <row r="582" spans="2:28" s="4" customFormat="1" ht="15" hidden="1" x14ac:dyDescent="0.25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</row>
    <row r="583" spans="2:28" s="4" customFormat="1" ht="15" hidden="1" x14ac:dyDescent="0.25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</row>
    <row r="584" spans="2:28" s="4" customFormat="1" ht="15" hidden="1" x14ac:dyDescent="0.25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</row>
    <row r="585" spans="2:28" s="4" customFormat="1" ht="15" hidden="1" x14ac:dyDescent="0.25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</row>
    <row r="586" spans="2:28" s="4" customFormat="1" ht="15" hidden="1" x14ac:dyDescent="0.25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</row>
    <row r="587" spans="2:28" s="4" customFormat="1" ht="15" hidden="1" x14ac:dyDescent="0.25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</row>
    <row r="588" spans="2:28" s="4" customFormat="1" ht="15" hidden="1" x14ac:dyDescent="0.25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</row>
    <row r="589" spans="2:28" s="4" customFormat="1" ht="15" hidden="1" x14ac:dyDescent="0.25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</row>
    <row r="590" spans="2:28" s="4" customFormat="1" ht="15" hidden="1" x14ac:dyDescent="0.25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</row>
    <row r="591" spans="2:28" s="4" customFormat="1" ht="15" hidden="1" x14ac:dyDescent="0.25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</row>
    <row r="592" spans="2:28" s="4" customFormat="1" ht="15" hidden="1" x14ac:dyDescent="0.25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</row>
    <row r="593" spans="2:28" s="4" customFormat="1" ht="15" hidden="1" x14ac:dyDescent="0.25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</row>
    <row r="594" spans="2:28" s="4" customFormat="1" ht="15" hidden="1" x14ac:dyDescent="0.25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</row>
    <row r="595" spans="2:28" s="4" customFormat="1" ht="15" hidden="1" x14ac:dyDescent="0.25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</row>
    <row r="596" spans="2:28" s="4" customFormat="1" ht="15" hidden="1" x14ac:dyDescent="0.25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</row>
    <row r="597" spans="2:28" s="4" customFormat="1" ht="15" hidden="1" x14ac:dyDescent="0.25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</row>
    <row r="598" spans="2:28" s="4" customFormat="1" ht="15" hidden="1" x14ac:dyDescent="0.25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</row>
    <row r="599" spans="2:28" s="4" customFormat="1" ht="15" hidden="1" x14ac:dyDescent="0.25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</row>
    <row r="600" spans="2:28" s="4" customFormat="1" ht="15" hidden="1" x14ac:dyDescent="0.25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</row>
    <row r="601" spans="2:28" s="4" customFormat="1" ht="15" hidden="1" x14ac:dyDescent="0.25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</row>
    <row r="602" spans="2:28" s="4" customFormat="1" ht="15" hidden="1" x14ac:dyDescent="0.25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</row>
    <row r="603" spans="2:28" s="4" customFormat="1" ht="15" hidden="1" x14ac:dyDescent="0.25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</row>
    <row r="604" spans="2:28" s="4" customFormat="1" ht="15" hidden="1" x14ac:dyDescent="0.25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</row>
    <row r="605" spans="2:28" s="4" customFormat="1" ht="15" hidden="1" x14ac:dyDescent="0.25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</row>
    <row r="606" spans="2:28" s="4" customFormat="1" ht="15" hidden="1" x14ac:dyDescent="0.25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</row>
    <row r="607" spans="2:28" s="4" customFormat="1" ht="15" hidden="1" x14ac:dyDescent="0.25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</row>
    <row r="608" spans="2:28" s="4" customFormat="1" ht="15" hidden="1" x14ac:dyDescent="0.25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</row>
    <row r="609" spans="2:28" s="4" customFormat="1" ht="15" hidden="1" x14ac:dyDescent="0.25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</row>
    <row r="610" spans="2:28" s="4" customFormat="1" ht="15" hidden="1" x14ac:dyDescent="0.25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</row>
    <row r="611" spans="2:28" s="4" customFormat="1" ht="15" hidden="1" x14ac:dyDescent="0.25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</row>
    <row r="612" spans="2:28" s="4" customFormat="1" ht="15" hidden="1" x14ac:dyDescent="0.25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</row>
    <row r="613" spans="2:28" s="4" customFormat="1" ht="15" hidden="1" x14ac:dyDescent="0.25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</row>
    <row r="614" spans="2:28" s="4" customFormat="1" ht="15" hidden="1" x14ac:dyDescent="0.25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</row>
    <row r="615" spans="2:28" s="4" customFormat="1" ht="15" hidden="1" x14ac:dyDescent="0.25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</row>
    <row r="616" spans="2:28" s="4" customFormat="1" ht="15" hidden="1" x14ac:dyDescent="0.25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</row>
    <row r="617" spans="2:28" s="4" customFormat="1" ht="15" hidden="1" x14ac:dyDescent="0.25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</row>
    <row r="618" spans="2:28" s="4" customFormat="1" ht="15" hidden="1" x14ac:dyDescent="0.25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</row>
    <row r="619" spans="2:28" s="4" customFormat="1" ht="15" hidden="1" x14ac:dyDescent="0.25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</row>
    <row r="620" spans="2:28" s="4" customFormat="1" ht="15" hidden="1" x14ac:dyDescent="0.25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</row>
    <row r="621" spans="2:28" s="4" customFormat="1" ht="15" hidden="1" x14ac:dyDescent="0.25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</row>
    <row r="622" spans="2:28" s="4" customFormat="1" ht="15" hidden="1" x14ac:dyDescent="0.25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</row>
    <row r="623" spans="2:28" s="4" customFormat="1" ht="15" hidden="1" x14ac:dyDescent="0.25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</row>
    <row r="624" spans="2:28" s="4" customFormat="1" ht="15" hidden="1" x14ac:dyDescent="0.25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</row>
    <row r="625" spans="2:28" s="4" customFormat="1" ht="15" hidden="1" x14ac:dyDescent="0.25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</row>
    <row r="626" spans="2:28" s="4" customFormat="1" ht="15" hidden="1" x14ac:dyDescent="0.25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</row>
    <row r="627" spans="2:28" s="4" customFormat="1" ht="15" hidden="1" x14ac:dyDescent="0.25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</row>
    <row r="628" spans="2:28" s="4" customFormat="1" ht="15" hidden="1" x14ac:dyDescent="0.25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</row>
    <row r="629" spans="2:28" s="4" customFormat="1" ht="15" hidden="1" x14ac:dyDescent="0.25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</row>
    <row r="630" spans="2:28" s="4" customFormat="1" ht="15" hidden="1" x14ac:dyDescent="0.25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</row>
    <row r="631" spans="2:28" s="4" customFormat="1" ht="15" hidden="1" x14ac:dyDescent="0.25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</row>
    <row r="632" spans="2:28" s="4" customFormat="1" ht="15" hidden="1" x14ac:dyDescent="0.25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</row>
    <row r="633" spans="2:28" s="4" customFormat="1" ht="15" hidden="1" x14ac:dyDescent="0.25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</row>
    <row r="634" spans="2:28" s="4" customFormat="1" ht="15" hidden="1" x14ac:dyDescent="0.25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</row>
    <row r="635" spans="2:28" s="4" customFormat="1" ht="15" hidden="1" x14ac:dyDescent="0.25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</row>
    <row r="636" spans="2:28" s="4" customFormat="1" ht="15" hidden="1" x14ac:dyDescent="0.25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</row>
    <row r="637" spans="2:28" s="4" customFormat="1" ht="15" hidden="1" x14ac:dyDescent="0.25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</row>
    <row r="638" spans="2:28" s="4" customFormat="1" ht="15" hidden="1" x14ac:dyDescent="0.25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</row>
    <row r="639" spans="2:28" s="4" customFormat="1" ht="15" hidden="1" x14ac:dyDescent="0.25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</row>
    <row r="640" spans="2:28" s="4" customFormat="1" ht="15" hidden="1" x14ac:dyDescent="0.25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</row>
    <row r="641" spans="2:28" s="4" customFormat="1" ht="15" hidden="1" x14ac:dyDescent="0.25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</row>
    <row r="642" spans="2:28" s="4" customFormat="1" ht="15" hidden="1" x14ac:dyDescent="0.25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</row>
    <row r="643" spans="2:28" s="4" customFormat="1" ht="15" hidden="1" x14ac:dyDescent="0.25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</row>
    <row r="644" spans="2:28" s="4" customFormat="1" ht="15" hidden="1" x14ac:dyDescent="0.25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</row>
    <row r="645" spans="2:28" s="4" customFormat="1" ht="15" hidden="1" x14ac:dyDescent="0.25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</row>
    <row r="646" spans="2:28" s="4" customFormat="1" ht="15" hidden="1" x14ac:dyDescent="0.25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</row>
    <row r="647" spans="2:28" s="4" customFormat="1" ht="15" hidden="1" x14ac:dyDescent="0.25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</row>
    <row r="648" spans="2:28" s="4" customFormat="1" ht="15" hidden="1" x14ac:dyDescent="0.25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</row>
    <row r="649" spans="2:28" s="4" customFormat="1" ht="15" hidden="1" x14ac:dyDescent="0.25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</row>
    <row r="650" spans="2:28" s="4" customFormat="1" ht="15" hidden="1" x14ac:dyDescent="0.25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</row>
    <row r="651" spans="2:28" s="4" customFormat="1" ht="15" hidden="1" x14ac:dyDescent="0.25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</row>
    <row r="652" spans="2:28" s="4" customFormat="1" ht="15" hidden="1" x14ac:dyDescent="0.25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</row>
    <row r="653" spans="2:28" s="4" customFormat="1" ht="15" hidden="1" x14ac:dyDescent="0.25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</row>
    <row r="654" spans="2:28" s="4" customFormat="1" ht="15" hidden="1" x14ac:dyDescent="0.25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</row>
    <row r="655" spans="2:28" s="4" customFormat="1" ht="15" hidden="1" x14ac:dyDescent="0.25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</row>
    <row r="656" spans="2:28" s="4" customFormat="1" ht="15" hidden="1" x14ac:dyDescent="0.25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</row>
    <row r="657" spans="2:28" s="4" customFormat="1" ht="15" hidden="1" x14ac:dyDescent="0.25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</row>
    <row r="658" spans="2:28" s="4" customFormat="1" ht="15" hidden="1" x14ac:dyDescent="0.25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</row>
    <row r="659" spans="2:28" s="4" customFormat="1" ht="15" hidden="1" x14ac:dyDescent="0.25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</row>
    <row r="660" spans="2:28" s="4" customFormat="1" ht="15" hidden="1" x14ac:dyDescent="0.25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</row>
    <row r="661" spans="2:28" s="4" customFormat="1" ht="15" hidden="1" x14ac:dyDescent="0.25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</row>
    <row r="662" spans="2:28" s="4" customFormat="1" ht="15" hidden="1" x14ac:dyDescent="0.25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</row>
    <row r="663" spans="2:28" s="4" customFormat="1" ht="15" hidden="1" x14ac:dyDescent="0.25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</row>
    <row r="664" spans="2:28" s="4" customFormat="1" ht="15" hidden="1" x14ac:dyDescent="0.25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</row>
    <row r="665" spans="2:28" s="4" customFormat="1" ht="15" hidden="1" x14ac:dyDescent="0.25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</row>
    <row r="666" spans="2:28" s="4" customFormat="1" ht="15" hidden="1" x14ac:dyDescent="0.25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</row>
    <row r="667" spans="2:28" s="4" customFormat="1" ht="15" hidden="1" x14ac:dyDescent="0.25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</row>
    <row r="668" spans="2:28" s="4" customFormat="1" ht="15" hidden="1" x14ac:dyDescent="0.25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</row>
    <row r="669" spans="2:28" s="4" customFormat="1" ht="15" hidden="1" x14ac:dyDescent="0.25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</row>
    <row r="670" spans="2:28" s="4" customFormat="1" ht="15" hidden="1" x14ac:dyDescent="0.25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</row>
    <row r="671" spans="2:28" s="4" customFormat="1" ht="15" hidden="1" x14ac:dyDescent="0.25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</row>
    <row r="672" spans="2:28" s="4" customFormat="1" ht="15" hidden="1" x14ac:dyDescent="0.25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</row>
    <row r="673" spans="2:28" s="4" customFormat="1" ht="15" hidden="1" x14ac:dyDescent="0.25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</row>
    <row r="674" spans="2:28" s="4" customFormat="1" ht="15" hidden="1" x14ac:dyDescent="0.25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</row>
    <row r="675" spans="2:28" s="4" customFormat="1" ht="15" hidden="1" x14ac:dyDescent="0.25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</row>
    <row r="676" spans="2:28" s="4" customFormat="1" ht="15" hidden="1" x14ac:dyDescent="0.25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</row>
    <row r="677" spans="2:28" s="4" customFormat="1" ht="15" hidden="1" x14ac:dyDescent="0.25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</row>
    <row r="678" spans="2:28" s="4" customFormat="1" ht="15" hidden="1" x14ac:dyDescent="0.25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</row>
    <row r="679" spans="2:28" s="4" customFormat="1" ht="15" hidden="1" x14ac:dyDescent="0.25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</row>
    <row r="680" spans="2:28" s="4" customFormat="1" ht="15" hidden="1" x14ac:dyDescent="0.25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</row>
    <row r="681" spans="2:28" s="4" customFormat="1" ht="15" hidden="1" x14ac:dyDescent="0.25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</row>
    <row r="682" spans="2:28" s="4" customFormat="1" ht="15" hidden="1" x14ac:dyDescent="0.25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</row>
    <row r="683" spans="2:28" s="4" customFormat="1" ht="15" hidden="1" x14ac:dyDescent="0.25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</row>
    <row r="684" spans="2:28" s="4" customFormat="1" ht="15" hidden="1" x14ac:dyDescent="0.25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</row>
    <row r="685" spans="2:28" s="4" customFormat="1" ht="15" hidden="1" x14ac:dyDescent="0.25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</row>
    <row r="686" spans="2:28" s="4" customFormat="1" ht="15" hidden="1" x14ac:dyDescent="0.25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</row>
    <row r="687" spans="2:28" s="4" customFormat="1" ht="15" hidden="1" x14ac:dyDescent="0.25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</row>
    <row r="688" spans="2:28" s="4" customFormat="1" ht="15" hidden="1" x14ac:dyDescent="0.25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</row>
    <row r="689" spans="2:28" s="4" customFormat="1" ht="15" hidden="1" x14ac:dyDescent="0.25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</row>
    <row r="690" spans="2:28" s="4" customFormat="1" ht="15" hidden="1" x14ac:dyDescent="0.25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</row>
    <row r="691" spans="2:28" s="4" customFormat="1" ht="15" hidden="1" x14ac:dyDescent="0.25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</row>
    <row r="692" spans="2:28" s="4" customFormat="1" ht="15" hidden="1" x14ac:dyDescent="0.25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</row>
    <row r="693" spans="2:28" s="4" customFormat="1" ht="15" hidden="1" x14ac:dyDescent="0.25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</row>
    <row r="694" spans="2:28" s="4" customFormat="1" ht="15" hidden="1" x14ac:dyDescent="0.25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</row>
    <row r="695" spans="2:28" s="4" customFormat="1" ht="15" hidden="1" x14ac:dyDescent="0.25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</row>
    <row r="696" spans="2:28" s="4" customFormat="1" ht="15" hidden="1" x14ac:dyDescent="0.25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</row>
    <row r="697" spans="2:28" s="4" customFormat="1" ht="15" hidden="1" x14ac:dyDescent="0.25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</row>
    <row r="698" spans="2:28" s="4" customFormat="1" ht="15" hidden="1" x14ac:dyDescent="0.25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</row>
    <row r="699" spans="2:28" s="4" customFormat="1" ht="15" hidden="1" x14ac:dyDescent="0.25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</row>
    <row r="700" spans="2:28" s="4" customFormat="1" ht="15" hidden="1" x14ac:dyDescent="0.25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</row>
    <row r="701" spans="2:28" s="4" customFormat="1" ht="15" hidden="1" x14ac:dyDescent="0.25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</row>
    <row r="702" spans="2:28" s="4" customFormat="1" ht="15" hidden="1" x14ac:dyDescent="0.25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</row>
    <row r="703" spans="2:28" s="4" customFormat="1" ht="15" hidden="1" x14ac:dyDescent="0.25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</row>
    <row r="704" spans="2:28" s="4" customFormat="1" ht="15" hidden="1" x14ac:dyDescent="0.25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</row>
    <row r="705" spans="2:28" s="4" customFormat="1" ht="15" hidden="1" x14ac:dyDescent="0.25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</row>
    <row r="706" spans="2:28" s="4" customFormat="1" ht="15" hidden="1" x14ac:dyDescent="0.25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</row>
    <row r="707" spans="2:28" s="4" customFormat="1" ht="15" hidden="1" x14ac:dyDescent="0.25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</row>
    <row r="708" spans="2:28" s="4" customFormat="1" ht="15" hidden="1" x14ac:dyDescent="0.25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</row>
    <row r="709" spans="2:28" s="4" customFormat="1" ht="15" hidden="1" x14ac:dyDescent="0.25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</row>
    <row r="710" spans="2:28" s="4" customFormat="1" ht="15" hidden="1" x14ac:dyDescent="0.25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</row>
    <row r="711" spans="2:28" s="4" customFormat="1" ht="15" hidden="1" x14ac:dyDescent="0.25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</row>
    <row r="712" spans="2:28" s="4" customFormat="1" ht="15" hidden="1" x14ac:dyDescent="0.25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</row>
    <row r="713" spans="2:28" s="4" customFormat="1" ht="15" hidden="1" x14ac:dyDescent="0.25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</row>
    <row r="714" spans="2:28" s="4" customFormat="1" ht="15" hidden="1" x14ac:dyDescent="0.25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</row>
    <row r="715" spans="2:28" s="4" customFormat="1" ht="15" hidden="1" x14ac:dyDescent="0.25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</row>
    <row r="716" spans="2:28" s="4" customFormat="1" ht="15" hidden="1" x14ac:dyDescent="0.25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</row>
    <row r="717" spans="2:28" s="4" customFormat="1" ht="15" hidden="1" x14ac:dyDescent="0.25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</row>
    <row r="718" spans="2:28" s="4" customFormat="1" ht="15" hidden="1" x14ac:dyDescent="0.25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</row>
    <row r="719" spans="2:28" s="4" customFormat="1" ht="15" hidden="1" x14ac:dyDescent="0.25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</row>
    <row r="720" spans="2:28" s="4" customFormat="1" ht="15" hidden="1" x14ac:dyDescent="0.25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</row>
    <row r="721" spans="2:28" s="4" customFormat="1" ht="15" hidden="1" x14ac:dyDescent="0.25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</row>
    <row r="722" spans="2:28" s="4" customFormat="1" ht="15" hidden="1" x14ac:dyDescent="0.25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</row>
    <row r="723" spans="2:28" s="4" customFormat="1" ht="15" hidden="1" x14ac:dyDescent="0.25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</row>
    <row r="724" spans="2:28" s="4" customFormat="1" ht="15" hidden="1" x14ac:dyDescent="0.25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</row>
    <row r="725" spans="2:28" s="4" customFormat="1" ht="15" hidden="1" x14ac:dyDescent="0.25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</row>
    <row r="726" spans="2:28" s="4" customFormat="1" ht="15" hidden="1" x14ac:dyDescent="0.25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</row>
    <row r="727" spans="2:28" s="4" customFormat="1" ht="15" hidden="1" x14ac:dyDescent="0.25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</row>
    <row r="728" spans="2:28" s="4" customFormat="1" ht="15" hidden="1" x14ac:dyDescent="0.25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</row>
    <row r="729" spans="2:28" s="4" customFormat="1" ht="15" hidden="1" x14ac:dyDescent="0.25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</row>
    <row r="730" spans="2:28" s="4" customFormat="1" ht="15" hidden="1" x14ac:dyDescent="0.25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</row>
    <row r="731" spans="2:28" s="4" customFormat="1" ht="15" hidden="1" x14ac:dyDescent="0.25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</row>
    <row r="732" spans="2:28" s="4" customFormat="1" ht="15" hidden="1" x14ac:dyDescent="0.25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</row>
    <row r="733" spans="2:28" s="4" customFormat="1" ht="15" hidden="1" x14ac:dyDescent="0.25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</row>
    <row r="734" spans="2:28" s="4" customFormat="1" ht="15" hidden="1" x14ac:dyDescent="0.25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</row>
    <row r="735" spans="2:28" s="4" customFormat="1" ht="15" hidden="1" x14ac:dyDescent="0.25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</row>
    <row r="736" spans="2:28" s="4" customFormat="1" ht="15" hidden="1" x14ac:dyDescent="0.25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</row>
    <row r="737" spans="2:28" s="4" customFormat="1" ht="15" hidden="1" x14ac:dyDescent="0.25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</row>
    <row r="738" spans="2:28" s="4" customFormat="1" ht="15" hidden="1" x14ac:dyDescent="0.25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</row>
    <row r="739" spans="2:28" s="4" customFormat="1" ht="15" hidden="1" x14ac:dyDescent="0.25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</row>
    <row r="740" spans="2:28" s="4" customFormat="1" ht="15" hidden="1" x14ac:dyDescent="0.25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</row>
    <row r="741" spans="2:28" s="4" customFormat="1" ht="15" hidden="1" x14ac:dyDescent="0.25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</row>
    <row r="742" spans="2:28" s="4" customFormat="1" ht="15" hidden="1" x14ac:dyDescent="0.25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</row>
    <row r="743" spans="2:28" s="4" customFormat="1" ht="15" hidden="1" x14ac:dyDescent="0.2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</row>
    <row r="744" spans="2:28" s="4" customFormat="1" ht="15" hidden="1" x14ac:dyDescent="0.2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</row>
    <row r="745" spans="2:28" s="4" customFormat="1" ht="15" hidden="1" x14ac:dyDescent="0.25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</row>
    <row r="746" spans="2:28" s="4" customFormat="1" ht="15" hidden="1" x14ac:dyDescent="0.25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</row>
    <row r="747" spans="2:28" s="4" customFormat="1" ht="15" hidden="1" x14ac:dyDescent="0.25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</row>
    <row r="748" spans="2:28" s="4" customFormat="1" ht="15" hidden="1" x14ac:dyDescent="0.25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</row>
    <row r="749" spans="2:28" s="4" customFormat="1" ht="15" hidden="1" x14ac:dyDescent="0.25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</row>
    <row r="750" spans="2:28" s="4" customFormat="1" ht="15" hidden="1" x14ac:dyDescent="0.25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</row>
    <row r="751" spans="2:28" s="4" customFormat="1" ht="15" hidden="1" x14ac:dyDescent="0.25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</row>
    <row r="752" spans="2:28" s="4" customFormat="1" ht="15" hidden="1" x14ac:dyDescent="0.25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</row>
    <row r="753" spans="2:28" s="4" customFormat="1" ht="15" hidden="1" x14ac:dyDescent="0.25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</row>
    <row r="754" spans="2:28" s="4" customFormat="1" ht="15" hidden="1" x14ac:dyDescent="0.25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</row>
    <row r="755" spans="2:28" s="4" customFormat="1" ht="15" hidden="1" x14ac:dyDescent="0.25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</row>
    <row r="756" spans="2:28" s="4" customFormat="1" ht="15" hidden="1" x14ac:dyDescent="0.25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</row>
    <row r="757" spans="2:28" s="4" customFormat="1" ht="15" hidden="1" x14ac:dyDescent="0.25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</row>
    <row r="758" spans="2:28" s="4" customFormat="1" ht="15" hidden="1" x14ac:dyDescent="0.25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</row>
    <row r="759" spans="2:28" s="4" customFormat="1" ht="15" hidden="1" x14ac:dyDescent="0.25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</row>
    <row r="760" spans="2:28" s="4" customFormat="1" ht="15" hidden="1" x14ac:dyDescent="0.25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</row>
    <row r="761" spans="2:28" s="4" customFormat="1" ht="15" hidden="1" x14ac:dyDescent="0.25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</row>
    <row r="762" spans="2:28" s="4" customFormat="1" ht="15" hidden="1" x14ac:dyDescent="0.25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</row>
    <row r="763" spans="2:28" s="4" customFormat="1" ht="15" hidden="1" x14ac:dyDescent="0.25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</row>
    <row r="764" spans="2:28" s="4" customFormat="1" ht="15" hidden="1" x14ac:dyDescent="0.25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</row>
    <row r="765" spans="2:28" s="4" customFormat="1" ht="15" hidden="1" x14ac:dyDescent="0.25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</row>
    <row r="766" spans="2:28" s="4" customFormat="1" ht="15" hidden="1" x14ac:dyDescent="0.25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</row>
    <row r="767" spans="2:28" s="4" customFormat="1" ht="15" hidden="1" x14ac:dyDescent="0.25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</row>
    <row r="768" spans="2:28" s="4" customFormat="1" ht="15" hidden="1" x14ac:dyDescent="0.25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</row>
    <row r="769" spans="2:28" s="4" customFormat="1" ht="15" hidden="1" x14ac:dyDescent="0.25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</row>
    <row r="770" spans="2:28" s="4" customFormat="1" ht="15" hidden="1" x14ac:dyDescent="0.25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</row>
    <row r="771" spans="2:28" s="4" customFormat="1" ht="15" hidden="1" x14ac:dyDescent="0.25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</row>
    <row r="772" spans="2:28" s="4" customFormat="1" ht="15" hidden="1" x14ac:dyDescent="0.25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</row>
    <row r="773" spans="2:28" s="4" customFormat="1" ht="15" hidden="1" x14ac:dyDescent="0.25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</row>
    <row r="774" spans="2:28" s="4" customFormat="1" ht="15" hidden="1" x14ac:dyDescent="0.25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</row>
    <row r="775" spans="2:28" s="4" customFormat="1" ht="15" hidden="1" x14ac:dyDescent="0.25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</row>
    <row r="776" spans="2:28" s="4" customFormat="1" ht="15" hidden="1" x14ac:dyDescent="0.25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</row>
    <row r="777" spans="2:28" s="4" customFormat="1" ht="15" hidden="1" x14ac:dyDescent="0.25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</row>
    <row r="778" spans="2:28" s="4" customFormat="1" ht="15" hidden="1" x14ac:dyDescent="0.25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</row>
    <row r="779" spans="2:28" s="4" customFormat="1" ht="15" hidden="1" x14ac:dyDescent="0.25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</row>
    <row r="780" spans="2:28" s="4" customFormat="1" ht="15" hidden="1" x14ac:dyDescent="0.25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</row>
    <row r="781" spans="2:28" s="4" customFormat="1" ht="15" hidden="1" x14ac:dyDescent="0.25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</row>
    <row r="782" spans="2:28" s="4" customFormat="1" ht="15" hidden="1" x14ac:dyDescent="0.25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</row>
    <row r="783" spans="2:28" s="4" customFormat="1" ht="15" hidden="1" x14ac:dyDescent="0.25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</row>
    <row r="784" spans="2:28" s="4" customFormat="1" ht="15" hidden="1" x14ac:dyDescent="0.25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</row>
    <row r="785" spans="2:28" s="4" customFormat="1" ht="15" hidden="1" x14ac:dyDescent="0.25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</row>
    <row r="786" spans="2:28" s="4" customFormat="1" ht="15" hidden="1" x14ac:dyDescent="0.25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</row>
    <row r="787" spans="2:28" s="4" customFormat="1" ht="15" hidden="1" x14ac:dyDescent="0.25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</row>
    <row r="788" spans="2:28" s="4" customFormat="1" ht="15" hidden="1" x14ac:dyDescent="0.25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</row>
    <row r="789" spans="2:28" s="4" customFormat="1" ht="15" hidden="1" x14ac:dyDescent="0.25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</row>
    <row r="790" spans="2:28" s="4" customFormat="1" ht="15" hidden="1" x14ac:dyDescent="0.25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</row>
    <row r="791" spans="2:28" s="4" customFormat="1" ht="15" hidden="1" x14ac:dyDescent="0.25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</row>
    <row r="792" spans="2:28" s="4" customFormat="1" ht="15" hidden="1" x14ac:dyDescent="0.25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</row>
    <row r="793" spans="2:28" s="4" customFormat="1" ht="15" hidden="1" x14ac:dyDescent="0.25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</row>
    <row r="794" spans="2:28" s="4" customFormat="1" ht="15" hidden="1" x14ac:dyDescent="0.25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</row>
    <row r="795" spans="2:28" s="4" customFormat="1" ht="15" hidden="1" x14ac:dyDescent="0.25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</row>
    <row r="796" spans="2:28" s="4" customFormat="1" ht="15" hidden="1" x14ac:dyDescent="0.25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</row>
    <row r="797" spans="2:28" s="4" customFormat="1" ht="15" hidden="1" x14ac:dyDescent="0.25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</row>
    <row r="798" spans="2:28" s="4" customFormat="1" ht="15" hidden="1" x14ac:dyDescent="0.25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</row>
    <row r="799" spans="2:28" s="4" customFormat="1" ht="15" hidden="1" x14ac:dyDescent="0.25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</row>
    <row r="800" spans="2:28" s="4" customFormat="1" ht="15" hidden="1" x14ac:dyDescent="0.25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</row>
    <row r="801" spans="2:28" s="4" customFormat="1" ht="15" hidden="1" x14ac:dyDescent="0.25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</row>
    <row r="802" spans="2:28" s="4" customFormat="1" ht="15" hidden="1" x14ac:dyDescent="0.25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</row>
    <row r="803" spans="2:28" s="4" customFormat="1" ht="15" hidden="1" x14ac:dyDescent="0.25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</row>
    <row r="804" spans="2:28" s="4" customFormat="1" ht="15" hidden="1" x14ac:dyDescent="0.25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</row>
    <row r="805" spans="2:28" s="4" customFormat="1" ht="15" hidden="1" x14ac:dyDescent="0.25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</row>
    <row r="806" spans="2:28" s="4" customFormat="1" ht="15" hidden="1" x14ac:dyDescent="0.25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</row>
    <row r="807" spans="2:28" s="4" customFormat="1" ht="15" hidden="1" x14ac:dyDescent="0.25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</row>
    <row r="808" spans="2:28" s="4" customFormat="1" ht="15" hidden="1" x14ac:dyDescent="0.25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</row>
    <row r="809" spans="2:28" s="4" customFormat="1" ht="15" hidden="1" x14ac:dyDescent="0.25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</row>
    <row r="810" spans="2:28" s="4" customFormat="1" ht="15" hidden="1" x14ac:dyDescent="0.25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</row>
    <row r="811" spans="2:28" s="4" customFormat="1" ht="15" hidden="1" x14ac:dyDescent="0.25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</row>
    <row r="812" spans="2:28" s="4" customFormat="1" ht="15" hidden="1" x14ac:dyDescent="0.25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</row>
    <row r="813" spans="2:28" s="4" customFormat="1" ht="15" hidden="1" x14ac:dyDescent="0.25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</row>
    <row r="814" spans="2:28" s="4" customFormat="1" ht="15" hidden="1" x14ac:dyDescent="0.25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</row>
    <row r="815" spans="2:28" s="4" customFormat="1" ht="15" hidden="1" x14ac:dyDescent="0.25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</row>
    <row r="816" spans="2:28" s="4" customFormat="1" ht="15" hidden="1" x14ac:dyDescent="0.25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</row>
    <row r="817" spans="2:28" s="4" customFormat="1" ht="15" hidden="1" x14ac:dyDescent="0.25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</row>
    <row r="818" spans="2:28" s="4" customFormat="1" ht="15" hidden="1" x14ac:dyDescent="0.25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</row>
    <row r="819" spans="2:28" s="4" customFormat="1" ht="15" hidden="1" x14ac:dyDescent="0.25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</row>
    <row r="820" spans="2:28" s="4" customFormat="1" ht="15" hidden="1" x14ac:dyDescent="0.25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</row>
    <row r="821" spans="2:28" s="4" customFormat="1" ht="15" hidden="1" x14ac:dyDescent="0.25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</row>
    <row r="822" spans="2:28" s="4" customFormat="1" ht="15" hidden="1" x14ac:dyDescent="0.25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</row>
    <row r="823" spans="2:28" s="4" customFormat="1" ht="15" hidden="1" x14ac:dyDescent="0.25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</row>
    <row r="824" spans="2:28" s="4" customFormat="1" ht="15" hidden="1" x14ac:dyDescent="0.2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</row>
    <row r="825" spans="2:28" s="4" customFormat="1" ht="15" hidden="1" x14ac:dyDescent="0.2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</row>
    <row r="826" spans="2:28" s="4" customFormat="1" ht="15" hidden="1" x14ac:dyDescent="0.25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</row>
    <row r="827" spans="2:28" s="4" customFormat="1" ht="15" hidden="1" x14ac:dyDescent="0.25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</row>
    <row r="828" spans="2:28" s="4" customFormat="1" ht="15" hidden="1" x14ac:dyDescent="0.2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</row>
    <row r="829" spans="2:28" s="4" customFormat="1" ht="15" hidden="1" x14ac:dyDescent="0.25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</row>
    <row r="830" spans="2:28" s="4" customFormat="1" ht="15" hidden="1" x14ac:dyDescent="0.25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</row>
    <row r="831" spans="2:28" s="4" customFormat="1" ht="15" hidden="1" x14ac:dyDescent="0.25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</row>
    <row r="832" spans="2:28" s="4" customFormat="1" ht="15" hidden="1" x14ac:dyDescent="0.25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</row>
    <row r="833" spans="2:28" s="4" customFormat="1" ht="15" hidden="1" x14ac:dyDescent="0.25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</row>
    <row r="834" spans="2:28" s="4" customFormat="1" ht="15" hidden="1" x14ac:dyDescent="0.25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</row>
    <row r="835" spans="2:28" s="4" customFormat="1" ht="15" hidden="1" x14ac:dyDescent="0.25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</row>
    <row r="836" spans="2:28" s="4" customFormat="1" ht="15" hidden="1" x14ac:dyDescent="0.25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</row>
    <row r="837" spans="2:28" s="4" customFormat="1" ht="15" hidden="1" x14ac:dyDescent="0.25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</row>
    <row r="838" spans="2:28" s="4" customFormat="1" ht="15" hidden="1" x14ac:dyDescent="0.25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</row>
    <row r="839" spans="2:28" s="4" customFormat="1" ht="15" hidden="1" x14ac:dyDescent="0.25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</row>
    <row r="840" spans="2:28" s="4" customFormat="1" ht="15" hidden="1" x14ac:dyDescent="0.25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</row>
    <row r="841" spans="2:28" s="4" customFormat="1" ht="15" hidden="1" x14ac:dyDescent="0.25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</row>
    <row r="842" spans="2:28" s="4" customFormat="1" ht="15" hidden="1" x14ac:dyDescent="0.25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</row>
    <row r="843" spans="2:28" s="4" customFormat="1" ht="15" hidden="1" x14ac:dyDescent="0.25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</row>
    <row r="844" spans="2:28" s="4" customFormat="1" ht="15" hidden="1" x14ac:dyDescent="0.25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</row>
    <row r="845" spans="2:28" s="4" customFormat="1" ht="15" hidden="1" x14ac:dyDescent="0.25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</row>
    <row r="846" spans="2:28" s="4" customFormat="1" ht="15" hidden="1" x14ac:dyDescent="0.25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</row>
    <row r="847" spans="2:28" s="4" customFormat="1" ht="15" hidden="1" x14ac:dyDescent="0.25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</row>
    <row r="848" spans="2:28" s="4" customFormat="1" ht="15" hidden="1" x14ac:dyDescent="0.25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</row>
    <row r="849" spans="2:28" s="4" customFormat="1" ht="15" hidden="1" x14ac:dyDescent="0.25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</row>
    <row r="850" spans="2:28" s="4" customFormat="1" ht="15" hidden="1" x14ac:dyDescent="0.25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</row>
    <row r="851" spans="2:28" s="4" customFormat="1" ht="15" hidden="1" x14ac:dyDescent="0.25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</row>
    <row r="852" spans="2:28" s="4" customFormat="1" ht="15" hidden="1" x14ac:dyDescent="0.25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</row>
    <row r="853" spans="2:28" s="4" customFormat="1" ht="15" hidden="1" x14ac:dyDescent="0.25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</row>
    <row r="854" spans="2:28" s="4" customFormat="1" ht="15" hidden="1" x14ac:dyDescent="0.25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</row>
    <row r="855" spans="2:28" s="4" customFormat="1" ht="15" hidden="1" x14ac:dyDescent="0.25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</row>
    <row r="856" spans="2:28" s="4" customFormat="1" ht="15" hidden="1" x14ac:dyDescent="0.25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</row>
    <row r="857" spans="2:28" s="4" customFormat="1" ht="15" hidden="1" x14ac:dyDescent="0.25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</row>
    <row r="858" spans="2:28" s="4" customFormat="1" ht="15" hidden="1" x14ac:dyDescent="0.25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</row>
    <row r="859" spans="2:28" s="4" customFormat="1" ht="15" hidden="1" x14ac:dyDescent="0.25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</row>
    <row r="860" spans="2:28" s="4" customFormat="1" ht="15" hidden="1" x14ac:dyDescent="0.25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</row>
    <row r="861" spans="2:28" s="4" customFormat="1" ht="15" hidden="1" x14ac:dyDescent="0.25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</row>
    <row r="862" spans="2:28" s="4" customFormat="1" ht="15" hidden="1" x14ac:dyDescent="0.25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</row>
    <row r="863" spans="2:28" s="4" customFormat="1" ht="15" hidden="1" x14ac:dyDescent="0.25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</row>
    <row r="864" spans="2:28" s="4" customFormat="1" ht="15" hidden="1" x14ac:dyDescent="0.25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</row>
    <row r="865" spans="2:28" s="4" customFormat="1" ht="15" hidden="1" x14ac:dyDescent="0.25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</row>
    <row r="866" spans="2:28" s="4" customFormat="1" ht="15" hidden="1" x14ac:dyDescent="0.25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</row>
    <row r="867" spans="2:28" s="4" customFormat="1" ht="15" hidden="1" x14ac:dyDescent="0.25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</row>
    <row r="868" spans="2:28" s="4" customFormat="1" ht="15" hidden="1" x14ac:dyDescent="0.25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</row>
    <row r="869" spans="2:28" s="4" customFormat="1" ht="15" hidden="1" x14ac:dyDescent="0.25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</row>
    <row r="870" spans="2:28" s="4" customFormat="1" ht="15" hidden="1" x14ac:dyDescent="0.25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</row>
    <row r="871" spans="2:28" s="4" customFormat="1" ht="15" hidden="1" x14ac:dyDescent="0.25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</row>
    <row r="872" spans="2:28" s="4" customFormat="1" ht="15" hidden="1" x14ac:dyDescent="0.25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</row>
    <row r="873" spans="2:28" s="4" customFormat="1" ht="15" hidden="1" x14ac:dyDescent="0.25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</row>
    <row r="874" spans="2:28" s="4" customFormat="1" ht="15" hidden="1" x14ac:dyDescent="0.25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</row>
    <row r="875" spans="2:28" s="4" customFormat="1" ht="15" hidden="1" x14ac:dyDescent="0.25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</row>
    <row r="876" spans="2:28" s="4" customFormat="1" ht="15" hidden="1" x14ac:dyDescent="0.25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</row>
    <row r="877" spans="2:28" s="4" customFormat="1" ht="15" hidden="1" x14ac:dyDescent="0.25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</row>
    <row r="878" spans="2:28" s="4" customFormat="1" ht="15" hidden="1" x14ac:dyDescent="0.25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</row>
    <row r="879" spans="2:28" s="4" customFormat="1" ht="15" hidden="1" x14ac:dyDescent="0.25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</row>
    <row r="880" spans="2:28" s="4" customFormat="1" ht="15" hidden="1" x14ac:dyDescent="0.25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</row>
    <row r="881" spans="2:28" s="4" customFormat="1" ht="15" hidden="1" x14ac:dyDescent="0.25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</row>
    <row r="882" spans="2:28" s="4" customFormat="1" ht="15" hidden="1" x14ac:dyDescent="0.25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</row>
    <row r="883" spans="2:28" s="4" customFormat="1" ht="15" hidden="1" x14ac:dyDescent="0.25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</row>
    <row r="884" spans="2:28" s="4" customFormat="1" ht="15" hidden="1" x14ac:dyDescent="0.25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</row>
    <row r="885" spans="2:28" s="4" customFormat="1" ht="15" hidden="1" x14ac:dyDescent="0.25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</row>
    <row r="886" spans="2:28" s="4" customFormat="1" ht="15" hidden="1" x14ac:dyDescent="0.25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</row>
    <row r="887" spans="2:28" s="4" customFormat="1" ht="15" hidden="1" x14ac:dyDescent="0.25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</row>
    <row r="888" spans="2:28" s="4" customFormat="1" ht="15" hidden="1" x14ac:dyDescent="0.25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</row>
    <row r="889" spans="2:28" s="4" customFormat="1" ht="15" hidden="1" x14ac:dyDescent="0.25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</row>
    <row r="890" spans="2:28" s="4" customFormat="1" ht="15" hidden="1" x14ac:dyDescent="0.25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</row>
    <row r="891" spans="2:28" s="4" customFormat="1" ht="15" hidden="1" x14ac:dyDescent="0.25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</row>
    <row r="892" spans="2:28" s="4" customFormat="1" ht="15" hidden="1" x14ac:dyDescent="0.25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</row>
    <row r="893" spans="2:28" s="4" customFormat="1" ht="15" hidden="1" x14ac:dyDescent="0.25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</row>
    <row r="894" spans="2:28" s="4" customFormat="1" ht="15" hidden="1" x14ac:dyDescent="0.25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</row>
    <row r="895" spans="2:28" s="4" customFormat="1" ht="15" hidden="1" x14ac:dyDescent="0.25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</row>
    <row r="896" spans="2:28" s="4" customFormat="1" ht="15" hidden="1" x14ac:dyDescent="0.25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</row>
    <row r="897" spans="2:28" s="4" customFormat="1" ht="15" hidden="1" x14ac:dyDescent="0.25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</row>
    <row r="898" spans="2:28" s="4" customFormat="1" ht="15" hidden="1" x14ac:dyDescent="0.25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</row>
    <row r="899" spans="2:28" s="4" customFormat="1" ht="15" hidden="1" x14ac:dyDescent="0.25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</row>
    <row r="900" spans="2:28" s="4" customFormat="1" ht="15" hidden="1" x14ac:dyDescent="0.25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</row>
    <row r="901" spans="2:28" s="4" customFormat="1" ht="15" hidden="1" x14ac:dyDescent="0.25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</row>
    <row r="902" spans="2:28" s="4" customFormat="1" ht="15" hidden="1" x14ac:dyDescent="0.25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</row>
    <row r="903" spans="2:28" s="4" customFormat="1" ht="15" hidden="1" x14ac:dyDescent="0.25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</row>
    <row r="904" spans="2:28" s="4" customFormat="1" ht="15" hidden="1" x14ac:dyDescent="0.25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</row>
    <row r="905" spans="2:28" s="4" customFormat="1" ht="15" hidden="1" x14ac:dyDescent="0.2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</row>
    <row r="906" spans="2:28" s="4" customFormat="1" ht="15" hidden="1" x14ac:dyDescent="0.2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</row>
    <row r="907" spans="2:28" s="4" customFormat="1" ht="15" hidden="1" x14ac:dyDescent="0.25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</row>
    <row r="908" spans="2:28" s="4" customFormat="1" ht="15" hidden="1" x14ac:dyDescent="0.25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</row>
    <row r="909" spans="2:28" s="4" customFormat="1" ht="15" hidden="1" x14ac:dyDescent="0.25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</row>
    <row r="910" spans="2:28" s="4" customFormat="1" ht="15" hidden="1" x14ac:dyDescent="0.25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</row>
    <row r="911" spans="2:28" s="4" customFormat="1" ht="15" hidden="1" x14ac:dyDescent="0.25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</row>
    <row r="912" spans="2:28" s="4" customFormat="1" ht="15" hidden="1" x14ac:dyDescent="0.25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</row>
    <row r="913" spans="2:28" s="4" customFormat="1" ht="15" hidden="1" x14ac:dyDescent="0.25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</row>
    <row r="914" spans="2:28" s="4" customFormat="1" ht="15" hidden="1" x14ac:dyDescent="0.25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</row>
    <row r="915" spans="2:28" s="4" customFormat="1" ht="15" hidden="1" x14ac:dyDescent="0.25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</row>
    <row r="916" spans="2:28" s="4" customFormat="1" ht="15" hidden="1" x14ac:dyDescent="0.25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</row>
    <row r="917" spans="2:28" s="4" customFormat="1" ht="15" hidden="1" x14ac:dyDescent="0.25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</row>
    <row r="918" spans="2:28" s="4" customFormat="1" ht="15" hidden="1" x14ac:dyDescent="0.25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</row>
    <row r="919" spans="2:28" s="4" customFormat="1" ht="15" hidden="1" x14ac:dyDescent="0.25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</row>
    <row r="920" spans="2:28" s="4" customFormat="1" ht="15" hidden="1" x14ac:dyDescent="0.25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</row>
    <row r="921" spans="2:28" s="4" customFormat="1" ht="15" hidden="1" x14ac:dyDescent="0.25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</row>
    <row r="922" spans="2:28" s="4" customFormat="1" ht="15" hidden="1" x14ac:dyDescent="0.25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</row>
    <row r="923" spans="2:28" s="4" customFormat="1" ht="15" hidden="1" x14ac:dyDescent="0.25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</row>
    <row r="924" spans="2:28" s="4" customFormat="1" ht="15" hidden="1" x14ac:dyDescent="0.25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</row>
    <row r="925" spans="2:28" s="4" customFormat="1" ht="15" hidden="1" x14ac:dyDescent="0.25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</row>
    <row r="926" spans="2:28" s="4" customFormat="1" ht="15" hidden="1" x14ac:dyDescent="0.25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</row>
    <row r="927" spans="2:28" s="4" customFormat="1" ht="15" hidden="1" x14ac:dyDescent="0.25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</row>
    <row r="928" spans="2:28" s="4" customFormat="1" ht="15" hidden="1" x14ac:dyDescent="0.25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</row>
    <row r="929" spans="2:28" s="4" customFormat="1" ht="15" hidden="1" x14ac:dyDescent="0.25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</row>
    <row r="930" spans="2:28" s="4" customFormat="1" ht="15" hidden="1" x14ac:dyDescent="0.25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</row>
    <row r="931" spans="2:28" s="4" customFormat="1" ht="15" hidden="1" x14ac:dyDescent="0.25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</row>
    <row r="932" spans="2:28" s="4" customFormat="1" ht="15" hidden="1" x14ac:dyDescent="0.25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</row>
    <row r="933" spans="2:28" s="4" customFormat="1" ht="15" hidden="1" x14ac:dyDescent="0.25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</row>
    <row r="934" spans="2:28" s="4" customFormat="1" ht="15" hidden="1" x14ac:dyDescent="0.25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</row>
    <row r="935" spans="2:28" s="4" customFormat="1" ht="15" hidden="1" x14ac:dyDescent="0.25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</row>
    <row r="936" spans="2:28" s="4" customFormat="1" ht="15" hidden="1" x14ac:dyDescent="0.25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</row>
    <row r="937" spans="2:28" s="4" customFormat="1" ht="15" hidden="1" x14ac:dyDescent="0.25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</row>
    <row r="938" spans="2:28" s="4" customFormat="1" ht="15" hidden="1" x14ac:dyDescent="0.25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</row>
    <row r="939" spans="2:28" s="4" customFormat="1" ht="15" hidden="1" x14ac:dyDescent="0.25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</row>
    <row r="940" spans="2:28" s="4" customFormat="1" ht="15" hidden="1" x14ac:dyDescent="0.25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</row>
    <row r="941" spans="2:28" s="4" customFormat="1" ht="15" hidden="1" x14ac:dyDescent="0.25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</row>
    <row r="942" spans="2:28" s="4" customFormat="1" ht="15" hidden="1" x14ac:dyDescent="0.25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</row>
    <row r="943" spans="2:28" s="4" customFormat="1" ht="15" hidden="1" x14ac:dyDescent="0.25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</row>
    <row r="944" spans="2:28" s="4" customFormat="1" ht="15" hidden="1" x14ac:dyDescent="0.25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</row>
    <row r="945" spans="2:28" s="4" customFormat="1" ht="15" hidden="1" x14ac:dyDescent="0.25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</row>
    <row r="946" spans="2:28" s="4" customFormat="1" ht="15" hidden="1" x14ac:dyDescent="0.25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</row>
    <row r="947" spans="2:28" s="4" customFormat="1" ht="15" hidden="1" x14ac:dyDescent="0.25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</row>
    <row r="948" spans="2:28" s="4" customFormat="1" ht="15" hidden="1" x14ac:dyDescent="0.25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</row>
    <row r="949" spans="2:28" s="4" customFormat="1" ht="15" hidden="1" x14ac:dyDescent="0.25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</row>
    <row r="950" spans="2:28" s="4" customFormat="1" ht="15" hidden="1" x14ac:dyDescent="0.25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</row>
    <row r="951" spans="2:28" s="4" customFormat="1" ht="15" hidden="1" x14ac:dyDescent="0.25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</row>
    <row r="952" spans="2:28" s="4" customFormat="1" ht="15" hidden="1" x14ac:dyDescent="0.25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</row>
    <row r="953" spans="2:28" s="4" customFormat="1" ht="15" hidden="1" x14ac:dyDescent="0.25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</row>
    <row r="954" spans="2:28" s="4" customFormat="1" ht="15" hidden="1" x14ac:dyDescent="0.25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</row>
    <row r="955" spans="2:28" s="4" customFormat="1" ht="15" hidden="1" x14ac:dyDescent="0.25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</row>
    <row r="956" spans="2:28" s="4" customFormat="1" ht="15" hidden="1" x14ac:dyDescent="0.25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</row>
    <row r="957" spans="2:28" s="4" customFormat="1" ht="15" hidden="1" x14ac:dyDescent="0.25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</row>
    <row r="958" spans="2:28" s="4" customFormat="1" ht="15" hidden="1" x14ac:dyDescent="0.25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</row>
    <row r="959" spans="2:28" s="4" customFormat="1" ht="15" hidden="1" x14ac:dyDescent="0.25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</row>
    <row r="960" spans="2:28" s="4" customFormat="1" ht="15" hidden="1" x14ac:dyDescent="0.25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</row>
    <row r="961" spans="2:28" s="4" customFormat="1" ht="15" hidden="1" x14ac:dyDescent="0.25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</row>
    <row r="962" spans="2:28" s="4" customFormat="1" ht="15" hidden="1" x14ac:dyDescent="0.25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</row>
    <row r="963" spans="2:28" s="4" customFormat="1" ht="15" hidden="1" x14ac:dyDescent="0.25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</row>
    <row r="964" spans="2:28" s="4" customFormat="1" ht="15" hidden="1" x14ac:dyDescent="0.25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</row>
    <row r="965" spans="2:28" s="4" customFormat="1" ht="15" hidden="1" x14ac:dyDescent="0.25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</row>
    <row r="966" spans="2:28" s="4" customFormat="1" ht="15" hidden="1" x14ac:dyDescent="0.25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</row>
    <row r="967" spans="2:28" s="4" customFormat="1" ht="15" hidden="1" x14ac:dyDescent="0.25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</row>
    <row r="968" spans="2:28" s="4" customFormat="1" ht="15" hidden="1" x14ac:dyDescent="0.25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</row>
    <row r="969" spans="2:28" s="4" customFormat="1" ht="15" hidden="1" x14ac:dyDescent="0.25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</row>
    <row r="970" spans="2:28" s="4" customFormat="1" ht="15" hidden="1" x14ac:dyDescent="0.25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</row>
    <row r="971" spans="2:28" s="4" customFormat="1" ht="15" hidden="1" x14ac:dyDescent="0.25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</row>
    <row r="972" spans="2:28" s="4" customFormat="1" ht="15" hidden="1" x14ac:dyDescent="0.25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</row>
    <row r="973" spans="2:28" s="4" customFormat="1" ht="15" hidden="1" x14ac:dyDescent="0.25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</row>
    <row r="974" spans="2:28" s="4" customFormat="1" ht="15" hidden="1" x14ac:dyDescent="0.25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</row>
    <row r="975" spans="2:28" s="4" customFormat="1" ht="15" hidden="1" x14ac:dyDescent="0.25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</row>
    <row r="976" spans="2:28" s="4" customFormat="1" ht="15" hidden="1" x14ac:dyDescent="0.25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</row>
    <row r="977" spans="2:28" s="4" customFormat="1" ht="15" hidden="1" x14ac:dyDescent="0.25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</row>
    <row r="978" spans="2:28" s="4" customFormat="1" ht="15" hidden="1" x14ac:dyDescent="0.25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</row>
    <row r="979" spans="2:28" s="4" customFormat="1" ht="15" hidden="1" x14ac:dyDescent="0.25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</row>
    <row r="980" spans="2:28" s="4" customFormat="1" ht="15" hidden="1" x14ac:dyDescent="0.25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</row>
    <row r="981" spans="2:28" s="4" customFormat="1" ht="15" hidden="1" x14ac:dyDescent="0.25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</row>
    <row r="982" spans="2:28" s="4" customFormat="1" ht="15" hidden="1" x14ac:dyDescent="0.25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</row>
    <row r="983" spans="2:28" s="4" customFormat="1" ht="15" hidden="1" x14ac:dyDescent="0.25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</row>
    <row r="984" spans="2:28" s="4" customFormat="1" ht="15" hidden="1" x14ac:dyDescent="0.25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</row>
    <row r="985" spans="2:28" s="4" customFormat="1" ht="15" hidden="1" x14ac:dyDescent="0.25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</row>
    <row r="986" spans="2:28" s="4" customFormat="1" ht="15" hidden="1" x14ac:dyDescent="0.25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</row>
    <row r="987" spans="2:28" s="4" customFormat="1" ht="15" hidden="1" x14ac:dyDescent="0.25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</row>
    <row r="988" spans="2:28" s="4" customFormat="1" ht="15" hidden="1" x14ac:dyDescent="0.25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</row>
    <row r="989" spans="2:28" s="4" customFormat="1" ht="15" hidden="1" x14ac:dyDescent="0.25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</row>
    <row r="990" spans="2:28" s="4" customFormat="1" ht="15" hidden="1" x14ac:dyDescent="0.25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</row>
    <row r="991" spans="2:28" s="4" customFormat="1" ht="15" hidden="1" x14ac:dyDescent="0.25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</row>
    <row r="992" spans="2:28" s="4" customFormat="1" ht="15" hidden="1" x14ac:dyDescent="0.25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</row>
    <row r="993" spans="2:28" s="4" customFormat="1" ht="15" hidden="1" x14ac:dyDescent="0.25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</row>
    <row r="994" spans="2:28" s="4" customFormat="1" ht="15" hidden="1" x14ac:dyDescent="0.25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</row>
    <row r="995" spans="2:28" s="4" customFormat="1" ht="15" hidden="1" x14ac:dyDescent="0.25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</row>
    <row r="996" spans="2:28" s="4" customFormat="1" ht="15" hidden="1" x14ac:dyDescent="0.25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</row>
    <row r="997" spans="2:28" s="4" customFormat="1" ht="15" hidden="1" x14ac:dyDescent="0.25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</row>
    <row r="998" spans="2:28" s="4" customFormat="1" ht="15" hidden="1" x14ac:dyDescent="0.25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</row>
    <row r="999" spans="2:28" s="4" customFormat="1" ht="15" hidden="1" x14ac:dyDescent="0.25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</row>
    <row r="1000" spans="2:28" s="4" customFormat="1" ht="15" hidden="1" x14ac:dyDescent="0.25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</row>
    <row r="1001" spans="2:28" s="4" customFormat="1" ht="15" hidden="1" x14ac:dyDescent="0.25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</row>
    <row r="1002" spans="2:28" s="4" customFormat="1" ht="15" hidden="1" x14ac:dyDescent="0.25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</row>
    <row r="1003" spans="2:28" s="4" customFormat="1" ht="15" hidden="1" x14ac:dyDescent="0.25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</row>
    <row r="1004" spans="2:28" s="4" customFormat="1" ht="15" hidden="1" x14ac:dyDescent="0.25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</row>
    <row r="1005" spans="2:28" s="4" customFormat="1" ht="15" hidden="1" x14ac:dyDescent="0.25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</row>
    <row r="1006" spans="2:28" s="4" customFormat="1" ht="15" hidden="1" x14ac:dyDescent="0.25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</row>
    <row r="1007" spans="2:28" s="4" customFormat="1" ht="15" hidden="1" x14ac:dyDescent="0.25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</row>
    <row r="1008" spans="2:28" s="4" customFormat="1" ht="15" hidden="1" x14ac:dyDescent="0.25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</row>
    <row r="1009" spans="2:28" s="4" customFormat="1" ht="15" hidden="1" x14ac:dyDescent="0.25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</row>
    <row r="1010" spans="2:28" s="4" customFormat="1" ht="15" hidden="1" x14ac:dyDescent="0.25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</row>
    <row r="1011" spans="2:28" s="4" customFormat="1" ht="15" hidden="1" x14ac:dyDescent="0.25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</row>
    <row r="1012" spans="2:28" s="4" customFormat="1" ht="15" hidden="1" x14ac:dyDescent="0.25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</row>
    <row r="1013" spans="2:28" s="4" customFormat="1" ht="15" hidden="1" x14ac:dyDescent="0.25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</row>
    <row r="1014" spans="2:28" s="4" customFormat="1" ht="15" hidden="1" x14ac:dyDescent="0.25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</row>
    <row r="1015" spans="2:28" s="4" customFormat="1" ht="15" hidden="1" x14ac:dyDescent="0.25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</row>
    <row r="1016" spans="2:28" s="4" customFormat="1" ht="15" hidden="1" x14ac:dyDescent="0.25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</row>
    <row r="1017" spans="2:28" s="4" customFormat="1" ht="15" hidden="1" x14ac:dyDescent="0.25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</row>
    <row r="1018" spans="2:28" s="4" customFormat="1" ht="15" hidden="1" x14ac:dyDescent="0.25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</row>
    <row r="1019" spans="2:28" s="4" customFormat="1" ht="15" hidden="1" x14ac:dyDescent="0.25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</row>
    <row r="1020" spans="2:28" s="4" customFormat="1" ht="15" hidden="1" x14ac:dyDescent="0.25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</row>
    <row r="1021" spans="2:28" s="4" customFormat="1" ht="15" hidden="1" x14ac:dyDescent="0.25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</row>
    <row r="1022" spans="2:28" s="4" customFormat="1" ht="15" hidden="1" x14ac:dyDescent="0.25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</row>
    <row r="1023" spans="2:28" s="4" customFormat="1" ht="15" hidden="1" x14ac:dyDescent="0.25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</row>
    <row r="1024" spans="2:28" s="4" customFormat="1" ht="15" hidden="1" x14ac:dyDescent="0.25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</row>
    <row r="1025" spans="2:28" s="4" customFormat="1" ht="15" hidden="1" x14ac:dyDescent="0.25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</row>
    <row r="1026" spans="2:28" s="4" customFormat="1" ht="15" hidden="1" x14ac:dyDescent="0.25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</row>
    <row r="1027" spans="2:28" s="4" customFormat="1" ht="15" hidden="1" x14ac:dyDescent="0.25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</row>
    <row r="1028" spans="2:28" s="4" customFormat="1" ht="15" hidden="1" x14ac:dyDescent="0.25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</row>
    <row r="1029" spans="2:28" s="4" customFormat="1" ht="15" hidden="1" x14ac:dyDescent="0.25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</row>
    <row r="1030" spans="2:28" s="4" customFormat="1" ht="15" hidden="1" x14ac:dyDescent="0.25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</row>
    <row r="1031" spans="2:28" s="4" customFormat="1" ht="15" hidden="1" x14ac:dyDescent="0.25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</row>
    <row r="1032" spans="2:28" s="4" customFormat="1" ht="15" hidden="1" x14ac:dyDescent="0.25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</row>
    <row r="1033" spans="2:28" s="4" customFormat="1" ht="15" hidden="1" x14ac:dyDescent="0.25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</row>
    <row r="1034" spans="2:28" s="4" customFormat="1" ht="15" hidden="1" x14ac:dyDescent="0.25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</row>
    <row r="1035" spans="2:28" s="4" customFormat="1" ht="15" hidden="1" x14ac:dyDescent="0.25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</row>
    <row r="1036" spans="2:28" s="4" customFormat="1" ht="15" hidden="1" x14ac:dyDescent="0.25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</row>
    <row r="1037" spans="2:28" s="4" customFormat="1" ht="15" hidden="1" x14ac:dyDescent="0.25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</row>
    <row r="1038" spans="2:28" s="4" customFormat="1" ht="15" hidden="1" x14ac:dyDescent="0.25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</row>
    <row r="1039" spans="2:28" s="4" customFormat="1" ht="15" hidden="1" x14ac:dyDescent="0.25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</row>
    <row r="1040" spans="2:28" s="4" customFormat="1" ht="15" hidden="1" x14ac:dyDescent="0.25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</row>
    <row r="1041" spans="2:28" s="4" customFormat="1" ht="15" hidden="1" x14ac:dyDescent="0.25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</row>
    <row r="1042" spans="2:28" s="4" customFormat="1" ht="15" hidden="1" x14ac:dyDescent="0.25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</row>
    <row r="1043" spans="2:28" s="4" customFormat="1" ht="15" hidden="1" x14ac:dyDescent="0.25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</row>
    <row r="1044" spans="2:28" s="4" customFormat="1" ht="15" hidden="1" x14ac:dyDescent="0.25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</row>
    <row r="1045" spans="2:28" s="4" customFormat="1" ht="15" hidden="1" x14ac:dyDescent="0.25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</row>
    <row r="1046" spans="2:28" s="4" customFormat="1" ht="15" hidden="1" x14ac:dyDescent="0.25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</row>
    <row r="1047" spans="2:28" s="4" customFormat="1" ht="15" hidden="1" x14ac:dyDescent="0.25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</row>
    <row r="1048" spans="2:28" s="4" customFormat="1" ht="15" hidden="1" x14ac:dyDescent="0.25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</row>
    <row r="1049" spans="2:28" s="4" customFormat="1" ht="15" hidden="1" x14ac:dyDescent="0.25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</row>
    <row r="1050" spans="2:28" s="4" customFormat="1" ht="15" hidden="1" x14ac:dyDescent="0.25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</row>
    <row r="1051" spans="2:28" s="4" customFormat="1" ht="15" hidden="1" x14ac:dyDescent="0.25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</row>
    <row r="1052" spans="2:28" s="4" customFormat="1" ht="15" hidden="1" x14ac:dyDescent="0.25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</row>
    <row r="1053" spans="2:28" s="4" customFormat="1" ht="15" hidden="1" x14ac:dyDescent="0.25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</row>
    <row r="1054" spans="2:28" s="4" customFormat="1" ht="15" hidden="1" x14ac:dyDescent="0.25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</row>
    <row r="1055" spans="2:28" s="4" customFormat="1" ht="15" hidden="1" x14ac:dyDescent="0.25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</row>
    <row r="1056" spans="2:28" s="4" customFormat="1" ht="15" hidden="1" x14ac:dyDescent="0.25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</row>
    <row r="1057" spans="2:28" s="4" customFormat="1" ht="15" hidden="1" x14ac:dyDescent="0.25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</row>
    <row r="1058" spans="2:28" s="4" customFormat="1" ht="15" hidden="1" x14ac:dyDescent="0.25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</row>
    <row r="1059" spans="2:28" s="4" customFormat="1" ht="15" hidden="1" x14ac:dyDescent="0.25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</row>
    <row r="1060" spans="2:28" s="4" customFormat="1" ht="15" hidden="1" x14ac:dyDescent="0.25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</row>
    <row r="1061" spans="2:28" s="4" customFormat="1" ht="15" hidden="1" x14ac:dyDescent="0.25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</row>
    <row r="1062" spans="2:28" s="4" customFormat="1" ht="15" hidden="1" x14ac:dyDescent="0.25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</row>
    <row r="1063" spans="2:28" s="4" customFormat="1" ht="15" hidden="1" x14ac:dyDescent="0.25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</row>
    <row r="1064" spans="2:28" s="4" customFormat="1" ht="15" hidden="1" x14ac:dyDescent="0.25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</row>
    <row r="1065" spans="2:28" s="4" customFormat="1" ht="15" hidden="1" x14ac:dyDescent="0.25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</row>
    <row r="1066" spans="2:28" s="4" customFormat="1" ht="15" hidden="1" x14ac:dyDescent="0.25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</row>
    <row r="1067" spans="2:28" s="4" customFormat="1" ht="15" hidden="1" x14ac:dyDescent="0.25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</row>
    <row r="1068" spans="2:28" s="4" customFormat="1" ht="15" hidden="1" x14ac:dyDescent="0.25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</row>
    <row r="1069" spans="2:28" s="4" customFormat="1" ht="15" hidden="1" x14ac:dyDescent="0.25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</row>
    <row r="1070" spans="2:28" s="4" customFormat="1" ht="15" hidden="1" x14ac:dyDescent="0.25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</row>
    <row r="1071" spans="2:28" s="4" customFormat="1" ht="15" hidden="1" x14ac:dyDescent="0.25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</row>
    <row r="1072" spans="2:28" s="4" customFormat="1" ht="15" hidden="1" x14ac:dyDescent="0.25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</row>
    <row r="1073" spans="2:28" s="4" customFormat="1" ht="15" hidden="1" x14ac:dyDescent="0.25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</row>
    <row r="1074" spans="2:28" s="4" customFormat="1" ht="15" hidden="1" x14ac:dyDescent="0.25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</row>
    <row r="1075" spans="2:28" s="4" customFormat="1" ht="15" hidden="1" x14ac:dyDescent="0.25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</row>
    <row r="1076" spans="2:28" s="4" customFormat="1" ht="15" hidden="1" x14ac:dyDescent="0.25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</row>
    <row r="1077" spans="2:28" s="4" customFormat="1" ht="15" hidden="1" x14ac:dyDescent="0.25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</row>
    <row r="1078" spans="2:28" s="4" customFormat="1" ht="15" hidden="1" x14ac:dyDescent="0.25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</row>
    <row r="1079" spans="2:28" s="4" customFormat="1" ht="15" hidden="1" x14ac:dyDescent="0.25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</row>
    <row r="1080" spans="2:28" s="4" customFormat="1" ht="15" hidden="1" x14ac:dyDescent="0.25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</row>
    <row r="1081" spans="2:28" s="4" customFormat="1" ht="15" hidden="1" x14ac:dyDescent="0.25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</row>
    <row r="1082" spans="2:28" s="4" customFormat="1" ht="15" hidden="1" x14ac:dyDescent="0.25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</row>
    <row r="1083" spans="2:28" s="4" customFormat="1" ht="15" hidden="1" x14ac:dyDescent="0.25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</row>
    <row r="1084" spans="2:28" s="4" customFormat="1" ht="15" hidden="1" x14ac:dyDescent="0.25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</row>
    <row r="1085" spans="2:28" s="4" customFormat="1" ht="15" hidden="1" x14ac:dyDescent="0.25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</row>
    <row r="1086" spans="2:28" s="4" customFormat="1" ht="15" hidden="1" x14ac:dyDescent="0.25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</row>
    <row r="1087" spans="2:28" s="4" customFormat="1" ht="15" hidden="1" x14ac:dyDescent="0.25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</row>
    <row r="1088" spans="2:28" s="4" customFormat="1" ht="15" hidden="1" x14ac:dyDescent="0.25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</row>
    <row r="1089" spans="2:28" s="4" customFormat="1" ht="15" hidden="1" x14ac:dyDescent="0.25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</row>
    <row r="1090" spans="2:28" s="4" customFormat="1" ht="15" hidden="1" x14ac:dyDescent="0.25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</row>
    <row r="1091" spans="2:28" s="4" customFormat="1" ht="15" hidden="1" x14ac:dyDescent="0.25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</row>
    <row r="1092" spans="2:28" s="4" customFormat="1" ht="15" hidden="1" x14ac:dyDescent="0.25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</row>
    <row r="1093" spans="2:28" s="4" customFormat="1" ht="15" hidden="1" x14ac:dyDescent="0.25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</row>
    <row r="1094" spans="2:28" s="4" customFormat="1" ht="15" hidden="1" x14ac:dyDescent="0.25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</row>
    <row r="1095" spans="2:28" s="4" customFormat="1" ht="15" hidden="1" x14ac:dyDescent="0.25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</row>
    <row r="1096" spans="2:28" s="4" customFormat="1" ht="15" hidden="1" x14ac:dyDescent="0.25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</row>
    <row r="1097" spans="2:28" s="4" customFormat="1" ht="15" hidden="1" x14ac:dyDescent="0.25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</row>
    <row r="1098" spans="2:28" s="4" customFormat="1" ht="15" hidden="1" x14ac:dyDescent="0.25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</row>
    <row r="1099" spans="2:28" s="4" customFormat="1" ht="15" hidden="1" x14ac:dyDescent="0.25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</row>
    <row r="1100" spans="2:28" s="4" customFormat="1" ht="15" hidden="1" x14ac:dyDescent="0.25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</row>
    <row r="1101" spans="2:28" s="4" customFormat="1" ht="15" hidden="1" x14ac:dyDescent="0.25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</row>
    <row r="1102" spans="2:28" s="4" customFormat="1" ht="15" hidden="1" x14ac:dyDescent="0.25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</row>
    <row r="1103" spans="2:28" s="4" customFormat="1" ht="15" hidden="1" x14ac:dyDescent="0.25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</row>
    <row r="1104" spans="2:28" s="4" customFormat="1" ht="15" hidden="1" x14ac:dyDescent="0.25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</row>
    <row r="1105" spans="2:28" s="4" customFormat="1" ht="15" hidden="1" x14ac:dyDescent="0.25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</row>
    <row r="1106" spans="2:28" s="4" customFormat="1" ht="15" hidden="1" x14ac:dyDescent="0.25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</row>
    <row r="1107" spans="2:28" s="4" customFormat="1" ht="15" hidden="1" x14ac:dyDescent="0.25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</row>
    <row r="1108" spans="2:28" s="4" customFormat="1" ht="15" hidden="1" x14ac:dyDescent="0.25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</row>
    <row r="1109" spans="2:28" s="4" customFormat="1" ht="15" hidden="1" x14ac:dyDescent="0.25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</row>
    <row r="1110" spans="2:28" s="4" customFormat="1" ht="15" hidden="1" x14ac:dyDescent="0.25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</row>
    <row r="1111" spans="2:28" s="4" customFormat="1" ht="15" hidden="1" x14ac:dyDescent="0.25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</row>
    <row r="1112" spans="2:28" s="4" customFormat="1" ht="15" hidden="1" x14ac:dyDescent="0.25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</row>
    <row r="1113" spans="2:28" s="4" customFormat="1" ht="15" hidden="1" x14ac:dyDescent="0.25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</row>
    <row r="1114" spans="2:28" s="4" customFormat="1" ht="15" hidden="1" x14ac:dyDescent="0.25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</row>
    <row r="1115" spans="2:28" s="4" customFormat="1" ht="15" hidden="1" x14ac:dyDescent="0.25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</row>
    <row r="1116" spans="2:28" s="4" customFormat="1" ht="15" hidden="1" x14ac:dyDescent="0.25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</row>
    <row r="1117" spans="2:28" s="4" customFormat="1" ht="15" hidden="1" x14ac:dyDescent="0.25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</row>
    <row r="1118" spans="2:28" s="4" customFormat="1" ht="15" hidden="1" x14ac:dyDescent="0.25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</row>
    <row r="1119" spans="2:28" s="4" customFormat="1" ht="15" hidden="1" x14ac:dyDescent="0.25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</row>
    <row r="1120" spans="2:28" s="4" customFormat="1" ht="15" hidden="1" x14ac:dyDescent="0.25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</row>
    <row r="1121" spans="2:28" s="4" customFormat="1" ht="15" hidden="1" x14ac:dyDescent="0.25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</row>
    <row r="1122" spans="2:28" s="4" customFormat="1" ht="15" hidden="1" x14ac:dyDescent="0.25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</row>
    <row r="1123" spans="2:28" s="4" customFormat="1" ht="15" hidden="1" x14ac:dyDescent="0.25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</row>
    <row r="1124" spans="2:28" s="4" customFormat="1" ht="15" hidden="1" x14ac:dyDescent="0.25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</row>
    <row r="1125" spans="2:28" s="4" customFormat="1" ht="15" hidden="1" x14ac:dyDescent="0.25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</row>
    <row r="1126" spans="2:28" s="4" customFormat="1" ht="15" hidden="1" x14ac:dyDescent="0.25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</row>
    <row r="1127" spans="2:28" s="4" customFormat="1" ht="15" hidden="1" x14ac:dyDescent="0.25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</row>
    <row r="1128" spans="2:28" s="4" customFormat="1" ht="15" hidden="1" x14ac:dyDescent="0.25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</row>
    <row r="1129" spans="2:28" s="4" customFormat="1" ht="15" hidden="1" x14ac:dyDescent="0.25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</row>
    <row r="1130" spans="2:28" s="4" customFormat="1" ht="15" hidden="1" x14ac:dyDescent="0.25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</row>
    <row r="1131" spans="2:28" s="4" customFormat="1" ht="15" hidden="1" x14ac:dyDescent="0.25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</row>
    <row r="1132" spans="2:28" s="4" customFormat="1" ht="15" hidden="1" x14ac:dyDescent="0.25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</row>
    <row r="1133" spans="2:28" s="4" customFormat="1" ht="15" hidden="1" x14ac:dyDescent="0.25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</row>
    <row r="1134" spans="2:28" s="4" customFormat="1" ht="15" hidden="1" x14ac:dyDescent="0.25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</row>
    <row r="1135" spans="2:28" s="4" customFormat="1" ht="15" hidden="1" x14ac:dyDescent="0.25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</row>
    <row r="1136" spans="2:28" s="4" customFormat="1" ht="15" hidden="1" x14ac:dyDescent="0.25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</row>
    <row r="1137" spans="2:28" s="4" customFormat="1" ht="15" hidden="1" x14ac:dyDescent="0.25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</row>
    <row r="1138" spans="2:28" s="4" customFormat="1" ht="15" hidden="1" x14ac:dyDescent="0.25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</row>
    <row r="1139" spans="2:28" s="4" customFormat="1" ht="15" hidden="1" x14ac:dyDescent="0.25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</row>
    <row r="1140" spans="2:28" s="4" customFormat="1" ht="15" hidden="1" x14ac:dyDescent="0.25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</row>
    <row r="1141" spans="2:28" s="4" customFormat="1" ht="15" hidden="1" x14ac:dyDescent="0.25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</row>
    <row r="1142" spans="2:28" s="4" customFormat="1" ht="15" hidden="1" x14ac:dyDescent="0.25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</row>
    <row r="1143" spans="2:28" s="4" customFormat="1" ht="15" hidden="1" x14ac:dyDescent="0.25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</row>
    <row r="1144" spans="2:28" s="4" customFormat="1" ht="15" hidden="1" x14ac:dyDescent="0.25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</row>
    <row r="1145" spans="2:28" s="4" customFormat="1" ht="15" hidden="1" x14ac:dyDescent="0.25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</row>
    <row r="1146" spans="2:28" s="4" customFormat="1" ht="15" hidden="1" x14ac:dyDescent="0.25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</row>
    <row r="1147" spans="2:28" s="4" customFormat="1" ht="15" hidden="1" x14ac:dyDescent="0.25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</row>
    <row r="1148" spans="2:28" s="4" customFormat="1" ht="15" hidden="1" x14ac:dyDescent="0.25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</row>
    <row r="1149" spans="2:28" s="4" customFormat="1" ht="15" hidden="1" x14ac:dyDescent="0.25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</row>
    <row r="1150" spans="2:28" s="4" customFormat="1" ht="15" hidden="1" x14ac:dyDescent="0.25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</row>
    <row r="1151" spans="2:28" s="4" customFormat="1" ht="15" hidden="1" x14ac:dyDescent="0.25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</row>
    <row r="1152" spans="2:28" s="4" customFormat="1" ht="15" hidden="1" x14ac:dyDescent="0.25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</row>
    <row r="1153" spans="2:28" s="4" customFormat="1" ht="15" hidden="1" x14ac:dyDescent="0.25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</row>
    <row r="1154" spans="2:28" s="4" customFormat="1" ht="15" hidden="1" x14ac:dyDescent="0.25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</row>
    <row r="1155" spans="2:28" s="4" customFormat="1" ht="15" hidden="1" x14ac:dyDescent="0.25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</row>
    <row r="1156" spans="2:28" s="4" customFormat="1" ht="15" hidden="1" x14ac:dyDescent="0.25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</row>
    <row r="1157" spans="2:28" s="4" customFormat="1" ht="15" hidden="1" x14ac:dyDescent="0.25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</row>
    <row r="1158" spans="2:28" s="4" customFormat="1" ht="15" hidden="1" x14ac:dyDescent="0.25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</row>
    <row r="1159" spans="2:28" s="4" customFormat="1" ht="15" hidden="1" x14ac:dyDescent="0.25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</row>
    <row r="1160" spans="2:28" s="4" customFormat="1" ht="15" hidden="1" x14ac:dyDescent="0.25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</row>
    <row r="1161" spans="2:28" s="4" customFormat="1" ht="15" hidden="1" x14ac:dyDescent="0.25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</row>
    <row r="1162" spans="2:28" s="4" customFormat="1" ht="15" hidden="1" x14ac:dyDescent="0.25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</row>
    <row r="1163" spans="2:28" s="4" customFormat="1" ht="15" hidden="1" x14ac:dyDescent="0.25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</row>
    <row r="1164" spans="2:28" s="4" customFormat="1" ht="15" hidden="1" x14ac:dyDescent="0.25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</row>
    <row r="1165" spans="2:28" s="4" customFormat="1" ht="15" hidden="1" x14ac:dyDescent="0.25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</row>
    <row r="1166" spans="2:28" s="4" customFormat="1" ht="15" hidden="1" x14ac:dyDescent="0.25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</row>
    <row r="1167" spans="2:28" s="4" customFormat="1" ht="15" hidden="1" x14ac:dyDescent="0.25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</row>
    <row r="1168" spans="2:28" s="4" customFormat="1" ht="15" hidden="1" x14ac:dyDescent="0.25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</row>
    <row r="1169" spans="2:28" s="4" customFormat="1" ht="15" hidden="1" x14ac:dyDescent="0.25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</row>
    <row r="1170" spans="2:28" s="4" customFormat="1" ht="15" hidden="1" x14ac:dyDescent="0.25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</row>
    <row r="1171" spans="2:28" s="4" customFormat="1" ht="15" hidden="1" x14ac:dyDescent="0.25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</row>
    <row r="1172" spans="2:28" s="4" customFormat="1" ht="15" hidden="1" x14ac:dyDescent="0.25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</row>
    <row r="1173" spans="2:28" s="4" customFormat="1" ht="15" hidden="1" x14ac:dyDescent="0.25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</row>
    <row r="1174" spans="2:28" s="4" customFormat="1" ht="15" hidden="1" x14ac:dyDescent="0.25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</row>
    <row r="1175" spans="2:28" s="4" customFormat="1" ht="15" hidden="1" x14ac:dyDescent="0.25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</row>
    <row r="1176" spans="2:28" s="4" customFormat="1" ht="15" hidden="1" x14ac:dyDescent="0.25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</row>
    <row r="1177" spans="2:28" s="4" customFormat="1" ht="15" hidden="1" x14ac:dyDescent="0.25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</row>
    <row r="1178" spans="2:28" s="4" customFormat="1" ht="15" hidden="1" x14ac:dyDescent="0.25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</row>
    <row r="1179" spans="2:28" s="4" customFormat="1" ht="15" hidden="1" x14ac:dyDescent="0.25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</row>
    <row r="1180" spans="2:28" s="4" customFormat="1" ht="15" hidden="1" x14ac:dyDescent="0.25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</row>
    <row r="1181" spans="2:28" s="4" customFormat="1" ht="15" hidden="1" x14ac:dyDescent="0.25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</row>
    <row r="1182" spans="2:28" s="4" customFormat="1" ht="15" hidden="1" x14ac:dyDescent="0.25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</row>
    <row r="1183" spans="2:28" s="4" customFormat="1" ht="15" hidden="1" x14ac:dyDescent="0.25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</row>
    <row r="1184" spans="2:28" s="4" customFormat="1" ht="15" hidden="1" x14ac:dyDescent="0.25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</row>
    <row r="1185" spans="2:28" s="4" customFormat="1" ht="15" hidden="1" x14ac:dyDescent="0.25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</row>
    <row r="1186" spans="2:28" s="4" customFormat="1" ht="15" hidden="1" x14ac:dyDescent="0.25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</row>
    <row r="1187" spans="2:28" s="4" customFormat="1" ht="15" hidden="1" x14ac:dyDescent="0.25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</row>
    <row r="1188" spans="2:28" s="4" customFormat="1" ht="15" hidden="1" x14ac:dyDescent="0.25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</row>
    <row r="1189" spans="2:28" s="4" customFormat="1" ht="15" hidden="1" x14ac:dyDescent="0.25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</row>
    <row r="1190" spans="2:28" s="4" customFormat="1" ht="15" hidden="1" x14ac:dyDescent="0.25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</row>
    <row r="1191" spans="2:28" s="4" customFormat="1" ht="15" hidden="1" x14ac:dyDescent="0.25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</row>
    <row r="1192" spans="2:28" s="4" customFormat="1" ht="15" hidden="1" x14ac:dyDescent="0.25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</row>
    <row r="1193" spans="2:28" s="4" customFormat="1" ht="15" hidden="1" x14ac:dyDescent="0.25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</row>
    <row r="1194" spans="2:28" s="4" customFormat="1" ht="15" hidden="1" x14ac:dyDescent="0.25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</row>
    <row r="1195" spans="2:28" s="4" customFormat="1" ht="15" hidden="1" x14ac:dyDescent="0.25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</row>
    <row r="1196" spans="2:28" s="4" customFormat="1" ht="15" hidden="1" x14ac:dyDescent="0.25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</row>
    <row r="1197" spans="2:28" s="4" customFormat="1" ht="15" hidden="1" x14ac:dyDescent="0.25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</row>
    <row r="1198" spans="2:28" s="4" customFormat="1" ht="15" hidden="1" x14ac:dyDescent="0.25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</row>
    <row r="1199" spans="2:28" s="4" customFormat="1" ht="15" hidden="1" x14ac:dyDescent="0.25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</row>
    <row r="1200" spans="2:28" s="4" customFormat="1" ht="15" hidden="1" x14ac:dyDescent="0.25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</row>
    <row r="1201" spans="2:28" s="4" customFormat="1" ht="15" hidden="1" x14ac:dyDescent="0.25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</row>
    <row r="1202" spans="2:28" s="4" customFormat="1" ht="15" hidden="1" x14ac:dyDescent="0.25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</row>
    <row r="1203" spans="2:28" s="4" customFormat="1" ht="15" hidden="1" x14ac:dyDescent="0.25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</row>
    <row r="1204" spans="2:28" s="4" customFormat="1" ht="15" hidden="1" x14ac:dyDescent="0.25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</row>
    <row r="1205" spans="2:28" s="4" customFormat="1" ht="15" hidden="1" x14ac:dyDescent="0.25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</row>
    <row r="1206" spans="2:28" s="4" customFormat="1" ht="15" hidden="1" x14ac:dyDescent="0.25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</row>
    <row r="1207" spans="2:28" s="4" customFormat="1" ht="15" hidden="1" x14ac:dyDescent="0.25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</row>
    <row r="1208" spans="2:28" s="4" customFormat="1" ht="15" hidden="1" x14ac:dyDescent="0.25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</row>
    <row r="1209" spans="2:28" s="4" customFormat="1" ht="15" hidden="1" x14ac:dyDescent="0.25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</row>
    <row r="1210" spans="2:28" s="4" customFormat="1" ht="15" hidden="1" x14ac:dyDescent="0.25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</row>
    <row r="1211" spans="2:28" s="4" customFormat="1" ht="15" hidden="1" x14ac:dyDescent="0.25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</row>
    <row r="1212" spans="2:28" s="4" customFormat="1" ht="15" hidden="1" x14ac:dyDescent="0.25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</row>
    <row r="1213" spans="2:28" s="4" customFormat="1" ht="15" hidden="1" x14ac:dyDescent="0.25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</row>
    <row r="1214" spans="2:28" s="4" customFormat="1" ht="15" hidden="1" x14ac:dyDescent="0.25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</row>
    <row r="1215" spans="2:28" s="4" customFormat="1" ht="15" hidden="1" x14ac:dyDescent="0.25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</row>
    <row r="1216" spans="2:28" s="4" customFormat="1" ht="15" hidden="1" x14ac:dyDescent="0.25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</row>
    <row r="1217" spans="2:28" s="4" customFormat="1" ht="15" hidden="1" x14ac:dyDescent="0.25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</row>
    <row r="1218" spans="2:28" s="4" customFormat="1" ht="15" hidden="1" x14ac:dyDescent="0.25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</row>
    <row r="1219" spans="2:28" s="4" customFormat="1" ht="15" hidden="1" x14ac:dyDescent="0.25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</row>
    <row r="1220" spans="2:28" s="4" customFormat="1" ht="15" hidden="1" x14ac:dyDescent="0.25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</row>
    <row r="1221" spans="2:28" s="4" customFormat="1" ht="15" hidden="1" x14ac:dyDescent="0.25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</row>
    <row r="1222" spans="2:28" s="4" customFormat="1" ht="15" hidden="1" x14ac:dyDescent="0.25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</row>
    <row r="1223" spans="2:28" s="4" customFormat="1" ht="15" hidden="1" x14ac:dyDescent="0.25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</row>
    <row r="1224" spans="2:28" s="4" customFormat="1" ht="15" hidden="1" x14ac:dyDescent="0.25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</row>
    <row r="1225" spans="2:28" s="4" customFormat="1" ht="15" hidden="1" x14ac:dyDescent="0.25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</row>
    <row r="1226" spans="2:28" s="4" customFormat="1" ht="15" hidden="1" x14ac:dyDescent="0.25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</row>
    <row r="1227" spans="2:28" s="4" customFormat="1" ht="15" hidden="1" x14ac:dyDescent="0.25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</row>
    <row r="1228" spans="2:28" s="4" customFormat="1" ht="15" hidden="1" x14ac:dyDescent="0.25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</row>
    <row r="1229" spans="2:28" s="4" customFormat="1" ht="15" hidden="1" x14ac:dyDescent="0.25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</row>
    <row r="1230" spans="2:28" s="4" customFormat="1" ht="15" hidden="1" x14ac:dyDescent="0.25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</row>
    <row r="1231" spans="2:28" s="4" customFormat="1" ht="15" hidden="1" x14ac:dyDescent="0.25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</row>
    <row r="1232" spans="2:28" s="4" customFormat="1" ht="15" hidden="1" x14ac:dyDescent="0.25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</row>
    <row r="1233" spans="2:28" s="4" customFormat="1" ht="15" hidden="1" x14ac:dyDescent="0.25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</row>
    <row r="1234" spans="2:28" s="4" customFormat="1" ht="15" hidden="1" x14ac:dyDescent="0.25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</row>
    <row r="1235" spans="2:28" s="4" customFormat="1" ht="15" hidden="1" x14ac:dyDescent="0.25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</row>
    <row r="1236" spans="2:28" s="4" customFormat="1" ht="15" hidden="1" x14ac:dyDescent="0.25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</row>
    <row r="1237" spans="2:28" s="4" customFormat="1" ht="15" hidden="1" x14ac:dyDescent="0.25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</row>
    <row r="1238" spans="2:28" s="4" customFormat="1" ht="15" hidden="1" x14ac:dyDescent="0.25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</row>
    <row r="1239" spans="2:28" s="4" customFormat="1" ht="15" hidden="1" x14ac:dyDescent="0.25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</row>
    <row r="1240" spans="2:28" s="4" customFormat="1" ht="15" hidden="1" x14ac:dyDescent="0.25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</row>
    <row r="1241" spans="2:28" s="4" customFormat="1" ht="15" hidden="1" x14ac:dyDescent="0.25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</row>
    <row r="1242" spans="2:28" s="4" customFormat="1" ht="15" hidden="1" x14ac:dyDescent="0.25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</row>
    <row r="1243" spans="2:28" s="4" customFormat="1" ht="15" hidden="1" x14ac:dyDescent="0.25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</row>
    <row r="1244" spans="2:28" s="4" customFormat="1" ht="15" hidden="1" x14ac:dyDescent="0.25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</row>
    <row r="1245" spans="2:28" s="4" customFormat="1" ht="15" hidden="1" x14ac:dyDescent="0.25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</row>
    <row r="1246" spans="2:28" s="4" customFormat="1" ht="15" hidden="1" x14ac:dyDescent="0.25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</row>
    <row r="1247" spans="2:28" s="4" customFormat="1" ht="15" hidden="1" x14ac:dyDescent="0.25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</row>
    <row r="1248" spans="2:28" s="4" customFormat="1" ht="15" hidden="1" x14ac:dyDescent="0.25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</row>
    <row r="1249" spans="2:28" s="4" customFormat="1" ht="15" hidden="1" x14ac:dyDescent="0.25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</row>
    <row r="1250" spans="2:28" s="4" customFormat="1" ht="15" hidden="1" x14ac:dyDescent="0.25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</row>
    <row r="1251" spans="2:28" s="4" customFormat="1" ht="15" hidden="1" x14ac:dyDescent="0.25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</row>
    <row r="1252" spans="2:28" s="4" customFormat="1" ht="15" hidden="1" x14ac:dyDescent="0.25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</row>
    <row r="1253" spans="2:28" s="4" customFormat="1" ht="15" hidden="1" x14ac:dyDescent="0.25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</row>
    <row r="1254" spans="2:28" s="4" customFormat="1" ht="15" hidden="1" x14ac:dyDescent="0.25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</row>
    <row r="1255" spans="2:28" s="4" customFormat="1" ht="15" hidden="1" x14ac:dyDescent="0.25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</row>
    <row r="1256" spans="2:28" s="4" customFormat="1" ht="15" hidden="1" x14ac:dyDescent="0.25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</row>
    <row r="1257" spans="2:28" s="4" customFormat="1" ht="15" hidden="1" x14ac:dyDescent="0.25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</row>
    <row r="1258" spans="2:28" s="4" customFormat="1" ht="15" hidden="1" x14ac:dyDescent="0.25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</row>
    <row r="1259" spans="2:28" s="4" customFormat="1" ht="15" hidden="1" x14ac:dyDescent="0.25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</row>
    <row r="1260" spans="2:28" s="4" customFormat="1" ht="15" hidden="1" x14ac:dyDescent="0.25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</row>
    <row r="1261" spans="2:28" s="4" customFormat="1" ht="15" hidden="1" x14ac:dyDescent="0.25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</row>
    <row r="1262" spans="2:28" s="4" customFormat="1" ht="15" hidden="1" x14ac:dyDescent="0.25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</row>
    <row r="1263" spans="2:28" s="4" customFormat="1" ht="15" hidden="1" x14ac:dyDescent="0.25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</row>
    <row r="1264" spans="2:28" s="4" customFormat="1" ht="15" hidden="1" x14ac:dyDescent="0.25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</row>
    <row r="1265" spans="2:28" s="4" customFormat="1" ht="15" hidden="1" x14ac:dyDescent="0.25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</row>
    <row r="1266" spans="2:28" s="4" customFormat="1" ht="15" hidden="1" x14ac:dyDescent="0.25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</row>
    <row r="1267" spans="2:28" s="4" customFormat="1" ht="15" hidden="1" x14ac:dyDescent="0.25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</row>
    <row r="1268" spans="2:28" s="4" customFormat="1" ht="15" hidden="1" x14ac:dyDescent="0.25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</row>
    <row r="1269" spans="2:28" s="4" customFormat="1" ht="15" hidden="1" x14ac:dyDescent="0.25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</row>
    <row r="1270" spans="2:28" s="4" customFormat="1" ht="15" hidden="1" x14ac:dyDescent="0.25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</row>
    <row r="1271" spans="2:28" s="4" customFormat="1" ht="15" hidden="1" x14ac:dyDescent="0.25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</row>
    <row r="1272" spans="2:28" s="4" customFormat="1" ht="15" hidden="1" x14ac:dyDescent="0.25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</row>
    <row r="1273" spans="2:28" s="4" customFormat="1" ht="15" hidden="1" x14ac:dyDescent="0.25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</row>
    <row r="1274" spans="2:28" s="4" customFormat="1" ht="15" hidden="1" x14ac:dyDescent="0.25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</row>
    <row r="1275" spans="2:28" s="4" customFormat="1" ht="15" hidden="1" x14ac:dyDescent="0.25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</row>
    <row r="1276" spans="2:28" s="4" customFormat="1" ht="15" hidden="1" x14ac:dyDescent="0.25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</row>
    <row r="1277" spans="2:28" s="4" customFormat="1" ht="15" hidden="1" x14ac:dyDescent="0.25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</row>
    <row r="1278" spans="2:28" s="4" customFormat="1" ht="15" hidden="1" x14ac:dyDescent="0.25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</row>
    <row r="1279" spans="2:28" s="4" customFormat="1" ht="15" hidden="1" x14ac:dyDescent="0.25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</row>
    <row r="1280" spans="2:28" s="4" customFormat="1" ht="15" hidden="1" x14ac:dyDescent="0.25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</row>
    <row r="1281" spans="2:28" s="4" customFormat="1" ht="15" hidden="1" x14ac:dyDescent="0.25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</row>
    <row r="1282" spans="2:28" s="4" customFormat="1" ht="15" hidden="1" x14ac:dyDescent="0.25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</row>
    <row r="1283" spans="2:28" s="4" customFormat="1" ht="15" hidden="1" x14ac:dyDescent="0.25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</row>
    <row r="1284" spans="2:28" s="4" customFormat="1" ht="15" hidden="1" x14ac:dyDescent="0.25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</row>
    <row r="1285" spans="2:28" s="4" customFormat="1" ht="15" hidden="1" x14ac:dyDescent="0.25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</row>
    <row r="1286" spans="2:28" s="4" customFormat="1" ht="15" hidden="1" x14ac:dyDescent="0.25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</row>
    <row r="1287" spans="2:28" s="4" customFormat="1" ht="15" hidden="1" x14ac:dyDescent="0.25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</row>
    <row r="1288" spans="2:28" s="4" customFormat="1" ht="15" hidden="1" x14ac:dyDescent="0.25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</row>
    <row r="1289" spans="2:28" s="4" customFormat="1" ht="15" hidden="1" x14ac:dyDescent="0.25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</row>
    <row r="1290" spans="2:28" s="4" customFormat="1" ht="15" hidden="1" x14ac:dyDescent="0.25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</row>
    <row r="1291" spans="2:28" s="4" customFormat="1" ht="15" hidden="1" x14ac:dyDescent="0.25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</row>
    <row r="1292" spans="2:28" s="4" customFormat="1" ht="15" hidden="1" x14ac:dyDescent="0.25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</row>
    <row r="1293" spans="2:28" s="4" customFormat="1" ht="15" hidden="1" x14ac:dyDescent="0.25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</row>
    <row r="1294" spans="2:28" s="4" customFormat="1" ht="15" hidden="1" x14ac:dyDescent="0.25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</row>
    <row r="1295" spans="2:28" s="4" customFormat="1" ht="15" hidden="1" x14ac:dyDescent="0.25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</row>
    <row r="1296" spans="2:28" s="4" customFormat="1" ht="15" hidden="1" x14ac:dyDescent="0.25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</row>
    <row r="1297" spans="2:28" s="4" customFormat="1" ht="15" hidden="1" x14ac:dyDescent="0.25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</row>
    <row r="1298" spans="2:28" s="4" customFormat="1" ht="15" hidden="1" x14ac:dyDescent="0.25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</row>
    <row r="1299" spans="2:28" s="4" customFormat="1" ht="15" hidden="1" x14ac:dyDescent="0.25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</row>
    <row r="1300" spans="2:28" s="4" customFormat="1" ht="15" hidden="1" x14ac:dyDescent="0.25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</row>
    <row r="1301" spans="2:28" s="4" customFormat="1" ht="15" hidden="1" x14ac:dyDescent="0.25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</row>
    <row r="1302" spans="2:28" s="4" customFormat="1" ht="15" hidden="1" x14ac:dyDescent="0.25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</row>
    <row r="1303" spans="2:28" s="4" customFormat="1" ht="15" hidden="1" x14ac:dyDescent="0.25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</row>
    <row r="1304" spans="2:28" s="4" customFormat="1" ht="15" hidden="1" x14ac:dyDescent="0.25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</row>
    <row r="1305" spans="2:28" s="4" customFormat="1" ht="15" hidden="1" x14ac:dyDescent="0.25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</row>
    <row r="1306" spans="2:28" s="4" customFormat="1" ht="15" hidden="1" x14ac:dyDescent="0.25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</row>
    <row r="1307" spans="2:28" s="4" customFormat="1" ht="15" hidden="1" x14ac:dyDescent="0.25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</row>
    <row r="1308" spans="2:28" s="4" customFormat="1" ht="15" hidden="1" x14ac:dyDescent="0.25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</row>
    <row r="1309" spans="2:28" s="4" customFormat="1" ht="15" hidden="1" x14ac:dyDescent="0.25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</row>
    <row r="1310" spans="2:28" s="4" customFormat="1" ht="15" hidden="1" x14ac:dyDescent="0.25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</row>
    <row r="1311" spans="2:28" s="4" customFormat="1" ht="15" hidden="1" x14ac:dyDescent="0.25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</row>
    <row r="1312" spans="2:28" s="4" customFormat="1" ht="15" hidden="1" x14ac:dyDescent="0.25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</row>
    <row r="1313" spans="2:28" s="4" customFormat="1" ht="15" hidden="1" x14ac:dyDescent="0.25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</row>
    <row r="1314" spans="2:28" s="4" customFormat="1" ht="15" hidden="1" x14ac:dyDescent="0.25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</row>
    <row r="1315" spans="2:28" s="4" customFormat="1" ht="15" hidden="1" x14ac:dyDescent="0.25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</row>
    <row r="1316" spans="2:28" s="4" customFormat="1" ht="15" hidden="1" x14ac:dyDescent="0.25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</row>
    <row r="1317" spans="2:28" s="4" customFormat="1" ht="15" hidden="1" x14ac:dyDescent="0.25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</row>
    <row r="1318" spans="2:28" s="4" customFormat="1" ht="15" hidden="1" x14ac:dyDescent="0.25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</row>
    <row r="1319" spans="2:28" s="4" customFormat="1" ht="15" hidden="1" x14ac:dyDescent="0.25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</row>
    <row r="1320" spans="2:28" s="4" customFormat="1" ht="15" hidden="1" x14ac:dyDescent="0.25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</row>
    <row r="1321" spans="2:28" s="4" customFormat="1" ht="15" hidden="1" x14ac:dyDescent="0.25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</row>
    <row r="1322" spans="2:28" s="4" customFormat="1" ht="15" hidden="1" x14ac:dyDescent="0.25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</row>
    <row r="1323" spans="2:28" s="4" customFormat="1" ht="15" hidden="1" x14ac:dyDescent="0.25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</row>
    <row r="1324" spans="2:28" s="4" customFormat="1" ht="15" hidden="1" x14ac:dyDescent="0.25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</row>
    <row r="1325" spans="2:28" s="4" customFormat="1" ht="15" hidden="1" x14ac:dyDescent="0.25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</row>
    <row r="1326" spans="2:28" s="4" customFormat="1" ht="15" hidden="1" x14ac:dyDescent="0.25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</row>
    <row r="1327" spans="2:28" s="4" customFormat="1" ht="15" hidden="1" x14ac:dyDescent="0.25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</row>
    <row r="1328" spans="2:28" s="4" customFormat="1" ht="15" hidden="1" x14ac:dyDescent="0.25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</row>
    <row r="1329" spans="2:28" s="4" customFormat="1" ht="15" hidden="1" x14ac:dyDescent="0.25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</row>
    <row r="1330" spans="2:28" s="4" customFormat="1" ht="15" hidden="1" x14ac:dyDescent="0.25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</row>
    <row r="1331" spans="2:28" s="4" customFormat="1" ht="15" hidden="1" x14ac:dyDescent="0.25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</row>
    <row r="1332" spans="2:28" s="4" customFormat="1" ht="15" hidden="1" x14ac:dyDescent="0.25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</row>
    <row r="1333" spans="2:28" s="4" customFormat="1" ht="15" hidden="1" x14ac:dyDescent="0.25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</row>
    <row r="1334" spans="2:28" s="4" customFormat="1" ht="15" hidden="1" x14ac:dyDescent="0.25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</row>
    <row r="1335" spans="2:28" s="4" customFormat="1" ht="15" hidden="1" x14ac:dyDescent="0.25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</row>
    <row r="1336" spans="2:28" s="4" customFormat="1" ht="15" hidden="1" x14ac:dyDescent="0.25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</row>
    <row r="1337" spans="2:28" s="4" customFormat="1" ht="15" hidden="1" x14ac:dyDescent="0.25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</row>
    <row r="1338" spans="2:28" s="4" customFormat="1" ht="15" hidden="1" x14ac:dyDescent="0.25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</row>
    <row r="1339" spans="2:28" s="4" customFormat="1" ht="15" hidden="1" x14ac:dyDescent="0.25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</row>
    <row r="1340" spans="2:28" s="4" customFormat="1" ht="15" hidden="1" x14ac:dyDescent="0.25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</row>
    <row r="1341" spans="2:28" s="4" customFormat="1" ht="15" hidden="1" x14ac:dyDescent="0.25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</row>
    <row r="1342" spans="2:28" s="4" customFormat="1" ht="15" hidden="1" x14ac:dyDescent="0.25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</row>
    <row r="1343" spans="2:28" s="4" customFormat="1" ht="15" hidden="1" x14ac:dyDescent="0.25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</row>
    <row r="1344" spans="2:28" s="4" customFormat="1" ht="15" hidden="1" x14ac:dyDescent="0.25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</row>
    <row r="1345" spans="2:28" s="4" customFormat="1" ht="15" hidden="1" x14ac:dyDescent="0.25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</row>
    <row r="1346" spans="2:28" s="4" customFormat="1" ht="15" hidden="1" x14ac:dyDescent="0.25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</row>
    <row r="1347" spans="2:28" s="4" customFormat="1" ht="15" hidden="1" x14ac:dyDescent="0.25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</row>
    <row r="1348" spans="2:28" s="4" customFormat="1" ht="15" hidden="1" x14ac:dyDescent="0.25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</row>
    <row r="1349" spans="2:28" s="4" customFormat="1" ht="15" hidden="1" x14ac:dyDescent="0.25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</row>
    <row r="1350" spans="2:28" s="4" customFormat="1" ht="15" hidden="1" x14ac:dyDescent="0.25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</row>
    <row r="1351" spans="2:28" s="4" customFormat="1" ht="15" hidden="1" x14ac:dyDescent="0.25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</row>
    <row r="1352" spans="2:28" s="4" customFormat="1" ht="15" hidden="1" x14ac:dyDescent="0.25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</row>
    <row r="1353" spans="2:28" s="4" customFormat="1" ht="15" hidden="1" x14ac:dyDescent="0.25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</row>
    <row r="1354" spans="2:28" s="4" customFormat="1" ht="15" hidden="1" x14ac:dyDescent="0.25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</row>
    <row r="1355" spans="2:28" s="4" customFormat="1" ht="15" hidden="1" x14ac:dyDescent="0.25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</row>
    <row r="1356" spans="2:28" s="4" customFormat="1" ht="15" hidden="1" x14ac:dyDescent="0.25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</row>
    <row r="1357" spans="2:28" s="4" customFormat="1" ht="15" hidden="1" x14ac:dyDescent="0.25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</row>
    <row r="1358" spans="2:28" s="4" customFormat="1" ht="15" hidden="1" x14ac:dyDescent="0.25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</row>
    <row r="1359" spans="2:28" s="4" customFormat="1" ht="15" hidden="1" x14ac:dyDescent="0.25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</row>
    <row r="1360" spans="2:28" s="4" customFormat="1" ht="15" hidden="1" x14ac:dyDescent="0.25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</row>
    <row r="1361" spans="2:28" s="4" customFormat="1" ht="15" hidden="1" x14ac:dyDescent="0.25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</row>
    <row r="1362" spans="2:28" s="4" customFormat="1" ht="15" hidden="1" x14ac:dyDescent="0.25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</row>
    <row r="1363" spans="2:28" s="4" customFormat="1" ht="15" hidden="1" x14ac:dyDescent="0.25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</row>
    <row r="1364" spans="2:28" s="4" customFormat="1" ht="15" hidden="1" x14ac:dyDescent="0.25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</row>
    <row r="1365" spans="2:28" s="4" customFormat="1" ht="15" hidden="1" x14ac:dyDescent="0.25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</row>
    <row r="1366" spans="2:28" s="4" customFormat="1" ht="15" hidden="1" x14ac:dyDescent="0.25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</row>
    <row r="1367" spans="2:28" s="4" customFormat="1" ht="15" hidden="1" x14ac:dyDescent="0.25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</row>
    <row r="1368" spans="2:28" s="4" customFormat="1" ht="15" hidden="1" x14ac:dyDescent="0.25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</row>
    <row r="1369" spans="2:28" s="4" customFormat="1" ht="15" hidden="1" x14ac:dyDescent="0.25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</row>
    <row r="1370" spans="2:28" s="4" customFormat="1" ht="15" hidden="1" x14ac:dyDescent="0.25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</row>
    <row r="1371" spans="2:28" s="4" customFormat="1" ht="15" hidden="1" x14ac:dyDescent="0.25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</row>
    <row r="1372" spans="2:28" s="4" customFormat="1" ht="15" hidden="1" x14ac:dyDescent="0.25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</row>
    <row r="1373" spans="2:28" s="4" customFormat="1" ht="15" hidden="1" x14ac:dyDescent="0.25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</row>
    <row r="1374" spans="2:28" s="4" customFormat="1" ht="15" hidden="1" x14ac:dyDescent="0.25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</row>
    <row r="1375" spans="2:28" s="4" customFormat="1" ht="15" hidden="1" x14ac:dyDescent="0.25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</row>
    <row r="1376" spans="2:28" s="4" customFormat="1" ht="15" hidden="1" x14ac:dyDescent="0.25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</row>
    <row r="1377" spans="2:28" s="4" customFormat="1" ht="15" hidden="1" x14ac:dyDescent="0.25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</row>
    <row r="1378" spans="2:28" s="4" customFormat="1" ht="15" hidden="1" x14ac:dyDescent="0.25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</row>
    <row r="1379" spans="2:28" s="4" customFormat="1" ht="15" hidden="1" x14ac:dyDescent="0.25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</row>
    <row r="1380" spans="2:28" s="4" customFormat="1" ht="15" hidden="1" x14ac:dyDescent="0.25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</row>
    <row r="1381" spans="2:28" s="4" customFormat="1" ht="15" hidden="1" x14ac:dyDescent="0.25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</row>
    <row r="1382" spans="2:28" s="4" customFormat="1" ht="15" hidden="1" x14ac:dyDescent="0.25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</row>
    <row r="1383" spans="2:28" s="4" customFormat="1" ht="15" hidden="1" x14ac:dyDescent="0.25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</row>
    <row r="1384" spans="2:28" s="4" customFormat="1" ht="15" hidden="1" x14ac:dyDescent="0.25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</row>
    <row r="1385" spans="2:28" s="4" customFormat="1" ht="15" hidden="1" x14ac:dyDescent="0.25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</row>
    <row r="1386" spans="2:28" s="4" customFormat="1" ht="15" hidden="1" x14ac:dyDescent="0.25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</row>
    <row r="1387" spans="2:28" s="4" customFormat="1" ht="15" hidden="1" x14ac:dyDescent="0.25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</row>
    <row r="1388" spans="2:28" s="4" customFormat="1" ht="15" hidden="1" x14ac:dyDescent="0.25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</row>
    <row r="1389" spans="2:28" s="4" customFormat="1" ht="15" hidden="1" x14ac:dyDescent="0.25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</row>
    <row r="1390" spans="2:28" s="4" customFormat="1" ht="15" hidden="1" x14ac:dyDescent="0.25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</row>
    <row r="1391" spans="2:28" s="4" customFormat="1" ht="15" hidden="1" x14ac:dyDescent="0.25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</row>
    <row r="1392" spans="2:28" s="4" customFormat="1" ht="15" hidden="1" x14ac:dyDescent="0.25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</row>
    <row r="1393" spans="2:28" s="4" customFormat="1" ht="15" hidden="1" x14ac:dyDescent="0.25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</row>
    <row r="1394" spans="2:28" s="4" customFormat="1" ht="15" hidden="1" x14ac:dyDescent="0.25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</row>
    <row r="1395" spans="2:28" s="4" customFormat="1" ht="15" hidden="1" x14ac:dyDescent="0.25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</row>
    <row r="1396" spans="2:28" s="4" customFormat="1" ht="15" hidden="1" x14ac:dyDescent="0.25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</row>
    <row r="1397" spans="2:28" s="4" customFormat="1" ht="15" hidden="1" x14ac:dyDescent="0.25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</row>
    <row r="1398" spans="2:28" s="4" customFormat="1" ht="15" hidden="1" x14ac:dyDescent="0.25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</row>
    <row r="1399" spans="2:28" s="4" customFormat="1" ht="15" hidden="1" x14ac:dyDescent="0.25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</row>
    <row r="1400" spans="2:28" s="4" customFormat="1" ht="15" hidden="1" x14ac:dyDescent="0.25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</row>
    <row r="1401" spans="2:28" s="4" customFormat="1" ht="15" hidden="1" x14ac:dyDescent="0.25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</row>
    <row r="1402" spans="2:28" s="4" customFormat="1" ht="15" hidden="1" x14ac:dyDescent="0.25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</row>
    <row r="1403" spans="2:28" s="4" customFormat="1" ht="15" hidden="1" x14ac:dyDescent="0.25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</row>
    <row r="1404" spans="2:28" s="4" customFormat="1" ht="15" hidden="1" x14ac:dyDescent="0.25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</row>
    <row r="1405" spans="2:28" s="4" customFormat="1" ht="15" hidden="1" x14ac:dyDescent="0.25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</row>
    <row r="1406" spans="2:28" s="4" customFormat="1" ht="15" hidden="1" x14ac:dyDescent="0.25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</row>
    <row r="1407" spans="2:28" s="4" customFormat="1" ht="15" hidden="1" x14ac:dyDescent="0.25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</row>
    <row r="1408" spans="2:28" s="4" customFormat="1" ht="15" hidden="1" x14ac:dyDescent="0.25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</row>
    <row r="1409" spans="2:28" s="4" customFormat="1" ht="15" hidden="1" x14ac:dyDescent="0.25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</row>
    <row r="1410" spans="2:28" s="4" customFormat="1" ht="15" hidden="1" x14ac:dyDescent="0.25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</row>
    <row r="1411" spans="2:28" s="4" customFormat="1" ht="15" hidden="1" x14ac:dyDescent="0.25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</row>
    <row r="1412" spans="2:28" s="4" customFormat="1" ht="15" hidden="1" x14ac:dyDescent="0.25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</row>
    <row r="1413" spans="2:28" s="4" customFormat="1" ht="15" hidden="1" x14ac:dyDescent="0.25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</row>
    <row r="1414" spans="2:28" s="4" customFormat="1" ht="15" hidden="1" x14ac:dyDescent="0.25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</row>
    <row r="1415" spans="2:28" s="4" customFormat="1" ht="15" hidden="1" x14ac:dyDescent="0.25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</row>
    <row r="1416" spans="2:28" s="4" customFormat="1" ht="15" hidden="1" x14ac:dyDescent="0.25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</row>
    <row r="1417" spans="2:28" s="4" customFormat="1" ht="15" hidden="1" x14ac:dyDescent="0.25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</row>
    <row r="1418" spans="2:28" s="4" customFormat="1" ht="15" hidden="1" x14ac:dyDescent="0.25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</row>
    <row r="1419" spans="2:28" s="4" customFormat="1" ht="15" hidden="1" x14ac:dyDescent="0.25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</row>
    <row r="1420" spans="2:28" s="4" customFormat="1" ht="15" hidden="1" x14ac:dyDescent="0.25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</row>
    <row r="1421" spans="2:28" s="4" customFormat="1" ht="15" hidden="1" x14ac:dyDescent="0.25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</row>
    <row r="1422" spans="2:28" s="4" customFormat="1" ht="15" hidden="1" x14ac:dyDescent="0.25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</row>
    <row r="1423" spans="2:28" s="4" customFormat="1" ht="15" hidden="1" x14ac:dyDescent="0.25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</row>
    <row r="1424" spans="2:28" s="4" customFormat="1" ht="15" hidden="1" x14ac:dyDescent="0.25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</row>
    <row r="1425" spans="2:28" s="4" customFormat="1" ht="15" hidden="1" x14ac:dyDescent="0.25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</row>
    <row r="1426" spans="2:28" s="4" customFormat="1" ht="15" hidden="1" x14ac:dyDescent="0.25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</row>
    <row r="1427" spans="2:28" s="4" customFormat="1" ht="15" hidden="1" x14ac:dyDescent="0.25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</row>
    <row r="1428" spans="2:28" s="4" customFormat="1" ht="15" hidden="1" x14ac:dyDescent="0.25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</row>
    <row r="1429" spans="2:28" s="4" customFormat="1" ht="15" hidden="1" x14ac:dyDescent="0.25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</row>
    <row r="1430" spans="2:28" s="4" customFormat="1" ht="15" hidden="1" x14ac:dyDescent="0.25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</row>
    <row r="1431" spans="2:28" s="4" customFormat="1" ht="15" hidden="1" x14ac:dyDescent="0.25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</row>
    <row r="1432" spans="2:28" s="4" customFormat="1" ht="15" hidden="1" x14ac:dyDescent="0.25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</row>
    <row r="1433" spans="2:28" s="4" customFormat="1" ht="15" hidden="1" x14ac:dyDescent="0.25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</row>
    <row r="1434" spans="2:28" s="4" customFormat="1" ht="15" hidden="1" x14ac:dyDescent="0.25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</row>
    <row r="1435" spans="2:28" s="4" customFormat="1" ht="15" hidden="1" x14ac:dyDescent="0.25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</row>
    <row r="1436" spans="2:28" s="4" customFormat="1" ht="15" hidden="1" x14ac:dyDescent="0.25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</row>
    <row r="1437" spans="2:28" s="4" customFormat="1" ht="15" hidden="1" x14ac:dyDescent="0.25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</row>
    <row r="1438" spans="2:28" s="4" customFormat="1" ht="15" hidden="1" x14ac:dyDescent="0.25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</row>
    <row r="1439" spans="2:28" s="4" customFormat="1" ht="15" hidden="1" x14ac:dyDescent="0.25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</row>
    <row r="1440" spans="2:28" s="4" customFormat="1" ht="15" hidden="1" x14ac:dyDescent="0.25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</row>
    <row r="1441" spans="2:28" s="4" customFormat="1" ht="15" hidden="1" x14ac:dyDescent="0.25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</row>
    <row r="1442" spans="2:28" s="4" customFormat="1" ht="15" hidden="1" x14ac:dyDescent="0.25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</row>
    <row r="1443" spans="2:28" s="4" customFormat="1" ht="15" hidden="1" x14ac:dyDescent="0.25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</row>
    <row r="1444" spans="2:28" s="4" customFormat="1" ht="15" hidden="1" x14ac:dyDescent="0.25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</row>
    <row r="1445" spans="2:28" s="4" customFormat="1" ht="15" hidden="1" x14ac:dyDescent="0.25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</row>
    <row r="1446" spans="2:28" s="4" customFormat="1" ht="15" hidden="1" x14ac:dyDescent="0.25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</row>
    <row r="1447" spans="2:28" s="4" customFormat="1" ht="15" hidden="1" x14ac:dyDescent="0.25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</row>
    <row r="1448" spans="2:28" s="4" customFormat="1" ht="15" hidden="1" x14ac:dyDescent="0.25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</row>
    <row r="1449" spans="2:28" s="4" customFormat="1" ht="15" hidden="1" x14ac:dyDescent="0.25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</row>
    <row r="1450" spans="2:28" s="4" customFormat="1" ht="15" hidden="1" x14ac:dyDescent="0.25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</row>
    <row r="1451" spans="2:28" s="4" customFormat="1" ht="15" hidden="1" x14ac:dyDescent="0.25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</row>
    <row r="1452" spans="2:28" s="4" customFormat="1" ht="15" hidden="1" x14ac:dyDescent="0.25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</row>
    <row r="1453" spans="2:28" s="4" customFormat="1" ht="15" hidden="1" x14ac:dyDescent="0.25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</row>
    <row r="1454" spans="2:28" s="4" customFormat="1" ht="15" hidden="1" x14ac:dyDescent="0.25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</row>
    <row r="1455" spans="2:28" s="4" customFormat="1" ht="15" hidden="1" x14ac:dyDescent="0.25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</row>
    <row r="1456" spans="2:28" s="4" customFormat="1" ht="15" hidden="1" x14ac:dyDescent="0.25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</row>
    <row r="1457" spans="2:28" s="4" customFormat="1" ht="15" hidden="1" x14ac:dyDescent="0.25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</row>
    <row r="1458" spans="2:28" s="4" customFormat="1" ht="15" hidden="1" x14ac:dyDescent="0.25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</row>
    <row r="1459" spans="2:28" s="4" customFormat="1" ht="15" hidden="1" x14ac:dyDescent="0.25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</row>
    <row r="1460" spans="2:28" s="4" customFormat="1" ht="15" hidden="1" x14ac:dyDescent="0.25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</row>
    <row r="1461" spans="2:28" s="4" customFormat="1" ht="15" hidden="1" x14ac:dyDescent="0.25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</row>
    <row r="1462" spans="2:28" s="4" customFormat="1" ht="15" hidden="1" x14ac:dyDescent="0.25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</row>
    <row r="1463" spans="2:28" s="4" customFormat="1" ht="15" hidden="1" x14ac:dyDescent="0.25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</row>
    <row r="1464" spans="2:28" s="4" customFormat="1" ht="15" hidden="1" x14ac:dyDescent="0.25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</row>
    <row r="1465" spans="2:28" s="4" customFormat="1" ht="15" hidden="1" x14ac:dyDescent="0.25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</row>
    <row r="1466" spans="2:28" s="4" customFormat="1" ht="15" hidden="1" x14ac:dyDescent="0.25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</row>
    <row r="1467" spans="2:28" s="4" customFormat="1" ht="15" hidden="1" x14ac:dyDescent="0.25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</row>
    <row r="1468" spans="2:28" s="4" customFormat="1" ht="15" hidden="1" x14ac:dyDescent="0.25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</row>
    <row r="1469" spans="2:28" s="4" customFormat="1" ht="15" hidden="1" x14ac:dyDescent="0.25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</row>
    <row r="1470" spans="2:28" s="4" customFormat="1" ht="15" hidden="1" x14ac:dyDescent="0.25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</row>
    <row r="1471" spans="2:28" s="4" customFormat="1" ht="15" hidden="1" x14ac:dyDescent="0.25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</row>
    <row r="1472" spans="2:28" s="4" customFormat="1" ht="15" hidden="1" x14ac:dyDescent="0.25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</row>
    <row r="1473" spans="2:28" s="4" customFormat="1" ht="15" hidden="1" x14ac:dyDescent="0.25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</row>
    <row r="1474" spans="2:28" s="4" customFormat="1" ht="15" hidden="1" x14ac:dyDescent="0.25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</row>
    <row r="1475" spans="2:28" s="4" customFormat="1" ht="15" hidden="1" x14ac:dyDescent="0.25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</row>
    <row r="1476" spans="2:28" s="4" customFormat="1" ht="15" hidden="1" x14ac:dyDescent="0.25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</row>
    <row r="1477" spans="2:28" s="4" customFormat="1" ht="15" hidden="1" x14ac:dyDescent="0.25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</row>
    <row r="1478" spans="2:28" s="4" customFormat="1" ht="15" hidden="1" x14ac:dyDescent="0.25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</row>
    <row r="1479" spans="2:28" s="4" customFormat="1" ht="15" hidden="1" x14ac:dyDescent="0.25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</row>
    <row r="1480" spans="2:28" s="4" customFormat="1" ht="15" hidden="1" x14ac:dyDescent="0.25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</row>
    <row r="1481" spans="2:28" s="4" customFormat="1" ht="15" hidden="1" x14ac:dyDescent="0.25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</row>
    <row r="1482" spans="2:28" s="4" customFormat="1" ht="15" hidden="1" x14ac:dyDescent="0.25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</row>
    <row r="1483" spans="2:28" s="4" customFormat="1" ht="15" hidden="1" x14ac:dyDescent="0.25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</row>
    <row r="1484" spans="2:28" s="4" customFormat="1" ht="15" hidden="1" x14ac:dyDescent="0.25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</row>
    <row r="1485" spans="2:28" s="4" customFormat="1" ht="15" hidden="1" x14ac:dyDescent="0.25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</row>
    <row r="1486" spans="2:28" s="4" customFormat="1" ht="15" hidden="1" x14ac:dyDescent="0.25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</row>
    <row r="1487" spans="2:28" s="4" customFormat="1" ht="15" hidden="1" customHeight="1" x14ac:dyDescent="0.25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</row>
    <row r="1488" spans="2:28" s="4" customFormat="1" ht="15" hidden="1" customHeight="1" x14ac:dyDescent="0.25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</row>
    <row r="1489" spans="2:28" s="4" customFormat="1" ht="15" hidden="1" customHeight="1" x14ac:dyDescent="0.25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</row>
    <row r="1490" spans="2:28" s="4" customFormat="1" ht="15" hidden="1" customHeight="1" x14ac:dyDescent="0.25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</row>
    <row r="1491" spans="2:28" s="4" customFormat="1" ht="15" hidden="1" customHeight="1" x14ac:dyDescent="0.25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</row>
    <row r="1492" spans="2:28" s="4" customFormat="1" ht="15" hidden="1" customHeight="1" x14ac:dyDescent="0.25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</row>
    <row r="1493" spans="2:28" s="4" customFormat="1" ht="15" hidden="1" customHeight="1" x14ac:dyDescent="0.25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</row>
    <row r="1494" spans="2:28" s="4" customFormat="1" ht="15" hidden="1" customHeight="1" x14ac:dyDescent="0.25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</row>
    <row r="1495" spans="2:28" s="4" customFormat="1" ht="15" hidden="1" customHeight="1" x14ac:dyDescent="0.25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</row>
    <row r="1496" spans="2:28" s="4" customFormat="1" ht="15" hidden="1" customHeight="1" x14ac:dyDescent="0.25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</row>
    <row r="1497" spans="2:28" s="4" customFormat="1" ht="15" hidden="1" customHeight="1" x14ac:dyDescent="0.25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</row>
    <row r="1498" spans="2:28" s="4" customFormat="1" ht="15" hidden="1" customHeight="1" x14ac:dyDescent="0.25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</row>
    <row r="1499" spans="2:28" s="4" customFormat="1" ht="15" hidden="1" customHeight="1" x14ac:dyDescent="0.25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</row>
    <row r="1500" spans="2:28" s="4" customFormat="1" ht="15" hidden="1" customHeight="1" x14ac:dyDescent="0.25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</row>
    <row r="1501" spans="2:28" s="4" customFormat="1" ht="15" hidden="1" customHeight="1" x14ac:dyDescent="0.25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</row>
    <row r="1502" spans="2:28" s="4" customFormat="1" ht="15" hidden="1" customHeight="1" x14ac:dyDescent="0.25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</row>
    <row r="1503" spans="2:28" s="4" customFormat="1" ht="15" hidden="1" customHeight="1" x14ac:dyDescent="0.25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</row>
    <row r="1504" spans="2:28" s="4" customFormat="1" ht="15" hidden="1" customHeight="1" x14ac:dyDescent="0.25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</row>
    <row r="1505" spans="2:28" s="4" customFormat="1" ht="15" hidden="1" customHeight="1" x14ac:dyDescent="0.25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</row>
    <row r="1506" spans="2:28" s="4" customFormat="1" ht="15" hidden="1" customHeight="1" x14ac:dyDescent="0.25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</row>
    <row r="1507" spans="2:28" s="4" customFormat="1" ht="15" hidden="1" customHeight="1" x14ac:dyDescent="0.25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</row>
    <row r="1508" spans="2:28" s="4" customFormat="1" ht="15" hidden="1" customHeight="1" x14ac:dyDescent="0.25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</row>
    <row r="1509" spans="2:28" s="4" customFormat="1" ht="15" hidden="1" customHeight="1" x14ac:dyDescent="0.25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</row>
    <row r="1510" spans="2:28" s="4" customFormat="1" ht="15" hidden="1" customHeight="1" x14ac:dyDescent="0.25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</row>
    <row r="1511" spans="2:28" s="4" customFormat="1" ht="15" hidden="1" customHeight="1" x14ac:dyDescent="0.25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</row>
    <row r="1512" spans="2:28" s="4" customFormat="1" ht="15" hidden="1" customHeight="1" x14ac:dyDescent="0.25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</row>
    <row r="1513" spans="2:28" s="4" customFormat="1" ht="15" hidden="1" customHeight="1" x14ac:dyDescent="0.25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</row>
    <row r="1514" spans="2:28" s="4" customFormat="1" ht="15" hidden="1" customHeight="1" x14ac:dyDescent="0.25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</row>
    <row r="1515" spans="2:28" s="4" customFormat="1" ht="15" hidden="1" customHeight="1" x14ac:dyDescent="0.25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</row>
    <row r="1516" spans="2:28" s="4" customFormat="1" ht="15" hidden="1" customHeight="1" x14ac:dyDescent="0.25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</row>
    <row r="1517" spans="2:28" s="4" customFormat="1" ht="15" hidden="1" customHeight="1" x14ac:dyDescent="0.25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</row>
    <row r="1518" spans="2:28" s="4" customFormat="1" ht="15" hidden="1" customHeight="1" x14ac:dyDescent="0.25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</row>
    <row r="1519" spans="2:28" s="4" customFormat="1" ht="15" hidden="1" customHeight="1" x14ac:dyDescent="0.25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</row>
    <row r="1520" spans="2:28" s="4" customFormat="1" ht="15" hidden="1" customHeight="1" x14ac:dyDescent="0.25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</row>
    <row r="1521" spans="2:28" s="4" customFormat="1" ht="15" hidden="1" customHeight="1" x14ac:dyDescent="0.25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</row>
    <row r="1522" spans="2:28" s="4" customFormat="1" ht="15" hidden="1" customHeight="1" x14ac:dyDescent="0.25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</row>
    <row r="1523" spans="2:28" s="4" customFormat="1" ht="15" hidden="1" customHeight="1" x14ac:dyDescent="0.25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</row>
    <row r="1524" spans="2:28" s="4" customFormat="1" ht="15" hidden="1" customHeight="1" x14ac:dyDescent="0.25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</row>
    <row r="1525" spans="2:28" s="4" customFormat="1" ht="15" hidden="1" customHeight="1" x14ac:dyDescent="0.25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</row>
    <row r="1526" spans="2:28" s="4" customFormat="1" ht="15" hidden="1" customHeight="1" x14ac:dyDescent="0.25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</row>
    <row r="1527" spans="2:28" s="4" customFormat="1" ht="15" hidden="1" customHeight="1" x14ac:dyDescent="0.25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</row>
    <row r="1528" spans="2:28" s="4" customFormat="1" ht="15" hidden="1" customHeight="1" x14ac:dyDescent="0.25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</row>
    <row r="1529" spans="2:28" s="4" customFormat="1" ht="15" hidden="1" customHeight="1" x14ac:dyDescent="0.25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</row>
    <row r="1530" spans="2:28" s="4" customFormat="1" ht="15" hidden="1" customHeight="1" x14ac:dyDescent="0.25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</row>
    <row r="1531" spans="2:28" s="4" customFormat="1" ht="15" hidden="1" customHeight="1" x14ac:dyDescent="0.25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</row>
    <row r="1532" spans="2:28" s="4" customFormat="1" ht="15" hidden="1" customHeight="1" x14ac:dyDescent="0.25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</row>
    <row r="1533" spans="2:28" s="4" customFormat="1" ht="15" hidden="1" customHeight="1" x14ac:dyDescent="0.25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</row>
    <row r="1534" spans="2:28" s="4" customFormat="1" ht="15" hidden="1" customHeight="1" x14ac:dyDescent="0.25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</row>
    <row r="1535" spans="2:28" s="4" customFormat="1" ht="15" hidden="1" customHeight="1" x14ac:dyDescent="0.25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</row>
    <row r="1536" spans="2:28" s="4" customFormat="1" ht="15" hidden="1" customHeight="1" x14ac:dyDescent="0.25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</row>
    <row r="1537" spans="2:28" s="4" customFormat="1" ht="15" hidden="1" customHeight="1" x14ac:dyDescent="0.25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</row>
    <row r="1538" spans="2:28" s="4" customFormat="1" ht="15" hidden="1" customHeight="1" x14ac:dyDescent="0.25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</row>
    <row r="1539" spans="2:28" s="4" customFormat="1" ht="15" hidden="1" customHeight="1" x14ac:dyDescent="0.25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</row>
    <row r="1540" spans="2:28" s="4" customFormat="1" ht="15" hidden="1" customHeight="1" x14ac:dyDescent="0.25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</row>
    <row r="1541" spans="2:28" s="4" customFormat="1" ht="15" hidden="1" customHeight="1" x14ac:dyDescent="0.25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</row>
    <row r="1542" spans="2:28" s="4" customFormat="1" ht="15" hidden="1" customHeight="1" x14ac:dyDescent="0.25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</row>
    <row r="1543" spans="2:28" s="4" customFormat="1" ht="15" hidden="1" customHeight="1" x14ac:dyDescent="0.25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</row>
    <row r="1544" spans="2:28" s="4" customFormat="1" ht="15" hidden="1" customHeight="1" x14ac:dyDescent="0.25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</row>
    <row r="1545" spans="2:28" s="4" customFormat="1" ht="15" hidden="1" customHeight="1" x14ac:dyDescent="0.25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</row>
    <row r="1546" spans="2:28" s="4" customFormat="1" ht="15" hidden="1" customHeight="1" x14ac:dyDescent="0.25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</row>
    <row r="1547" spans="2:28" s="4" customFormat="1" ht="15" hidden="1" customHeight="1" x14ac:dyDescent="0.25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</row>
    <row r="1548" spans="2:28" s="4" customFormat="1" ht="15" hidden="1" customHeight="1" x14ac:dyDescent="0.25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</row>
    <row r="1549" spans="2:28" s="4" customFormat="1" ht="15" hidden="1" customHeight="1" x14ac:dyDescent="0.25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</row>
    <row r="1550" spans="2:28" s="4" customFormat="1" ht="15" hidden="1" customHeight="1" x14ac:dyDescent="0.25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</row>
    <row r="1551" spans="2:28" s="4" customFormat="1" ht="15" hidden="1" customHeight="1" x14ac:dyDescent="0.25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</row>
    <row r="1552" spans="2:28" ht="15" hidden="1" customHeight="1" x14ac:dyDescent="0.25"/>
    <row r="1553" ht="15" hidden="1" customHeight="1" x14ac:dyDescent="0.25"/>
    <row r="1554" ht="15" hidden="1" customHeight="1" x14ac:dyDescent="0.25"/>
    <row r="1555" ht="15" hidden="1" customHeight="1" x14ac:dyDescent="0.25"/>
    <row r="1556" ht="15" hidden="1" customHeight="1" x14ac:dyDescent="0.25"/>
    <row r="1557" ht="15" hidden="1" customHeight="1" x14ac:dyDescent="0.25"/>
    <row r="1558" ht="15" hidden="1" customHeight="1" x14ac:dyDescent="0.25"/>
    <row r="1559" ht="15" hidden="1" customHeight="1" x14ac:dyDescent="0.25"/>
    <row r="1560" ht="15" hidden="1" customHeight="1" x14ac:dyDescent="0.25"/>
    <row r="1561" ht="15" hidden="1" customHeight="1" x14ac:dyDescent="0.25"/>
    <row r="1562" ht="15" hidden="1" customHeight="1" x14ac:dyDescent="0.25"/>
    <row r="1563" ht="15" hidden="1" customHeight="1" x14ac:dyDescent="0.25"/>
    <row r="1564" ht="15" hidden="1" customHeight="1" x14ac:dyDescent="0.25"/>
    <row r="1565" ht="15" hidden="1" customHeight="1" x14ac:dyDescent="0.25"/>
    <row r="1566" ht="15" hidden="1" customHeight="1" x14ac:dyDescent="0.25"/>
    <row r="1567" ht="15" hidden="1" customHeight="1" x14ac:dyDescent="0.25"/>
    <row r="1568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  <row r="1617" ht="0" hidden="1" customHeight="1" x14ac:dyDescent="0.25"/>
    <row r="1626" ht="0" hidden="1" customHeight="1" x14ac:dyDescent="0.25"/>
    <row r="1627" ht="0" hidden="1" customHeight="1" x14ac:dyDescent="0.25"/>
    <row r="1628" ht="0" hidden="1" customHeight="1" x14ac:dyDescent="0.25"/>
    <row r="1629" ht="0" hidden="1" customHeight="1" x14ac:dyDescent="0.25"/>
    <row r="1630" ht="0" hidden="1" customHeight="1" x14ac:dyDescent="0.25"/>
    <row r="1631" ht="0" hidden="1" customHeight="1" x14ac:dyDescent="0.25"/>
    <row r="1632" ht="0" hidden="1" customHeight="1" x14ac:dyDescent="0.25"/>
    <row r="1633" ht="0" hidden="1" customHeight="1" x14ac:dyDescent="0.25"/>
    <row r="1634" ht="0" hidden="1" customHeight="1" x14ac:dyDescent="0.25"/>
    <row r="1635" ht="0" hidden="1" customHeight="1" x14ac:dyDescent="0.25"/>
    <row r="1636" ht="0" hidden="1" customHeight="1" x14ac:dyDescent="0.25"/>
    <row r="1637" ht="0" hidden="1" customHeight="1" x14ac:dyDescent="0.25"/>
    <row r="1638" ht="0" hidden="1" customHeight="1" x14ac:dyDescent="0.25"/>
    <row r="1639" ht="0" hidden="1" customHeight="1" x14ac:dyDescent="0.25"/>
    <row r="1640" ht="0" hidden="1" customHeight="1" x14ac:dyDescent="0.25"/>
    <row r="1641" ht="0" hidden="1" customHeight="1" x14ac:dyDescent="0.25"/>
    <row r="1642" ht="0" hidden="1" customHeight="1" x14ac:dyDescent="0.25"/>
    <row r="1643" ht="0" hidden="1" customHeight="1" x14ac:dyDescent="0.25"/>
    <row r="1644" ht="0" hidden="1" customHeight="1" x14ac:dyDescent="0.25"/>
    <row r="1645" ht="0" hidden="1" customHeight="1" x14ac:dyDescent="0.25"/>
    <row r="1646" ht="0" hidden="1" customHeight="1" x14ac:dyDescent="0.25"/>
    <row r="1647" ht="0" hidden="1" customHeight="1" x14ac:dyDescent="0.25"/>
    <row r="1648" ht="0" hidden="1" customHeight="1" x14ac:dyDescent="0.25"/>
    <row r="1649" ht="0" hidden="1" customHeight="1" x14ac:dyDescent="0.25"/>
    <row r="1650" ht="0" hidden="1" customHeight="1" x14ac:dyDescent="0.25"/>
    <row r="1651" ht="0" hidden="1" customHeight="1" x14ac:dyDescent="0.25"/>
    <row r="1652" ht="0" hidden="1" customHeight="1" x14ac:dyDescent="0.25"/>
    <row r="1653" ht="0" hidden="1" customHeight="1" x14ac:dyDescent="0.25"/>
    <row r="1654" ht="0" hidden="1" customHeight="1" x14ac:dyDescent="0.25"/>
    <row r="1655" ht="0" hidden="1" customHeight="1" x14ac:dyDescent="0.25"/>
  </sheetData>
  <mergeCells count="4">
    <mergeCell ref="B26:B27"/>
    <mergeCell ref="C26:C27"/>
    <mergeCell ref="B10:B11"/>
    <mergeCell ref="C10:C1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B06C-208F-4707-9585-407180D04BFF}">
  <dimension ref="A1:AI1655"/>
  <sheetViews>
    <sheetView showGridLines="0" zoomScale="90" zoomScaleNormal="90" workbookViewId="0"/>
  </sheetViews>
  <sheetFormatPr defaultColWidth="0" defaultRowHeight="0" customHeight="1" zeroHeight="1" x14ac:dyDescent="0.25"/>
  <cols>
    <col min="1" max="1" width="3.7109375" style="4" customWidth="1"/>
    <col min="2" max="2" width="55.28515625" customWidth="1"/>
    <col min="3" max="4" width="29.42578125" customWidth="1"/>
    <col min="5" max="5" width="3.7109375" customWidth="1"/>
    <col min="6" max="11" width="18" hidden="1" customWidth="1"/>
    <col min="12" max="12" width="3.7109375" hidden="1" customWidth="1"/>
    <col min="13" max="16" width="14.5703125" hidden="1"/>
    <col min="17" max="32" width="11.42578125" hidden="1"/>
    <col min="33" max="35" width="9.140625" hidden="1"/>
  </cols>
  <sheetData>
    <row r="1" spans="1:28" s="46" customFormat="1" ht="15" x14ac:dyDescent="0.25">
      <c r="A1" s="45"/>
    </row>
    <row r="2" spans="1:28" s="46" customFormat="1" ht="15" x14ac:dyDescent="0.25">
      <c r="A2" s="45"/>
    </row>
    <row r="3" spans="1:28" s="46" customFormat="1" ht="15" x14ac:dyDescent="0.25">
      <c r="A3" s="45"/>
    </row>
    <row r="4" spans="1:28" s="46" customFormat="1" ht="15" x14ac:dyDescent="0.25">
      <c r="A4" s="45"/>
    </row>
    <row r="5" spans="1:28" ht="3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" x14ac:dyDescent="0.25"/>
    <row r="7" spans="1:28" ht="15" x14ac:dyDescent="0.25">
      <c r="B7" s="38"/>
      <c r="F7" s="18"/>
      <c r="G7" s="18"/>
      <c r="H7" s="18"/>
      <c r="I7" s="18"/>
      <c r="J7" s="18"/>
    </row>
    <row r="8" spans="1:28" ht="15" x14ac:dyDescent="0.25">
      <c r="B8" s="5" t="s">
        <v>70</v>
      </c>
      <c r="F8" s="18"/>
      <c r="G8" s="18"/>
      <c r="H8" s="18"/>
      <c r="I8" s="18"/>
      <c r="J8" s="18"/>
    </row>
    <row r="9" spans="1:28" ht="15" x14ac:dyDescent="0.25">
      <c r="B9" s="38"/>
      <c r="F9" s="18"/>
      <c r="G9" s="18"/>
      <c r="H9" s="18"/>
      <c r="I9" s="18"/>
      <c r="J9" s="18"/>
    </row>
    <row r="10" spans="1:28" ht="21" customHeight="1" x14ac:dyDescent="0.25">
      <c r="B10" s="9" t="s">
        <v>62</v>
      </c>
      <c r="C10" s="10" t="s">
        <v>29</v>
      </c>
      <c r="D10" s="11" t="s">
        <v>31</v>
      </c>
      <c r="H10" s="18"/>
    </row>
    <row r="11" spans="1:28" ht="21" customHeight="1" x14ac:dyDescent="0.25">
      <c r="B11" s="9"/>
      <c r="C11" s="12"/>
      <c r="D11" s="13" t="s">
        <v>33</v>
      </c>
      <c r="H11" s="18"/>
    </row>
    <row r="12" spans="1:28" ht="15" x14ac:dyDescent="0.25">
      <c r="B12" s="52" t="s">
        <v>9</v>
      </c>
      <c r="C12" s="53">
        <v>1167437401.50458</v>
      </c>
      <c r="D12" s="71">
        <v>1845.9660128569001</v>
      </c>
    </row>
    <row r="13" spans="1:28" s="4" customFormat="1" ht="15" x14ac:dyDescent="0.25">
      <c r="B13" s="55" t="s">
        <v>19</v>
      </c>
      <c r="C13" s="56">
        <v>499051848.29720801</v>
      </c>
      <c r="D13" s="69">
        <v>302.36619585239998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8" s="4" customFormat="1" ht="15" x14ac:dyDescent="0.25">
      <c r="B14" s="55" t="s">
        <v>5</v>
      </c>
      <c r="C14" s="56">
        <v>790079790.38597798</v>
      </c>
      <c r="D14" s="69">
        <v>2313.3510086731499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8" s="4" customFormat="1" ht="15" x14ac:dyDescent="0.25">
      <c r="B15" s="55" t="s">
        <v>16</v>
      </c>
      <c r="C15" s="56">
        <v>862850302.60198498</v>
      </c>
      <c r="D15" s="69">
        <v>3515.5613449252401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8" s="4" customFormat="1" ht="15" x14ac:dyDescent="0.25">
      <c r="B16" s="55" t="s">
        <v>3</v>
      </c>
      <c r="C16" s="56">
        <v>3210686507.2231398</v>
      </c>
      <c r="D16" s="69">
        <v>17605.226406739399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2:26" s="4" customFormat="1" ht="15" x14ac:dyDescent="0.25">
      <c r="B17" s="55" t="s">
        <v>12</v>
      </c>
      <c r="C17" s="56">
        <v>3216153935.4648299</v>
      </c>
      <c r="D17" s="69">
        <v>26845.312980732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2:26" s="4" customFormat="1" ht="15" x14ac:dyDescent="0.25">
      <c r="B18" s="55" t="s">
        <v>13</v>
      </c>
      <c r="C18" s="56">
        <v>1798669784.9715199</v>
      </c>
      <c r="D18" s="69">
        <v>21641.393918226298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2:26" s="4" customFormat="1" ht="15" x14ac:dyDescent="0.25">
      <c r="B19" s="55" t="s">
        <v>17</v>
      </c>
      <c r="C19" s="56">
        <v>789103563.65533495</v>
      </c>
      <c r="D19" s="69">
        <v>13809.533351230901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2:26" s="4" customFormat="1" ht="15" x14ac:dyDescent="0.25">
      <c r="B20" s="58" t="s">
        <v>23</v>
      </c>
      <c r="C20" s="59">
        <v>2310673.65</v>
      </c>
      <c r="D20" s="72">
        <v>36.781589250000003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2:26" s="4" customFormat="1" ht="15" x14ac:dyDescent="0.25">
      <c r="B21" s="61" t="s">
        <v>52</v>
      </c>
      <c r="C21" s="62">
        <f>+SUM(C12:C20)</f>
        <v>12336343807.754574</v>
      </c>
      <c r="D21" s="70">
        <f>+SUM(D12:D20)</f>
        <v>87915.492808486277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2:26" s="4" customFormat="1" ht="15" x14ac:dyDescent="0.25">
      <c r="B22"/>
      <c r="C22" s="51"/>
      <c r="D22" s="1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2:26" s="4" customFormat="1" ht="15" x14ac:dyDescent="0.25">
      <c r="B23" s="5" t="s">
        <v>71</v>
      </c>
      <c r="C23" s="51"/>
      <c r="D23" s="1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2:26" s="4" customFormat="1" ht="15" x14ac:dyDescent="0.25">
      <c r="B24" s="74" t="s">
        <v>76</v>
      </c>
      <c r="C24" s="51"/>
      <c r="D24" s="1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2:26" s="4" customFormat="1" ht="15" x14ac:dyDescent="0.25">
      <c r="B25"/>
      <c r="C25" s="51"/>
      <c r="D25" s="1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2:26" s="4" customFormat="1" ht="15" x14ac:dyDescent="0.25">
      <c r="B26" s="9" t="s">
        <v>62</v>
      </c>
      <c r="C26" s="10" t="s">
        <v>29</v>
      </c>
      <c r="D26" s="11" t="s">
        <v>31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2:26" s="4" customFormat="1" ht="15" x14ac:dyDescent="0.25">
      <c r="B27" s="9"/>
      <c r="C27" s="12"/>
      <c r="D27" s="13" t="s">
        <v>33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2:26" s="4" customFormat="1" ht="15" x14ac:dyDescent="0.25">
      <c r="B28" s="55" t="s">
        <v>9</v>
      </c>
      <c r="C28" s="56">
        <v>508019216.26876974</v>
      </c>
      <c r="D28" s="69">
        <v>9032.0622654625604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2:26" s="4" customFormat="1" ht="15" x14ac:dyDescent="0.25">
      <c r="B29" s="55" t="s">
        <v>19</v>
      </c>
      <c r="C29" s="56">
        <v>186959101.59872213</v>
      </c>
      <c r="D29" s="69">
        <v>4152.0524416903299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2:26" s="4" customFormat="1" ht="15" x14ac:dyDescent="0.25">
      <c r="B30" s="55" t="s">
        <v>5</v>
      </c>
      <c r="C30" s="56">
        <v>574826295.2224611</v>
      </c>
      <c r="D30" s="69">
        <v>32974.470361174121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2:26" s="4" customFormat="1" ht="15" x14ac:dyDescent="0.25">
      <c r="B31" s="55" t="s">
        <v>16</v>
      </c>
      <c r="C31" s="56">
        <v>600924395.92953002</v>
      </c>
      <c r="D31" s="69">
        <v>11618.40551201476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2:26" s="4" customFormat="1" ht="15" x14ac:dyDescent="0.25">
      <c r="B32" s="55" t="s">
        <v>3</v>
      </c>
      <c r="C32" s="56">
        <v>3433686003.1996431</v>
      </c>
      <c r="D32" s="69">
        <v>71345.767272631594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2:28" s="4" customFormat="1" ht="15" x14ac:dyDescent="0.25">
      <c r="B33" s="55" t="s">
        <v>12</v>
      </c>
      <c r="C33" s="56">
        <v>3244843035.7962089</v>
      </c>
      <c r="D33" s="69">
        <v>130722.06146285108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2:28" s="4" customFormat="1" ht="15" x14ac:dyDescent="0.25">
      <c r="B34" s="55" t="s">
        <v>13</v>
      </c>
      <c r="C34" s="56">
        <v>1429826326.6245708</v>
      </c>
      <c r="D34" s="69">
        <v>29489.656494614661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2:28" s="4" customFormat="1" ht="15" x14ac:dyDescent="0.25">
      <c r="B35" s="55" t="s">
        <v>17</v>
      </c>
      <c r="C35" s="56">
        <v>906617786.77162886</v>
      </c>
      <c r="D35" s="69">
        <v>43870.412001985111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2:28" s="4" customFormat="1" ht="15" x14ac:dyDescent="0.25">
      <c r="B36" s="55" t="s">
        <v>23</v>
      </c>
      <c r="C36" s="56">
        <v>47575810.018811069</v>
      </c>
      <c r="D36" s="69">
        <v>1029.2415506440541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2:28" s="4" customFormat="1" ht="15" x14ac:dyDescent="0.25">
      <c r="B37" s="55" t="s">
        <v>63</v>
      </c>
      <c r="C37" s="56">
        <v>37495773.714760348</v>
      </c>
      <c r="D37" s="69">
        <v>239.53170564429999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2:28" s="4" customFormat="1" ht="15" x14ac:dyDescent="0.25">
      <c r="B38" s="61" t="s">
        <v>52</v>
      </c>
      <c r="C38" s="62">
        <f>+SUM(C28:C37)</f>
        <v>10970773745.145105</v>
      </c>
      <c r="D38" s="70">
        <f>+SUM(D28:D37)</f>
        <v>334473.66106871254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2:28" s="4" customFormat="1" ht="15" x14ac:dyDescent="0.25">
      <c r="B39"/>
      <c r="C39" s="51"/>
      <c r="D39" s="1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2:28" s="4" customFormat="1" ht="15" hidden="1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2:28" s="4" customFormat="1" ht="15" hidden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2:28" s="4" customFormat="1" ht="15" hidden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2:28" s="4" customFormat="1" ht="15" hidden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2:28" s="4" customFormat="1" ht="15" hidden="1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2:28" s="4" customFormat="1" ht="15" hidden="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2:28" s="4" customFormat="1" ht="15" hidden="1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2:28" s="4" customFormat="1" ht="15" hidden="1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2:28" s="4" customFormat="1" ht="15" hidden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2:28" s="4" customFormat="1" ht="15" hidden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2:28" s="4" customFormat="1" ht="15" hidden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2:28" s="4" customFormat="1" ht="15" hidden="1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2:28" s="4" customFormat="1" ht="15" hidden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2:28" s="4" customFormat="1" ht="15" hidden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2:28" s="4" customFormat="1" ht="15" hidden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2:28" s="4" customFormat="1" ht="15" hidden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2:28" s="4" customFormat="1" ht="15" hidden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2:28" s="4" customFormat="1" ht="15" hidden="1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2:28" s="4" customFormat="1" ht="15" hidden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2:28" s="4" customFormat="1" ht="15" hidden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2:28" s="4" customFormat="1" ht="15" hidden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2:28" s="4" customFormat="1" ht="15" hidden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2:28" s="4" customFormat="1" ht="15" hidden="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2:28" s="4" customFormat="1" ht="15" hidden="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2:28" s="4" customFormat="1" ht="15" hidden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2:28" s="4" customFormat="1" ht="15" hidden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2:28" s="4" customFormat="1" ht="15" hidden="1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2:28" s="4" customFormat="1" ht="15" hidden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2:28" s="4" customFormat="1" ht="15" hidden="1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2:28" s="4" customFormat="1" ht="15" hidden="1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2:28" s="4" customFormat="1" ht="15" hidden="1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2:28" s="4" customFormat="1" ht="15" hidden="1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2:28" s="4" customFormat="1" ht="15" hidden="1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2:28" s="4" customFormat="1" ht="15" hidden="1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2:28" s="4" customFormat="1" ht="15" hidden="1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2:28" s="4" customFormat="1" ht="15" hidden="1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2:28" s="4" customFormat="1" ht="15" hidden="1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2:28" s="4" customFormat="1" ht="15" hidden="1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2:28" s="4" customFormat="1" ht="15" hidden="1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2:28" s="4" customFormat="1" ht="15" hidden="1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2:28" s="4" customFormat="1" ht="15" hidden="1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2:28" s="4" customFormat="1" ht="15" hidden="1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2:28" s="4" customFormat="1" ht="15" hidden="1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2:28" s="4" customFormat="1" ht="15" hidden="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2:28" s="4" customFormat="1" ht="15" hidden="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2:28" s="4" customFormat="1" ht="15" hidden="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2:28" s="4" customFormat="1" ht="15" hidden="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2:28" s="4" customFormat="1" ht="15" hidden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2:28" s="4" customFormat="1" ht="15" hidden="1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2:28" s="4" customFormat="1" ht="15" hidden="1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2:28" s="4" customFormat="1" ht="15" hidden="1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2:28" s="4" customFormat="1" ht="15" hidden="1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2:28" s="4" customFormat="1" ht="15" hidden="1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2:28" s="4" customFormat="1" ht="15" hidden="1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2:28" s="4" customFormat="1" ht="15" hidden="1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2:28" s="4" customFormat="1" ht="15" hidden="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2:28" s="4" customFormat="1" ht="15" hidden="1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2:28" s="4" customFormat="1" ht="15" hidden="1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2:28" s="4" customFormat="1" ht="15" hidden="1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2:28" s="4" customFormat="1" ht="15" hidden="1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2:28" s="4" customFormat="1" ht="15" hidden="1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2:28" s="4" customFormat="1" ht="15" hidden="1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2:28" s="4" customFormat="1" ht="15" hidden="1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2:28" s="4" customFormat="1" ht="15" hidden="1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2:28" s="4" customFormat="1" ht="15" hidden="1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2:28" s="4" customFormat="1" ht="15" hidden="1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2:28" s="4" customFormat="1" ht="15" hidden="1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2:28" s="4" customFormat="1" ht="15" hidden="1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2:28" s="4" customFormat="1" ht="15" hidden="1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2:28" s="4" customFormat="1" ht="15" hidden="1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2:28" s="4" customFormat="1" ht="15" hidden="1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2:28" s="4" customFormat="1" ht="15" hidden="1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2:28" s="4" customFormat="1" ht="15" hidden="1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2:28" s="4" customFormat="1" ht="15" hidden="1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2:28" s="4" customFormat="1" ht="15" hidden="1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2:28" s="4" customFormat="1" ht="15" hidden="1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2:28" s="4" customFormat="1" ht="15" hidden="1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2:28" s="4" customFormat="1" ht="15" hidden="1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2:28" s="4" customFormat="1" ht="15" hidden="1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2:28" s="4" customFormat="1" ht="15" hidden="1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2:28" s="4" customFormat="1" ht="15" hidden="1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2:28" s="4" customFormat="1" ht="15" hidden="1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2:28" s="4" customFormat="1" ht="15" hidden="1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2:28" s="4" customFormat="1" ht="15" hidden="1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2:28" s="4" customFormat="1" ht="15" hidden="1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2:28" s="4" customFormat="1" ht="15" hidden="1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2:28" s="4" customFormat="1" ht="15" hidden="1" x14ac:dyDescent="0.2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2:28" s="4" customFormat="1" ht="15" hidden="1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2:28" s="4" customFormat="1" ht="15" hidden="1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2:28" s="4" customFormat="1" ht="15" hidden="1" x14ac:dyDescent="0.2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2:28" s="4" customFormat="1" ht="15" hidden="1" x14ac:dyDescent="0.2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2:28" s="4" customFormat="1" ht="15" hidden="1" x14ac:dyDescent="0.2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2:28" s="4" customFormat="1" ht="15" hidden="1" x14ac:dyDescent="0.2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2:28" s="4" customFormat="1" ht="15" hidden="1" x14ac:dyDescent="0.2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2:28" s="4" customFormat="1" ht="15" hidden="1" x14ac:dyDescent="0.2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2:28" s="4" customFormat="1" ht="15" hidden="1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2:28" s="4" customFormat="1" ht="15" hidden="1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2:28" s="4" customFormat="1" ht="15" hidden="1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2:28" s="4" customFormat="1" ht="15" hidden="1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2:28" s="4" customFormat="1" ht="15" hidden="1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2:28" s="4" customFormat="1" ht="15" hidden="1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2:28" s="4" customFormat="1" ht="15" hidden="1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2:28" s="4" customFormat="1" ht="15" hidden="1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2:28" s="4" customFormat="1" ht="15" hidden="1" x14ac:dyDescent="0.2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2:28" s="4" customFormat="1" ht="15" hidden="1" x14ac:dyDescent="0.2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2:28" s="4" customFormat="1" ht="15" hidden="1" x14ac:dyDescent="0.2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2:28" s="4" customFormat="1" ht="15" hidden="1" x14ac:dyDescent="0.2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2:28" s="4" customFormat="1" ht="15" hidden="1" x14ac:dyDescent="0.2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2:28" s="4" customFormat="1" ht="15" hidden="1" x14ac:dyDescent="0.2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2:28" s="4" customFormat="1" ht="15" hidden="1" x14ac:dyDescent="0.2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2:28" s="4" customFormat="1" ht="15" hidden="1" x14ac:dyDescent="0.2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2:28" s="4" customFormat="1" ht="15" hidden="1" x14ac:dyDescent="0.2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2:28" s="4" customFormat="1" ht="15" hidden="1" x14ac:dyDescent="0.2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2:28" s="4" customFormat="1" ht="15" hidden="1" x14ac:dyDescent="0.2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2:28" s="4" customFormat="1" ht="15" hidden="1" x14ac:dyDescent="0.2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2:28" s="4" customFormat="1" ht="15" hidden="1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2:28" s="4" customFormat="1" ht="15" hidden="1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2:28" s="4" customFormat="1" ht="15" hidden="1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2:28" s="4" customFormat="1" ht="15" hidden="1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2:28" s="4" customFormat="1" ht="15" hidden="1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2:28" s="4" customFormat="1" ht="15" hidden="1" x14ac:dyDescent="0.2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2:28" s="4" customFormat="1" ht="15" hidden="1" x14ac:dyDescent="0.2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</row>
    <row r="162" spans="2:28" s="4" customFormat="1" ht="15" hidden="1" x14ac:dyDescent="0.2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2:28" s="4" customFormat="1" ht="15" hidden="1" x14ac:dyDescent="0.2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2:28" s="4" customFormat="1" ht="15" hidden="1" x14ac:dyDescent="0.2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2:28" s="4" customFormat="1" ht="15" hidden="1" x14ac:dyDescent="0.2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2:28" s="4" customFormat="1" ht="15" hidden="1" x14ac:dyDescent="0.2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2:28" s="4" customFormat="1" ht="15" hidden="1" x14ac:dyDescent="0.2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2:28" s="4" customFormat="1" ht="15" hidden="1" x14ac:dyDescent="0.2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2:28" s="4" customFormat="1" ht="15" hidden="1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2:28" s="4" customFormat="1" ht="15" hidden="1" x14ac:dyDescent="0.2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2:28" s="4" customFormat="1" ht="15" hidden="1" x14ac:dyDescent="0.2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2:28" s="4" customFormat="1" ht="15" hidden="1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2:28" s="4" customFormat="1" ht="15" hidden="1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2:28" s="4" customFormat="1" ht="15" hidden="1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2:28" s="4" customFormat="1" ht="15" hidden="1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2:28" s="4" customFormat="1" ht="15" hidden="1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2:28" s="4" customFormat="1" ht="15" hidden="1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2:28" s="4" customFormat="1" ht="15" hidden="1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2:28" s="4" customFormat="1" ht="15" hidden="1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2:28" s="4" customFormat="1" ht="15" hidden="1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2:28" s="4" customFormat="1" ht="15" hidden="1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2:28" s="4" customFormat="1" ht="15" hidden="1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2:28" s="4" customFormat="1" ht="15" hidden="1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2:28" s="4" customFormat="1" ht="15" hidden="1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2:28" s="4" customFormat="1" ht="15" hidden="1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2:28" s="4" customFormat="1" ht="15" hidden="1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2:28" s="4" customFormat="1" ht="15" hidden="1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2:28" s="4" customFormat="1" ht="15" hidden="1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2:28" s="4" customFormat="1" ht="15" hidden="1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2:28" s="4" customFormat="1" ht="15" hidden="1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2:28" s="4" customFormat="1" ht="15" hidden="1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2:28" s="4" customFormat="1" ht="15" hidden="1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2:28" s="4" customFormat="1" ht="15" hidden="1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2:28" s="4" customFormat="1" ht="15" hidden="1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2:28" s="4" customFormat="1" ht="15" hidden="1" x14ac:dyDescent="0.2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2:28" s="4" customFormat="1" ht="15" hidden="1" x14ac:dyDescent="0.2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2:28" s="4" customFormat="1" ht="15" hidden="1" x14ac:dyDescent="0.2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2:28" s="4" customFormat="1" ht="15" hidden="1" x14ac:dyDescent="0.2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2:28" s="4" customFormat="1" ht="15" hidden="1" x14ac:dyDescent="0.2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2:28" s="4" customFormat="1" ht="15" hidden="1" x14ac:dyDescent="0.2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2:28" s="4" customFormat="1" ht="15" hidden="1" x14ac:dyDescent="0.2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2:28" s="4" customFormat="1" ht="15" hidden="1" x14ac:dyDescent="0.2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2:28" s="4" customFormat="1" ht="15" hidden="1" x14ac:dyDescent="0.2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2:28" s="4" customFormat="1" ht="15" hidden="1" x14ac:dyDescent="0.2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2:28" s="4" customFormat="1" ht="15" hidden="1" x14ac:dyDescent="0.2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2:28" s="4" customFormat="1" ht="15" hidden="1" x14ac:dyDescent="0.2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2:28" s="4" customFormat="1" ht="15" hidden="1" x14ac:dyDescent="0.2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2:28" s="4" customFormat="1" ht="15" hidden="1" x14ac:dyDescent="0.2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2:28" s="4" customFormat="1" ht="15" hidden="1" x14ac:dyDescent="0.2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2:28" s="4" customFormat="1" ht="15" hidden="1" x14ac:dyDescent="0.2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2:28" s="4" customFormat="1" ht="15" hidden="1" x14ac:dyDescent="0.2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2:28" s="4" customFormat="1" ht="15" hidden="1" x14ac:dyDescent="0.2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2:28" s="4" customFormat="1" ht="15" hidden="1" x14ac:dyDescent="0.2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2:28" s="4" customFormat="1" ht="15" hidden="1" x14ac:dyDescent="0.2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2:28" s="4" customFormat="1" ht="15" hidden="1" x14ac:dyDescent="0.2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2:28" s="4" customFormat="1" ht="15" hidden="1" x14ac:dyDescent="0.2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</row>
    <row r="217" spans="2:28" s="4" customFormat="1" ht="15" hidden="1" x14ac:dyDescent="0.2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</row>
    <row r="218" spans="2:28" s="4" customFormat="1" ht="15" hidden="1" x14ac:dyDescent="0.25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2:28" s="4" customFormat="1" ht="15" hidden="1" x14ac:dyDescent="0.25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2:28" s="4" customFormat="1" ht="15" hidden="1" x14ac:dyDescent="0.25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2:28" s="4" customFormat="1" ht="15" hidden="1" x14ac:dyDescent="0.25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2:28" s="4" customFormat="1" ht="15" hidden="1" x14ac:dyDescent="0.25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2:28" s="4" customFormat="1" ht="15" hidden="1" x14ac:dyDescent="0.25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2:28" s="4" customFormat="1" ht="15" hidden="1" x14ac:dyDescent="0.25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2:28" s="4" customFormat="1" ht="15" hidden="1" x14ac:dyDescent="0.2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2:28" s="4" customFormat="1" ht="15" hidden="1" x14ac:dyDescent="0.2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2:28" s="4" customFormat="1" ht="15" hidden="1" x14ac:dyDescent="0.2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2:28" s="4" customFormat="1" ht="15" hidden="1" x14ac:dyDescent="0.2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2:28" s="4" customFormat="1" ht="15" hidden="1" x14ac:dyDescent="0.2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2:28" s="4" customFormat="1" ht="15" hidden="1" x14ac:dyDescent="0.2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2:28" s="4" customFormat="1" ht="15" hidden="1" x14ac:dyDescent="0.2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2:28" s="4" customFormat="1" ht="15" hidden="1" x14ac:dyDescent="0.2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2:28" s="4" customFormat="1" ht="15" hidden="1" x14ac:dyDescent="0.2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2:28" s="4" customFormat="1" ht="15" hidden="1" x14ac:dyDescent="0.2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2:28" s="4" customFormat="1" ht="15" hidden="1" x14ac:dyDescent="0.2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2:28" s="4" customFormat="1" ht="15" hidden="1" x14ac:dyDescent="0.2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2:28" s="4" customFormat="1" ht="15" hidden="1" x14ac:dyDescent="0.2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2:28" s="4" customFormat="1" ht="15" hidden="1" x14ac:dyDescent="0.2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2:28" s="4" customFormat="1" ht="15" hidden="1" x14ac:dyDescent="0.2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2:28" s="4" customFormat="1" ht="15" hidden="1" x14ac:dyDescent="0.2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2:28" s="4" customFormat="1" ht="15" hidden="1" x14ac:dyDescent="0.25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2:28" s="4" customFormat="1" ht="15" hidden="1" x14ac:dyDescent="0.25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2:28" s="4" customFormat="1" ht="15" hidden="1" x14ac:dyDescent="0.25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2:28" s="4" customFormat="1" ht="15" hidden="1" x14ac:dyDescent="0.25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2:28" s="4" customFormat="1" ht="15" hidden="1" x14ac:dyDescent="0.25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2:28" s="4" customFormat="1" ht="15" hidden="1" x14ac:dyDescent="0.25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</row>
    <row r="247" spans="2:28" s="4" customFormat="1" ht="15" hidden="1" x14ac:dyDescent="0.25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2:28" s="4" customFormat="1" ht="15" hidden="1" x14ac:dyDescent="0.25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2:28" s="4" customFormat="1" ht="15" hidden="1" x14ac:dyDescent="0.25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2:28" s="4" customFormat="1" ht="15" hidden="1" x14ac:dyDescent="0.25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</row>
    <row r="251" spans="2:28" s="4" customFormat="1" ht="15" hidden="1" x14ac:dyDescent="0.25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2:28" s="4" customFormat="1" ht="15" hidden="1" x14ac:dyDescent="0.25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2:28" s="4" customFormat="1" ht="15" hidden="1" x14ac:dyDescent="0.25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 spans="2:28" s="4" customFormat="1" ht="15" hidden="1" x14ac:dyDescent="0.25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</row>
    <row r="255" spans="2:28" s="4" customFormat="1" ht="15" hidden="1" x14ac:dyDescent="0.25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2:28" s="4" customFormat="1" ht="15" hidden="1" x14ac:dyDescent="0.25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</row>
    <row r="257" spans="2:28" s="4" customFormat="1" ht="15" hidden="1" x14ac:dyDescent="0.25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2:28" s="4" customFormat="1" ht="15" hidden="1" x14ac:dyDescent="0.25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2:28" s="4" customFormat="1" ht="15" hidden="1" x14ac:dyDescent="0.25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</row>
    <row r="260" spans="2:28" s="4" customFormat="1" ht="15" hidden="1" x14ac:dyDescent="0.25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2:28" s="4" customFormat="1" ht="15" hidden="1" x14ac:dyDescent="0.25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2:28" s="4" customFormat="1" ht="15" hidden="1" x14ac:dyDescent="0.25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2:28" s="4" customFormat="1" ht="15" hidden="1" x14ac:dyDescent="0.25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2:28" s="4" customFormat="1" ht="15" hidden="1" x14ac:dyDescent="0.25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2:28" s="4" customFormat="1" ht="15" hidden="1" x14ac:dyDescent="0.25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2:28" s="4" customFormat="1" ht="15" hidden="1" x14ac:dyDescent="0.25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</row>
    <row r="267" spans="2:28" s="4" customFormat="1" ht="15" hidden="1" x14ac:dyDescent="0.25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2:28" s="4" customFormat="1" ht="15" hidden="1" x14ac:dyDescent="0.25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2:28" s="4" customFormat="1" ht="15" hidden="1" x14ac:dyDescent="0.25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2:28" s="4" customFormat="1" ht="15" hidden="1" x14ac:dyDescent="0.25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2:28" s="4" customFormat="1" ht="15" hidden="1" x14ac:dyDescent="0.25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2:28" s="4" customFormat="1" ht="15" hidden="1" x14ac:dyDescent="0.25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2:28" s="4" customFormat="1" ht="15" hidden="1" x14ac:dyDescent="0.25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2:28" s="4" customFormat="1" ht="15" hidden="1" x14ac:dyDescent="0.25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2:28" s="4" customFormat="1" ht="15" hidden="1" x14ac:dyDescent="0.25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2:28" s="4" customFormat="1" ht="15" hidden="1" x14ac:dyDescent="0.25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2:28" s="4" customFormat="1" ht="15" hidden="1" x14ac:dyDescent="0.25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2:28" s="4" customFormat="1" ht="15" hidden="1" x14ac:dyDescent="0.25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2:28" s="4" customFormat="1" ht="15" hidden="1" x14ac:dyDescent="0.25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2:28" s="4" customFormat="1" ht="15" hidden="1" x14ac:dyDescent="0.25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2:28" s="4" customFormat="1" ht="15" hidden="1" x14ac:dyDescent="0.25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2:28" s="4" customFormat="1" ht="15" hidden="1" x14ac:dyDescent="0.25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2:28" s="4" customFormat="1" ht="15" hidden="1" x14ac:dyDescent="0.25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2:28" s="4" customFormat="1" ht="15" hidden="1" x14ac:dyDescent="0.25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2:28" s="4" customFormat="1" ht="15" hidden="1" x14ac:dyDescent="0.25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2:28" s="4" customFormat="1" ht="15" hidden="1" x14ac:dyDescent="0.25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2:28" s="4" customFormat="1" ht="15" hidden="1" x14ac:dyDescent="0.25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2:28" s="4" customFormat="1" ht="15" hidden="1" x14ac:dyDescent="0.25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2:28" s="4" customFormat="1" ht="15" hidden="1" x14ac:dyDescent="0.25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2:28" s="4" customFormat="1" ht="15" hidden="1" x14ac:dyDescent="0.25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2:28" s="4" customFormat="1" ht="15" hidden="1" x14ac:dyDescent="0.25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2:28" s="4" customFormat="1" ht="15" hidden="1" x14ac:dyDescent="0.25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2:28" s="4" customFormat="1" ht="15" hidden="1" x14ac:dyDescent="0.25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2:28" s="4" customFormat="1" ht="15" hidden="1" x14ac:dyDescent="0.25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2:28" s="4" customFormat="1" ht="15" hidden="1" x14ac:dyDescent="0.25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2:28" s="4" customFormat="1" ht="15" hidden="1" x14ac:dyDescent="0.25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2:28" s="4" customFormat="1" ht="15" hidden="1" x14ac:dyDescent="0.25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2:28" s="4" customFormat="1" ht="15" hidden="1" x14ac:dyDescent="0.25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2:28" s="4" customFormat="1" ht="15" hidden="1" x14ac:dyDescent="0.25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2:28" s="4" customFormat="1" ht="15" hidden="1" x14ac:dyDescent="0.25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2:28" s="4" customFormat="1" ht="15" hidden="1" x14ac:dyDescent="0.25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2:28" s="4" customFormat="1" ht="15" hidden="1" x14ac:dyDescent="0.25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2:28" s="4" customFormat="1" ht="15" hidden="1" x14ac:dyDescent="0.25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2:28" s="4" customFormat="1" ht="15" hidden="1" x14ac:dyDescent="0.25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2:28" s="4" customFormat="1" ht="15" hidden="1" x14ac:dyDescent="0.25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2:28" s="4" customFormat="1" ht="15" hidden="1" x14ac:dyDescent="0.25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2:28" s="4" customFormat="1" ht="15" hidden="1" x14ac:dyDescent="0.25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2:28" s="4" customFormat="1" ht="15" hidden="1" x14ac:dyDescent="0.25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2:28" s="4" customFormat="1" ht="15" hidden="1" x14ac:dyDescent="0.25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2:28" s="4" customFormat="1" ht="15" hidden="1" x14ac:dyDescent="0.25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2:28" s="4" customFormat="1" ht="15" hidden="1" x14ac:dyDescent="0.25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2:28" s="4" customFormat="1" ht="15" hidden="1" x14ac:dyDescent="0.25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2:28" s="4" customFormat="1" ht="15" hidden="1" x14ac:dyDescent="0.25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2:28" s="4" customFormat="1" ht="15" hidden="1" x14ac:dyDescent="0.25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2:28" s="4" customFormat="1" ht="15" hidden="1" x14ac:dyDescent="0.25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2:28" s="4" customFormat="1" ht="15" hidden="1" x14ac:dyDescent="0.25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2:28" s="4" customFormat="1" ht="15" hidden="1" x14ac:dyDescent="0.25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2:28" s="4" customFormat="1" ht="15" hidden="1" x14ac:dyDescent="0.25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2:28" s="4" customFormat="1" ht="15" hidden="1" x14ac:dyDescent="0.25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2:28" s="4" customFormat="1" ht="15" hidden="1" x14ac:dyDescent="0.25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2:28" s="4" customFormat="1" ht="15" hidden="1" x14ac:dyDescent="0.25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2:28" s="4" customFormat="1" ht="15" hidden="1" x14ac:dyDescent="0.25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2:28" s="4" customFormat="1" ht="15" hidden="1" x14ac:dyDescent="0.25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2:28" s="4" customFormat="1" ht="15" hidden="1" x14ac:dyDescent="0.25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2:28" s="4" customFormat="1" ht="15" hidden="1" x14ac:dyDescent="0.25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2:28" s="4" customFormat="1" ht="15" hidden="1" x14ac:dyDescent="0.25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2:28" s="4" customFormat="1" ht="15" hidden="1" x14ac:dyDescent="0.25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2:28" s="4" customFormat="1" ht="15" hidden="1" x14ac:dyDescent="0.25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2:28" s="4" customFormat="1" ht="15" hidden="1" x14ac:dyDescent="0.25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2:28" s="4" customFormat="1" ht="15" hidden="1" x14ac:dyDescent="0.25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2:28" s="4" customFormat="1" ht="15" hidden="1" x14ac:dyDescent="0.25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2:28" s="4" customFormat="1" ht="15" hidden="1" x14ac:dyDescent="0.25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2:28" s="4" customFormat="1" ht="15" hidden="1" x14ac:dyDescent="0.25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2:28" s="4" customFormat="1" ht="15" hidden="1" x14ac:dyDescent="0.25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2:28" s="4" customFormat="1" ht="15" hidden="1" x14ac:dyDescent="0.25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2:28" s="4" customFormat="1" ht="15" hidden="1" x14ac:dyDescent="0.25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2:28" s="4" customFormat="1" ht="15" hidden="1" x14ac:dyDescent="0.2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2:28" s="4" customFormat="1" ht="15" hidden="1" x14ac:dyDescent="0.2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2:28" s="4" customFormat="1" ht="15" hidden="1" x14ac:dyDescent="0.2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2:28" s="4" customFormat="1" ht="15" hidden="1" x14ac:dyDescent="0.2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2:28" s="4" customFormat="1" ht="15" hidden="1" x14ac:dyDescent="0.2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2:28" s="4" customFormat="1" ht="15" hidden="1" x14ac:dyDescent="0.2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2:28" s="4" customFormat="1" ht="15" hidden="1" x14ac:dyDescent="0.2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2:28" s="4" customFormat="1" ht="15" hidden="1" x14ac:dyDescent="0.2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2:28" s="4" customFormat="1" ht="15" hidden="1" x14ac:dyDescent="0.2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2:28" s="4" customFormat="1" ht="15" hidden="1" x14ac:dyDescent="0.2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2:28" s="4" customFormat="1" ht="15" hidden="1" x14ac:dyDescent="0.2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2:28" s="4" customFormat="1" ht="15" hidden="1" x14ac:dyDescent="0.2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2:28" s="4" customFormat="1" ht="15" hidden="1" x14ac:dyDescent="0.2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2:28" s="4" customFormat="1" ht="15" hidden="1" x14ac:dyDescent="0.2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2:28" s="4" customFormat="1" ht="15" hidden="1" x14ac:dyDescent="0.2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2:28" s="4" customFormat="1" ht="15" hidden="1" x14ac:dyDescent="0.2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2:28" s="4" customFormat="1" ht="15" hidden="1" x14ac:dyDescent="0.2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2:28" s="4" customFormat="1" ht="15" hidden="1" x14ac:dyDescent="0.2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2:28" s="4" customFormat="1" ht="15" hidden="1" x14ac:dyDescent="0.2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2:28" s="4" customFormat="1" ht="15" hidden="1" x14ac:dyDescent="0.2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2:28" s="4" customFormat="1" ht="15" hidden="1" x14ac:dyDescent="0.2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2:28" s="4" customFormat="1" ht="15" hidden="1" x14ac:dyDescent="0.2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2:28" s="4" customFormat="1" ht="15" hidden="1" x14ac:dyDescent="0.2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2:28" s="4" customFormat="1" ht="15" hidden="1" x14ac:dyDescent="0.2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2:28" s="4" customFormat="1" ht="15" hidden="1" x14ac:dyDescent="0.2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2:28" s="4" customFormat="1" ht="15" hidden="1" x14ac:dyDescent="0.2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2:28" s="4" customFormat="1" ht="15" hidden="1" x14ac:dyDescent="0.2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2:28" s="4" customFormat="1" ht="15" hidden="1" x14ac:dyDescent="0.2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</row>
    <row r="365" spans="2:28" s="4" customFormat="1" ht="15" hidden="1" x14ac:dyDescent="0.2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2:28" s="4" customFormat="1" ht="15" hidden="1" x14ac:dyDescent="0.2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2:28" s="4" customFormat="1" ht="15" hidden="1" x14ac:dyDescent="0.2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2:28" s="4" customFormat="1" ht="15" hidden="1" x14ac:dyDescent="0.2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2:28" s="4" customFormat="1" ht="15" hidden="1" x14ac:dyDescent="0.2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2:28" s="4" customFormat="1" ht="15" hidden="1" x14ac:dyDescent="0.2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2:28" s="4" customFormat="1" ht="15" hidden="1" x14ac:dyDescent="0.2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2:28" s="4" customFormat="1" ht="15" hidden="1" x14ac:dyDescent="0.2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2:28" s="4" customFormat="1" ht="15" hidden="1" x14ac:dyDescent="0.2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2:28" s="4" customFormat="1" ht="15" hidden="1" x14ac:dyDescent="0.2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2:28" s="4" customFormat="1" ht="15" hidden="1" x14ac:dyDescent="0.2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2:28" s="4" customFormat="1" ht="15" hidden="1" x14ac:dyDescent="0.2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2:28" s="4" customFormat="1" ht="15" hidden="1" x14ac:dyDescent="0.2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2:28" s="4" customFormat="1" ht="15" hidden="1" x14ac:dyDescent="0.2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2:28" s="4" customFormat="1" ht="15" hidden="1" x14ac:dyDescent="0.2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2:28" s="4" customFormat="1" ht="15" hidden="1" x14ac:dyDescent="0.2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2:28" s="4" customFormat="1" ht="15" hidden="1" x14ac:dyDescent="0.2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2:28" s="4" customFormat="1" ht="15" hidden="1" x14ac:dyDescent="0.2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2:28" s="4" customFormat="1" ht="15" hidden="1" x14ac:dyDescent="0.2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2:28" s="4" customFormat="1" ht="15" hidden="1" x14ac:dyDescent="0.2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2:28" s="4" customFormat="1" ht="15" hidden="1" x14ac:dyDescent="0.2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2:28" s="4" customFormat="1" ht="15" hidden="1" x14ac:dyDescent="0.2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2:28" s="4" customFormat="1" ht="15" hidden="1" x14ac:dyDescent="0.2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2:28" s="4" customFormat="1" ht="15" hidden="1" x14ac:dyDescent="0.2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2:28" s="4" customFormat="1" ht="15" hidden="1" x14ac:dyDescent="0.2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2:28" s="4" customFormat="1" ht="15" hidden="1" x14ac:dyDescent="0.2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2:28" s="4" customFormat="1" ht="15" hidden="1" x14ac:dyDescent="0.2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2:28" s="4" customFormat="1" ht="15" hidden="1" x14ac:dyDescent="0.2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2:28" s="4" customFormat="1" ht="15" hidden="1" x14ac:dyDescent="0.2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2:28" s="4" customFormat="1" ht="15" hidden="1" x14ac:dyDescent="0.2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2:28" s="4" customFormat="1" ht="15" hidden="1" x14ac:dyDescent="0.2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2:28" s="4" customFormat="1" ht="15" hidden="1" x14ac:dyDescent="0.2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2:28" s="4" customFormat="1" ht="15" hidden="1" x14ac:dyDescent="0.2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2:28" s="4" customFormat="1" ht="15" hidden="1" x14ac:dyDescent="0.2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2:28" s="4" customFormat="1" ht="15" hidden="1" x14ac:dyDescent="0.2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2:28" s="4" customFormat="1" ht="15" hidden="1" x14ac:dyDescent="0.2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2:28" s="4" customFormat="1" ht="15" hidden="1" x14ac:dyDescent="0.2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2:28" s="4" customFormat="1" ht="15" hidden="1" x14ac:dyDescent="0.2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2:28" s="4" customFormat="1" ht="15" hidden="1" x14ac:dyDescent="0.2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2:28" s="4" customFormat="1" ht="15" hidden="1" x14ac:dyDescent="0.2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2:28" s="4" customFormat="1" ht="15" hidden="1" x14ac:dyDescent="0.2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2:28" s="4" customFormat="1" ht="15" hidden="1" x14ac:dyDescent="0.2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2:28" s="4" customFormat="1" ht="15" hidden="1" x14ac:dyDescent="0.2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2:28" s="4" customFormat="1" ht="15" hidden="1" x14ac:dyDescent="0.2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2:28" s="4" customFormat="1" ht="15" hidden="1" x14ac:dyDescent="0.2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2:28" s="4" customFormat="1" ht="15" hidden="1" x14ac:dyDescent="0.2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2:28" s="4" customFormat="1" ht="15" hidden="1" x14ac:dyDescent="0.2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2:28" s="4" customFormat="1" ht="15" hidden="1" x14ac:dyDescent="0.2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2:28" s="4" customFormat="1" ht="15" hidden="1" x14ac:dyDescent="0.2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2:28" s="4" customFormat="1" ht="15" hidden="1" x14ac:dyDescent="0.2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2:28" s="4" customFormat="1" ht="15" hidden="1" x14ac:dyDescent="0.2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2:28" s="4" customFormat="1" ht="15" hidden="1" x14ac:dyDescent="0.2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2:28" s="4" customFormat="1" ht="15" hidden="1" x14ac:dyDescent="0.2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2:28" s="4" customFormat="1" ht="15" hidden="1" x14ac:dyDescent="0.2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2:28" s="4" customFormat="1" ht="15" hidden="1" x14ac:dyDescent="0.2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2:28" s="4" customFormat="1" ht="15" hidden="1" x14ac:dyDescent="0.2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2:28" s="4" customFormat="1" ht="15" hidden="1" x14ac:dyDescent="0.2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2:28" s="4" customFormat="1" ht="15" hidden="1" x14ac:dyDescent="0.2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2:28" s="4" customFormat="1" ht="15" hidden="1" x14ac:dyDescent="0.2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2:28" s="4" customFormat="1" ht="15" hidden="1" x14ac:dyDescent="0.2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2:28" s="4" customFormat="1" ht="15" hidden="1" x14ac:dyDescent="0.2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2:28" s="4" customFormat="1" ht="15" hidden="1" x14ac:dyDescent="0.2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2:28" s="4" customFormat="1" ht="15" hidden="1" x14ac:dyDescent="0.2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2:28" s="4" customFormat="1" ht="15" hidden="1" x14ac:dyDescent="0.2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2:28" s="4" customFormat="1" ht="15" hidden="1" x14ac:dyDescent="0.2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2:28" s="4" customFormat="1" ht="15" hidden="1" x14ac:dyDescent="0.2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2:28" s="4" customFormat="1" ht="15" hidden="1" x14ac:dyDescent="0.2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2:28" s="4" customFormat="1" ht="15" hidden="1" x14ac:dyDescent="0.2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2:28" s="4" customFormat="1" ht="15" hidden="1" x14ac:dyDescent="0.2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2:28" s="4" customFormat="1" ht="15" hidden="1" x14ac:dyDescent="0.2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2:28" s="4" customFormat="1" ht="15" hidden="1" x14ac:dyDescent="0.2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2:28" s="4" customFormat="1" ht="15" hidden="1" x14ac:dyDescent="0.2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2:28" s="4" customFormat="1" ht="15" hidden="1" x14ac:dyDescent="0.2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2:28" s="4" customFormat="1" ht="15" hidden="1" x14ac:dyDescent="0.2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2:28" s="4" customFormat="1" ht="15" hidden="1" x14ac:dyDescent="0.2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2:28" s="4" customFormat="1" ht="15" hidden="1" x14ac:dyDescent="0.2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2:28" s="4" customFormat="1" ht="15" hidden="1" x14ac:dyDescent="0.2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2:28" s="4" customFormat="1" ht="15" hidden="1" x14ac:dyDescent="0.2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2:28" s="4" customFormat="1" ht="15" hidden="1" x14ac:dyDescent="0.2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2:28" s="4" customFormat="1" ht="15" hidden="1" x14ac:dyDescent="0.2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2:28" s="4" customFormat="1" ht="15" hidden="1" x14ac:dyDescent="0.2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2:28" s="4" customFormat="1" ht="15" hidden="1" x14ac:dyDescent="0.2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2:28" s="4" customFormat="1" ht="15" hidden="1" x14ac:dyDescent="0.2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2:28" s="4" customFormat="1" ht="15" hidden="1" x14ac:dyDescent="0.2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2:28" s="4" customFormat="1" ht="15" hidden="1" x14ac:dyDescent="0.2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2:28" s="4" customFormat="1" ht="15" hidden="1" x14ac:dyDescent="0.2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2:28" s="4" customFormat="1" ht="15" hidden="1" x14ac:dyDescent="0.2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2:28" s="4" customFormat="1" ht="15" hidden="1" x14ac:dyDescent="0.2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2:28" s="4" customFormat="1" ht="15" hidden="1" x14ac:dyDescent="0.25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2:28" s="4" customFormat="1" ht="15" hidden="1" x14ac:dyDescent="0.25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2:28" s="4" customFormat="1" ht="15" hidden="1" x14ac:dyDescent="0.25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2:28" s="4" customFormat="1" ht="15" hidden="1" x14ac:dyDescent="0.25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2:28" s="4" customFormat="1" ht="15" hidden="1" x14ac:dyDescent="0.25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2:28" s="4" customFormat="1" ht="15" hidden="1" x14ac:dyDescent="0.25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</row>
    <row r="459" spans="2:28" s="4" customFormat="1" ht="15" hidden="1" x14ac:dyDescent="0.25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</row>
    <row r="460" spans="2:28" s="4" customFormat="1" ht="15" hidden="1" x14ac:dyDescent="0.25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</row>
    <row r="461" spans="2:28" s="4" customFormat="1" ht="15" hidden="1" x14ac:dyDescent="0.25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</row>
    <row r="462" spans="2:28" s="4" customFormat="1" ht="15" hidden="1" x14ac:dyDescent="0.25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</row>
    <row r="463" spans="2:28" s="4" customFormat="1" ht="15" hidden="1" x14ac:dyDescent="0.25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</row>
    <row r="464" spans="2:28" s="4" customFormat="1" ht="15" hidden="1" x14ac:dyDescent="0.25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</row>
    <row r="465" spans="2:28" s="4" customFormat="1" ht="15" hidden="1" x14ac:dyDescent="0.25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</row>
    <row r="466" spans="2:28" s="4" customFormat="1" ht="15" hidden="1" x14ac:dyDescent="0.25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</row>
    <row r="467" spans="2:28" s="4" customFormat="1" ht="15" hidden="1" x14ac:dyDescent="0.25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</row>
    <row r="468" spans="2:28" s="4" customFormat="1" ht="15" hidden="1" x14ac:dyDescent="0.25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</row>
    <row r="469" spans="2:28" s="4" customFormat="1" ht="15" hidden="1" x14ac:dyDescent="0.25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</row>
    <row r="470" spans="2:28" s="4" customFormat="1" ht="15" hidden="1" x14ac:dyDescent="0.25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</row>
    <row r="471" spans="2:28" s="4" customFormat="1" ht="15" hidden="1" x14ac:dyDescent="0.25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</row>
    <row r="472" spans="2:28" s="4" customFormat="1" ht="15" hidden="1" x14ac:dyDescent="0.25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</row>
    <row r="473" spans="2:28" s="4" customFormat="1" ht="15" hidden="1" x14ac:dyDescent="0.25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</row>
    <row r="474" spans="2:28" s="4" customFormat="1" ht="15" hidden="1" x14ac:dyDescent="0.25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</row>
    <row r="475" spans="2:28" s="4" customFormat="1" ht="15" hidden="1" x14ac:dyDescent="0.25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</row>
    <row r="476" spans="2:28" s="4" customFormat="1" ht="15" hidden="1" x14ac:dyDescent="0.25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</row>
    <row r="477" spans="2:28" s="4" customFormat="1" ht="15" hidden="1" x14ac:dyDescent="0.25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</row>
    <row r="478" spans="2:28" s="4" customFormat="1" ht="15" hidden="1" x14ac:dyDescent="0.25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</row>
    <row r="479" spans="2:28" s="4" customFormat="1" ht="15" hidden="1" x14ac:dyDescent="0.25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</row>
    <row r="480" spans="2:28" s="4" customFormat="1" ht="15" hidden="1" x14ac:dyDescent="0.25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</row>
    <row r="481" spans="2:28" s="4" customFormat="1" ht="15" hidden="1" x14ac:dyDescent="0.25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</row>
    <row r="482" spans="2:28" s="4" customFormat="1" ht="15" hidden="1" x14ac:dyDescent="0.25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</row>
    <row r="483" spans="2:28" s="4" customFormat="1" ht="15" hidden="1" x14ac:dyDescent="0.25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</row>
    <row r="484" spans="2:28" s="4" customFormat="1" ht="15" hidden="1" x14ac:dyDescent="0.25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</row>
    <row r="485" spans="2:28" s="4" customFormat="1" ht="15" hidden="1" x14ac:dyDescent="0.25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</row>
    <row r="486" spans="2:28" s="4" customFormat="1" ht="15" hidden="1" x14ac:dyDescent="0.25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</row>
    <row r="487" spans="2:28" s="4" customFormat="1" ht="15" hidden="1" x14ac:dyDescent="0.25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</row>
    <row r="488" spans="2:28" s="4" customFormat="1" ht="15" hidden="1" x14ac:dyDescent="0.25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</row>
    <row r="489" spans="2:28" s="4" customFormat="1" ht="15" hidden="1" x14ac:dyDescent="0.25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</row>
    <row r="490" spans="2:28" s="4" customFormat="1" ht="15" hidden="1" x14ac:dyDescent="0.25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</row>
    <row r="491" spans="2:28" s="4" customFormat="1" ht="15" hidden="1" x14ac:dyDescent="0.25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</row>
    <row r="492" spans="2:28" s="4" customFormat="1" ht="15" hidden="1" x14ac:dyDescent="0.25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</row>
    <row r="493" spans="2:28" s="4" customFormat="1" ht="15" hidden="1" x14ac:dyDescent="0.25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</row>
    <row r="494" spans="2:28" s="4" customFormat="1" ht="15" hidden="1" x14ac:dyDescent="0.25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</row>
    <row r="495" spans="2:28" s="4" customFormat="1" ht="15" hidden="1" x14ac:dyDescent="0.25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</row>
    <row r="496" spans="2:28" s="4" customFormat="1" ht="15" hidden="1" x14ac:dyDescent="0.25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</row>
    <row r="497" spans="2:28" s="4" customFormat="1" ht="15" hidden="1" x14ac:dyDescent="0.25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</row>
    <row r="498" spans="2:28" s="4" customFormat="1" ht="15" hidden="1" x14ac:dyDescent="0.25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</row>
    <row r="499" spans="2:28" s="4" customFormat="1" ht="15" hidden="1" x14ac:dyDescent="0.25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</row>
    <row r="500" spans="2:28" s="4" customFormat="1" ht="15" hidden="1" x14ac:dyDescent="0.25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</row>
    <row r="501" spans="2:28" s="4" customFormat="1" ht="15" hidden="1" x14ac:dyDescent="0.25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</row>
    <row r="502" spans="2:28" s="4" customFormat="1" ht="15" hidden="1" x14ac:dyDescent="0.25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</row>
    <row r="503" spans="2:28" s="4" customFormat="1" ht="15" hidden="1" x14ac:dyDescent="0.25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</row>
    <row r="504" spans="2:28" s="4" customFormat="1" ht="15" hidden="1" x14ac:dyDescent="0.25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</row>
    <row r="505" spans="2:28" s="4" customFormat="1" ht="15" hidden="1" x14ac:dyDescent="0.25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</row>
    <row r="506" spans="2:28" s="4" customFormat="1" ht="15" hidden="1" x14ac:dyDescent="0.25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</row>
    <row r="507" spans="2:28" s="4" customFormat="1" ht="15" hidden="1" x14ac:dyDescent="0.25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</row>
    <row r="508" spans="2:28" s="4" customFormat="1" ht="15" hidden="1" x14ac:dyDescent="0.25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</row>
    <row r="509" spans="2:28" s="4" customFormat="1" ht="15" hidden="1" x14ac:dyDescent="0.25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</row>
    <row r="510" spans="2:28" s="4" customFormat="1" ht="15" hidden="1" x14ac:dyDescent="0.25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</row>
    <row r="511" spans="2:28" s="4" customFormat="1" ht="15" hidden="1" x14ac:dyDescent="0.25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</row>
    <row r="512" spans="2:28" s="4" customFormat="1" ht="15" hidden="1" x14ac:dyDescent="0.25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</row>
    <row r="513" spans="2:28" s="4" customFormat="1" ht="15" hidden="1" x14ac:dyDescent="0.25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</row>
    <row r="514" spans="2:28" s="4" customFormat="1" ht="15" hidden="1" x14ac:dyDescent="0.25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</row>
    <row r="515" spans="2:28" s="4" customFormat="1" ht="15" hidden="1" x14ac:dyDescent="0.25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</row>
    <row r="516" spans="2:28" s="4" customFormat="1" ht="15" hidden="1" x14ac:dyDescent="0.25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</row>
    <row r="517" spans="2:28" s="4" customFormat="1" ht="15" hidden="1" x14ac:dyDescent="0.25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</row>
    <row r="518" spans="2:28" s="4" customFormat="1" ht="15" hidden="1" x14ac:dyDescent="0.25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</row>
    <row r="519" spans="2:28" s="4" customFormat="1" ht="15" hidden="1" x14ac:dyDescent="0.25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</row>
    <row r="520" spans="2:28" s="4" customFormat="1" ht="15" hidden="1" x14ac:dyDescent="0.25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</row>
    <row r="521" spans="2:28" s="4" customFormat="1" ht="15" hidden="1" x14ac:dyDescent="0.25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</row>
    <row r="522" spans="2:28" s="4" customFormat="1" ht="15" hidden="1" x14ac:dyDescent="0.25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</row>
    <row r="523" spans="2:28" s="4" customFormat="1" ht="15" hidden="1" x14ac:dyDescent="0.25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</row>
    <row r="524" spans="2:28" s="4" customFormat="1" ht="15" hidden="1" x14ac:dyDescent="0.25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</row>
    <row r="525" spans="2:28" s="4" customFormat="1" ht="15" hidden="1" x14ac:dyDescent="0.25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</row>
    <row r="526" spans="2:28" s="4" customFormat="1" ht="15" hidden="1" x14ac:dyDescent="0.25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</row>
    <row r="527" spans="2:28" s="4" customFormat="1" ht="15" hidden="1" x14ac:dyDescent="0.25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</row>
    <row r="528" spans="2:28" s="4" customFormat="1" ht="15" hidden="1" x14ac:dyDescent="0.25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</row>
    <row r="529" spans="2:28" s="4" customFormat="1" ht="15" hidden="1" x14ac:dyDescent="0.25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</row>
    <row r="530" spans="2:28" s="4" customFormat="1" ht="15" hidden="1" x14ac:dyDescent="0.25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</row>
    <row r="531" spans="2:28" s="4" customFormat="1" ht="15" hidden="1" x14ac:dyDescent="0.25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</row>
    <row r="532" spans="2:28" s="4" customFormat="1" ht="15" hidden="1" x14ac:dyDescent="0.25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</row>
    <row r="533" spans="2:28" s="4" customFormat="1" ht="15" hidden="1" x14ac:dyDescent="0.25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</row>
    <row r="534" spans="2:28" s="4" customFormat="1" ht="15" hidden="1" x14ac:dyDescent="0.25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</row>
    <row r="535" spans="2:28" s="4" customFormat="1" ht="15" hidden="1" x14ac:dyDescent="0.25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</row>
    <row r="536" spans="2:28" s="4" customFormat="1" ht="15" hidden="1" x14ac:dyDescent="0.25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</row>
    <row r="537" spans="2:28" s="4" customFormat="1" ht="15" hidden="1" x14ac:dyDescent="0.25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</row>
    <row r="538" spans="2:28" s="4" customFormat="1" ht="15" hidden="1" x14ac:dyDescent="0.25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</row>
    <row r="539" spans="2:28" s="4" customFormat="1" ht="15" hidden="1" x14ac:dyDescent="0.25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</row>
    <row r="540" spans="2:28" s="4" customFormat="1" ht="15" hidden="1" x14ac:dyDescent="0.25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</row>
    <row r="541" spans="2:28" s="4" customFormat="1" ht="15" hidden="1" x14ac:dyDescent="0.25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</row>
    <row r="542" spans="2:28" s="4" customFormat="1" ht="15" hidden="1" x14ac:dyDescent="0.25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</row>
    <row r="543" spans="2:28" s="4" customFormat="1" ht="15" hidden="1" x14ac:dyDescent="0.25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</row>
    <row r="544" spans="2:28" s="4" customFormat="1" ht="15" hidden="1" x14ac:dyDescent="0.25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</row>
    <row r="545" spans="2:28" s="4" customFormat="1" ht="15" hidden="1" x14ac:dyDescent="0.25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</row>
    <row r="546" spans="2:28" s="4" customFormat="1" ht="15" hidden="1" x14ac:dyDescent="0.25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</row>
    <row r="547" spans="2:28" s="4" customFormat="1" ht="15" hidden="1" x14ac:dyDescent="0.25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</row>
    <row r="548" spans="2:28" s="4" customFormat="1" ht="15" hidden="1" x14ac:dyDescent="0.25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</row>
    <row r="549" spans="2:28" s="4" customFormat="1" ht="15" hidden="1" x14ac:dyDescent="0.25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</row>
    <row r="550" spans="2:28" s="4" customFormat="1" ht="15" hidden="1" x14ac:dyDescent="0.25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</row>
    <row r="551" spans="2:28" s="4" customFormat="1" ht="15" hidden="1" x14ac:dyDescent="0.25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</row>
    <row r="552" spans="2:28" s="4" customFormat="1" ht="15" hidden="1" x14ac:dyDescent="0.25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</row>
    <row r="553" spans="2:28" s="4" customFormat="1" ht="15" hidden="1" x14ac:dyDescent="0.25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</row>
    <row r="554" spans="2:28" s="4" customFormat="1" ht="15" hidden="1" x14ac:dyDescent="0.25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</row>
    <row r="555" spans="2:28" s="4" customFormat="1" ht="15" hidden="1" x14ac:dyDescent="0.25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</row>
    <row r="556" spans="2:28" s="4" customFormat="1" ht="15" hidden="1" x14ac:dyDescent="0.25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</row>
    <row r="557" spans="2:28" s="4" customFormat="1" ht="15" hidden="1" x14ac:dyDescent="0.25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</row>
    <row r="558" spans="2:28" s="4" customFormat="1" ht="15" hidden="1" x14ac:dyDescent="0.25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</row>
    <row r="559" spans="2:28" s="4" customFormat="1" ht="15" hidden="1" x14ac:dyDescent="0.25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</row>
    <row r="560" spans="2:28" s="4" customFormat="1" ht="15" hidden="1" x14ac:dyDescent="0.25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</row>
    <row r="561" spans="2:28" s="4" customFormat="1" ht="15" hidden="1" x14ac:dyDescent="0.25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</row>
    <row r="562" spans="2:28" s="4" customFormat="1" ht="15" hidden="1" x14ac:dyDescent="0.25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</row>
    <row r="563" spans="2:28" s="4" customFormat="1" ht="15" hidden="1" x14ac:dyDescent="0.25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</row>
    <row r="564" spans="2:28" s="4" customFormat="1" ht="15" hidden="1" x14ac:dyDescent="0.25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</row>
    <row r="565" spans="2:28" s="4" customFormat="1" ht="15" hidden="1" x14ac:dyDescent="0.25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</row>
    <row r="566" spans="2:28" s="4" customFormat="1" ht="15" hidden="1" x14ac:dyDescent="0.25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</row>
    <row r="567" spans="2:28" s="4" customFormat="1" ht="15" hidden="1" x14ac:dyDescent="0.25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</row>
    <row r="568" spans="2:28" s="4" customFormat="1" ht="15" hidden="1" x14ac:dyDescent="0.25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</row>
    <row r="569" spans="2:28" s="4" customFormat="1" ht="15" hidden="1" x14ac:dyDescent="0.25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</row>
    <row r="570" spans="2:28" s="4" customFormat="1" ht="15" hidden="1" x14ac:dyDescent="0.25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</row>
    <row r="571" spans="2:28" s="4" customFormat="1" ht="15" hidden="1" x14ac:dyDescent="0.25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</row>
    <row r="572" spans="2:28" s="4" customFormat="1" ht="15" hidden="1" x14ac:dyDescent="0.25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</row>
    <row r="573" spans="2:28" s="4" customFormat="1" ht="15" hidden="1" x14ac:dyDescent="0.25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</row>
    <row r="574" spans="2:28" s="4" customFormat="1" ht="15" hidden="1" x14ac:dyDescent="0.25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</row>
    <row r="575" spans="2:28" s="4" customFormat="1" ht="15" hidden="1" x14ac:dyDescent="0.25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</row>
    <row r="576" spans="2:28" s="4" customFormat="1" ht="15" hidden="1" x14ac:dyDescent="0.25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</row>
    <row r="577" spans="2:28" s="4" customFormat="1" ht="15" hidden="1" x14ac:dyDescent="0.25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</row>
    <row r="578" spans="2:28" s="4" customFormat="1" ht="15" hidden="1" x14ac:dyDescent="0.25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</row>
    <row r="579" spans="2:28" s="4" customFormat="1" ht="15" hidden="1" x14ac:dyDescent="0.25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</row>
    <row r="580" spans="2:28" s="4" customFormat="1" ht="15" hidden="1" x14ac:dyDescent="0.25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</row>
    <row r="581" spans="2:28" s="4" customFormat="1" ht="15" hidden="1" x14ac:dyDescent="0.25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</row>
    <row r="582" spans="2:28" s="4" customFormat="1" ht="15" hidden="1" x14ac:dyDescent="0.25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</row>
    <row r="583" spans="2:28" s="4" customFormat="1" ht="15" hidden="1" x14ac:dyDescent="0.25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</row>
    <row r="584" spans="2:28" s="4" customFormat="1" ht="15" hidden="1" x14ac:dyDescent="0.25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</row>
    <row r="585" spans="2:28" s="4" customFormat="1" ht="15" hidden="1" x14ac:dyDescent="0.25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</row>
    <row r="586" spans="2:28" s="4" customFormat="1" ht="15" hidden="1" x14ac:dyDescent="0.25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</row>
    <row r="587" spans="2:28" s="4" customFormat="1" ht="15" hidden="1" x14ac:dyDescent="0.25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</row>
    <row r="588" spans="2:28" s="4" customFormat="1" ht="15" hidden="1" x14ac:dyDescent="0.25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</row>
    <row r="589" spans="2:28" s="4" customFormat="1" ht="15" hidden="1" x14ac:dyDescent="0.25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</row>
    <row r="590" spans="2:28" s="4" customFormat="1" ht="15" hidden="1" x14ac:dyDescent="0.25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</row>
    <row r="591" spans="2:28" s="4" customFormat="1" ht="15" hidden="1" x14ac:dyDescent="0.25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</row>
    <row r="592" spans="2:28" s="4" customFormat="1" ht="15" hidden="1" x14ac:dyDescent="0.25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</row>
    <row r="593" spans="2:28" s="4" customFormat="1" ht="15" hidden="1" x14ac:dyDescent="0.25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</row>
    <row r="594" spans="2:28" s="4" customFormat="1" ht="15" hidden="1" x14ac:dyDescent="0.25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</row>
    <row r="595" spans="2:28" s="4" customFormat="1" ht="15" hidden="1" x14ac:dyDescent="0.25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</row>
    <row r="596" spans="2:28" s="4" customFormat="1" ht="15" hidden="1" x14ac:dyDescent="0.25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</row>
    <row r="597" spans="2:28" s="4" customFormat="1" ht="15" hidden="1" x14ac:dyDescent="0.25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</row>
    <row r="598" spans="2:28" s="4" customFormat="1" ht="15" hidden="1" x14ac:dyDescent="0.25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</row>
    <row r="599" spans="2:28" s="4" customFormat="1" ht="15" hidden="1" x14ac:dyDescent="0.25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</row>
    <row r="600" spans="2:28" s="4" customFormat="1" ht="15" hidden="1" x14ac:dyDescent="0.25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</row>
    <row r="601" spans="2:28" s="4" customFormat="1" ht="15" hidden="1" x14ac:dyDescent="0.25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</row>
    <row r="602" spans="2:28" s="4" customFormat="1" ht="15" hidden="1" x14ac:dyDescent="0.25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</row>
    <row r="603" spans="2:28" s="4" customFormat="1" ht="15" hidden="1" x14ac:dyDescent="0.25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</row>
    <row r="604" spans="2:28" s="4" customFormat="1" ht="15" hidden="1" x14ac:dyDescent="0.25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</row>
    <row r="605" spans="2:28" s="4" customFormat="1" ht="15" hidden="1" x14ac:dyDescent="0.25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</row>
    <row r="606" spans="2:28" s="4" customFormat="1" ht="15" hidden="1" x14ac:dyDescent="0.25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</row>
    <row r="607" spans="2:28" s="4" customFormat="1" ht="15" hidden="1" x14ac:dyDescent="0.25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</row>
    <row r="608" spans="2:28" s="4" customFormat="1" ht="15" hidden="1" x14ac:dyDescent="0.25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</row>
    <row r="609" spans="2:28" s="4" customFormat="1" ht="15" hidden="1" x14ac:dyDescent="0.25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</row>
    <row r="610" spans="2:28" s="4" customFormat="1" ht="15" hidden="1" x14ac:dyDescent="0.25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</row>
    <row r="611" spans="2:28" s="4" customFormat="1" ht="15" hidden="1" x14ac:dyDescent="0.25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</row>
    <row r="612" spans="2:28" s="4" customFormat="1" ht="15" hidden="1" x14ac:dyDescent="0.25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</row>
    <row r="613" spans="2:28" s="4" customFormat="1" ht="15" hidden="1" x14ac:dyDescent="0.25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</row>
    <row r="614" spans="2:28" s="4" customFormat="1" ht="15" hidden="1" x14ac:dyDescent="0.25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</row>
    <row r="615" spans="2:28" s="4" customFormat="1" ht="15" hidden="1" x14ac:dyDescent="0.25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</row>
    <row r="616" spans="2:28" s="4" customFormat="1" ht="15" hidden="1" x14ac:dyDescent="0.25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</row>
    <row r="617" spans="2:28" s="4" customFormat="1" ht="15" hidden="1" x14ac:dyDescent="0.25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</row>
    <row r="618" spans="2:28" s="4" customFormat="1" ht="15" hidden="1" x14ac:dyDescent="0.25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</row>
    <row r="619" spans="2:28" s="4" customFormat="1" ht="15" hidden="1" x14ac:dyDescent="0.25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</row>
    <row r="620" spans="2:28" s="4" customFormat="1" ht="15" hidden="1" x14ac:dyDescent="0.25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</row>
    <row r="621" spans="2:28" s="4" customFormat="1" ht="15" hidden="1" x14ac:dyDescent="0.25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</row>
    <row r="622" spans="2:28" s="4" customFormat="1" ht="15" hidden="1" x14ac:dyDescent="0.25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</row>
    <row r="623" spans="2:28" s="4" customFormat="1" ht="15" hidden="1" x14ac:dyDescent="0.25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</row>
    <row r="624" spans="2:28" s="4" customFormat="1" ht="15" hidden="1" x14ac:dyDescent="0.25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</row>
    <row r="625" spans="2:28" s="4" customFormat="1" ht="15" hidden="1" x14ac:dyDescent="0.25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</row>
    <row r="626" spans="2:28" s="4" customFormat="1" ht="15" hidden="1" x14ac:dyDescent="0.25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</row>
    <row r="627" spans="2:28" s="4" customFormat="1" ht="15" hidden="1" x14ac:dyDescent="0.25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</row>
    <row r="628" spans="2:28" s="4" customFormat="1" ht="15" hidden="1" x14ac:dyDescent="0.25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</row>
    <row r="629" spans="2:28" s="4" customFormat="1" ht="15" hidden="1" x14ac:dyDescent="0.25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</row>
    <row r="630" spans="2:28" s="4" customFormat="1" ht="15" hidden="1" x14ac:dyDescent="0.25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</row>
    <row r="631" spans="2:28" s="4" customFormat="1" ht="15" hidden="1" x14ac:dyDescent="0.25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</row>
    <row r="632" spans="2:28" s="4" customFormat="1" ht="15" hidden="1" x14ac:dyDescent="0.25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</row>
    <row r="633" spans="2:28" s="4" customFormat="1" ht="15" hidden="1" x14ac:dyDescent="0.25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</row>
    <row r="634" spans="2:28" s="4" customFormat="1" ht="15" hidden="1" x14ac:dyDescent="0.25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</row>
    <row r="635" spans="2:28" s="4" customFormat="1" ht="15" hidden="1" x14ac:dyDescent="0.25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</row>
    <row r="636" spans="2:28" s="4" customFormat="1" ht="15" hidden="1" x14ac:dyDescent="0.25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</row>
    <row r="637" spans="2:28" s="4" customFormat="1" ht="15" hidden="1" x14ac:dyDescent="0.25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</row>
    <row r="638" spans="2:28" s="4" customFormat="1" ht="15" hidden="1" x14ac:dyDescent="0.25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</row>
    <row r="639" spans="2:28" s="4" customFormat="1" ht="15" hidden="1" x14ac:dyDescent="0.25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</row>
    <row r="640" spans="2:28" s="4" customFormat="1" ht="15" hidden="1" x14ac:dyDescent="0.25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</row>
    <row r="641" spans="2:28" s="4" customFormat="1" ht="15" hidden="1" x14ac:dyDescent="0.25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</row>
    <row r="642" spans="2:28" s="4" customFormat="1" ht="15" hidden="1" x14ac:dyDescent="0.25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</row>
    <row r="643" spans="2:28" s="4" customFormat="1" ht="15" hidden="1" x14ac:dyDescent="0.25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</row>
    <row r="644" spans="2:28" s="4" customFormat="1" ht="15" hidden="1" x14ac:dyDescent="0.25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</row>
    <row r="645" spans="2:28" s="4" customFormat="1" ht="15" hidden="1" x14ac:dyDescent="0.25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</row>
    <row r="646" spans="2:28" s="4" customFormat="1" ht="15" hidden="1" x14ac:dyDescent="0.25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</row>
    <row r="647" spans="2:28" s="4" customFormat="1" ht="15" hidden="1" x14ac:dyDescent="0.25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</row>
    <row r="648" spans="2:28" s="4" customFormat="1" ht="15" hidden="1" x14ac:dyDescent="0.25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</row>
    <row r="649" spans="2:28" s="4" customFormat="1" ht="15" hidden="1" x14ac:dyDescent="0.25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</row>
    <row r="650" spans="2:28" s="4" customFormat="1" ht="15" hidden="1" x14ac:dyDescent="0.25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</row>
    <row r="651" spans="2:28" s="4" customFormat="1" ht="15" hidden="1" x14ac:dyDescent="0.25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</row>
    <row r="652" spans="2:28" s="4" customFormat="1" ht="15" hidden="1" x14ac:dyDescent="0.25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</row>
    <row r="653" spans="2:28" s="4" customFormat="1" ht="15" hidden="1" x14ac:dyDescent="0.25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</row>
    <row r="654" spans="2:28" s="4" customFormat="1" ht="15" hidden="1" x14ac:dyDescent="0.25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</row>
    <row r="655" spans="2:28" s="4" customFormat="1" ht="15" hidden="1" x14ac:dyDescent="0.25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</row>
    <row r="656" spans="2:28" s="4" customFormat="1" ht="15" hidden="1" x14ac:dyDescent="0.25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</row>
    <row r="657" spans="2:28" s="4" customFormat="1" ht="15" hidden="1" x14ac:dyDescent="0.25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</row>
    <row r="658" spans="2:28" s="4" customFormat="1" ht="15" hidden="1" x14ac:dyDescent="0.25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</row>
    <row r="659" spans="2:28" s="4" customFormat="1" ht="15" hidden="1" x14ac:dyDescent="0.25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</row>
    <row r="660" spans="2:28" s="4" customFormat="1" ht="15" hidden="1" x14ac:dyDescent="0.25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</row>
    <row r="661" spans="2:28" s="4" customFormat="1" ht="15" hidden="1" x14ac:dyDescent="0.25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</row>
    <row r="662" spans="2:28" s="4" customFormat="1" ht="15" hidden="1" x14ac:dyDescent="0.25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</row>
    <row r="663" spans="2:28" s="4" customFormat="1" ht="15" hidden="1" x14ac:dyDescent="0.25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</row>
    <row r="664" spans="2:28" s="4" customFormat="1" ht="15" hidden="1" x14ac:dyDescent="0.25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</row>
    <row r="665" spans="2:28" s="4" customFormat="1" ht="15" hidden="1" x14ac:dyDescent="0.25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</row>
    <row r="666" spans="2:28" s="4" customFormat="1" ht="15" hidden="1" x14ac:dyDescent="0.25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</row>
    <row r="667" spans="2:28" s="4" customFormat="1" ht="15" hidden="1" x14ac:dyDescent="0.25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</row>
    <row r="668" spans="2:28" s="4" customFormat="1" ht="15" hidden="1" x14ac:dyDescent="0.25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</row>
    <row r="669" spans="2:28" s="4" customFormat="1" ht="15" hidden="1" x14ac:dyDescent="0.25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</row>
    <row r="670" spans="2:28" s="4" customFormat="1" ht="15" hidden="1" x14ac:dyDescent="0.25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</row>
    <row r="671" spans="2:28" s="4" customFormat="1" ht="15" hidden="1" x14ac:dyDescent="0.25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</row>
    <row r="672" spans="2:28" s="4" customFormat="1" ht="15" hidden="1" x14ac:dyDescent="0.25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</row>
    <row r="673" spans="2:28" s="4" customFormat="1" ht="15" hidden="1" x14ac:dyDescent="0.25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</row>
    <row r="674" spans="2:28" s="4" customFormat="1" ht="15" hidden="1" x14ac:dyDescent="0.25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</row>
    <row r="675" spans="2:28" s="4" customFormat="1" ht="15" hidden="1" x14ac:dyDescent="0.25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</row>
    <row r="676" spans="2:28" s="4" customFormat="1" ht="15" hidden="1" x14ac:dyDescent="0.25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</row>
    <row r="677" spans="2:28" s="4" customFormat="1" ht="15" hidden="1" x14ac:dyDescent="0.25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</row>
    <row r="678" spans="2:28" s="4" customFormat="1" ht="15" hidden="1" x14ac:dyDescent="0.25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</row>
    <row r="679" spans="2:28" s="4" customFormat="1" ht="15" hidden="1" x14ac:dyDescent="0.25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</row>
    <row r="680" spans="2:28" s="4" customFormat="1" ht="15" hidden="1" x14ac:dyDescent="0.25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</row>
    <row r="681" spans="2:28" s="4" customFormat="1" ht="15" hidden="1" x14ac:dyDescent="0.25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</row>
    <row r="682" spans="2:28" s="4" customFormat="1" ht="15" hidden="1" x14ac:dyDescent="0.25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</row>
    <row r="683" spans="2:28" s="4" customFormat="1" ht="15" hidden="1" x14ac:dyDescent="0.25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</row>
    <row r="684" spans="2:28" s="4" customFormat="1" ht="15" hidden="1" x14ac:dyDescent="0.25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</row>
    <row r="685" spans="2:28" s="4" customFormat="1" ht="15" hidden="1" x14ac:dyDescent="0.25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</row>
    <row r="686" spans="2:28" s="4" customFormat="1" ht="15" hidden="1" x14ac:dyDescent="0.25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</row>
    <row r="687" spans="2:28" s="4" customFormat="1" ht="15" hidden="1" x14ac:dyDescent="0.25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</row>
    <row r="688" spans="2:28" s="4" customFormat="1" ht="15" hidden="1" x14ac:dyDescent="0.25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</row>
    <row r="689" spans="2:28" s="4" customFormat="1" ht="15" hidden="1" x14ac:dyDescent="0.25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</row>
    <row r="690" spans="2:28" s="4" customFormat="1" ht="15" hidden="1" x14ac:dyDescent="0.25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</row>
    <row r="691" spans="2:28" s="4" customFormat="1" ht="15" hidden="1" x14ac:dyDescent="0.25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</row>
    <row r="692" spans="2:28" s="4" customFormat="1" ht="15" hidden="1" x14ac:dyDescent="0.25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</row>
    <row r="693" spans="2:28" s="4" customFormat="1" ht="15" hidden="1" x14ac:dyDescent="0.25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</row>
    <row r="694" spans="2:28" s="4" customFormat="1" ht="15" hidden="1" x14ac:dyDescent="0.25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</row>
    <row r="695" spans="2:28" s="4" customFormat="1" ht="15" hidden="1" x14ac:dyDescent="0.25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</row>
    <row r="696" spans="2:28" s="4" customFormat="1" ht="15" hidden="1" x14ac:dyDescent="0.25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</row>
    <row r="697" spans="2:28" s="4" customFormat="1" ht="15" hidden="1" x14ac:dyDescent="0.25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</row>
    <row r="698" spans="2:28" s="4" customFormat="1" ht="15" hidden="1" x14ac:dyDescent="0.25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</row>
    <row r="699" spans="2:28" s="4" customFormat="1" ht="15" hidden="1" x14ac:dyDescent="0.25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</row>
    <row r="700" spans="2:28" s="4" customFormat="1" ht="15" hidden="1" x14ac:dyDescent="0.25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</row>
    <row r="701" spans="2:28" s="4" customFormat="1" ht="15" hidden="1" x14ac:dyDescent="0.25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</row>
    <row r="702" spans="2:28" s="4" customFormat="1" ht="15" hidden="1" x14ac:dyDescent="0.25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</row>
    <row r="703" spans="2:28" s="4" customFormat="1" ht="15" hidden="1" x14ac:dyDescent="0.25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</row>
    <row r="704" spans="2:28" s="4" customFormat="1" ht="15" hidden="1" x14ac:dyDescent="0.25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</row>
    <row r="705" spans="2:28" s="4" customFormat="1" ht="15" hidden="1" x14ac:dyDescent="0.25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</row>
    <row r="706" spans="2:28" s="4" customFormat="1" ht="15" hidden="1" x14ac:dyDescent="0.25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</row>
    <row r="707" spans="2:28" s="4" customFormat="1" ht="15" hidden="1" x14ac:dyDescent="0.25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</row>
    <row r="708" spans="2:28" s="4" customFormat="1" ht="15" hidden="1" x14ac:dyDescent="0.25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</row>
    <row r="709" spans="2:28" s="4" customFormat="1" ht="15" hidden="1" x14ac:dyDescent="0.25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</row>
    <row r="710" spans="2:28" s="4" customFormat="1" ht="15" hidden="1" x14ac:dyDescent="0.25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</row>
    <row r="711" spans="2:28" s="4" customFormat="1" ht="15" hidden="1" x14ac:dyDescent="0.25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</row>
    <row r="712" spans="2:28" s="4" customFormat="1" ht="15" hidden="1" x14ac:dyDescent="0.25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</row>
    <row r="713" spans="2:28" s="4" customFormat="1" ht="15" hidden="1" x14ac:dyDescent="0.25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</row>
    <row r="714" spans="2:28" s="4" customFormat="1" ht="15" hidden="1" x14ac:dyDescent="0.25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</row>
    <row r="715" spans="2:28" s="4" customFormat="1" ht="15" hidden="1" x14ac:dyDescent="0.25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</row>
    <row r="716" spans="2:28" s="4" customFormat="1" ht="15" hidden="1" x14ac:dyDescent="0.25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</row>
    <row r="717" spans="2:28" s="4" customFormat="1" ht="15" hidden="1" x14ac:dyDescent="0.25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</row>
    <row r="718" spans="2:28" s="4" customFormat="1" ht="15" hidden="1" x14ac:dyDescent="0.25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</row>
    <row r="719" spans="2:28" s="4" customFormat="1" ht="15" hidden="1" x14ac:dyDescent="0.25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</row>
    <row r="720" spans="2:28" s="4" customFormat="1" ht="15" hidden="1" x14ac:dyDescent="0.25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</row>
    <row r="721" spans="2:28" s="4" customFormat="1" ht="15" hidden="1" x14ac:dyDescent="0.25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</row>
    <row r="722" spans="2:28" s="4" customFormat="1" ht="15" hidden="1" x14ac:dyDescent="0.25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</row>
    <row r="723" spans="2:28" s="4" customFormat="1" ht="15" hidden="1" x14ac:dyDescent="0.25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</row>
    <row r="724" spans="2:28" s="4" customFormat="1" ht="15" hidden="1" x14ac:dyDescent="0.25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</row>
    <row r="725" spans="2:28" s="4" customFormat="1" ht="15" hidden="1" x14ac:dyDescent="0.25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</row>
    <row r="726" spans="2:28" s="4" customFormat="1" ht="15" hidden="1" x14ac:dyDescent="0.25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</row>
    <row r="727" spans="2:28" s="4" customFormat="1" ht="15" hidden="1" x14ac:dyDescent="0.25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</row>
    <row r="728" spans="2:28" s="4" customFormat="1" ht="15" hidden="1" x14ac:dyDescent="0.25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</row>
    <row r="729" spans="2:28" s="4" customFormat="1" ht="15" hidden="1" x14ac:dyDescent="0.25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</row>
    <row r="730" spans="2:28" s="4" customFormat="1" ht="15" hidden="1" x14ac:dyDescent="0.25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</row>
    <row r="731" spans="2:28" s="4" customFormat="1" ht="15" hidden="1" x14ac:dyDescent="0.25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</row>
    <row r="732" spans="2:28" s="4" customFormat="1" ht="15" hidden="1" x14ac:dyDescent="0.25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</row>
    <row r="733" spans="2:28" s="4" customFormat="1" ht="15" hidden="1" x14ac:dyDescent="0.25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</row>
    <row r="734" spans="2:28" s="4" customFormat="1" ht="15" hidden="1" x14ac:dyDescent="0.25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</row>
    <row r="735" spans="2:28" s="4" customFormat="1" ht="15" hidden="1" x14ac:dyDescent="0.25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</row>
    <row r="736" spans="2:28" s="4" customFormat="1" ht="15" hidden="1" x14ac:dyDescent="0.25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</row>
    <row r="737" spans="2:28" s="4" customFormat="1" ht="15" hidden="1" x14ac:dyDescent="0.25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</row>
    <row r="738" spans="2:28" s="4" customFormat="1" ht="15" hidden="1" x14ac:dyDescent="0.25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</row>
    <row r="739" spans="2:28" s="4" customFormat="1" ht="15" hidden="1" x14ac:dyDescent="0.25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</row>
    <row r="740" spans="2:28" s="4" customFormat="1" ht="15" hidden="1" x14ac:dyDescent="0.25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</row>
    <row r="741" spans="2:28" s="4" customFormat="1" ht="15" hidden="1" x14ac:dyDescent="0.25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</row>
    <row r="742" spans="2:28" s="4" customFormat="1" ht="15" hidden="1" x14ac:dyDescent="0.25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</row>
    <row r="743" spans="2:28" s="4" customFormat="1" ht="15" hidden="1" x14ac:dyDescent="0.2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</row>
    <row r="744" spans="2:28" s="4" customFormat="1" ht="15" hidden="1" x14ac:dyDescent="0.2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</row>
    <row r="745" spans="2:28" s="4" customFormat="1" ht="15" hidden="1" x14ac:dyDescent="0.25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</row>
    <row r="746" spans="2:28" s="4" customFormat="1" ht="15" hidden="1" x14ac:dyDescent="0.25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</row>
    <row r="747" spans="2:28" s="4" customFormat="1" ht="15" hidden="1" x14ac:dyDescent="0.25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</row>
    <row r="748" spans="2:28" s="4" customFormat="1" ht="15" hidden="1" x14ac:dyDescent="0.25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</row>
    <row r="749" spans="2:28" s="4" customFormat="1" ht="15" hidden="1" x14ac:dyDescent="0.25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</row>
    <row r="750" spans="2:28" s="4" customFormat="1" ht="15" hidden="1" x14ac:dyDescent="0.25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</row>
    <row r="751" spans="2:28" s="4" customFormat="1" ht="15" hidden="1" x14ac:dyDescent="0.25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</row>
    <row r="752" spans="2:28" s="4" customFormat="1" ht="15" hidden="1" x14ac:dyDescent="0.25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</row>
    <row r="753" spans="2:28" s="4" customFormat="1" ht="15" hidden="1" x14ac:dyDescent="0.25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</row>
    <row r="754" spans="2:28" s="4" customFormat="1" ht="15" hidden="1" x14ac:dyDescent="0.25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</row>
    <row r="755" spans="2:28" s="4" customFormat="1" ht="15" hidden="1" x14ac:dyDescent="0.25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</row>
    <row r="756" spans="2:28" s="4" customFormat="1" ht="15" hidden="1" x14ac:dyDescent="0.25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</row>
    <row r="757" spans="2:28" s="4" customFormat="1" ht="15" hidden="1" x14ac:dyDescent="0.25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</row>
    <row r="758" spans="2:28" s="4" customFormat="1" ht="15" hidden="1" x14ac:dyDescent="0.25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</row>
    <row r="759" spans="2:28" s="4" customFormat="1" ht="15" hidden="1" x14ac:dyDescent="0.25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</row>
    <row r="760" spans="2:28" s="4" customFormat="1" ht="15" hidden="1" x14ac:dyDescent="0.25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</row>
    <row r="761" spans="2:28" s="4" customFormat="1" ht="15" hidden="1" x14ac:dyDescent="0.25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</row>
    <row r="762" spans="2:28" s="4" customFormat="1" ht="15" hidden="1" x14ac:dyDescent="0.25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</row>
    <row r="763" spans="2:28" s="4" customFormat="1" ht="15" hidden="1" x14ac:dyDescent="0.25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</row>
    <row r="764" spans="2:28" s="4" customFormat="1" ht="15" hidden="1" x14ac:dyDescent="0.25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</row>
    <row r="765" spans="2:28" s="4" customFormat="1" ht="15" hidden="1" x14ac:dyDescent="0.25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</row>
    <row r="766" spans="2:28" s="4" customFormat="1" ht="15" hidden="1" x14ac:dyDescent="0.25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</row>
    <row r="767" spans="2:28" s="4" customFormat="1" ht="15" hidden="1" x14ac:dyDescent="0.25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</row>
    <row r="768" spans="2:28" s="4" customFormat="1" ht="15" hidden="1" x14ac:dyDescent="0.25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</row>
    <row r="769" spans="2:28" s="4" customFormat="1" ht="15" hidden="1" x14ac:dyDescent="0.25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</row>
    <row r="770" spans="2:28" s="4" customFormat="1" ht="15" hidden="1" x14ac:dyDescent="0.25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</row>
    <row r="771" spans="2:28" s="4" customFormat="1" ht="15" hidden="1" x14ac:dyDescent="0.25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</row>
    <row r="772" spans="2:28" s="4" customFormat="1" ht="15" hidden="1" x14ac:dyDescent="0.25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</row>
    <row r="773" spans="2:28" s="4" customFormat="1" ht="15" hidden="1" x14ac:dyDescent="0.25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</row>
    <row r="774" spans="2:28" s="4" customFormat="1" ht="15" hidden="1" x14ac:dyDescent="0.25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</row>
    <row r="775" spans="2:28" s="4" customFormat="1" ht="15" hidden="1" x14ac:dyDescent="0.25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</row>
    <row r="776" spans="2:28" s="4" customFormat="1" ht="15" hidden="1" x14ac:dyDescent="0.25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</row>
    <row r="777" spans="2:28" s="4" customFormat="1" ht="15" hidden="1" x14ac:dyDescent="0.25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</row>
    <row r="778" spans="2:28" s="4" customFormat="1" ht="15" hidden="1" x14ac:dyDescent="0.25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</row>
    <row r="779" spans="2:28" s="4" customFormat="1" ht="15" hidden="1" x14ac:dyDescent="0.25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</row>
    <row r="780" spans="2:28" s="4" customFormat="1" ht="15" hidden="1" x14ac:dyDescent="0.25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</row>
    <row r="781" spans="2:28" s="4" customFormat="1" ht="15" hidden="1" x14ac:dyDescent="0.25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</row>
    <row r="782" spans="2:28" s="4" customFormat="1" ht="15" hidden="1" x14ac:dyDescent="0.25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</row>
    <row r="783" spans="2:28" s="4" customFormat="1" ht="15" hidden="1" x14ac:dyDescent="0.25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</row>
    <row r="784" spans="2:28" s="4" customFormat="1" ht="15" hidden="1" x14ac:dyDescent="0.25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</row>
    <row r="785" spans="2:28" s="4" customFormat="1" ht="15" hidden="1" x14ac:dyDescent="0.25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</row>
    <row r="786" spans="2:28" s="4" customFormat="1" ht="15" hidden="1" x14ac:dyDescent="0.25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</row>
    <row r="787" spans="2:28" s="4" customFormat="1" ht="15" hidden="1" x14ac:dyDescent="0.25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</row>
    <row r="788" spans="2:28" s="4" customFormat="1" ht="15" hidden="1" x14ac:dyDescent="0.25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</row>
    <row r="789" spans="2:28" s="4" customFormat="1" ht="15" hidden="1" x14ac:dyDescent="0.25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</row>
    <row r="790" spans="2:28" s="4" customFormat="1" ht="15" hidden="1" x14ac:dyDescent="0.25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</row>
    <row r="791" spans="2:28" s="4" customFormat="1" ht="15" hidden="1" x14ac:dyDescent="0.25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</row>
    <row r="792" spans="2:28" s="4" customFormat="1" ht="15" hidden="1" x14ac:dyDescent="0.25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</row>
    <row r="793" spans="2:28" s="4" customFormat="1" ht="15" hidden="1" x14ac:dyDescent="0.25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</row>
    <row r="794" spans="2:28" s="4" customFormat="1" ht="15" hidden="1" x14ac:dyDescent="0.25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</row>
    <row r="795" spans="2:28" s="4" customFormat="1" ht="15" hidden="1" x14ac:dyDescent="0.25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</row>
    <row r="796" spans="2:28" s="4" customFormat="1" ht="15" hidden="1" x14ac:dyDescent="0.25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</row>
    <row r="797" spans="2:28" s="4" customFormat="1" ht="15" hidden="1" x14ac:dyDescent="0.25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</row>
    <row r="798" spans="2:28" s="4" customFormat="1" ht="15" hidden="1" x14ac:dyDescent="0.25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</row>
    <row r="799" spans="2:28" s="4" customFormat="1" ht="15" hidden="1" x14ac:dyDescent="0.25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</row>
    <row r="800" spans="2:28" s="4" customFormat="1" ht="15" hidden="1" x14ac:dyDescent="0.25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</row>
    <row r="801" spans="2:28" s="4" customFormat="1" ht="15" hidden="1" x14ac:dyDescent="0.25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</row>
    <row r="802" spans="2:28" s="4" customFormat="1" ht="15" hidden="1" x14ac:dyDescent="0.25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</row>
    <row r="803" spans="2:28" s="4" customFormat="1" ht="15" hidden="1" x14ac:dyDescent="0.25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</row>
    <row r="804" spans="2:28" s="4" customFormat="1" ht="15" hidden="1" x14ac:dyDescent="0.25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</row>
    <row r="805" spans="2:28" s="4" customFormat="1" ht="15" hidden="1" x14ac:dyDescent="0.25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</row>
    <row r="806" spans="2:28" s="4" customFormat="1" ht="15" hidden="1" x14ac:dyDescent="0.25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</row>
    <row r="807" spans="2:28" s="4" customFormat="1" ht="15" hidden="1" x14ac:dyDescent="0.25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</row>
    <row r="808" spans="2:28" s="4" customFormat="1" ht="15" hidden="1" x14ac:dyDescent="0.25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</row>
    <row r="809" spans="2:28" s="4" customFormat="1" ht="15" hidden="1" x14ac:dyDescent="0.25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</row>
    <row r="810" spans="2:28" s="4" customFormat="1" ht="15" hidden="1" x14ac:dyDescent="0.25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</row>
    <row r="811" spans="2:28" s="4" customFormat="1" ht="15" hidden="1" x14ac:dyDescent="0.25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</row>
    <row r="812" spans="2:28" s="4" customFormat="1" ht="15" hidden="1" x14ac:dyDescent="0.25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</row>
    <row r="813" spans="2:28" s="4" customFormat="1" ht="15" hidden="1" x14ac:dyDescent="0.25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</row>
    <row r="814" spans="2:28" s="4" customFormat="1" ht="15" hidden="1" x14ac:dyDescent="0.25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</row>
    <row r="815" spans="2:28" s="4" customFormat="1" ht="15" hidden="1" x14ac:dyDescent="0.25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</row>
    <row r="816" spans="2:28" s="4" customFormat="1" ht="15" hidden="1" x14ac:dyDescent="0.25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</row>
    <row r="817" spans="2:28" s="4" customFormat="1" ht="15" hidden="1" x14ac:dyDescent="0.25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</row>
    <row r="818" spans="2:28" s="4" customFormat="1" ht="15" hidden="1" x14ac:dyDescent="0.25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</row>
    <row r="819" spans="2:28" s="4" customFormat="1" ht="15" hidden="1" x14ac:dyDescent="0.25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</row>
    <row r="820" spans="2:28" s="4" customFormat="1" ht="15" hidden="1" x14ac:dyDescent="0.25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</row>
    <row r="821" spans="2:28" s="4" customFormat="1" ht="15" hidden="1" x14ac:dyDescent="0.25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</row>
    <row r="822" spans="2:28" s="4" customFormat="1" ht="15" hidden="1" x14ac:dyDescent="0.25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</row>
    <row r="823" spans="2:28" s="4" customFormat="1" ht="15" hidden="1" x14ac:dyDescent="0.25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</row>
    <row r="824" spans="2:28" s="4" customFormat="1" ht="15" hidden="1" x14ac:dyDescent="0.2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</row>
    <row r="825" spans="2:28" s="4" customFormat="1" ht="15" hidden="1" x14ac:dyDescent="0.2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</row>
    <row r="826" spans="2:28" s="4" customFormat="1" ht="15" hidden="1" x14ac:dyDescent="0.25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</row>
    <row r="827" spans="2:28" s="4" customFormat="1" ht="15" hidden="1" x14ac:dyDescent="0.25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</row>
    <row r="828" spans="2:28" s="4" customFormat="1" ht="15" hidden="1" x14ac:dyDescent="0.2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</row>
    <row r="829" spans="2:28" s="4" customFormat="1" ht="15" hidden="1" x14ac:dyDescent="0.25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</row>
    <row r="830" spans="2:28" s="4" customFormat="1" ht="15" hidden="1" x14ac:dyDescent="0.25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</row>
    <row r="831" spans="2:28" s="4" customFormat="1" ht="15" hidden="1" x14ac:dyDescent="0.25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</row>
    <row r="832" spans="2:28" s="4" customFormat="1" ht="15" hidden="1" x14ac:dyDescent="0.25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</row>
    <row r="833" spans="2:28" s="4" customFormat="1" ht="15" hidden="1" x14ac:dyDescent="0.25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</row>
    <row r="834" spans="2:28" s="4" customFormat="1" ht="15" hidden="1" x14ac:dyDescent="0.25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</row>
    <row r="835" spans="2:28" s="4" customFormat="1" ht="15" hidden="1" x14ac:dyDescent="0.25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</row>
    <row r="836" spans="2:28" s="4" customFormat="1" ht="15" hidden="1" x14ac:dyDescent="0.25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</row>
    <row r="837" spans="2:28" s="4" customFormat="1" ht="15" hidden="1" x14ac:dyDescent="0.25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</row>
    <row r="838" spans="2:28" s="4" customFormat="1" ht="15" hidden="1" x14ac:dyDescent="0.25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</row>
    <row r="839" spans="2:28" s="4" customFormat="1" ht="15" hidden="1" x14ac:dyDescent="0.25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</row>
    <row r="840" spans="2:28" s="4" customFormat="1" ht="15" hidden="1" x14ac:dyDescent="0.25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</row>
    <row r="841" spans="2:28" s="4" customFormat="1" ht="15" hidden="1" x14ac:dyDescent="0.25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</row>
    <row r="842" spans="2:28" s="4" customFormat="1" ht="15" hidden="1" x14ac:dyDescent="0.25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</row>
    <row r="843" spans="2:28" s="4" customFormat="1" ht="15" hidden="1" x14ac:dyDescent="0.25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</row>
    <row r="844" spans="2:28" s="4" customFormat="1" ht="15" hidden="1" x14ac:dyDescent="0.25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</row>
    <row r="845" spans="2:28" s="4" customFormat="1" ht="15" hidden="1" x14ac:dyDescent="0.25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</row>
    <row r="846" spans="2:28" s="4" customFormat="1" ht="15" hidden="1" x14ac:dyDescent="0.25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</row>
    <row r="847" spans="2:28" s="4" customFormat="1" ht="15" hidden="1" x14ac:dyDescent="0.25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</row>
    <row r="848" spans="2:28" s="4" customFormat="1" ht="15" hidden="1" x14ac:dyDescent="0.25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</row>
    <row r="849" spans="2:28" s="4" customFormat="1" ht="15" hidden="1" x14ac:dyDescent="0.25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</row>
    <row r="850" spans="2:28" s="4" customFormat="1" ht="15" hidden="1" x14ac:dyDescent="0.25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</row>
    <row r="851" spans="2:28" s="4" customFormat="1" ht="15" hidden="1" x14ac:dyDescent="0.25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</row>
    <row r="852" spans="2:28" s="4" customFormat="1" ht="15" hidden="1" x14ac:dyDescent="0.25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</row>
    <row r="853" spans="2:28" s="4" customFormat="1" ht="15" hidden="1" x14ac:dyDescent="0.25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</row>
    <row r="854" spans="2:28" s="4" customFormat="1" ht="15" hidden="1" x14ac:dyDescent="0.25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</row>
    <row r="855" spans="2:28" s="4" customFormat="1" ht="15" hidden="1" x14ac:dyDescent="0.25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</row>
    <row r="856" spans="2:28" s="4" customFormat="1" ht="15" hidden="1" x14ac:dyDescent="0.25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</row>
    <row r="857" spans="2:28" s="4" customFormat="1" ht="15" hidden="1" x14ac:dyDescent="0.25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</row>
    <row r="858" spans="2:28" s="4" customFormat="1" ht="15" hidden="1" x14ac:dyDescent="0.25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</row>
    <row r="859" spans="2:28" s="4" customFormat="1" ht="15" hidden="1" x14ac:dyDescent="0.25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</row>
    <row r="860" spans="2:28" s="4" customFormat="1" ht="15" hidden="1" x14ac:dyDescent="0.25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</row>
    <row r="861" spans="2:28" s="4" customFormat="1" ht="15" hidden="1" x14ac:dyDescent="0.25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</row>
    <row r="862" spans="2:28" s="4" customFormat="1" ht="15" hidden="1" x14ac:dyDescent="0.25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</row>
    <row r="863" spans="2:28" s="4" customFormat="1" ht="15" hidden="1" x14ac:dyDescent="0.25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</row>
    <row r="864" spans="2:28" s="4" customFormat="1" ht="15" hidden="1" x14ac:dyDescent="0.25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</row>
    <row r="865" spans="2:28" s="4" customFormat="1" ht="15" hidden="1" x14ac:dyDescent="0.25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</row>
    <row r="866" spans="2:28" s="4" customFormat="1" ht="15" hidden="1" x14ac:dyDescent="0.25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</row>
    <row r="867" spans="2:28" s="4" customFormat="1" ht="15" hidden="1" x14ac:dyDescent="0.25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</row>
    <row r="868" spans="2:28" s="4" customFormat="1" ht="15" hidden="1" x14ac:dyDescent="0.25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</row>
    <row r="869" spans="2:28" s="4" customFormat="1" ht="15" hidden="1" x14ac:dyDescent="0.25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</row>
    <row r="870" spans="2:28" s="4" customFormat="1" ht="15" hidden="1" x14ac:dyDescent="0.25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</row>
    <row r="871" spans="2:28" s="4" customFormat="1" ht="15" hidden="1" x14ac:dyDescent="0.25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</row>
    <row r="872" spans="2:28" s="4" customFormat="1" ht="15" hidden="1" x14ac:dyDescent="0.25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</row>
    <row r="873" spans="2:28" s="4" customFormat="1" ht="15" hidden="1" x14ac:dyDescent="0.25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</row>
    <row r="874" spans="2:28" s="4" customFormat="1" ht="15" hidden="1" x14ac:dyDescent="0.25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</row>
    <row r="875" spans="2:28" s="4" customFormat="1" ht="15" hidden="1" x14ac:dyDescent="0.25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</row>
    <row r="876" spans="2:28" s="4" customFormat="1" ht="15" hidden="1" x14ac:dyDescent="0.25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</row>
    <row r="877" spans="2:28" s="4" customFormat="1" ht="15" hidden="1" x14ac:dyDescent="0.25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</row>
    <row r="878" spans="2:28" s="4" customFormat="1" ht="15" hidden="1" x14ac:dyDescent="0.25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</row>
    <row r="879" spans="2:28" s="4" customFormat="1" ht="15" hidden="1" x14ac:dyDescent="0.25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</row>
    <row r="880" spans="2:28" s="4" customFormat="1" ht="15" hidden="1" x14ac:dyDescent="0.25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</row>
    <row r="881" spans="2:28" s="4" customFormat="1" ht="15" hidden="1" x14ac:dyDescent="0.25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</row>
    <row r="882" spans="2:28" s="4" customFormat="1" ht="15" hidden="1" x14ac:dyDescent="0.25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</row>
    <row r="883" spans="2:28" s="4" customFormat="1" ht="15" hidden="1" x14ac:dyDescent="0.25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</row>
    <row r="884" spans="2:28" s="4" customFormat="1" ht="15" hidden="1" x14ac:dyDescent="0.25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</row>
    <row r="885" spans="2:28" s="4" customFormat="1" ht="15" hidden="1" x14ac:dyDescent="0.25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</row>
    <row r="886" spans="2:28" s="4" customFormat="1" ht="15" hidden="1" x14ac:dyDescent="0.25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</row>
    <row r="887" spans="2:28" s="4" customFormat="1" ht="15" hidden="1" x14ac:dyDescent="0.25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</row>
    <row r="888" spans="2:28" s="4" customFormat="1" ht="15" hidden="1" x14ac:dyDescent="0.25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</row>
    <row r="889" spans="2:28" s="4" customFormat="1" ht="15" hidden="1" x14ac:dyDescent="0.25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</row>
    <row r="890" spans="2:28" s="4" customFormat="1" ht="15" hidden="1" x14ac:dyDescent="0.25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</row>
    <row r="891" spans="2:28" s="4" customFormat="1" ht="15" hidden="1" x14ac:dyDescent="0.25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</row>
    <row r="892" spans="2:28" s="4" customFormat="1" ht="15" hidden="1" x14ac:dyDescent="0.25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</row>
    <row r="893" spans="2:28" s="4" customFormat="1" ht="15" hidden="1" x14ac:dyDescent="0.25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</row>
    <row r="894" spans="2:28" s="4" customFormat="1" ht="15" hidden="1" x14ac:dyDescent="0.25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</row>
    <row r="895" spans="2:28" s="4" customFormat="1" ht="15" hidden="1" x14ac:dyDescent="0.25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</row>
    <row r="896" spans="2:28" s="4" customFormat="1" ht="15" hidden="1" x14ac:dyDescent="0.25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</row>
    <row r="897" spans="2:28" s="4" customFormat="1" ht="15" hidden="1" x14ac:dyDescent="0.25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</row>
    <row r="898" spans="2:28" s="4" customFormat="1" ht="15" hidden="1" x14ac:dyDescent="0.25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</row>
    <row r="899" spans="2:28" s="4" customFormat="1" ht="15" hidden="1" x14ac:dyDescent="0.25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</row>
    <row r="900" spans="2:28" s="4" customFormat="1" ht="15" hidden="1" x14ac:dyDescent="0.25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</row>
    <row r="901" spans="2:28" s="4" customFormat="1" ht="15" hidden="1" x14ac:dyDescent="0.25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</row>
    <row r="902" spans="2:28" s="4" customFormat="1" ht="15" hidden="1" x14ac:dyDescent="0.25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</row>
    <row r="903" spans="2:28" s="4" customFormat="1" ht="15" hidden="1" x14ac:dyDescent="0.25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</row>
    <row r="904" spans="2:28" s="4" customFormat="1" ht="15" hidden="1" x14ac:dyDescent="0.25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</row>
    <row r="905" spans="2:28" s="4" customFormat="1" ht="15" hidden="1" x14ac:dyDescent="0.2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</row>
    <row r="906" spans="2:28" s="4" customFormat="1" ht="15" hidden="1" x14ac:dyDescent="0.2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</row>
    <row r="907" spans="2:28" s="4" customFormat="1" ht="15" hidden="1" x14ac:dyDescent="0.25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</row>
    <row r="908" spans="2:28" s="4" customFormat="1" ht="15" hidden="1" x14ac:dyDescent="0.25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</row>
    <row r="909" spans="2:28" s="4" customFormat="1" ht="15" hidden="1" x14ac:dyDescent="0.25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</row>
    <row r="910" spans="2:28" s="4" customFormat="1" ht="15" hidden="1" x14ac:dyDescent="0.25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</row>
    <row r="911" spans="2:28" s="4" customFormat="1" ht="15" hidden="1" x14ac:dyDescent="0.25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</row>
    <row r="912" spans="2:28" s="4" customFormat="1" ht="15" hidden="1" x14ac:dyDescent="0.25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</row>
    <row r="913" spans="2:28" s="4" customFormat="1" ht="15" hidden="1" x14ac:dyDescent="0.25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</row>
    <row r="914" spans="2:28" s="4" customFormat="1" ht="15" hidden="1" x14ac:dyDescent="0.25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</row>
    <row r="915" spans="2:28" s="4" customFormat="1" ht="15" hidden="1" x14ac:dyDescent="0.25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</row>
    <row r="916" spans="2:28" s="4" customFormat="1" ht="15" hidden="1" x14ac:dyDescent="0.25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</row>
    <row r="917" spans="2:28" s="4" customFormat="1" ht="15" hidden="1" x14ac:dyDescent="0.25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</row>
    <row r="918" spans="2:28" s="4" customFormat="1" ht="15" hidden="1" x14ac:dyDescent="0.25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</row>
    <row r="919" spans="2:28" s="4" customFormat="1" ht="15" hidden="1" x14ac:dyDescent="0.25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</row>
    <row r="920" spans="2:28" s="4" customFormat="1" ht="15" hidden="1" x14ac:dyDescent="0.25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</row>
    <row r="921" spans="2:28" s="4" customFormat="1" ht="15" hidden="1" x14ac:dyDescent="0.25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</row>
    <row r="922" spans="2:28" s="4" customFormat="1" ht="15" hidden="1" x14ac:dyDescent="0.25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</row>
    <row r="923" spans="2:28" s="4" customFormat="1" ht="15" hidden="1" x14ac:dyDescent="0.25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</row>
    <row r="924" spans="2:28" s="4" customFormat="1" ht="15" hidden="1" x14ac:dyDescent="0.25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</row>
    <row r="925" spans="2:28" s="4" customFormat="1" ht="15" hidden="1" x14ac:dyDescent="0.25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</row>
    <row r="926" spans="2:28" s="4" customFormat="1" ht="15" hidden="1" x14ac:dyDescent="0.25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</row>
    <row r="927" spans="2:28" s="4" customFormat="1" ht="15" hidden="1" x14ac:dyDescent="0.25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</row>
    <row r="928" spans="2:28" s="4" customFormat="1" ht="15" hidden="1" x14ac:dyDescent="0.25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</row>
    <row r="929" spans="2:28" s="4" customFormat="1" ht="15" hidden="1" x14ac:dyDescent="0.25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</row>
    <row r="930" spans="2:28" s="4" customFormat="1" ht="15" hidden="1" x14ac:dyDescent="0.25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</row>
    <row r="931" spans="2:28" s="4" customFormat="1" ht="15" hidden="1" x14ac:dyDescent="0.25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</row>
    <row r="932" spans="2:28" s="4" customFormat="1" ht="15" hidden="1" x14ac:dyDescent="0.25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</row>
    <row r="933" spans="2:28" s="4" customFormat="1" ht="15" hidden="1" x14ac:dyDescent="0.25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</row>
    <row r="934" spans="2:28" s="4" customFormat="1" ht="15" hidden="1" x14ac:dyDescent="0.25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</row>
    <row r="935" spans="2:28" s="4" customFormat="1" ht="15" hidden="1" x14ac:dyDescent="0.25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</row>
    <row r="936" spans="2:28" s="4" customFormat="1" ht="15" hidden="1" x14ac:dyDescent="0.25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</row>
    <row r="937" spans="2:28" s="4" customFormat="1" ht="15" hidden="1" x14ac:dyDescent="0.25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</row>
    <row r="938" spans="2:28" s="4" customFormat="1" ht="15" hidden="1" x14ac:dyDescent="0.25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</row>
    <row r="939" spans="2:28" s="4" customFormat="1" ht="15" hidden="1" x14ac:dyDescent="0.25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</row>
    <row r="940" spans="2:28" s="4" customFormat="1" ht="15" hidden="1" x14ac:dyDescent="0.25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</row>
    <row r="941" spans="2:28" s="4" customFormat="1" ht="15" hidden="1" x14ac:dyDescent="0.25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</row>
    <row r="942" spans="2:28" s="4" customFormat="1" ht="15" hidden="1" x14ac:dyDescent="0.25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</row>
    <row r="943" spans="2:28" s="4" customFormat="1" ht="15" hidden="1" x14ac:dyDescent="0.25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</row>
    <row r="944" spans="2:28" s="4" customFormat="1" ht="15" hidden="1" x14ac:dyDescent="0.25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</row>
    <row r="945" spans="2:28" s="4" customFormat="1" ht="15" hidden="1" x14ac:dyDescent="0.25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</row>
    <row r="946" spans="2:28" s="4" customFormat="1" ht="15" hidden="1" x14ac:dyDescent="0.25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</row>
    <row r="947" spans="2:28" s="4" customFormat="1" ht="15" hidden="1" x14ac:dyDescent="0.25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</row>
    <row r="948" spans="2:28" s="4" customFormat="1" ht="15" hidden="1" x14ac:dyDescent="0.25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</row>
    <row r="949" spans="2:28" s="4" customFormat="1" ht="15" hidden="1" x14ac:dyDescent="0.25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</row>
    <row r="950" spans="2:28" s="4" customFormat="1" ht="15" hidden="1" x14ac:dyDescent="0.25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</row>
    <row r="951" spans="2:28" s="4" customFormat="1" ht="15" hidden="1" x14ac:dyDescent="0.25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</row>
    <row r="952" spans="2:28" s="4" customFormat="1" ht="15" hidden="1" x14ac:dyDescent="0.25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</row>
    <row r="953" spans="2:28" s="4" customFormat="1" ht="15" hidden="1" x14ac:dyDescent="0.25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</row>
    <row r="954" spans="2:28" s="4" customFormat="1" ht="15" hidden="1" x14ac:dyDescent="0.25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</row>
    <row r="955" spans="2:28" s="4" customFormat="1" ht="15" hidden="1" x14ac:dyDescent="0.25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</row>
    <row r="956" spans="2:28" s="4" customFormat="1" ht="15" hidden="1" x14ac:dyDescent="0.25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</row>
    <row r="957" spans="2:28" s="4" customFormat="1" ht="15" hidden="1" x14ac:dyDescent="0.25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</row>
    <row r="958" spans="2:28" s="4" customFormat="1" ht="15" hidden="1" x14ac:dyDescent="0.25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</row>
    <row r="959" spans="2:28" s="4" customFormat="1" ht="15" hidden="1" x14ac:dyDescent="0.25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</row>
    <row r="960" spans="2:28" s="4" customFormat="1" ht="15" hidden="1" x14ac:dyDescent="0.25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</row>
    <row r="961" spans="2:28" s="4" customFormat="1" ht="15" hidden="1" x14ac:dyDescent="0.25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</row>
    <row r="962" spans="2:28" s="4" customFormat="1" ht="15" hidden="1" x14ac:dyDescent="0.25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</row>
    <row r="963" spans="2:28" s="4" customFormat="1" ht="15" hidden="1" x14ac:dyDescent="0.25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</row>
    <row r="964" spans="2:28" s="4" customFormat="1" ht="15" hidden="1" x14ac:dyDescent="0.25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</row>
    <row r="965" spans="2:28" s="4" customFormat="1" ht="15" hidden="1" x14ac:dyDescent="0.25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</row>
    <row r="966" spans="2:28" s="4" customFormat="1" ht="15" hidden="1" x14ac:dyDescent="0.25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</row>
    <row r="967" spans="2:28" s="4" customFormat="1" ht="15" hidden="1" x14ac:dyDescent="0.25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</row>
    <row r="968" spans="2:28" s="4" customFormat="1" ht="15" hidden="1" x14ac:dyDescent="0.25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</row>
    <row r="969" spans="2:28" s="4" customFormat="1" ht="15" hidden="1" x14ac:dyDescent="0.25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</row>
    <row r="970" spans="2:28" s="4" customFormat="1" ht="15" hidden="1" x14ac:dyDescent="0.25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</row>
    <row r="971" spans="2:28" s="4" customFormat="1" ht="15" hidden="1" x14ac:dyDescent="0.25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</row>
    <row r="972" spans="2:28" s="4" customFormat="1" ht="15" hidden="1" x14ac:dyDescent="0.25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</row>
    <row r="973" spans="2:28" s="4" customFormat="1" ht="15" hidden="1" x14ac:dyDescent="0.25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</row>
    <row r="974" spans="2:28" s="4" customFormat="1" ht="15" hidden="1" x14ac:dyDescent="0.25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</row>
    <row r="975" spans="2:28" s="4" customFormat="1" ht="15" hidden="1" x14ac:dyDescent="0.25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</row>
    <row r="976" spans="2:28" s="4" customFormat="1" ht="15" hidden="1" x14ac:dyDescent="0.25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</row>
    <row r="977" spans="2:28" s="4" customFormat="1" ht="15" hidden="1" x14ac:dyDescent="0.25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</row>
    <row r="978" spans="2:28" s="4" customFormat="1" ht="15" hidden="1" x14ac:dyDescent="0.25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</row>
    <row r="979" spans="2:28" s="4" customFormat="1" ht="15" hidden="1" x14ac:dyDescent="0.25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</row>
    <row r="980" spans="2:28" s="4" customFormat="1" ht="15" hidden="1" x14ac:dyDescent="0.25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</row>
    <row r="981" spans="2:28" s="4" customFormat="1" ht="15" hidden="1" x14ac:dyDescent="0.25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</row>
    <row r="982" spans="2:28" s="4" customFormat="1" ht="15" hidden="1" x14ac:dyDescent="0.25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</row>
    <row r="983" spans="2:28" s="4" customFormat="1" ht="15" hidden="1" x14ac:dyDescent="0.25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</row>
    <row r="984" spans="2:28" s="4" customFormat="1" ht="15" hidden="1" x14ac:dyDescent="0.25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</row>
    <row r="985" spans="2:28" s="4" customFormat="1" ht="15" hidden="1" x14ac:dyDescent="0.25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</row>
    <row r="986" spans="2:28" s="4" customFormat="1" ht="15" hidden="1" x14ac:dyDescent="0.25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</row>
    <row r="987" spans="2:28" s="4" customFormat="1" ht="15" hidden="1" x14ac:dyDescent="0.25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</row>
    <row r="988" spans="2:28" s="4" customFormat="1" ht="15" hidden="1" x14ac:dyDescent="0.25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</row>
    <row r="989" spans="2:28" s="4" customFormat="1" ht="15" hidden="1" x14ac:dyDescent="0.25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</row>
    <row r="990" spans="2:28" s="4" customFormat="1" ht="15" hidden="1" x14ac:dyDescent="0.25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</row>
    <row r="991" spans="2:28" s="4" customFormat="1" ht="15" hidden="1" x14ac:dyDescent="0.25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</row>
    <row r="992" spans="2:28" s="4" customFormat="1" ht="15" hidden="1" x14ac:dyDescent="0.25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</row>
    <row r="993" spans="2:28" s="4" customFormat="1" ht="15" hidden="1" x14ac:dyDescent="0.25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</row>
    <row r="994" spans="2:28" s="4" customFormat="1" ht="15" hidden="1" x14ac:dyDescent="0.25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</row>
    <row r="995" spans="2:28" s="4" customFormat="1" ht="15" hidden="1" x14ac:dyDescent="0.25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</row>
    <row r="996" spans="2:28" s="4" customFormat="1" ht="15" hidden="1" x14ac:dyDescent="0.25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</row>
    <row r="997" spans="2:28" s="4" customFormat="1" ht="15" hidden="1" x14ac:dyDescent="0.25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</row>
    <row r="998" spans="2:28" s="4" customFormat="1" ht="15" hidden="1" x14ac:dyDescent="0.25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</row>
    <row r="999" spans="2:28" s="4" customFormat="1" ht="15" hidden="1" x14ac:dyDescent="0.25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</row>
    <row r="1000" spans="2:28" s="4" customFormat="1" ht="15" hidden="1" x14ac:dyDescent="0.25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</row>
    <row r="1001" spans="2:28" s="4" customFormat="1" ht="15" hidden="1" x14ac:dyDescent="0.25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</row>
    <row r="1002" spans="2:28" s="4" customFormat="1" ht="15" hidden="1" x14ac:dyDescent="0.25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</row>
    <row r="1003" spans="2:28" s="4" customFormat="1" ht="15" hidden="1" x14ac:dyDescent="0.25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</row>
    <row r="1004" spans="2:28" s="4" customFormat="1" ht="15" hidden="1" x14ac:dyDescent="0.25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</row>
    <row r="1005" spans="2:28" s="4" customFormat="1" ht="15" hidden="1" x14ac:dyDescent="0.25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</row>
    <row r="1006" spans="2:28" s="4" customFormat="1" ht="15" hidden="1" x14ac:dyDescent="0.25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</row>
    <row r="1007" spans="2:28" s="4" customFormat="1" ht="15" hidden="1" x14ac:dyDescent="0.25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</row>
    <row r="1008" spans="2:28" s="4" customFormat="1" ht="15" hidden="1" x14ac:dyDescent="0.25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</row>
    <row r="1009" spans="2:28" s="4" customFormat="1" ht="15" hidden="1" x14ac:dyDescent="0.25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</row>
    <row r="1010" spans="2:28" s="4" customFormat="1" ht="15" hidden="1" x14ac:dyDescent="0.25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</row>
    <row r="1011" spans="2:28" s="4" customFormat="1" ht="15" hidden="1" x14ac:dyDescent="0.25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</row>
    <row r="1012" spans="2:28" s="4" customFormat="1" ht="15" hidden="1" x14ac:dyDescent="0.25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</row>
    <row r="1013" spans="2:28" s="4" customFormat="1" ht="15" hidden="1" x14ac:dyDescent="0.25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</row>
    <row r="1014" spans="2:28" s="4" customFormat="1" ht="15" hidden="1" x14ac:dyDescent="0.25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</row>
    <row r="1015" spans="2:28" s="4" customFormat="1" ht="15" hidden="1" x14ac:dyDescent="0.25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</row>
    <row r="1016" spans="2:28" s="4" customFormat="1" ht="15" hidden="1" x14ac:dyDescent="0.25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</row>
    <row r="1017" spans="2:28" s="4" customFormat="1" ht="15" hidden="1" x14ac:dyDescent="0.25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</row>
    <row r="1018" spans="2:28" s="4" customFormat="1" ht="15" hidden="1" x14ac:dyDescent="0.25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</row>
    <row r="1019" spans="2:28" s="4" customFormat="1" ht="15" hidden="1" x14ac:dyDescent="0.25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</row>
    <row r="1020" spans="2:28" s="4" customFormat="1" ht="15" hidden="1" x14ac:dyDescent="0.25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</row>
    <row r="1021" spans="2:28" s="4" customFormat="1" ht="15" hidden="1" x14ac:dyDescent="0.25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</row>
    <row r="1022" spans="2:28" s="4" customFormat="1" ht="15" hidden="1" x14ac:dyDescent="0.25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</row>
    <row r="1023" spans="2:28" s="4" customFormat="1" ht="15" hidden="1" x14ac:dyDescent="0.25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</row>
    <row r="1024" spans="2:28" s="4" customFormat="1" ht="15" hidden="1" x14ac:dyDescent="0.25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</row>
    <row r="1025" spans="2:28" s="4" customFormat="1" ht="15" hidden="1" x14ac:dyDescent="0.25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</row>
    <row r="1026" spans="2:28" s="4" customFormat="1" ht="15" hidden="1" x14ac:dyDescent="0.25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</row>
    <row r="1027" spans="2:28" s="4" customFormat="1" ht="15" hidden="1" x14ac:dyDescent="0.25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</row>
    <row r="1028" spans="2:28" s="4" customFormat="1" ht="15" hidden="1" x14ac:dyDescent="0.25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</row>
    <row r="1029" spans="2:28" s="4" customFormat="1" ht="15" hidden="1" x14ac:dyDescent="0.25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</row>
    <row r="1030" spans="2:28" s="4" customFormat="1" ht="15" hidden="1" x14ac:dyDescent="0.25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</row>
    <row r="1031" spans="2:28" s="4" customFormat="1" ht="15" hidden="1" x14ac:dyDescent="0.25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</row>
    <row r="1032" spans="2:28" s="4" customFormat="1" ht="15" hidden="1" x14ac:dyDescent="0.25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</row>
    <row r="1033" spans="2:28" s="4" customFormat="1" ht="15" hidden="1" x14ac:dyDescent="0.25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</row>
    <row r="1034" spans="2:28" s="4" customFormat="1" ht="15" hidden="1" x14ac:dyDescent="0.25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</row>
    <row r="1035" spans="2:28" s="4" customFormat="1" ht="15" hidden="1" x14ac:dyDescent="0.25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</row>
    <row r="1036" spans="2:28" s="4" customFormat="1" ht="15" hidden="1" x14ac:dyDescent="0.25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</row>
    <row r="1037" spans="2:28" s="4" customFormat="1" ht="15" hidden="1" x14ac:dyDescent="0.25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</row>
    <row r="1038" spans="2:28" s="4" customFormat="1" ht="15" hidden="1" x14ac:dyDescent="0.25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</row>
    <row r="1039" spans="2:28" s="4" customFormat="1" ht="15" hidden="1" x14ac:dyDescent="0.25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</row>
    <row r="1040" spans="2:28" s="4" customFormat="1" ht="15" hidden="1" x14ac:dyDescent="0.25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</row>
    <row r="1041" spans="2:28" s="4" customFormat="1" ht="15" hidden="1" x14ac:dyDescent="0.25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</row>
    <row r="1042" spans="2:28" s="4" customFormat="1" ht="15" hidden="1" x14ac:dyDescent="0.25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</row>
    <row r="1043" spans="2:28" s="4" customFormat="1" ht="15" hidden="1" x14ac:dyDescent="0.25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</row>
    <row r="1044" spans="2:28" s="4" customFormat="1" ht="15" hidden="1" x14ac:dyDescent="0.25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</row>
    <row r="1045" spans="2:28" s="4" customFormat="1" ht="15" hidden="1" x14ac:dyDescent="0.25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</row>
    <row r="1046" spans="2:28" s="4" customFormat="1" ht="15" hidden="1" x14ac:dyDescent="0.25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</row>
    <row r="1047" spans="2:28" s="4" customFormat="1" ht="15" hidden="1" x14ac:dyDescent="0.25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</row>
    <row r="1048" spans="2:28" s="4" customFormat="1" ht="15" hidden="1" x14ac:dyDescent="0.25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</row>
    <row r="1049" spans="2:28" s="4" customFormat="1" ht="15" hidden="1" x14ac:dyDescent="0.25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</row>
    <row r="1050" spans="2:28" s="4" customFormat="1" ht="15" hidden="1" x14ac:dyDescent="0.25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</row>
    <row r="1051" spans="2:28" s="4" customFormat="1" ht="15" hidden="1" x14ac:dyDescent="0.25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</row>
    <row r="1052" spans="2:28" s="4" customFormat="1" ht="15" hidden="1" x14ac:dyDescent="0.25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</row>
    <row r="1053" spans="2:28" s="4" customFormat="1" ht="15" hidden="1" x14ac:dyDescent="0.25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</row>
    <row r="1054" spans="2:28" s="4" customFormat="1" ht="15" hidden="1" x14ac:dyDescent="0.25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</row>
    <row r="1055" spans="2:28" s="4" customFormat="1" ht="15" hidden="1" x14ac:dyDescent="0.25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</row>
    <row r="1056" spans="2:28" s="4" customFormat="1" ht="15" hidden="1" x14ac:dyDescent="0.25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</row>
    <row r="1057" spans="2:28" s="4" customFormat="1" ht="15" hidden="1" x14ac:dyDescent="0.25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</row>
    <row r="1058" spans="2:28" s="4" customFormat="1" ht="15" hidden="1" x14ac:dyDescent="0.25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</row>
    <row r="1059" spans="2:28" s="4" customFormat="1" ht="15" hidden="1" x14ac:dyDescent="0.25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</row>
    <row r="1060" spans="2:28" s="4" customFormat="1" ht="15" hidden="1" x14ac:dyDescent="0.25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</row>
    <row r="1061" spans="2:28" s="4" customFormat="1" ht="15" hidden="1" x14ac:dyDescent="0.25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</row>
    <row r="1062" spans="2:28" s="4" customFormat="1" ht="15" hidden="1" x14ac:dyDescent="0.25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</row>
    <row r="1063" spans="2:28" s="4" customFormat="1" ht="15" hidden="1" x14ac:dyDescent="0.25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</row>
    <row r="1064" spans="2:28" s="4" customFormat="1" ht="15" hidden="1" x14ac:dyDescent="0.25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</row>
    <row r="1065" spans="2:28" s="4" customFormat="1" ht="15" hidden="1" x14ac:dyDescent="0.25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</row>
    <row r="1066" spans="2:28" s="4" customFormat="1" ht="15" hidden="1" x14ac:dyDescent="0.25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</row>
    <row r="1067" spans="2:28" s="4" customFormat="1" ht="15" hidden="1" x14ac:dyDescent="0.25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</row>
    <row r="1068" spans="2:28" s="4" customFormat="1" ht="15" hidden="1" x14ac:dyDescent="0.25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</row>
    <row r="1069" spans="2:28" s="4" customFormat="1" ht="15" hidden="1" x14ac:dyDescent="0.25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</row>
    <row r="1070" spans="2:28" s="4" customFormat="1" ht="15" hidden="1" x14ac:dyDescent="0.25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</row>
    <row r="1071" spans="2:28" s="4" customFormat="1" ht="15" hidden="1" x14ac:dyDescent="0.25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</row>
    <row r="1072" spans="2:28" s="4" customFormat="1" ht="15" hidden="1" x14ac:dyDescent="0.25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</row>
    <row r="1073" spans="2:28" s="4" customFormat="1" ht="15" hidden="1" x14ac:dyDescent="0.25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</row>
    <row r="1074" spans="2:28" s="4" customFormat="1" ht="15" hidden="1" x14ac:dyDescent="0.25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</row>
    <row r="1075" spans="2:28" s="4" customFormat="1" ht="15" hidden="1" x14ac:dyDescent="0.25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</row>
    <row r="1076" spans="2:28" s="4" customFormat="1" ht="15" hidden="1" x14ac:dyDescent="0.25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</row>
    <row r="1077" spans="2:28" s="4" customFormat="1" ht="15" hidden="1" x14ac:dyDescent="0.25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</row>
    <row r="1078" spans="2:28" s="4" customFormat="1" ht="15" hidden="1" x14ac:dyDescent="0.25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</row>
    <row r="1079" spans="2:28" s="4" customFormat="1" ht="15" hidden="1" x14ac:dyDescent="0.25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</row>
    <row r="1080" spans="2:28" s="4" customFormat="1" ht="15" hidden="1" x14ac:dyDescent="0.25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</row>
    <row r="1081" spans="2:28" s="4" customFormat="1" ht="15" hidden="1" x14ac:dyDescent="0.25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</row>
    <row r="1082" spans="2:28" s="4" customFormat="1" ht="15" hidden="1" x14ac:dyDescent="0.25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</row>
    <row r="1083" spans="2:28" s="4" customFormat="1" ht="15" hidden="1" x14ac:dyDescent="0.25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</row>
    <row r="1084" spans="2:28" s="4" customFormat="1" ht="15" hidden="1" x14ac:dyDescent="0.25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</row>
    <row r="1085" spans="2:28" s="4" customFormat="1" ht="15" hidden="1" x14ac:dyDescent="0.25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</row>
    <row r="1086" spans="2:28" s="4" customFormat="1" ht="15" hidden="1" x14ac:dyDescent="0.25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</row>
    <row r="1087" spans="2:28" s="4" customFormat="1" ht="15" hidden="1" x14ac:dyDescent="0.25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</row>
    <row r="1088" spans="2:28" s="4" customFormat="1" ht="15" hidden="1" x14ac:dyDescent="0.25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</row>
    <row r="1089" spans="2:28" s="4" customFormat="1" ht="15" hidden="1" x14ac:dyDescent="0.25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</row>
    <row r="1090" spans="2:28" s="4" customFormat="1" ht="15" hidden="1" x14ac:dyDescent="0.25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</row>
    <row r="1091" spans="2:28" s="4" customFormat="1" ht="15" hidden="1" x14ac:dyDescent="0.25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</row>
    <row r="1092" spans="2:28" s="4" customFormat="1" ht="15" hidden="1" x14ac:dyDescent="0.25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</row>
    <row r="1093" spans="2:28" s="4" customFormat="1" ht="15" hidden="1" x14ac:dyDescent="0.25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</row>
    <row r="1094" spans="2:28" s="4" customFormat="1" ht="15" hidden="1" x14ac:dyDescent="0.25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</row>
    <row r="1095" spans="2:28" s="4" customFormat="1" ht="15" hidden="1" x14ac:dyDescent="0.25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</row>
    <row r="1096" spans="2:28" s="4" customFormat="1" ht="15" hidden="1" x14ac:dyDescent="0.25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</row>
    <row r="1097" spans="2:28" s="4" customFormat="1" ht="15" hidden="1" x14ac:dyDescent="0.25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</row>
    <row r="1098" spans="2:28" s="4" customFormat="1" ht="15" hidden="1" x14ac:dyDescent="0.25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</row>
    <row r="1099" spans="2:28" s="4" customFormat="1" ht="15" hidden="1" x14ac:dyDescent="0.25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</row>
    <row r="1100" spans="2:28" s="4" customFormat="1" ht="15" hidden="1" x14ac:dyDescent="0.25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</row>
    <row r="1101" spans="2:28" s="4" customFormat="1" ht="15" hidden="1" x14ac:dyDescent="0.25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</row>
    <row r="1102" spans="2:28" s="4" customFormat="1" ht="15" hidden="1" x14ac:dyDescent="0.25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</row>
    <row r="1103" spans="2:28" s="4" customFormat="1" ht="15" hidden="1" x14ac:dyDescent="0.25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</row>
    <row r="1104" spans="2:28" s="4" customFormat="1" ht="15" hidden="1" x14ac:dyDescent="0.25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</row>
    <row r="1105" spans="2:28" s="4" customFormat="1" ht="15" hidden="1" x14ac:dyDescent="0.25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</row>
    <row r="1106" spans="2:28" s="4" customFormat="1" ht="15" hidden="1" x14ac:dyDescent="0.25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</row>
    <row r="1107" spans="2:28" s="4" customFormat="1" ht="15" hidden="1" x14ac:dyDescent="0.25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</row>
    <row r="1108" spans="2:28" s="4" customFormat="1" ht="15" hidden="1" x14ac:dyDescent="0.25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</row>
    <row r="1109" spans="2:28" s="4" customFormat="1" ht="15" hidden="1" x14ac:dyDescent="0.25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</row>
    <row r="1110" spans="2:28" s="4" customFormat="1" ht="15" hidden="1" x14ac:dyDescent="0.25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</row>
    <row r="1111" spans="2:28" s="4" customFormat="1" ht="15" hidden="1" x14ac:dyDescent="0.25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</row>
    <row r="1112" spans="2:28" s="4" customFormat="1" ht="15" hidden="1" x14ac:dyDescent="0.25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</row>
    <row r="1113" spans="2:28" s="4" customFormat="1" ht="15" hidden="1" x14ac:dyDescent="0.25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</row>
    <row r="1114" spans="2:28" s="4" customFormat="1" ht="15" hidden="1" x14ac:dyDescent="0.25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</row>
    <row r="1115" spans="2:28" s="4" customFormat="1" ht="15" hidden="1" x14ac:dyDescent="0.25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</row>
    <row r="1116" spans="2:28" s="4" customFormat="1" ht="15" hidden="1" x14ac:dyDescent="0.25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</row>
    <row r="1117" spans="2:28" s="4" customFormat="1" ht="15" hidden="1" x14ac:dyDescent="0.25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</row>
    <row r="1118" spans="2:28" s="4" customFormat="1" ht="15" hidden="1" x14ac:dyDescent="0.25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</row>
    <row r="1119" spans="2:28" s="4" customFormat="1" ht="15" hidden="1" x14ac:dyDescent="0.25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</row>
    <row r="1120" spans="2:28" s="4" customFormat="1" ht="15" hidden="1" x14ac:dyDescent="0.25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</row>
    <row r="1121" spans="2:28" s="4" customFormat="1" ht="15" hidden="1" x14ac:dyDescent="0.25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</row>
    <row r="1122" spans="2:28" s="4" customFormat="1" ht="15" hidden="1" x14ac:dyDescent="0.25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</row>
    <row r="1123" spans="2:28" s="4" customFormat="1" ht="15" hidden="1" x14ac:dyDescent="0.25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</row>
    <row r="1124" spans="2:28" s="4" customFormat="1" ht="15" hidden="1" x14ac:dyDescent="0.25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</row>
    <row r="1125" spans="2:28" s="4" customFormat="1" ht="15" hidden="1" x14ac:dyDescent="0.25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</row>
    <row r="1126" spans="2:28" s="4" customFormat="1" ht="15" hidden="1" x14ac:dyDescent="0.25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</row>
    <row r="1127" spans="2:28" s="4" customFormat="1" ht="15" hidden="1" x14ac:dyDescent="0.25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</row>
    <row r="1128" spans="2:28" s="4" customFormat="1" ht="15" hidden="1" x14ac:dyDescent="0.25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</row>
    <row r="1129" spans="2:28" s="4" customFormat="1" ht="15" hidden="1" x14ac:dyDescent="0.25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</row>
    <row r="1130" spans="2:28" s="4" customFormat="1" ht="15" hidden="1" x14ac:dyDescent="0.25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</row>
    <row r="1131" spans="2:28" s="4" customFormat="1" ht="15" hidden="1" x14ac:dyDescent="0.25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</row>
    <row r="1132" spans="2:28" s="4" customFormat="1" ht="15" hidden="1" x14ac:dyDescent="0.25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</row>
    <row r="1133" spans="2:28" s="4" customFormat="1" ht="15" hidden="1" x14ac:dyDescent="0.25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</row>
    <row r="1134" spans="2:28" s="4" customFormat="1" ht="15" hidden="1" x14ac:dyDescent="0.25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</row>
    <row r="1135" spans="2:28" s="4" customFormat="1" ht="15" hidden="1" x14ac:dyDescent="0.25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</row>
    <row r="1136" spans="2:28" s="4" customFormat="1" ht="15" hidden="1" x14ac:dyDescent="0.25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</row>
    <row r="1137" spans="2:28" s="4" customFormat="1" ht="15" hidden="1" x14ac:dyDescent="0.25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</row>
    <row r="1138" spans="2:28" s="4" customFormat="1" ht="15" hidden="1" x14ac:dyDescent="0.25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</row>
    <row r="1139" spans="2:28" s="4" customFormat="1" ht="15" hidden="1" x14ac:dyDescent="0.25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</row>
    <row r="1140" spans="2:28" s="4" customFormat="1" ht="15" hidden="1" x14ac:dyDescent="0.25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</row>
    <row r="1141" spans="2:28" s="4" customFormat="1" ht="15" hidden="1" x14ac:dyDescent="0.25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</row>
    <row r="1142" spans="2:28" s="4" customFormat="1" ht="15" hidden="1" x14ac:dyDescent="0.25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</row>
    <row r="1143" spans="2:28" s="4" customFormat="1" ht="15" hidden="1" x14ac:dyDescent="0.25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</row>
    <row r="1144" spans="2:28" s="4" customFormat="1" ht="15" hidden="1" x14ac:dyDescent="0.25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</row>
    <row r="1145" spans="2:28" s="4" customFormat="1" ht="15" hidden="1" x14ac:dyDescent="0.25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</row>
    <row r="1146" spans="2:28" s="4" customFormat="1" ht="15" hidden="1" x14ac:dyDescent="0.25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</row>
    <row r="1147" spans="2:28" s="4" customFormat="1" ht="15" hidden="1" x14ac:dyDescent="0.25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</row>
    <row r="1148" spans="2:28" s="4" customFormat="1" ht="15" hidden="1" x14ac:dyDescent="0.25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</row>
    <row r="1149" spans="2:28" s="4" customFormat="1" ht="15" hidden="1" x14ac:dyDescent="0.25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</row>
    <row r="1150" spans="2:28" s="4" customFormat="1" ht="15" hidden="1" x14ac:dyDescent="0.25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</row>
    <row r="1151" spans="2:28" s="4" customFormat="1" ht="15" hidden="1" x14ac:dyDescent="0.25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</row>
    <row r="1152" spans="2:28" s="4" customFormat="1" ht="15" hidden="1" x14ac:dyDescent="0.25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</row>
    <row r="1153" spans="2:28" s="4" customFormat="1" ht="15" hidden="1" x14ac:dyDescent="0.25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</row>
    <row r="1154" spans="2:28" s="4" customFormat="1" ht="15" hidden="1" x14ac:dyDescent="0.25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</row>
    <row r="1155" spans="2:28" s="4" customFormat="1" ht="15" hidden="1" x14ac:dyDescent="0.25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</row>
    <row r="1156" spans="2:28" s="4" customFormat="1" ht="15" hidden="1" x14ac:dyDescent="0.25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</row>
    <row r="1157" spans="2:28" s="4" customFormat="1" ht="15" hidden="1" x14ac:dyDescent="0.25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</row>
    <row r="1158" spans="2:28" s="4" customFormat="1" ht="15" hidden="1" x14ac:dyDescent="0.25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</row>
    <row r="1159" spans="2:28" s="4" customFormat="1" ht="15" hidden="1" x14ac:dyDescent="0.25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</row>
    <row r="1160" spans="2:28" s="4" customFormat="1" ht="15" hidden="1" x14ac:dyDescent="0.25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</row>
    <row r="1161" spans="2:28" s="4" customFormat="1" ht="15" hidden="1" x14ac:dyDescent="0.25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</row>
    <row r="1162" spans="2:28" s="4" customFormat="1" ht="15" hidden="1" x14ac:dyDescent="0.25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</row>
    <row r="1163" spans="2:28" s="4" customFormat="1" ht="15" hidden="1" x14ac:dyDescent="0.25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</row>
    <row r="1164" spans="2:28" s="4" customFormat="1" ht="15" hidden="1" x14ac:dyDescent="0.25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</row>
    <row r="1165" spans="2:28" s="4" customFormat="1" ht="15" hidden="1" x14ac:dyDescent="0.25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</row>
    <row r="1166" spans="2:28" s="4" customFormat="1" ht="15" hidden="1" x14ac:dyDescent="0.25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</row>
    <row r="1167" spans="2:28" s="4" customFormat="1" ht="15" hidden="1" x14ac:dyDescent="0.25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</row>
    <row r="1168" spans="2:28" s="4" customFormat="1" ht="15" hidden="1" x14ac:dyDescent="0.25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</row>
    <row r="1169" spans="2:28" s="4" customFormat="1" ht="15" hidden="1" x14ac:dyDescent="0.25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</row>
    <row r="1170" spans="2:28" s="4" customFormat="1" ht="15" hidden="1" x14ac:dyDescent="0.25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</row>
    <row r="1171" spans="2:28" s="4" customFormat="1" ht="15" hidden="1" x14ac:dyDescent="0.25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</row>
    <row r="1172" spans="2:28" s="4" customFormat="1" ht="15" hidden="1" x14ac:dyDescent="0.25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</row>
    <row r="1173" spans="2:28" s="4" customFormat="1" ht="15" hidden="1" x14ac:dyDescent="0.25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</row>
    <row r="1174" spans="2:28" s="4" customFormat="1" ht="15" hidden="1" x14ac:dyDescent="0.25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</row>
    <row r="1175" spans="2:28" s="4" customFormat="1" ht="15" hidden="1" x14ac:dyDescent="0.25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</row>
    <row r="1176" spans="2:28" s="4" customFormat="1" ht="15" hidden="1" x14ac:dyDescent="0.25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</row>
    <row r="1177" spans="2:28" s="4" customFormat="1" ht="15" hidden="1" x14ac:dyDescent="0.25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</row>
    <row r="1178" spans="2:28" s="4" customFormat="1" ht="15" hidden="1" x14ac:dyDescent="0.25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</row>
    <row r="1179" spans="2:28" s="4" customFormat="1" ht="15" hidden="1" x14ac:dyDescent="0.25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</row>
    <row r="1180" spans="2:28" s="4" customFormat="1" ht="15" hidden="1" x14ac:dyDescent="0.25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</row>
    <row r="1181" spans="2:28" s="4" customFormat="1" ht="15" hidden="1" x14ac:dyDescent="0.25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</row>
    <row r="1182" spans="2:28" s="4" customFormat="1" ht="15" hidden="1" x14ac:dyDescent="0.25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</row>
    <row r="1183" spans="2:28" s="4" customFormat="1" ht="15" hidden="1" x14ac:dyDescent="0.25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</row>
    <row r="1184" spans="2:28" s="4" customFormat="1" ht="15" hidden="1" x14ac:dyDescent="0.25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</row>
    <row r="1185" spans="2:28" s="4" customFormat="1" ht="15" hidden="1" x14ac:dyDescent="0.25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</row>
    <row r="1186" spans="2:28" s="4" customFormat="1" ht="15" hidden="1" x14ac:dyDescent="0.25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</row>
    <row r="1187" spans="2:28" s="4" customFormat="1" ht="15" hidden="1" x14ac:dyDescent="0.25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</row>
    <row r="1188" spans="2:28" s="4" customFormat="1" ht="15" hidden="1" x14ac:dyDescent="0.25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</row>
    <row r="1189" spans="2:28" s="4" customFormat="1" ht="15" hidden="1" x14ac:dyDescent="0.25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</row>
    <row r="1190" spans="2:28" s="4" customFormat="1" ht="15" hidden="1" x14ac:dyDescent="0.25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</row>
    <row r="1191" spans="2:28" s="4" customFormat="1" ht="15" hidden="1" x14ac:dyDescent="0.25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</row>
    <row r="1192" spans="2:28" s="4" customFormat="1" ht="15" hidden="1" x14ac:dyDescent="0.25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</row>
    <row r="1193" spans="2:28" s="4" customFormat="1" ht="15" hidden="1" x14ac:dyDescent="0.25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</row>
    <row r="1194" spans="2:28" s="4" customFormat="1" ht="15" hidden="1" x14ac:dyDescent="0.25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</row>
    <row r="1195" spans="2:28" s="4" customFormat="1" ht="15" hidden="1" x14ac:dyDescent="0.25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</row>
    <row r="1196" spans="2:28" s="4" customFormat="1" ht="15" hidden="1" x14ac:dyDescent="0.25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</row>
    <row r="1197" spans="2:28" s="4" customFormat="1" ht="15" hidden="1" x14ac:dyDescent="0.25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</row>
    <row r="1198" spans="2:28" s="4" customFormat="1" ht="15" hidden="1" x14ac:dyDescent="0.25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</row>
    <row r="1199" spans="2:28" s="4" customFormat="1" ht="15" hidden="1" x14ac:dyDescent="0.25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</row>
    <row r="1200" spans="2:28" s="4" customFormat="1" ht="15" hidden="1" x14ac:dyDescent="0.25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</row>
    <row r="1201" spans="2:28" s="4" customFormat="1" ht="15" hidden="1" x14ac:dyDescent="0.25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</row>
    <row r="1202" spans="2:28" s="4" customFormat="1" ht="15" hidden="1" x14ac:dyDescent="0.25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</row>
    <row r="1203" spans="2:28" s="4" customFormat="1" ht="15" hidden="1" x14ac:dyDescent="0.25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</row>
    <row r="1204" spans="2:28" s="4" customFormat="1" ht="15" hidden="1" x14ac:dyDescent="0.25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</row>
    <row r="1205" spans="2:28" s="4" customFormat="1" ht="15" hidden="1" x14ac:dyDescent="0.25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</row>
    <row r="1206" spans="2:28" s="4" customFormat="1" ht="15" hidden="1" x14ac:dyDescent="0.25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</row>
    <row r="1207" spans="2:28" s="4" customFormat="1" ht="15" hidden="1" x14ac:dyDescent="0.25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</row>
    <row r="1208" spans="2:28" s="4" customFormat="1" ht="15" hidden="1" x14ac:dyDescent="0.25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</row>
    <row r="1209" spans="2:28" s="4" customFormat="1" ht="15" hidden="1" x14ac:dyDescent="0.25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</row>
    <row r="1210" spans="2:28" s="4" customFormat="1" ht="15" hidden="1" x14ac:dyDescent="0.25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</row>
    <row r="1211" spans="2:28" s="4" customFormat="1" ht="15" hidden="1" x14ac:dyDescent="0.25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</row>
    <row r="1212" spans="2:28" s="4" customFormat="1" ht="15" hidden="1" x14ac:dyDescent="0.25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</row>
    <row r="1213" spans="2:28" s="4" customFormat="1" ht="15" hidden="1" x14ac:dyDescent="0.25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</row>
    <row r="1214" spans="2:28" s="4" customFormat="1" ht="15" hidden="1" x14ac:dyDescent="0.25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</row>
    <row r="1215" spans="2:28" s="4" customFormat="1" ht="15" hidden="1" x14ac:dyDescent="0.25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</row>
    <row r="1216" spans="2:28" s="4" customFormat="1" ht="15" hidden="1" x14ac:dyDescent="0.25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</row>
    <row r="1217" spans="2:28" s="4" customFormat="1" ht="15" hidden="1" x14ac:dyDescent="0.25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</row>
    <row r="1218" spans="2:28" s="4" customFormat="1" ht="15" hidden="1" x14ac:dyDescent="0.25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</row>
    <row r="1219" spans="2:28" s="4" customFormat="1" ht="15" hidden="1" x14ac:dyDescent="0.25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</row>
    <row r="1220" spans="2:28" s="4" customFormat="1" ht="15" hidden="1" x14ac:dyDescent="0.25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</row>
    <row r="1221" spans="2:28" s="4" customFormat="1" ht="15" hidden="1" x14ac:dyDescent="0.25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</row>
    <row r="1222" spans="2:28" s="4" customFormat="1" ht="15" hidden="1" x14ac:dyDescent="0.25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</row>
    <row r="1223" spans="2:28" s="4" customFormat="1" ht="15" hidden="1" x14ac:dyDescent="0.25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</row>
    <row r="1224" spans="2:28" s="4" customFormat="1" ht="15" hidden="1" x14ac:dyDescent="0.25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</row>
    <row r="1225" spans="2:28" s="4" customFormat="1" ht="15" hidden="1" x14ac:dyDescent="0.25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</row>
    <row r="1226" spans="2:28" s="4" customFormat="1" ht="15" hidden="1" x14ac:dyDescent="0.25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</row>
    <row r="1227" spans="2:28" s="4" customFormat="1" ht="15" hidden="1" x14ac:dyDescent="0.25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</row>
    <row r="1228" spans="2:28" s="4" customFormat="1" ht="15" hidden="1" x14ac:dyDescent="0.25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</row>
    <row r="1229" spans="2:28" s="4" customFormat="1" ht="15" hidden="1" x14ac:dyDescent="0.25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</row>
    <row r="1230" spans="2:28" s="4" customFormat="1" ht="15" hidden="1" x14ac:dyDescent="0.25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</row>
    <row r="1231" spans="2:28" s="4" customFormat="1" ht="15" hidden="1" x14ac:dyDescent="0.25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</row>
    <row r="1232" spans="2:28" s="4" customFormat="1" ht="15" hidden="1" x14ac:dyDescent="0.25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</row>
    <row r="1233" spans="2:28" s="4" customFormat="1" ht="15" hidden="1" x14ac:dyDescent="0.25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</row>
    <row r="1234" spans="2:28" s="4" customFormat="1" ht="15" hidden="1" x14ac:dyDescent="0.25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</row>
    <row r="1235" spans="2:28" s="4" customFormat="1" ht="15" hidden="1" x14ac:dyDescent="0.25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</row>
    <row r="1236" spans="2:28" s="4" customFormat="1" ht="15" hidden="1" x14ac:dyDescent="0.25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</row>
    <row r="1237" spans="2:28" s="4" customFormat="1" ht="15" hidden="1" x14ac:dyDescent="0.25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</row>
    <row r="1238" spans="2:28" s="4" customFormat="1" ht="15" hidden="1" x14ac:dyDescent="0.25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</row>
    <row r="1239" spans="2:28" s="4" customFormat="1" ht="15" hidden="1" x14ac:dyDescent="0.25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</row>
    <row r="1240" spans="2:28" s="4" customFormat="1" ht="15" hidden="1" x14ac:dyDescent="0.25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</row>
    <row r="1241" spans="2:28" s="4" customFormat="1" ht="15" hidden="1" x14ac:dyDescent="0.25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</row>
    <row r="1242" spans="2:28" s="4" customFormat="1" ht="15" hidden="1" x14ac:dyDescent="0.25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</row>
    <row r="1243" spans="2:28" s="4" customFormat="1" ht="15" hidden="1" x14ac:dyDescent="0.25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</row>
    <row r="1244" spans="2:28" s="4" customFormat="1" ht="15" hidden="1" x14ac:dyDescent="0.25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</row>
    <row r="1245" spans="2:28" s="4" customFormat="1" ht="15" hidden="1" x14ac:dyDescent="0.25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</row>
    <row r="1246" spans="2:28" s="4" customFormat="1" ht="15" hidden="1" x14ac:dyDescent="0.25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</row>
    <row r="1247" spans="2:28" s="4" customFormat="1" ht="15" hidden="1" x14ac:dyDescent="0.25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</row>
    <row r="1248" spans="2:28" s="4" customFormat="1" ht="15" hidden="1" x14ac:dyDescent="0.25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</row>
    <row r="1249" spans="2:28" s="4" customFormat="1" ht="15" hidden="1" x14ac:dyDescent="0.25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</row>
    <row r="1250" spans="2:28" s="4" customFormat="1" ht="15" hidden="1" x14ac:dyDescent="0.25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</row>
    <row r="1251" spans="2:28" s="4" customFormat="1" ht="15" hidden="1" x14ac:dyDescent="0.25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</row>
    <row r="1252" spans="2:28" s="4" customFormat="1" ht="15" hidden="1" x14ac:dyDescent="0.25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</row>
    <row r="1253" spans="2:28" s="4" customFormat="1" ht="15" hidden="1" x14ac:dyDescent="0.25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</row>
    <row r="1254" spans="2:28" s="4" customFormat="1" ht="15" hidden="1" x14ac:dyDescent="0.25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</row>
    <row r="1255" spans="2:28" s="4" customFormat="1" ht="15" hidden="1" x14ac:dyDescent="0.25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</row>
    <row r="1256" spans="2:28" s="4" customFormat="1" ht="15" hidden="1" x14ac:dyDescent="0.25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</row>
    <row r="1257" spans="2:28" s="4" customFormat="1" ht="15" hidden="1" x14ac:dyDescent="0.25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</row>
    <row r="1258" spans="2:28" s="4" customFormat="1" ht="15" hidden="1" x14ac:dyDescent="0.25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</row>
    <row r="1259" spans="2:28" s="4" customFormat="1" ht="15" hidden="1" x14ac:dyDescent="0.25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</row>
    <row r="1260" spans="2:28" s="4" customFormat="1" ht="15" hidden="1" x14ac:dyDescent="0.25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</row>
    <row r="1261" spans="2:28" s="4" customFormat="1" ht="15" hidden="1" x14ac:dyDescent="0.25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</row>
    <row r="1262" spans="2:28" s="4" customFormat="1" ht="15" hidden="1" x14ac:dyDescent="0.25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</row>
    <row r="1263" spans="2:28" s="4" customFormat="1" ht="15" hidden="1" x14ac:dyDescent="0.25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</row>
    <row r="1264" spans="2:28" s="4" customFormat="1" ht="15" hidden="1" x14ac:dyDescent="0.25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</row>
    <row r="1265" spans="2:28" s="4" customFormat="1" ht="15" hidden="1" x14ac:dyDescent="0.25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</row>
    <row r="1266" spans="2:28" s="4" customFormat="1" ht="15" hidden="1" x14ac:dyDescent="0.25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</row>
    <row r="1267" spans="2:28" s="4" customFormat="1" ht="15" hidden="1" x14ac:dyDescent="0.25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</row>
    <row r="1268" spans="2:28" s="4" customFormat="1" ht="15" hidden="1" x14ac:dyDescent="0.25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</row>
    <row r="1269" spans="2:28" s="4" customFormat="1" ht="15" hidden="1" x14ac:dyDescent="0.25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</row>
    <row r="1270" spans="2:28" s="4" customFormat="1" ht="15" hidden="1" x14ac:dyDescent="0.25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</row>
    <row r="1271" spans="2:28" s="4" customFormat="1" ht="15" hidden="1" x14ac:dyDescent="0.25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</row>
    <row r="1272" spans="2:28" s="4" customFormat="1" ht="15" hidden="1" x14ac:dyDescent="0.25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</row>
    <row r="1273" spans="2:28" s="4" customFormat="1" ht="15" hidden="1" x14ac:dyDescent="0.25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</row>
    <row r="1274" spans="2:28" s="4" customFormat="1" ht="15" hidden="1" x14ac:dyDescent="0.25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</row>
    <row r="1275" spans="2:28" s="4" customFormat="1" ht="15" hidden="1" x14ac:dyDescent="0.25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</row>
    <row r="1276" spans="2:28" s="4" customFormat="1" ht="15" hidden="1" x14ac:dyDescent="0.25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</row>
    <row r="1277" spans="2:28" s="4" customFormat="1" ht="15" hidden="1" x14ac:dyDescent="0.25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</row>
    <row r="1278" spans="2:28" s="4" customFormat="1" ht="15" hidden="1" x14ac:dyDescent="0.25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</row>
    <row r="1279" spans="2:28" s="4" customFormat="1" ht="15" hidden="1" x14ac:dyDescent="0.25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</row>
    <row r="1280" spans="2:28" s="4" customFormat="1" ht="15" hidden="1" x14ac:dyDescent="0.25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</row>
    <row r="1281" spans="2:28" s="4" customFormat="1" ht="15" hidden="1" x14ac:dyDescent="0.25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</row>
    <row r="1282" spans="2:28" s="4" customFormat="1" ht="15" hidden="1" x14ac:dyDescent="0.25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</row>
    <row r="1283" spans="2:28" s="4" customFormat="1" ht="15" hidden="1" x14ac:dyDescent="0.25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</row>
    <row r="1284" spans="2:28" s="4" customFormat="1" ht="15" hidden="1" x14ac:dyDescent="0.25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</row>
    <row r="1285" spans="2:28" s="4" customFormat="1" ht="15" hidden="1" x14ac:dyDescent="0.25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</row>
    <row r="1286" spans="2:28" s="4" customFormat="1" ht="15" hidden="1" x14ac:dyDescent="0.25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</row>
    <row r="1287" spans="2:28" s="4" customFormat="1" ht="15" hidden="1" x14ac:dyDescent="0.25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</row>
    <row r="1288" spans="2:28" s="4" customFormat="1" ht="15" hidden="1" x14ac:dyDescent="0.25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</row>
    <row r="1289" spans="2:28" s="4" customFormat="1" ht="15" hidden="1" x14ac:dyDescent="0.25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</row>
    <row r="1290" spans="2:28" s="4" customFormat="1" ht="15" hidden="1" x14ac:dyDescent="0.25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</row>
    <row r="1291" spans="2:28" s="4" customFormat="1" ht="15" hidden="1" x14ac:dyDescent="0.25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</row>
    <row r="1292" spans="2:28" s="4" customFormat="1" ht="15" hidden="1" x14ac:dyDescent="0.25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</row>
    <row r="1293" spans="2:28" s="4" customFormat="1" ht="15" hidden="1" x14ac:dyDescent="0.25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</row>
    <row r="1294" spans="2:28" s="4" customFormat="1" ht="15" hidden="1" x14ac:dyDescent="0.25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</row>
    <row r="1295" spans="2:28" s="4" customFormat="1" ht="15" hidden="1" x14ac:dyDescent="0.25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</row>
    <row r="1296" spans="2:28" s="4" customFormat="1" ht="15" hidden="1" x14ac:dyDescent="0.25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</row>
    <row r="1297" spans="2:28" s="4" customFormat="1" ht="15" hidden="1" x14ac:dyDescent="0.25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</row>
    <row r="1298" spans="2:28" s="4" customFormat="1" ht="15" hidden="1" x14ac:dyDescent="0.25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</row>
    <row r="1299" spans="2:28" s="4" customFormat="1" ht="15" hidden="1" x14ac:dyDescent="0.25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</row>
    <row r="1300" spans="2:28" s="4" customFormat="1" ht="15" hidden="1" x14ac:dyDescent="0.25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</row>
    <row r="1301" spans="2:28" s="4" customFormat="1" ht="15" hidden="1" x14ac:dyDescent="0.25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</row>
    <row r="1302" spans="2:28" s="4" customFormat="1" ht="15" hidden="1" x14ac:dyDescent="0.25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</row>
    <row r="1303" spans="2:28" s="4" customFormat="1" ht="15" hidden="1" x14ac:dyDescent="0.25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</row>
    <row r="1304" spans="2:28" s="4" customFormat="1" ht="15" hidden="1" x14ac:dyDescent="0.25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</row>
    <row r="1305" spans="2:28" s="4" customFormat="1" ht="15" hidden="1" x14ac:dyDescent="0.25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</row>
    <row r="1306" spans="2:28" s="4" customFormat="1" ht="15" hidden="1" x14ac:dyDescent="0.25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</row>
    <row r="1307" spans="2:28" s="4" customFormat="1" ht="15" hidden="1" x14ac:dyDescent="0.25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</row>
    <row r="1308" spans="2:28" s="4" customFormat="1" ht="15" hidden="1" x14ac:dyDescent="0.25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</row>
    <row r="1309" spans="2:28" s="4" customFormat="1" ht="15" hidden="1" x14ac:dyDescent="0.25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</row>
    <row r="1310" spans="2:28" s="4" customFormat="1" ht="15" hidden="1" x14ac:dyDescent="0.25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</row>
    <row r="1311" spans="2:28" s="4" customFormat="1" ht="15" hidden="1" x14ac:dyDescent="0.25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</row>
    <row r="1312" spans="2:28" s="4" customFormat="1" ht="15" hidden="1" x14ac:dyDescent="0.25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</row>
    <row r="1313" spans="2:28" s="4" customFormat="1" ht="15" hidden="1" x14ac:dyDescent="0.25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</row>
    <row r="1314" spans="2:28" s="4" customFormat="1" ht="15" hidden="1" x14ac:dyDescent="0.25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</row>
    <row r="1315" spans="2:28" s="4" customFormat="1" ht="15" hidden="1" x14ac:dyDescent="0.25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</row>
    <row r="1316" spans="2:28" s="4" customFormat="1" ht="15" hidden="1" x14ac:dyDescent="0.25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</row>
    <row r="1317" spans="2:28" s="4" customFormat="1" ht="15" hidden="1" x14ac:dyDescent="0.25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</row>
    <row r="1318" spans="2:28" s="4" customFormat="1" ht="15" hidden="1" x14ac:dyDescent="0.25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</row>
    <row r="1319" spans="2:28" s="4" customFormat="1" ht="15" hidden="1" x14ac:dyDescent="0.25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</row>
    <row r="1320" spans="2:28" s="4" customFormat="1" ht="15" hidden="1" x14ac:dyDescent="0.25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</row>
    <row r="1321" spans="2:28" s="4" customFormat="1" ht="15" hidden="1" x14ac:dyDescent="0.25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</row>
    <row r="1322" spans="2:28" s="4" customFormat="1" ht="15" hidden="1" x14ac:dyDescent="0.25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</row>
    <row r="1323" spans="2:28" s="4" customFormat="1" ht="15" hidden="1" x14ac:dyDescent="0.25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</row>
    <row r="1324" spans="2:28" s="4" customFormat="1" ht="15" hidden="1" x14ac:dyDescent="0.25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</row>
    <row r="1325" spans="2:28" s="4" customFormat="1" ht="15" hidden="1" x14ac:dyDescent="0.25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</row>
    <row r="1326" spans="2:28" s="4" customFormat="1" ht="15" hidden="1" x14ac:dyDescent="0.25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</row>
    <row r="1327" spans="2:28" s="4" customFormat="1" ht="15" hidden="1" x14ac:dyDescent="0.25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</row>
    <row r="1328" spans="2:28" s="4" customFormat="1" ht="15" hidden="1" x14ac:dyDescent="0.25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</row>
    <row r="1329" spans="2:28" s="4" customFormat="1" ht="15" hidden="1" x14ac:dyDescent="0.25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</row>
    <row r="1330" spans="2:28" s="4" customFormat="1" ht="15" hidden="1" x14ac:dyDescent="0.25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</row>
    <row r="1331" spans="2:28" s="4" customFormat="1" ht="15" hidden="1" x14ac:dyDescent="0.25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</row>
    <row r="1332" spans="2:28" s="4" customFormat="1" ht="15" hidden="1" x14ac:dyDescent="0.25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</row>
    <row r="1333" spans="2:28" s="4" customFormat="1" ht="15" hidden="1" x14ac:dyDescent="0.25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</row>
    <row r="1334" spans="2:28" s="4" customFormat="1" ht="15" hidden="1" x14ac:dyDescent="0.25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</row>
    <row r="1335" spans="2:28" s="4" customFormat="1" ht="15" hidden="1" x14ac:dyDescent="0.25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</row>
    <row r="1336" spans="2:28" s="4" customFormat="1" ht="15" hidden="1" x14ac:dyDescent="0.25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</row>
    <row r="1337" spans="2:28" s="4" customFormat="1" ht="15" hidden="1" x14ac:dyDescent="0.25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</row>
    <row r="1338" spans="2:28" s="4" customFormat="1" ht="15" hidden="1" x14ac:dyDescent="0.25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</row>
    <row r="1339" spans="2:28" s="4" customFormat="1" ht="15" hidden="1" x14ac:dyDescent="0.25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</row>
    <row r="1340" spans="2:28" s="4" customFormat="1" ht="15" hidden="1" x14ac:dyDescent="0.25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</row>
    <row r="1341" spans="2:28" s="4" customFormat="1" ht="15" hidden="1" x14ac:dyDescent="0.25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</row>
    <row r="1342" spans="2:28" s="4" customFormat="1" ht="15" hidden="1" x14ac:dyDescent="0.25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</row>
    <row r="1343" spans="2:28" s="4" customFormat="1" ht="15" hidden="1" x14ac:dyDescent="0.25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</row>
    <row r="1344" spans="2:28" s="4" customFormat="1" ht="15" hidden="1" x14ac:dyDescent="0.25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</row>
    <row r="1345" spans="2:28" s="4" customFormat="1" ht="15" hidden="1" x14ac:dyDescent="0.25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</row>
    <row r="1346" spans="2:28" s="4" customFormat="1" ht="15" hidden="1" x14ac:dyDescent="0.25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</row>
    <row r="1347" spans="2:28" s="4" customFormat="1" ht="15" hidden="1" x14ac:dyDescent="0.25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</row>
    <row r="1348" spans="2:28" s="4" customFormat="1" ht="15" hidden="1" x14ac:dyDescent="0.25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</row>
    <row r="1349" spans="2:28" s="4" customFormat="1" ht="15" hidden="1" x14ac:dyDescent="0.25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</row>
    <row r="1350" spans="2:28" s="4" customFormat="1" ht="15" hidden="1" x14ac:dyDescent="0.25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</row>
    <row r="1351" spans="2:28" s="4" customFormat="1" ht="15" hidden="1" x14ac:dyDescent="0.25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</row>
    <row r="1352" spans="2:28" s="4" customFormat="1" ht="15" hidden="1" x14ac:dyDescent="0.25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</row>
    <row r="1353" spans="2:28" s="4" customFormat="1" ht="15" hidden="1" x14ac:dyDescent="0.25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</row>
    <row r="1354" spans="2:28" s="4" customFormat="1" ht="15" hidden="1" x14ac:dyDescent="0.25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</row>
    <row r="1355" spans="2:28" s="4" customFormat="1" ht="15" hidden="1" x14ac:dyDescent="0.25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</row>
    <row r="1356" spans="2:28" s="4" customFormat="1" ht="15" hidden="1" x14ac:dyDescent="0.25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</row>
    <row r="1357" spans="2:28" s="4" customFormat="1" ht="15" hidden="1" x14ac:dyDescent="0.25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</row>
    <row r="1358" spans="2:28" s="4" customFormat="1" ht="15" hidden="1" x14ac:dyDescent="0.25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</row>
    <row r="1359" spans="2:28" s="4" customFormat="1" ht="15" hidden="1" x14ac:dyDescent="0.25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</row>
    <row r="1360" spans="2:28" s="4" customFormat="1" ht="15" hidden="1" x14ac:dyDescent="0.25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</row>
    <row r="1361" spans="2:28" s="4" customFormat="1" ht="15" hidden="1" x14ac:dyDescent="0.25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</row>
    <row r="1362" spans="2:28" s="4" customFormat="1" ht="15" hidden="1" x14ac:dyDescent="0.25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</row>
    <row r="1363" spans="2:28" s="4" customFormat="1" ht="15" hidden="1" x14ac:dyDescent="0.25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</row>
    <row r="1364" spans="2:28" s="4" customFormat="1" ht="15" hidden="1" x14ac:dyDescent="0.25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</row>
    <row r="1365" spans="2:28" s="4" customFormat="1" ht="15" hidden="1" x14ac:dyDescent="0.25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</row>
    <row r="1366" spans="2:28" s="4" customFormat="1" ht="15" hidden="1" x14ac:dyDescent="0.25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</row>
    <row r="1367" spans="2:28" s="4" customFormat="1" ht="15" hidden="1" x14ac:dyDescent="0.25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</row>
    <row r="1368" spans="2:28" s="4" customFormat="1" ht="15" hidden="1" x14ac:dyDescent="0.25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</row>
    <row r="1369" spans="2:28" s="4" customFormat="1" ht="15" hidden="1" x14ac:dyDescent="0.25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</row>
    <row r="1370" spans="2:28" s="4" customFormat="1" ht="15" hidden="1" x14ac:dyDescent="0.25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</row>
    <row r="1371" spans="2:28" s="4" customFormat="1" ht="15" hidden="1" x14ac:dyDescent="0.25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</row>
    <row r="1372" spans="2:28" s="4" customFormat="1" ht="15" hidden="1" x14ac:dyDescent="0.25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</row>
    <row r="1373" spans="2:28" s="4" customFormat="1" ht="15" hidden="1" x14ac:dyDescent="0.25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</row>
    <row r="1374" spans="2:28" s="4" customFormat="1" ht="15" hidden="1" x14ac:dyDescent="0.25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</row>
    <row r="1375" spans="2:28" s="4" customFormat="1" ht="15" hidden="1" x14ac:dyDescent="0.25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</row>
    <row r="1376" spans="2:28" s="4" customFormat="1" ht="15" hidden="1" x14ac:dyDescent="0.25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</row>
    <row r="1377" spans="2:28" s="4" customFormat="1" ht="15" hidden="1" x14ac:dyDescent="0.25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</row>
    <row r="1378" spans="2:28" s="4" customFormat="1" ht="15" hidden="1" x14ac:dyDescent="0.25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</row>
    <row r="1379" spans="2:28" s="4" customFormat="1" ht="15" hidden="1" x14ac:dyDescent="0.25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</row>
    <row r="1380" spans="2:28" s="4" customFormat="1" ht="15" hidden="1" x14ac:dyDescent="0.25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</row>
    <row r="1381" spans="2:28" s="4" customFormat="1" ht="15" hidden="1" x14ac:dyDescent="0.25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</row>
    <row r="1382" spans="2:28" s="4" customFormat="1" ht="15" hidden="1" x14ac:dyDescent="0.25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</row>
    <row r="1383" spans="2:28" s="4" customFormat="1" ht="15" hidden="1" x14ac:dyDescent="0.25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</row>
    <row r="1384" spans="2:28" s="4" customFormat="1" ht="15" hidden="1" x14ac:dyDescent="0.25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</row>
    <row r="1385" spans="2:28" s="4" customFormat="1" ht="15" hidden="1" x14ac:dyDescent="0.25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</row>
    <row r="1386" spans="2:28" s="4" customFormat="1" ht="15" hidden="1" x14ac:dyDescent="0.25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</row>
    <row r="1387" spans="2:28" s="4" customFormat="1" ht="15" hidden="1" x14ac:dyDescent="0.25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</row>
    <row r="1388" spans="2:28" s="4" customFormat="1" ht="15" hidden="1" x14ac:dyDescent="0.25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</row>
    <row r="1389" spans="2:28" s="4" customFormat="1" ht="15" hidden="1" x14ac:dyDescent="0.25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</row>
    <row r="1390" spans="2:28" s="4" customFormat="1" ht="15" hidden="1" x14ac:dyDescent="0.25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</row>
    <row r="1391" spans="2:28" s="4" customFormat="1" ht="15" hidden="1" x14ac:dyDescent="0.25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</row>
    <row r="1392" spans="2:28" s="4" customFormat="1" ht="15" hidden="1" x14ac:dyDescent="0.25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</row>
    <row r="1393" spans="2:28" s="4" customFormat="1" ht="15" hidden="1" x14ac:dyDescent="0.25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</row>
    <row r="1394" spans="2:28" s="4" customFormat="1" ht="15" hidden="1" x14ac:dyDescent="0.25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</row>
    <row r="1395" spans="2:28" s="4" customFormat="1" ht="15" hidden="1" x14ac:dyDescent="0.25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</row>
    <row r="1396" spans="2:28" s="4" customFormat="1" ht="15" hidden="1" x14ac:dyDescent="0.25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</row>
    <row r="1397" spans="2:28" s="4" customFormat="1" ht="15" hidden="1" x14ac:dyDescent="0.25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</row>
    <row r="1398" spans="2:28" s="4" customFormat="1" ht="15" hidden="1" x14ac:dyDescent="0.25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</row>
    <row r="1399" spans="2:28" s="4" customFormat="1" ht="15" hidden="1" x14ac:dyDescent="0.25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</row>
    <row r="1400" spans="2:28" s="4" customFormat="1" ht="15" hidden="1" x14ac:dyDescent="0.25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</row>
    <row r="1401" spans="2:28" s="4" customFormat="1" ht="15" hidden="1" x14ac:dyDescent="0.25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</row>
    <row r="1402" spans="2:28" s="4" customFormat="1" ht="15" hidden="1" x14ac:dyDescent="0.25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</row>
    <row r="1403" spans="2:28" s="4" customFormat="1" ht="15" hidden="1" x14ac:dyDescent="0.25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</row>
    <row r="1404" spans="2:28" s="4" customFormat="1" ht="15" hidden="1" x14ac:dyDescent="0.25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</row>
    <row r="1405" spans="2:28" s="4" customFormat="1" ht="15" hidden="1" x14ac:dyDescent="0.25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</row>
    <row r="1406" spans="2:28" s="4" customFormat="1" ht="15" hidden="1" x14ac:dyDescent="0.25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</row>
    <row r="1407" spans="2:28" s="4" customFormat="1" ht="15" hidden="1" x14ac:dyDescent="0.25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</row>
    <row r="1408" spans="2:28" s="4" customFormat="1" ht="15" hidden="1" x14ac:dyDescent="0.25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</row>
    <row r="1409" spans="2:28" s="4" customFormat="1" ht="15" hidden="1" x14ac:dyDescent="0.25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</row>
    <row r="1410" spans="2:28" s="4" customFormat="1" ht="15" hidden="1" x14ac:dyDescent="0.25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</row>
    <row r="1411" spans="2:28" s="4" customFormat="1" ht="15" hidden="1" x14ac:dyDescent="0.25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</row>
    <row r="1412" spans="2:28" s="4" customFormat="1" ht="15" hidden="1" x14ac:dyDescent="0.25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</row>
    <row r="1413" spans="2:28" s="4" customFormat="1" ht="15" hidden="1" x14ac:dyDescent="0.25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</row>
    <row r="1414" spans="2:28" s="4" customFormat="1" ht="15" hidden="1" x14ac:dyDescent="0.25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</row>
    <row r="1415" spans="2:28" s="4" customFormat="1" ht="15" hidden="1" x14ac:dyDescent="0.25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</row>
    <row r="1416" spans="2:28" s="4" customFormat="1" ht="15" hidden="1" x14ac:dyDescent="0.25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</row>
    <row r="1417" spans="2:28" s="4" customFormat="1" ht="15" hidden="1" x14ac:dyDescent="0.25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</row>
    <row r="1418" spans="2:28" s="4" customFormat="1" ht="15" hidden="1" x14ac:dyDescent="0.25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</row>
    <row r="1419" spans="2:28" s="4" customFormat="1" ht="15" hidden="1" x14ac:dyDescent="0.25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</row>
    <row r="1420" spans="2:28" s="4" customFormat="1" ht="15" hidden="1" x14ac:dyDescent="0.25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</row>
    <row r="1421" spans="2:28" s="4" customFormat="1" ht="15" hidden="1" x14ac:dyDescent="0.25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</row>
    <row r="1422" spans="2:28" s="4" customFormat="1" ht="15" hidden="1" x14ac:dyDescent="0.25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</row>
    <row r="1423" spans="2:28" s="4" customFormat="1" ht="15" hidden="1" x14ac:dyDescent="0.25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</row>
    <row r="1424" spans="2:28" s="4" customFormat="1" ht="15" hidden="1" x14ac:dyDescent="0.25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</row>
    <row r="1425" spans="2:28" s="4" customFormat="1" ht="15" hidden="1" x14ac:dyDescent="0.25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</row>
    <row r="1426" spans="2:28" s="4" customFormat="1" ht="15" hidden="1" x14ac:dyDescent="0.25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</row>
    <row r="1427" spans="2:28" s="4" customFormat="1" ht="15" hidden="1" x14ac:dyDescent="0.25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</row>
    <row r="1428" spans="2:28" s="4" customFormat="1" ht="15" hidden="1" x14ac:dyDescent="0.25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</row>
    <row r="1429" spans="2:28" s="4" customFormat="1" ht="15" hidden="1" x14ac:dyDescent="0.25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</row>
    <row r="1430" spans="2:28" s="4" customFormat="1" ht="15" hidden="1" x14ac:dyDescent="0.25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</row>
    <row r="1431" spans="2:28" s="4" customFormat="1" ht="15" hidden="1" x14ac:dyDescent="0.25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</row>
    <row r="1432" spans="2:28" s="4" customFormat="1" ht="15" hidden="1" x14ac:dyDescent="0.25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</row>
    <row r="1433" spans="2:28" s="4" customFormat="1" ht="15" hidden="1" x14ac:dyDescent="0.25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</row>
    <row r="1434" spans="2:28" s="4" customFormat="1" ht="15" hidden="1" x14ac:dyDescent="0.25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</row>
    <row r="1435" spans="2:28" s="4" customFormat="1" ht="15" hidden="1" x14ac:dyDescent="0.25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</row>
    <row r="1436" spans="2:28" s="4" customFormat="1" ht="15" hidden="1" x14ac:dyDescent="0.25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</row>
    <row r="1437" spans="2:28" s="4" customFormat="1" ht="15" hidden="1" x14ac:dyDescent="0.25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</row>
    <row r="1438" spans="2:28" s="4" customFormat="1" ht="15" hidden="1" x14ac:dyDescent="0.25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</row>
    <row r="1439" spans="2:28" s="4" customFormat="1" ht="15" hidden="1" x14ac:dyDescent="0.25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</row>
    <row r="1440" spans="2:28" s="4" customFormat="1" ht="15" hidden="1" x14ac:dyDescent="0.25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</row>
    <row r="1441" spans="2:28" s="4" customFormat="1" ht="15" hidden="1" x14ac:dyDescent="0.25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</row>
    <row r="1442" spans="2:28" s="4" customFormat="1" ht="15" hidden="1" x14ac:dyDescent="0.25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</row>
    <row r="1443" spans="2:28" s="4" customFormat="1" ht="15" hidden="1" x14ac:dyDescent="0.25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</row>
    <row r="1444" spans="2:28" s="4" customFormat="1" ht="15" hidden="1" x14ac:dyDescent="0.25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</row>
    <row r="1445" spans="2:28" s="4" customFormat="1" ht="15" hidden="1" x14ac:dyDescent="0.25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</row>
    <row r="1446" spans="2:28" s="4" customFormat="1" ht="15" hidden="1" x14ac:dyDescent="0.25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</row>
    <row r="1447" spans="2:28" s="4" customFormat="1" ht="15" hidden="1" x14ac:dyDescent="0.25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</row>
    <row r="1448" spans="2:28" s="4" customFormat="1" ht="15" hidden="1" x14ac:dyDescent="0.25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</row>
    <row r="1449" spans="2:28" s="4" customFormat="1" ht="15" hidden="1" x14ac:dyDescent="0.25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</row>
    <row r="1450" spans="2:28" s="4" customFormat="1" ht="15" hidden="1" x14ac:dyDescent="0.25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</row>
    <row r="1451" spans="2:28" s="4" customFormat="1" ht="15" hidden="1" x14ac:dyDescent="0.25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</row>
    <row r="1452" spans="2:28" s="4" customFormat="1" ht="15" hidden="1" x14ac:dyDescent="0.25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</row>
    <row r="1453" spans="2:28" s="4" customFormat="1" ht="15" hidden="1" x14ac:dyDescent="0.25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</row>
    <row r="1454" spans="2:28" s="4" customFormat="1" ht="15" hidden="1" x14ac:dyDescent="0.25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</row>
    <row r="1455" spans="2:28" s="4" customFormat="1" ht="15" hidden="1" x14ac:dyDescent="0.25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</row>
    <row r="1456" spans="2:28" s="4" customFormat="1" ht="15" hidden="1" x14ac:dyDescent="0.25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</row>
    <row r="1457" spans="2:28" s="4" customFormat="1" ht="15" hidden="1" x14ac:dyDescent="0.25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</row>
    <row r="1458" spans="2:28" s="4" customFormat="1" ht="15" hidden="1" x14ac:dyDescent="0.25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</row>
    <row r="1459" spans="2:28" s="4" customFormat="1" ht="15" hidden="1" x14ac:dyDescent="0.25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</row>
    <row r="1460" spans="2:28" s="4" customFormat="1" ht="15" hidden="1" x14ac:dyDescent="0.25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</row>
    <row r="1461" spans="2:28" s="4" customFormat="1" ht="15" hidden="1" x14ac:dyDescent="0.25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</row>
    <row r="1462" spans="2:28" s="4" customFormat="1" ht="15" hidden="1" x14ac:dyDescent="0.25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</row>
    <row r="1463" spans="2:28" s="4" customFormat="1" ht="15" hidden="1" x14ac:dyDescent="0.25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</row>
    <row r="1464" spans="2:28" s="4" customFormat="1" ht="15" hidden="1" x14ac:dyDescent="0.25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</row>
    <row r="1465" spans="2:28" s="4" customFormat="1" ht="15" hidden="1" x14ac:dyDescent="0.25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</row>
    <row r="1466" spans="2:28" s="4" customFormat="1" ht="15" hidden="1" x14ac:dyDescent="0.25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</row>
    <row r="1467" spans="2:28" s="4" customFormat="1" ht="15" hidden="1" x14ac:dyDescent="0.25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</row>
    <row r="1468" spans="2:28" s="4" customFormat="1" ht="15" hidden="1" x14ac:dyDescent="0.25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</row>
    <row r="1469" spans="2:28" s="4" customFormat="1" ht="15" hidden="1" x14ac:dyDescent="0.25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</row>
    <row r="1470" spans="2:28" s="4" customFormat="1" ht="15" hidden="1" x14ac:dyDescent="0.25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</row>
    <row r="1471" spans="2:28" s="4" customFormat="1" ht="15" hidden="1" x14ac:dyDescent="0.25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</row>
    <row r="1472" spans="2:28" s="4" customFormat="1" ht="15" hidden="1" x14ac:dyDescent="0.25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</row>
    <row r="1473" spans="2:28" s="4" customFormat="1" ht="15" hidden="1" x14ac:dyDescent="0.25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</row>
    <row r="1474" spans="2:28" s="4" customFormat="1" ht="15" hidden="1" x14ac:dyDescent="0.25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</row>
    <row r="1475" spans="2:28" s="4" customFormat="1" ht="15" hidden="1" x14ac:dyDescent="0.25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</row>
    <row r="1476" spans="2:28" s="4" customFormat="1" ht="15" hidden="1" x14ac:dyDescent="0.25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</row>
    <row r="1477" spans="2:28" s="4" customFormat="1" ht="15" hidden="1" x14ac:dyDescent="0.25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</row>
    <row r="1478" spans="2:28" s="4" customFormat="1" ht="15" hidden="1" x14ac:dyDescent="0.25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</row>
    <row r="1479" spans="2:28" s="4" customFormat="1" ht="15" hidden="1" x14ac:dyDescent="0.25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</row>
    <row r="1480" spans="2:28" s="4" customFormat="1" ht="15" hidden="1" x14ac:dyDescent="0.25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</row>
    <row r="1481" spans="2:28" s="4" customFormat="1" ht="15" hidden="1" x14ac:dyDescent="0.25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</row>
    <row r="1482" spans="2:28" s="4" customFormat="1" ht="15" hidden="1" x14ac:dyDescent="0.25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</row>
    <row r="1483" spans="2:28" s="4" customFormat="1" ht="15" hidden="1" x14ac:dyDescent="0.25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</row>
    <row r="1484" spans="2:28" s="4" customFormat="1" ht="15" hidden="1" x14ac:dyDescent="0.25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</row>
    <row r="1485" spans="2:28" s="4" customFormat="1" ht="15" hidden="1" x14ac:dyDescent="0.25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</row>
    <row r="1486" spans="2:28" s="4" customFormat="1" ht="15" hidden="1" x14ac:dyDescent="0.25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</row>
    <row r="1487" spans="2:28" s="4" customFormat="1" ht="15" hidden="1" customHeight="1" x14ac:dyDescent="0.25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</row>
    <row r="1488" spans="2:28" s="4" customFormat="1" ht="15" hidden="1" customHeight="1" x14ac:dyDescent="0.25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</row>
    <row r="1489" spans="2:28" s="4" customFormat="1" ht="15" hidden="1" customHeight="1" x14ac:dyDescent="0.25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</row>
    <row r="1490" spans="2:28" s="4" customFormat="1" ht="15" hidden="1" customHeight="1" x14ac:dyDescent="0.25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</row>
    <row r="1491" spans="2:28" s="4" customFormat="1" ht="15" hidden="1" customHeight="1" x14ac:dyDescent="0.25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</row>
    <row r="1492" spans="2:28" s="4" customFormat="1" ht="15" hidden="1" customHeight="1" x14ac:dyDescent="0.25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</row>
    <row r="1493" spans="2:28" s="4" customFormat="1" ht="15" hidden="1" customHeight="1" x14ac:dyDescent="0.25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</row>
    <row r="1494" spans="2:28" s="4" customFormat="1" ht="15" hidden="1" customHeight="1" x14ac:dyDescent="0.25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</row>
    <row r="1495" spans="2:28" s="4" customFormat="1" ht="15" hidden="1" customHeight="1" x14ac:dyDescent="0.25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</row>
    <row r="1496" spans="2:28" s="4" customFormat="1" ht="15" hidden="1" customHeight="1" x14ac:dyDescent="0.25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</row>
    <row r="1497" spans="2:28" s="4" customFormat="1" ht="15" hidden="1" customHeight="1" x14ac:dyDescent="0.25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</row>
    <row r="1498" spans="2:28" s="4" customFormat="1" ht="15" hidden="1" customHeight="1" x14ac:dyDescent="0.25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</row>
    <row r="1499" spans="2:28" s="4" customFormat="1" ht="15" hidden="1" customHeight="1" x14ac:dyDescent="0.25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</row>
    <row r="1500" spans="2:28" s="4" customFormat="1" ht="15" hidden="1" customHeight="1" x14ac:dyDescent="0.25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</row>
    <row r="1501" spans="2:28" s="4" customFormat="1" ht="15" hidden="1" customHeight="1" x14ac:dyDescent="0.25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</row>
    <row r="1502" spans="2:28" s="4" customFormat="1" ht="15" hidden="1" customHeight="1" x14ac:dyDescent="0.25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</row>
    <row r="1503" spans="2:28" s="4" customFormat="1" ht="15" hidden="1" customHeight="1" x14ac:dyDescent="0.25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</row>
    <row r="1504" spans="2:28" s="4" customFormat="1" ht="15" hidden="1" customHeight="1" x14ac:dyDescent="0.25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</row>
    <row r="1505" spans="2:28" s="4" customFormat="1" ht="15" hidden="1" customHeight="1" x14ac:dyDescent="0.25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</row>
    <row r="1506" spans="2:28" s="4" customFormat="1" ht="15" hidden="1" customHeight="1" x14ac:dyDescent="0.25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</row>
    <row r="1507" spans="2:28" s="4" customFormat="1" ht="15" hidden="1" customHeight="1" x14ac:dyDescent="0.25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</row>
    <row r="1508" spans="2:28" s="4" customFormat="1" ht="15" hidden="1" customHeight="1" x14ac:dyDescent="0.25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</row>
    <row r="1509" spans="2:28" s="4" customFormat="1" ht="15" hidden="1" customHeight="1" x14ac:dyDescent="0.25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</row>
    <row r="1510" spans="2:28" s="4" customFormat="1" ht="15" hidden="1" customHeight="1" x14ac:dyDescent="0.25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</row>
    <row r="1511" spans="2:28" s="4" customFormat="1" ht="15" hidden="1" customHeight="1" x14ac:dyDescent="0.25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</row>
    <row r="1512" spans="2:28" s="4" customFormat="1" ht="15" hidden="1" customHeight="1" x14ac:dyDescent="0.25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</row>
    <row r="1513" spans="2:28" s="4" customFormat="1" ht="15" hidden="1" customHeight="1" x14ac:dyDescent="0.25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</row>
    <row r="1514" spans="2:28" s="4" customFormat="1" ht="15" hidden="1" customHeight="1" x14ac:dyDescent="0.25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</row>
    <row r="1515" spans="2:28" s="4" customFormat="1" ht="15" hidden="1" customHeight="1" x14ac:dyDescent="0.25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</row>
    <row r="1516" spans="2:28" s="4" customFormat="1" ht="15" hidden="1" customHeight="1" x14ac:dyDescent="0.25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</row>
    <row r="1517" spans="2:28" s="4" customFormat="1" ht="15" hidden="1" customHeight="1" x14ac:dyDescent="0.25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</row>
    <row r="1518" spans="2:28" s="4" customFormat="1" ht="15" hidden="1" customHeight="1" x14ac:dyDescent="0.25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</row>
    <row r="1519" spans="2:28" s="4" customFormat="1" ht="15" hidden="1" customHeight="1" x14ac:dyDescent="0.25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</row>
    <row r="1520" spans="2:28" s="4" customFormat="1" ht="15" hidden="1" customHeight="1" x14ac:dyDescent="0.25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</row>
    <row r="1521" spans="2:28" s="4" customFormat="1" ht="15" hidden="1" customHeight="1" x14ac:dyDescent="0.25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</row>
    <row r="1522" spans="2:28" s="4" customFormat="1" ht="15" hidden="1" customHeight="1" x14ac:dyDescent="0.25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</row>
    <row r="1523" spans="2:28" s="4" customFormat="1" ht="15" hidden="1" customHeight="1" x14ac:dyDescent="0.25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</row>
    <row r="1524" spans="2:28" s="4" customFormat="1" ht="15" hidden="1" customHeight="1" x14ac:dyDescent="0.25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</row>
    <row r="1525" spans="2:28" s="4" customFormat="1" ht="15" hidden="1" customHeight="1" x14ac:dyDescent="0.25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</row>
    <row r="1526" spans="2:28" s="4" customFormat="1" ht="15" hidden="1" customHeight="1" x14ac:dyDescent="0.25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</row>
    <row r="1527" spans="2:28" s="4" customFormat="1" ht="15" hidden="1" customHeight="1" x14ac:dyDescent="0.25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</row>
    <row r="1528" spans="2:28" s="4" customFormat="1" ht="15" hidden="1" customHeight="1" x14ac:dyDescent="0.25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</row>
    <row r="1529" spans="2:28" s="4" customFormat="1" ht="15" hidden="1" customHeight="1" x14ac:dyDescent="0.25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</row>
    <row r="1530" spans="2:28" s="4" customFormat="1" ht="15" hidden="1" customHeight="1" x14ac:dyDescent="0.25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</row>
    <row r="1531" spans="2:28" s="4" customFormat="1" ht="15" hidden="1" customHeight="1" x14ac:dyDescent="0.25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</row>
    <row r="1532" spans="2:28" s="4" customFormat="1" ht="15" hidden="1" customHeight="1" x14ac:dyDescent="0.25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</row>
    <row r="1533" spans="2:28" s="4" customFormat="1" ht="15" hidden="1" customHeight="1" x14ac:dyDescent="0.25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</row>
    <row r="1534" spans="2:28" s="4" customFormat="1" ht="15" hidden="1" customHeight="1" x14ac:dyDescent="0.25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</row>
    <row r="1535" spans="2:28" s="4" customFormat="1" ht="15" hidden="1" customHeight="1" x14ac:dyDescent="0.25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</row>
    <row r="1536" spans="2:28" s="4" customFormat="1" ht="15" hidden="1" customHeight="1" x14ac:dyDescent="0.25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</row>
    <row r="1537" spans="2:28" s="4" customFormat="1" ht="15" hidden="1" customHeight="1" x14ac:dyDescent="0.25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</row>
    <row r="1538" spans="2:28" s="4" customFormat="1" ht="15" hidden="1" customHeight="1" x14ac:dyDescent="0.25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</row>
    <row r="1539" spans="2:28" s="4" customFormat="1" ht="15" hidden="1" customHeight="1" x14ac:dyDescent="0.25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</row>
    <row r="1540" spans="2:28" s="4" customFormat="1" ht="15" hidden="1" customHeight="1" x14ac:dyDescent="0.25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</row>
    <row r="1541" spans="2:28" s="4" customFormat="1" ht="15" hidden="1" customHeight="1" x14ac:dyDescent="0.25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</row>
    <row r="1542" spans="2:28" s="4" customFormat="1" ht="15" hidden="1" customHeight="1" x14ac:dyDescent="0.25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</row>
    <row r="1543" spans="2:28" s="4" customFormat="1" ht="15" hidden="1" customHeight="1" x14ac:dyDescent="0.25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</row>
    <row r="1544" spans="2:28" s="4" customFormat="1" ht="15" hidden="1" customHeight="1" x14ac:dyDescent="0.25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</row>
    <row r="1545" spans="2:28" s="4" customFormat="1" ht="15" hidden="1" customHeight="1" x14ac:dyDescent="0.25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</row>
    <row r="1546" spans="2:28" s="4" customFormat="1" ht="15" hidden="1" customHeight="1" x14ac:dyDescent="0.25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</row>
    <row r="1547" spans="2:28" s="4" customFormat="1" ht="15" hidden="1" customHeight="1" x14ac:dyDescent="0.25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</row>
    <row r="1548" spans="2:28" s="4" customFormat="1" ht="15" hidden="1" customHeight="1" x14ac:dyDescent="0.25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</row>
    <row r="1549" spans="2:28" s="4" customFormat="1" ht="15" hidden="1" customHeight="1" x14ac:dyDescent="0.25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</row>
    <row r="1550" spans="2:28" s="4" customFormat="1" ht="15" hidden="1" customHeight="1" x14ac:dyDescent="0.25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</row>
    <row r="1551" spans="2:28" s="4" customFormat="1" ht="15" hidden="1" customHeight="1" x14ac:dyDescent="0.25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</row>
    <row r="1552" spans="2:28" ht="15" hidden="1" customHeight="1" x14ac:dyDescent="0.25"/>
    <row r="1553" ht="15" hidden="1" customHeight="1" x14ac:dyDescent="0.25"/>
    <row r="1554" ht="15" hidden="1" customHeight="1" x14ac:dyDescent="0.25"/>
    <row r="1555" ht="15" hidden="1" customHeight="1" x14ac:dyDescent="0.25"/>
    <row r="1556" ht="15" hidden="1" customHeight="1" x14ac:dyDescent="0.25"/>
    <row r="1557" ht="15" hidden="1" customHeight="1" x14ac:dyDescent="0.25"/>
    <row r="1558" ht="15" hidden="1" customHeight="1" x14ac:dyDescent="0.25"/>
    <row r="1559" ht="15" hidden="1" customHeight="1" x14ac:dyDescent="0.25"/>
    <row r="1560" ht="15" hidden="1" customHeight="1" x14ac:dyDescent="0.25"/>
    <row r="1561" ht="15" hidden="1" customHeight="1" x14ac:dyDescent="0.25"/>
    <row r="1562" ht="15" hidden="1" customHeight="1" x14ac:dyDescent="0.25"/>
    <row r="1563" ht="15" hidden="1" customHeight="1" x14ac:dyDescent="0.25"/>
    <row r="1564" ht="15" hidden="1" customHeight="1" x14ac:dyDescent="0.25"/>
    <row r="1565" ht="15" hidden="1" customHeight="1" x14ac:dyDescent="0.25"/>
    <row r="1566" ht="15" hidden="1" customHeight="1" x14ac:dyDescent="0.25"/>
    <row r="1567" ht="15" hidden="1" customHeight="1" x14ac:dyDescent="0.25"/>
    <row r="1568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  <row r="1617" ht="0" hidden="1" customHeight="1" x14ac:dyDescent="0.25"/>
    <row r="1626" ht="0" hidden="1" customHeight="1" x14ac:dyDescent="0.25"/>
    <row r="1627" ht="0" hidden="1" customHeight="1" x14ac:dyDescent="0.25"/>
    <row r="1628" ht="0" hidden="1" customHeight="1" x14ac:dyDescent="0.25"/>
    <row r="1629" ht="0" hidden="1" customHeight="1" x14ac:dyDescent="0.25"/>
    <row r="1630" ht="0" hidden="1" customHeight="1" x14ac:dyDescent="0.25"/>
    <row r="1631" ht="0" hidden="1" customHeight="1" x14ac:dyDescent="0.25"/>
    <row r="1632" ht="0" hidden="1" customHeight="1" x14ac:dyDescent="0.25"/>
    <row r="1633" ht="0" hidden="1" customHeight="1" x14ac:dyDescent="0.25"/>
    <row r="1634" ht="0" hidden="1" customHeight="1" x14ac:dyDescent="0.25"/>
    <row r="1635" ht="0" hidden="1" customHeight="1" x14ac:dyDescent="0.25"/>
    <row r="1636" ht="0" hidden="1" customHeight="1" x14ac:dyDescent="0.25"/>
    <row r="1637" ht="0" hidden="1" customHeight="1" x14ac:dyDescent="0.25"/>
    <row r="1638" ht="0" hidden="1" customHeight="1" x14ac:dyDescent="0.25"/>
    <row r="1639" ht="0" hidden="1" customHeight="1" x14ac:dyDescent="0.25"/>
    <row r="1640" ht="0" hidden="1" customHeight="1" x14ac:dyDescent="0.25"/>
    <row r="1641" ht="0" hidden="1" customHeight="1" x14ac:dyDescent="0.25"/>
    <row r="1642" ht="0" hidden="1" customHeight="1" x14ac:dyDescent="0.25"/>
    <row r="1643" ht="0" hidden="1" customHeight="1" x14ac:dyDescent="0.25"/>
    <row r="1644" ht="0" hidden="1" customHeight="1" x14ac:dyDescent="0.25"/>
    <row r="1645" ht="0" hidden="1" customHeight="1" x14ac:dyDescent="0.25"/>
    <row r="1646" ht="0" hidden="1" customHeight="1" x14ac:dyDescent="0.25"/>
    <row r="1647" ht="0" hidden="1" customHeight="1" x14ac:dyDescent="0.25"/>
    <row r="1648" ht="0" hidden="1" customHeight="1" x14ac:dyDescent="0.25"/>
    <row r="1649" ht="0" hidden="1" customHeight="1" x14ac:dyDescent="0.25"/>
    <row r="1650" ht="0" hidden="1" customHeight="1" x14ac:dyDescent="0.25"/>
    <row r="1651" ht="0" hidden="1" customHeight="1" x14ac:dyDescent="0.25"/>
    <row r="1652" ht="0" hidden="1" customHeight="1" x14ac:dyDescent="0.25"/>
    <row r="1653" ht="0" hidden="1" customHeight="1" x14ac:dyDescent="0.25"/>
    <row r="1654" ht="0" hidden="1" customHeight="1" x14ac:dyDescent="0.25"/>
    <row r="1655" ht="0" hidden="1" customHeight="1" x14ac:dyDescent="0.25"/>
  </sheetData>
  <mergeCells count="4">
    <mergeCell ref="B10:B11"/>
    <mergeCell ref="C10:C11"/>
    <mergeCell ref="B26:B27"/>
    <mergeCell ref="C26:C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D852-6A00-469F-8172-C618B7B24527}">
  <dimension ref="A1:G154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30.140625" bestFit="1" customWidth="1"/>
    <col min="3" max="3" width="13.42578125" bestFit="1" customWidth="1"/>
    <col min="4" max="4" width="5.42578125" bestFit="1" customWidth="1"/>
    <col min="5" max="5" width="13.5703125" bestFit="1" customWidth="1"/>
    <col min="6" max="6" width="10.42578125" bestFit="1" customWidth="1"/>
    <col min="7" max="7" width="15" bestFit="1" customWidth="1"/>
    <col min="8" max="8" width="3.7109375" customWidth="1"/>
    <col min="9" max="16384" width="11.42578125" hidden="1"/>
  </cols>
  <sheetData>
    <row r="1" spans="2:7" x14ac:dyDescent="0.25"/>
    <row r="2" spans="2:7" x14ac:dyDescent="0.25">
      <c r="B2" s="73" t="s">
        <v>74</v>
      </c>
      <c r="C2" s="73" t="s">
        <v>73</v>
      </c>
      <c r="D2" s="73" t="s">
        <v>0</v>
      </c>
      <c r="E2" s="73" t="s">
        <v>72</v>
      </c>
      <c r="F2" s="73" t="s">
        <v>35</v>
      </c>
      <c r="G2" s="73" t="s">
        <v>75</v>
      </c>
    </row>
    <row r="3" spans="2:7" x14ac:dyDescent="0.25">
      <c r="B3" t="s">
        <v>7</v>
      </c>
      <c r="C3" t="s">
        <v>8</v>
      </c>
      <c r="D3" t="s">
        <v>16</v>
      </c>
      <c r="E3" t="s">
        <v>4</v>
      </c>
      <c r="F3" s="1">
        <v>3323.1285413627602</v>
      </c>
      <c r="G3" s="1">
        <v>161656904.32202199</v>
      </c>
    </row>
    <row r="4" spans="2:7" x14ac:dyDescent="0.25">
      <c r="B4" t="s">
        <v>7</v>
      </c>
      <c r="C4" t="s">
        <v>8</v>
      </c>
      <c r="D4" t="s">
        <v>5</v>
      </c>
      <c r="E4" t="s">
        <v>21</v>
      </c>
      <c r="F4" s="1">
        <v>25364.959497341799</v>
      </c>
      <c r="G4" s="1">
        <v>136990887.73348999</v>
      </c>
    </row>
    <row r="5" spans="2:7" x14ac:dyDescent="0.25">
      <c r="B5" t="s">
        <v>18</v>
      </c>
      <c r="C5" t="s">
        <v>2</v>
      </c>
      <c r="D5" t="s">
        <v>14</v>
      </c>
      <c r="E5" t="s">
        <v>14</v>
      </c>
      <c r="F5" s="1" t="s">
        <v>14</v>
      </c>
      <c r="G5" s="1">
        <v>266010.32</v>
      </c>
    </row>
    <row r="6" spans="2:7" x14ac:dyDescent="0.25">
      <c r="B6" t="s">
        <v>7</v>
      </c>
      <c r="C6" t="s">
        <v>8</v>
      </c>
      <c r="D6" t="s">
        <v>9</v>
      </c>
      <c r="E6" t="s">
        <v>24</v>
      </c>
      <c r="F6" s="1">
        <v>12.8824317888</v>
      </c>
      <c r="G6" s="1">
        <v>692912.76</v>
      </c>
    </row>
    <row r="7" spans="2:7" x14ac:dyDescent="0.25">
      <c r="B7" t="s">
        <v>7</v>
      </c>
      <c r="C7" t="s">
        <v>8</v>
      </c>
      <c r="D7" t="s">
        <v>9</v>
      </c>
      <c r="F7" s="1">
        <v>40.123975860000002</v>
      </c>
      <c r="G7" s="1">
        <v>5358016.03</v>
      </c>
    </row>
    <row r="8" spans="2:7" x14ac:dyDescent="0.25">
      <c r="B8" t="s">
        <v>7</v>
      </c>
      <c r="C8" t="s">
        <v>8</v>
      </c>
      <c r="D8" t="s">
        <v>5</v>
      </c>
      <c r="F8" s="1">
        <v>86.209739940000006</v>
      </c>
      <c r="G8" s="1">
        <v>9085815.8000000007</v>
      </c>
    </row>
    <row r="9" spans="2:7" x14ac:dyDescent="0.25">
      <c r="B9" t="s">
        <v>18</v>
      </c>
      <c r="C9" t="s">
        <v>2</v>
      </c>
      <c r="D9" t="s">
        <v>16</v>
      </c>
      <c r="E9" t="s">
        <v>21</v>
      </c>
      <c r="F9" s="1">
        <v>741.04372333467904</v>
      </c>
      <c r="G9" s="1">
        <v>31928971.063100301</v>
      </c>
    </row>
    <row r="10" spans="2:7" x14ac:dyDescent="0.25">
      <c r="B10" t="s">
        <v>7</v>
      </c>
      <c r="C10" t="s">
        <v>8</v>
      </c>
      <c r="D10" t="s">
        <v>23</v>
      </c>
      <c r="E10" t="s">
        <v>4</v>
      </c>
      <c r="F10" s="1">
        <v>293.76973381442099</v>
      </c>
      <c r="G10" s="1">
        <v>16114302.9211294</v>
      </c>
    </row>
    <row r="11" spans="2:7" x14ac:dyDescent="0.25">
      <c r="B11" t="s">
        <v>18</v>
      </c>
      <c r="C11" t="s">
        <v>2</v>
      </c>
      <c r="D11" t="s">
        <v>16</v>
      </c>
      <c r="E11" t="s">
        <v>10</v>
      </c>
      <c r="F11" s="1">
        <v>37.435055611199999</v>
      </c>
      <c r="G11" s="1">
        <v>1259016.8700000001</v>
      </c>
    </row>
    <row r="12" spans="2:7" x14ac:dyDescent="0.25">
      <c r="B12" t="s">
        <v>1</v>
      </c>
      <c r="C12" t="s">
        <v>2</v>
      </c>
      <c r="D12" t="s">
        <v>17</v>
      </c>
      <c r="E12" t="s">
        <v>4</v>
      </c>
      <c r="F12" s="1">
        <v>136257.78494312501</v>
      </c>
      <c r="G12" s="1">
        <v>32530344.072253801</v>
      </c>
    </row>
    <row r="13" spans="2:7" x14ac:dyDescent="0.25">
      <c r="B13" t="s">
        <v>1</v>
      </c>
      <c r="C13" t="s">
        <v>2</v>
      </c>
      <c r="D13" t="s">
        <v>13</v>
      </c>
      <c r="E13" t="s">
        <v>10</v>
      </c>
      <c r="F13" s="1">
        <v>300.094579450043</v>
      </c>
      <c r="G13" s="1">
        <v>14645614.952472501</v>
      </c>
    </row>
    <row r="14" spans="2:7" x14ac:dyDescent="0.25">
      <c r="B14" t="s">
        <v>1</v>
      </c>
      <c r="C14" t="s">
        <v>2</v>
      </c>
      <c r="D14" t="s">
        <v>23</v>
      </c>
      <c r="E14" t="s">
        <v>11</v>
      </c>
      <c r="F14" s="1">
        <v>1.9982254181500001</v>
      </c>
      <c r="G14" s="1">
        <v>111413.23</v>
      </c>
    </row>
    <row r="15" spans="2:7" x14ac:dyDescent="0.25">
      <c r="B15" t="s">
        <v>7</v>
      </c>
      <c r="C15" t="s">
        <v>8</v>
      </c>
      <c r="D15" t="s">
        <v>13</v>
      </c>
      <c r="E15" t="s">
        <v>10</v>
      </c>
      <c r="F15" s="1">
        <v>4134.5440308358702</v>
      </c>
      <c r="G15" s="1">
        <v>239768751.59650099</v>
      </c>
    </row>
    <row r="16" spans="2:7" x14ac:dyDescent="0.25">
      <c r="B16" t="s">
        <v>1</v>
      </c>
      <c r="C16" t="s">
        <v>2</v>
      </c>
      <c r="D16" t="s">
        <v>13</v>
      </c>
      <c r="E16" t="s">
        <v>4</v>
      </c>
      <c r="F16" s="1">
        <v>6811.4676954403403</v>
      </c>
      <c r="G16" s="1">
        <v>70549589.519057602</v>
      </c>
    </row>
    <row r="17" spans="2:7" x14ac:dyDescent="0.25">
      <c r="B17" t="s">
        <v>1</v>
      </c>
      <c r="C17" t="s">
        <v>2</v>
      </c>
      <c r="D17" t="s">
        <v>19</v>
      </c>
      <c r="E17" t="s">
        <v>6</v>
      </c>
      <c r="F17" s="1">
        <v>2.7113839404000002</v>
      </c>
      <c r="G17" s="1">
        <v>350834.78</v>
      </c>
    </row>
    <row r="18" spans="2:7" x14ac:dyDescent="0.25">
      <c r="B18" t="s">
        <v>18</v>
      </c>
      <c r="C18" t="s">
        <v>2</v>
      </c>
      <c r="D18" t="s">
        <v>5</v>
      </c>
      <c r="E18" t="s">
        <v>4</v>
      </c>
      <c r="F18" s="1">
        <v>228.52775313104601</v>
      </c>
      <c r="G18" s="1">
        <v>17325732.91</v>
      </c>
    </row>
    <row r="19" spans="2:7" x14ac:dyDescent="0.25">
      <c r="B19" t="s">
        <v>20</v>
      </c>
      <c r="C19" t="s">
        <v>2</v>
      </c>
      <c r="D19" t="s">
        <v>23</v>
      </c>
      <c r="E19" t="s">
        <v>4</v>
      </c>
      <c r="F19" s="1">
        <v>9.8871278519000008</v>
      </c>
      <c r="G19" s="1">
        <v>17680.083084769201</v>
      </c>
    </row>
    <row r="20" spans="2:7" x14ac:dyDescent="0.25">
      <c r="B20" t="s">
        <v>1</v>
      </c>
      <c r="C20" t="s">
        <v>2</v>
      </c>
      <c r="D20" t="s">
        <v>5</v>
      </c>
      <c r="E20" t="s">
        <v>24</v>
      </c>
      <c r="F20" s="1">
        <v>0.1120487256</v>
      </c>
      <c r="G20" s="1">
        <v>12776.34</v>
      </c>
    </row>
    <row r="21" spans="2:7" x14ac:dyDescent="0.25">
      <c r="B21" t="s">
        <v>7</v>
      </c>
      <c r="C21" t="s">
        <v>8</v>
      </c>
      <c r="D21" t="s">
        <v>13</v>
      </c>
      <c r="E21" t="s">
        <v>6</v>
      </c>
      <c r="F21" s="1">
        <v>4008.0824750287502</v>
      </c>
      <c r="G21" s="1">
        <v>251708042.80941799</v>
      </c>
    </row>
    <row r="22" spans="2:7" x14ac:dyDescent="0.25">
      <c r="B22" t="s">
        <v>25</v>
      </c>
      <c r="C22" t="s">
        <v>2</v>
      </c>
      <c r="D22" t="s">
        <v>12</v>
      </c>
      <c r="E22" t="s">
        <v>21</v>
      </c>
      <c r="F22" s="1">
        <v>1.46652859712297</v>
      </c>
      <c r="G22" s="1">
        <v>132886.43999999901</v>
      </c>
    </row>
    <row r="23" spans="2:7" x14ac:dyDescent="0.25">
      <c r="B23" t="s">
        <v>1</v>
      </c>
      <c r="C23" t="s">
        <v>2</v>
      </c>
      <c r="D23" t="s">
        <v>5</v>
      </c>
      <c r="E23" t="s">
        <v>6</v>
      </c>
      <c r="F23" s="1">
        <v>142.13367746766701</v>
      </c>
      <c r="G23" s="1">
        <v>6712661.53234444</v>
      </c>
    </row>
    <row r="24" spans="2:7" x14ac:dyDescent="0.25">
      <c r="B24" t="s">
        <v>1</v>
      </c>
      <c r="C24" t="s">
        <v>2</v>
      </c>
      <c r="D24" t="s">
        <v>14</v>
      </c>
      <c r="F24" s="1">
        <v>167.82378057055001</v>
      </c>
      <c r="G24" s="1">
        <v>5053376.5137153901</v>
      </c>
    </row>
    <row r="25" spans="2:7" x14ac:dyDescent="0.25">
      <c r="B25" t="s">
        <v>20</v>
      </c>
      <c r="C25" t="s">
        <v>2</v>
      </c>
      <c r="D25" t="s">
        <v>12</v>
      </c>
      <c r="E25" t="s">
        <v>4</v>
      </c>
      <c r="F25" s="1">
        <v>1.7192261235499999</v>
      </c>
      <c r="G25" s="1">
        <v>16678.14</v>
      </c>
    </row>
    <row r="26" spans="2:7" x14ac:dyDescent="0.25">
      <c r="B26" t="s">
        <v>1</v>
      </c>
      <c r="C26" t="s">
        <v>2</v>
      </c>
      <c r="D26" t="s">
        <v>3</v>
      </c>
      <c r="E26" t="s">
        <v>11</v>
      </c>
      <c r="F26" s="1">
        <v>1736.9527554137401</v>
      </c>
      <c r="G26" s="1">
        <v>92609186.537421793</v>
      </c>
    </row>
    <row r="27" spans="2:7" x14ac:dyDescent="0.25">
      <c r="B27" t="s">
        <v>1</v>
      </c>
      <c r="C27" t="s">
        <v>2</v>
      </c>
      <c r="D27" t="s">
        <v>5</v>
      </c>
      <c r="E27" t="s">
        <v>11</v>
      </c>
      <c r="F27" s="1">
        <v>246.11021996989899</v>
      </c>
      <c r="G27" s="1">
        <v>36260729.958131999</v>
      </c>
    </row>
    <row r="28" spans="2:7" x14ac:dyDescent="0.25">
      <c r="B28" t="s">
        <v>7</v>
      </c>
      <c r="C28" t="s">
        <v>8</v>
      </c>
      <c r="D28" t="s">
        <v>3</v>
      </c>
      <c r="E28" t="s">
        <v>10</v>
      </c>
      <c r="F28" s="1">
        <v>12337.5527499947</v>
      </c>
      <c r="G28" s="1">
        <v>712907295.04939902</v>
      </c>
    </row>
    <row r="29" spans="2:7" x14ac:dyDescent="0.25">
      <c r="B29" t="s">
        <v>1</v>
      </c>
      <c r="C29" t="s">
        <v>2</v>
      </c>
      <c r="D29" t="s">
        <v>5</v>
      </c>
      <c r="E29" t="s">
        <v>4</v>
      </c>
      <c r="F29" s="1">
        <v>10893.669681388201</v>
      </c>
      <c r="G29" s="1">
        <v>36352617.3060854</v>
      </c>
    </row>
    <row r="30" spans="2:7" x14ac:dyDescent="0.25">
      <c r="B30" t="s">
        <v>7</v>
      </c>
      <c r="C30" t="s">
        <v>8</v>
      </c>
      <c r="D30" t="s">
        <v>5</v>
      </c>
      <c r="E30" t="s">
        <v>11</v>
      </c>
      <c r="F30" s="1">
        <v>2303.1185693851498</v>
      </c>
      <c r="G30" s="1">
        <v>785246958.01597798</v>
      </c>
    </row>
    <row r="31" spans="2:7" x14ac:dyDescent="0.25">
      <c r="B31" t="s">
        <v>18</v>
      </c>
      <c r="C31" t="s">
        <v>2</v>
      </c>
      <c r="D31" t="s">
        <v>3</v>
      </c>
      <c r="E31" t="s">
        <v>4</v>
      </c>
      <c r="F31" s="1">
        <v>1084.67441812791</v>
      </c>
      <c r="G31" s="1">
        <v>47546843.605787501</v>
      </c>
    </row>
    <row r="32" spans="2:7" x14ac:dyDescent="0.25">
      <c r="B32" t="s">
        <v>1</v>
      </c>
      <c r="C32" t="s">
        <v>2</v>
      </c>
      <c r="E32" t="s">
        <v>22</v>
      </c>
      <c r="F32" s="1">
        <v>967.07771872659998</v>
      </c>
      <c r="G32" s="1">
        <v>7405941.3126334501</v>
      </c>
    </row>
    <row r="33" spans="2:7" x14ac:dyDescent="0.25">
      <c r="B33" t="s">
        <v>1</v>
      </c>
      <c r="C33" t="s">
        <v>2</v>
      </c>
      <c r="D33" t="s">
        <v>9</v>
      </c>
      <c r="E33" t="s">
        <v>21</v>
      </c>
      <c r="F33" s="1">
        <v>198066.265742241</v>
      </c>
      <c r="G33" s="1">
        <v>13276330.3879476</v>
      </c>
    </row>
    <row r="34" spans="2:7" x14ac:dyDescent="0.25">
      <c r="B34" t="s">
        <v>7</v>
      </c>
      <c r="C34" t="s">
        <v>8</v>
      </c>
      <c r="D34" t="s">
        <v>3</v>
      </c>
      <c r="E34" t="s">
        <v>11</v>
      </c>
      <c r="F34" s="1">
        <v>17605.226406739399</v>
      </c>
      <c r="G34" s="1">
        <v>3210686507.2231398</v>
      </c>
    </row>
    <row r="35" spans="2:7" x14ac:dyDescent="0.25">
      <c r="B35" t="s">
        <v>7</v>
      </c>
      <c r="C35" t="s">
        <v>8</v>
      </c>
      <c r="D35" t="s">
        <v>17</v>
      </c>
      <c r="E35" t="s">
        <v>10</v>
      </c>
      <c r="F35" s="1">
        <v>2127.8462830139501</v>
      </c>
      <c r="G35" s="1">
        <v>119164103.745611</v>
      </c>
    </row>
    <row r="36" spans="2:7" x14ac:dyDescent="0.25">
      <c r="B36" t="s">
        <v>18</v>
      </c>
      <c r="C36" t="s">
        <v>2</v>
      </c>
      <c r="D36" t="s">
        <v>9</v>
      </c>
      <c r="E36" t="s">
        <v>4</v>
      </c>
      <c r="F36" s="1">
        <v>32.214234517180799</v>
      </c>
      <c r="G36" s="1">
        <v>1094700.51999999</v>
      </c>
    </row>
    <row r="37" spans="2:7" x14ac:dyDescent="0.25">
      <c r="B37" t="s">
        <v>7</v>
      </c>
      <c r="C37" t="s">
        <v>8</v>
      </c>
      <c r="D37" t="s">
        <v>13</v>
      </c>
      <c r="E37" t="s">
        <v>4</v>
      </c>
      <c r="F37" s="1">
        <v>16962.096279130899</v>
      </c>
      <c r="G37" s="1">
        <v>761889605.47492599</v>
      </c>
    </row>
    <row r="38" spans="2:7" x14ac:dyDescent="0.25">
      <c r="B38" t="s">
        <v>7</v>
      </c>
      <c r="C38" t="s">
        <v>8</v>
      </c>
      <c r="D38" t="s">
        <v>16</v>
      </c>
      <c r="E38" t="s">
        <v>6</v>
      </c>
      <c r="F38" s="1">
        <v>1666.2692601972601</v>
      </c>
      <c r="G38" s="1">
        <v>132034976.67392799</v>
      </c>
    </row>
    <row r="39" spans="2:7" x14ac:dyDescent="0.25">
      <c r="B39" t="s">
        <v>18</v>
      </c>
      <c r="C39" t="s">
        <v>2</v>
      </c>
      <c r="D39" t="s">
        <v>12</v>
      </c>
      <c r="E39" t="s">
        <v>21</v>
      </c>
      <c r="F39" s="1">
        <v>30.685446503400001</v>
      </c>
      <c r="G39" s="1">
        <v>1033467.76</v>
      </c>
    </row>
    <row r="40" spans="2:7" x14ac:dyDescent="0.25">
      <c r="B40" t="s">
        <v>18</v>
      </c>
      <c r="C40" t="s">
        <v>2</v>
      </c>
      <c r="D40" t="s">
        <v>5</v>
      </c>
      <c r="E40" t="s">
        <v>11</v>
      </c>
      <c r="F40" s="1">
        <v>23.909235420000002</v>
      </c>
      <c r="G40" s="1">
        <v>867617.47</v>
      </c>
    </row>
    <row r="41" spans="2:7" x14ac:dyDescent="0.25">
      <c r="B41" t="s">
        <v>1</v>
      </c>
      <c r="C41" t="s">
        <v>2</v>
      </c>
      <c r="D41" t="s">
        <v>16</v>
      </c>
      <c r="E41" t="s">
        <v>6</v>
      </c>
      <c r="F41" s="1">
        <v>693.36951226019198</v>
      </c>
      <c r="G41" s="1">
        <v>27211492.129567899</v>
      </c>
    </row>
    <row r="42" spans="2:7" x14ac:dyDescent="0.25">
      <c r="B42" t="s">
        <v>1</v>
      </c>
      <c r="C42" t="s">
        <v>2</v>
      </c>
      <c r="D42" t="s">
        <v>23</v>
      </c>
      <c r="E42" t="s">
        <v>10</v>
      </c>
      <c r="F42" s="1">
        <v>150.63009697881401</v>
      </c>
      <c r="G42" s="1">
        <v>1752792.55734648</v>
      </c>
    </row>
    <row r="43" spans="2:7" x14ac:dyDescent="0.25">
      <c r="B43" t="s">
        <v>1</v>
      </c>
      <c r="C43" t="s">
        <v>2</v>
      </c>
      <c r="D43" t="s">
        <v>12</v>
      </c>
      <c r="E43" t="s">
        <v>10</v>
      </c>
      <c r="F43" s="1">
        <v>1067.03743874726</v>
      </c>
      <c r="G43" s="1">
        <v>28135164.718737502</v>
      </c>
    </row>
    <row r="44" spans="2:7" x14ac:dyDescent="0.25">
      <c r="B44" t="s">
        <v>7</v>
      </c>
      <c r="C44" t="s">
        <v>8</v>
      </c>
      <c r="D44" t="s">
        <v>12</v>
      </c>
      <c r="E44" t="s">
        <v>6</v>
      </c>
      <c r="F44" s="1">
        <v>10143.7691381365</v>
      </c>
      <c r="G44" s="1">
        <v>643032576.25945997</v>
      </c>
    </row>
    <row r="45" spans="2:7" x14ac:dyDescent="0.25">
      <c r="B45" t="s">
        <v>1</v>
      </c>
      <c r="C45" t="s">
        <v>2</v>
      </c>
      <c r="D45" t="s">
        <v>17</v>
      </c>
      <c r="E45" t="s">
        <v>10</v>
      </c>
      <c r="F45" s="1">
        <v>267.09212046120302</v>
      </c>
      <c r="G45" s="1">
        <v>6782589.6727238297</v>
      </c>
    </row>
    <row r="46" spans="2:7" x14ac:dyDescent="0.25">
      <c r="B46" t="s">
        <v>7</v>
      </c>
      <c r="C46" t="s">
        <v>8</v>
      </c>
      <c r="D46" t="s">
        <v>3</v>
      </c>
      <c r="E46" t="s">
        <v>6</v>
      </c>
      <c r="F46" s="1">
        <v>13886.7353336133</v>
      </c>
      <c r="G46" s="1">
        <v>896709605.65587497</v>
      </c>
    </row>
    <row r="47" spans="2:7" x14ac:dyDescent="0.25">
      <c r="B47" t="s">
        <v>7</v>
      </c>
      <c r="C47" t="s">
        <v>8</v>
      </c>
      <c r="D47" t="s">
        <v>12</v>
      </c>
      <c r="E47" t="s">
        <v>4</v>
      </c>
      <c r="F47" s="1">
        <v>28859.701590809302</v>
      </c>
      <c r="G47" s="1">
        <v>1420920170.3468499</v>
      </c>
    </row>
    <row r="48" spans="2:7" x14ac:dyDescent="0.25">
      <c r="B48" t="s">
        <v>7</v>
      </c>
      <c r="C48" t="s">
        <v>8</v>
      </c>
      <c r="D48" t="s">
        <v>9</v>
      </c>
      <c r="E48" t="s">
        <v>4</v>
      </c>
      <c r="F48" s="1">
        <v>5896.2919833926298</v>
      </c>
      <c r="G48" s="1">
        <v>323163970.75567698</v>
      </c>
    </row>
    <row r="49" spans="2:7" x14ac:dyDescent="0.25">
      <c r="B49" t="s">
        <v>20</v>
      </c>
      <c r="C49" t="s">
        <v>2</v>
      </c>
      <c r="D49" t="s">
        <v>9</v>
      </c>
      <c r="E49" t="s">
        <v>21</v>
      </c>
      <c r="F49" s="1">
        <v>21.712072047900001</v>
      </c>
      <c r="G49" s="1">
        <v>425208.74</v>
      </c>
    </row>
    <row r="50" spans="2:7" x14ac:dyDescent="0.25">
      <c r="B50" t="s">
        <v>7</v>
      </c>
      <c r="C50" t="s">
        <v>8</v>
      </c>
      <c r="D50" t="s">
        <v>9</v>
      </c>
      <c r="E50" t="s">
        <v>10</v>
      </c>
      <c r="F50" s="1">
        <v>1112.7323925648</v>
      </c>
      <c r="G50" s="1">
        <v>78253992.502693802</v>
      </c>
    </row>
    <row r="51" spans="2:7" x14ac:dyDescent="0.25">
      <c r="B51" t="s">
        <v>1</v>
      </c>
      <c r="C51" t="s">
        <v>2</v>
      </c>
      <c r="D51" t="s">
        <v>3</v>
      </c>
      <c r="E51" t="s">
        <v>10</v>
      </c>
      <c r="F51" s="1">
        <v>3370.63169878791</v>
      </c>
      <c r="G51" s="1">
        <v>69091993.325984493</v>
      </c>
    </row>
    <row r="52" spans="2:7" x14ac:dyDescent="0.25">
      <c r="B52" t="s">
        <v>1</v>
      </c>
      <c r="C52" t="s">
        <v>2</v>
      </c>
      <c r="D52" t="s">
        <v>19</v>
      </c>
      <c r="E52" t="s">
        <v>4</v>
      </c>
      <c r="F52" s="1">
        <v>4721.6711650700199</v>
      </c>
      <c r="G52" s="1">
        <v>2598749.91247585</v>
      </c>
    </row>
    <row r="53" spans="2:7" x14ac:dyDescent="0.25">
      <c r="B53" t="s">
        <v>1</v>
      </c>
      <c r="C53" t="s">
        <v>2</v>
      </c>
      <c r="D53" t="s">
        <v>9</v>
      </c>
      <c r="E53" t="s">
        <v>10</v>
      </c>
      <c r="F53" s="1">
        <v>146.15535759723701</v>
      </c>
      <c r="G53" s="1">
        <v>5066031.0799999898</v>
      </c>
    </row>
    <row r="54" spans="2:7" x14ac:dyDescent="0.25">
      <c r="B54" t="s">
        <v>7</v>
      </c>
      <c r="C54" t="s">
        <v>8</v>
      </c>
      <c r="E54" t="s">
        <v>21</v>
      </c>
      <c r="F54" s="1">
        <v>3.3748800000000001</v>
      </c>
      <c r="G54" s="1">
        <v>182218.17</v>
      </c>
    </row>
    <row r="55" spans="2:7" x14ac:dyDescent="0.25">
      <c r="B55" t="s">
        <v>7</v>
      </c>
      <c r="C55" t="s">
        <v>8</v>
      </c>
      <c r="D55" t="s">
        <v>16</v>
      </c>
      <c r="E55" t="s">
        <v>10</v>
      </c>
      <c r="F55" s="1">
        <v>2559.8721627959599</v>
      </c>
      <c r="G55" s="1">
        <v>155101878.650013</v>
      </c>
    </row>
    <row r="56" spans="2:7" x14ac:dyDescent="0.25">
      <c r="B56" t="s">
        <v>1</v>
      </c>
      <c r="C56" t="s">
        <v>2</v>
      </c>
      <c r="D56" t="s">
        <v>17</v>
      </c>
      <c r="E56" t="s">
        <v>11</v>
      </c>
      <c r="F56" s="1">
        <v>4620.1745721899297</v>
      </c>
      <c r="G56" s="1">
        <v>13269354.8199999</v>
      </c>
    </row>
    <row r="57" spans="2:7" x14ac:dyDescent="0.25">
      <c r="B57" t="s">
        <v>18</v>
      </c>
      <c r="C57" t="s">
        <v>2</v>
      </c>
      <c r="D57" t="s">
        <v>9</v>
      </c>
      <c r="E57" t="s">
        <v>21</v>
      </c>
      <c r="F57" s="1">
        <v>1.8198000000000001</v>
      </c>
      <c r="G57" s="1">
        <v>730999.99999999895</v>
      </c>
    </row>
    <row r="58" spans="2:7" x14ac:dyDescent="0.25">
      <c r="B58" t="s">
        <v>18</v>
      </c>
      <c r="C58" t="s">
        <v>2</v>
      </c>
      <c r="D58" t="s">
        <v>3</v>
      </c>
      <c r="E58" t="s">
        <v>24</v>
      </c>
      <c r="F58" s="1">
        <v>157.79214262689101</v>
      </c>
      <c r="G58" s="1">
        <v>4210819.62</v>
      </c>
    </row>
    <row r="59" spans="2:7" x14ac:dyDescent="0.25">
      <c r="B59" t="s">
        <v>1</v>
      </c>
      <c r="C59" t="s">
        <v>2</v>
      </c>
      <c r="D59" t="s">
        <v>23</v>
      </c>
      <c r="E59" t="s">
        <v>6</v>
      </c>
      <c r="F59" s="1">
        <v>0.11859967004178699</v>
      </c>
      <c r="G59" s="1">
        <v>5778.6066381297296</v>
      </c>
    </row>
    <row r="60" spans="2:7" x14ac:dyDescent="0.25">
      <c r="B60" t="s">
        <v>18</v>
      </c>
      <c r="C60" t="s">
        <v>2</v>
      </c>
      <c r="D60" t="s">
        <v>3</v>
      </c>
      <c r="E60" t="s">
        <v>11</v>
      </c>
      <c r="F60" s="1">
        <v>39.736060391449897</v>
      </c>
      <c r="G60" s="1">
        <v>639670.17282732297</v>
      </c>
    </row>
    <row r="61" spans="2:7" x14ac:dyDescent="0.25">
      <c r="B61" t="s">
        <v>7</v>
      </c>
      <c r="C61" t="s">
        <v>8</v>
      </c>
      <c r="D61" t="s">
        <v>9</v>
      </c>
      <c r="E61" t="s">
        <v>21</v>
      </c>
      <c r="F61" s="1">
        <v>1367.0325401423299</v>
      </c>
      <c r="G61" s="1">
        <v>45403694.1436285</v>
      </c>
    </row>
    <row r="62" spans="2:7" x14ac:dyDescent="0.25">
      <c r="B62" t="s">
        <v>18</v>
      </c>
      <c r="C62" t="s">
        <v>2</v>
      </c>
      <c r="D62" t="s">
        <v>3</v>
      </c>
      <c r="E62" t="s">
        <v>6</v>
      </c>
      <c r="F62" s="1">
        <v>89.564958994166304</v>
      </c>
      <c r="G62" s="1">
        <v>3838347.26190928</v>
      </c>
    </row>
    <row r="63" spans="2:7" x14ac:dyDescent="0.25">
      <c r="B63" t="s">
        <v>7</v>
      </c>
      <c r="C63" t="s">
        <v>8</v>
      </c>
      <c r="D63" t="s">
        <v>3</v>
      </c>
      <c r="E63" t="s">
        <v>21</v>
      </c>
      <c r="F63" s="1">
        <v>20379.0735598227</v>
      </c>
      <c r="G63" s="1">
        <v>536315848.10577899</v>
      </c>
    </row>
    <row r="64" spans="2:7" x14ac:dyDescent="0.25">
      <c r="B64" t="s">
        <v>7</v>
      </c>
      <c r="C64" t="s">
        <v>8</v>
      </c>
      <c r="D64" t="s">
        <v>12</v>
      </c>
      <c r="E64" t="s">
        <v>11</v>
      </c>
      <c r="F64" s="1">
        <v>26845.312980732</v>
      </c>
      <c r="G64" s="1">
        <v>3216153935.4648299</v>
      </c>
    </row>
    <row r="65" spans="2:7" x14ac:dyDescent="0.25">
      <c r="B65" t="s">
        <v>18</v>
      </c>
      <c r="C65" t="s">
        <v>2</v>
      </c>
      <c r="D65" t="s">
        <v>16</v>
      </c>
      <c r="E65" t="s">
        <v>11</v>
      </c>
      <c r="F65" s="1">
        <v>94.039474751799801</v>
      </c>
      <c r="G65" s="1">
        <v>1852602.68</v>
      </c>
    </row>
    <row r="66" spans="2:7" x14ac:dyDescent="0.25">
      <c r="B66" t="s">
        <v>7</v>
      </c>
      <c r="C66" t="s">
        <v>8</v>
      </c>
      <c r="D66" t="s">
        <v>23</v>
      </c>
      <c r="E66" t="s">
        <v>21</v>
      </c>
      <c r="F66" s="1">
        <v>635.66068637983301</v>
      </c>
      <c r="G66" s="1">
        <v>25809086.1280751</v>
      </c>
    </row>
    <row r="67" spans="2:7" x14ac:dyDescent="0.25">
      <c r="B67" t="s">
        <v>7</v>
      </c>
      <c r="C67" t="s">
        <v>8</v>
      </c>
      <c r="D67" t="s">
        <v>23</v>
      </c>
      <c r="E67" t="s">
        <v>6</v>
      </c>
      <c r="F67" s="1">
        <v>4.0488104399999996</v>
      </c>
      <c r="G67" s="1">
        <v>370729.11</v>
      </c>
    </row>
    <row r="68" spans="2:7" x14ac:dyDescent="0.25">
      <c r="B68" t="s">
        <v>1</v>
      </c>
      <c r="C68" t="s">
        <v>2</v>
      </c>
      <c r="D68" t="s">
        <v>9</v>
      </c>
      <c r="E68" t="s">
        <v>24</v>
      </c>
      <c r="F68" s="1">
        <v>1.0095067529999999</v>
      </c>
      <c r="G68" s="1">
        <v>98093.421473780298</v>
      </c>
    </row>
    <row r="69" spans="2:7" x14ac:dyDescent="0.25">
      <c r="B69" t="s">
        <v>1</v>
      </c>
      <c r="C69" t="s">
        <v>2</v>
      </c>
      <c r="D69" t="s">
        <v>12</v>
      </c>
      <c r="E69" t="s">
        <v>11</v>
      </c>
      <c r="F69" s="1">
        <v>540.90802885419896</v>
      </c>
      <c r="G69" s="1">
        <v>65525977.1987966</v>
      </c>
    </row>
    <row r="70" spans="2:7" x14ac:dyDescent="0.25">
      <c r="B70" t="s">
        <v>1</v>
      </c>
      <c r="C70" t="s">
        <v>2</v>
      </c>
      <c r="D70" t="s">
        <v>3</v>
      </c>
      <c r="E70" t="s">
        <v>24</v>
      </c>
      <c r="F70" s="1">
        <v>1507.97109656674</v>
      </c>
      <c r="G70" s="1">
        <v>32612646.352936499</v>
      </c>
    </row>
    <row r="71" spans="2:7" x14ac:dyDescent="0.25">
      <c r="B71" t="s">
        <v>18</v>
      </c>
      <c r="C71" t="s">
        <v>2</v>
      </c>
      <c r="D71" t="s">
        <v>12</v>
      </c>
      <c r="E71" t="s">
        <v>4</v>
      </c>
      <c r="F71" s="1">
        <v>276.46109146384401</v>
      </c>
      <c r="G71" s="1">
        <v>16816080.243191801</v>
      </c>
    </row>
    <row r="72" spans="2:7" x14ac:dyDescent="0.25">
      <c r="B72" t="s">
        <v>1</v>
      </c>
      <c r="C72" t="s">
        <v>2</v>
      </c>
      <c r="D72" t="s">
        <v>5</v>
      </c>
      <c r="E72" t="s">
        <v>21</v>
      </c>
      <c r="F72" s="1">
        <v>3053.0395908720402</v>
      </c>
      <c r="G72" s="1">
        <v>19387972.333479099</v>
      </c>
    </row>
    <row r="73" spans="2:7" x14ac:dyDescent="0.25">
      <c r="B73" t="s">
        <v>7</v>
      </c>
      <c r="C73" t="s">
        <v>8</v>
      </c>
      <c r="D73" t="s">
        <v>17</v>
      </c>
      <c r="E73" t="s">
        <v>24</v>
      </c>
      <c r="F73" s="1">
        <v>2.6139580001999998</v>
      </c>
      <c r="G73" s="1">
        <v>107015.16</v>
      </c>
    </row>
    <row r="74" spans="2:7" x14ac:dyDescent="0.25">
      <c r="B74" t="s">
        <v>25</v>
      </c>
      <c r="C74" t="s">
        <v>2</v>
      </c>
      <c r="D74" t="s">
        <v>3</v>
      </c>
      <c r="E74" t="s">
        <v>21</v>
      </c>
      <c r="F74" s="1">
        <v>25.379590709875998</v>
      </c>
      <c r="G74" s="1">
        <v>142145.30999999901</v>
      </c>
    </row>
    <row r="75" spans="2:7" x14ac:dyDescent="0.25">
      <c r="B75" t="s">
        <v>7</v>
      </c>
      <c r="C75" t="s">
        <v>8</v>
      </c>
      <c r="D75" t="s">
        <v>23</v>
      </c>
      <c r="E75" t="s">
        <v>11</v>
      </c>
      <c r="F75" s="1">
        <v>36.781589250000003</v>
      </c>
      <c r="G75" s="1">
        <v>2310673.65</v>
      </c>
    </row>
    <row r="76" spans="2:7" x14ac:dyDescent="0.25">
      <c r="B76" t="s">
        <v>7</v>
      </c>
      <c r="C76" t="s">
        <v>8</v>
      </c>
      <c r="D76" t="s">
        <v>9</v>
      </c>
      <c r="E76" t="s">
        <v>11</v>
      </c>
      <c r="F76" s="1">
        <v>1843.0058951377</v>
      </c>
      <c r="G76" s="1">
        <v>1165128162.1945801</v>
      </c>
    </row>
    <row r="77" spans="2:7" x14ac:dyDescent="0.25">
      <c r="B77" t="s">
        <v>18</v>
      </c>
      <c r="C77" t="s">
        <v>2</v>
      </c>
      <c r="D77" t="s">
        <v>23</v>
      </c>
      <c r="E77" t="s">
        <v>10</v>
      </c>
      <c r="F77" s="1">
        <v>4.6996202422</v>
      </c>
      <c r="G77" s="1">
        <v>20286.29</v>
      </c>
    </row>
    <row r="78" spans="2:7" x14ac:dyDescent="0.25">
      <c r="B78" t="s">
        <v>1</v>
      </c>
      <c r="C78" t="s">
        <v>2</v>
      </c>
      <c r="D78" t="s">
        <v>16</v>
      </c>
      <c r="E78" t="s">
        <v>11</v>
      </c>
      <c r="F78" s="1">
        <v>655.17889269474995</v>
      </c>
      <c r="G78" s="1">
        <v>53291597.999906301</v>
      </c>
    </row>
    <row r="79" spans="2:7" x14ac:dyDescent="0.25">
      <c r="B79" t="s">
        <v>7</v>
      </c>
      <c r="C79" t="s">
        <v>8</v>
      </c>
      <c r="D79" t="s">
        <v>12</v>
      </c>
      <c r="E79" t="s">
        <v>24</v>
      </c>
      <c r="F79" s="1">
        <v>179.72152336920001</v>
      </c>
      <c r="G79" s="1">
        <v>9081866.4999999907</v>
      </c>
    </row>
    <row r="80" spans="2:7" x14ac:dyDescent="0.25">
      <c r="B80" t="s">
        <v>1</v>
      </c>
      <c r="C80" t="s">
        <v>2</v>
      </c>
      <c r="D80" t="s">
        <v>16</v>
      </c>
      <c r="E80" t="s">
        <v>10</v>
      </c>
      <c r="F80" s="1">
        <v>1518.82799514765</v>
      </c>
      <c r="G80" s="1">
        <v>38456925.350674398</v>
      </c>
    </row>
    <row r="81" spans="2:7" x14ac:dyDescent="0.25">
      <c r="B81" t="s">
        <v>20</v>
      </c>
      <c r="C81" t="s">
        <v>2</v>
      </c>
      <c r="D81" t="s">
        <v>3</v>
      </c>
      <c r="E81" t="s">
        <v>21</v>
      </c>
      <c r="F81" s="1">
        <v>10.60083340095</v>
      </c>
      <c r="G81" s="1">
        <v>171885.19</v>
      </c>
    </row>
    <row r="82" spans="2:7" x14ac:dyDescent="0.25">
      <c r="B82" t="s">
        <v>18</v>
      </c>
      <c r="C82" t="s">
        <v>2</v>
      </c>
      <c r="D82" t="s">
        <v>17</v>
      </c>
      <c r="E82" t="s">
        <v>10</v>
      </c>
      <c r="F82" s="1">
        <v>20.241265383950001</v>
      </c>
      <c r="G82" s="1">
        <v>145621.49</v>
      </c>
    </row>
    <row r="83" spans="2:7" x14ac:dyDescent="0.25">
      <c r="B83" t="s">
        <v>1</v>
      </c>
      <c r="C83" t="s">
        <v>2</v>
      </c>
      <c r="D83" t="s">
        <v>19</v>
      </c>
      <c r="E83" t="s">
        <v>10</v>
      </c>
      <c r="F83" s="1">
        <v>4.6303960048499997</v>
      </c>
      <c r="G83" s="1">
        <v>593948.65010669595</v>
      </c>
    </row>
    <row r="84" spans="2:7" x14ac:dyDescent="0.25">
      <c r="B84" t="s">
        <v>7</v>
      </c>
      <c r="C84" t="s">
        <v>8</v>
      </c>
      <c r="D84" t="s">
        <v>9</v>
      </c>
      <c r="E84" t="s">
        <v>6</v>
      </c>
      <c r="F84" s="1">
        <v>602.99894171400001</v>
      </c>
      <c r="G84" s="1">
        <v>55146630.076770499</v>
      </c>
    </row>
    <row r="85" spans="2:7" x14ac:dyDescent="0.25">
      <c r="B85" t="s">
        <v>20</v>
      </c>
      <c r="C85" t="s">
        <v>2</v>
      </c>
      <c r="E85" t="s">
        <v>22</v>
      </c>
      <c r="F85" s="1" t="s">
        <v>14</v>
      </c>
      <c r="G85" s="1">
        <v>0</v>
      </c>
    </row>
    <row r="86" spans="2:7" x14ac:dyDescent="0.25">
      <c r="B86" t="s">
        <v>7</v>
      </c>
      <c r="C86" t="s">
        <v>8</v>
      </c>
      <c r="D86" t="s">
        <v>5</v>
      </c>
      <c r="E86" t="s">
        <v>15</v>
      </c>
      <c r="F86" s="1">
        <v>10.232439288</v>
      </c>
      <c r="G86" s="1">
        <v>4832832.37</v>
      </c>
    </row>
    <row r="87" spans="2:7" x14ac:dyDescent="0.25">
      <c r="B87" t="s">
        <v>7</v>
      </c>
      <c r="C87" t="s">
        <v>8</v>
      </c>
      <c r="D87" t="s">
        <v>12</v>
      </c>
      <c r="E87" t="s">
        <v>10</v>
      </c>
      <c r="F87" s="1">
        <v>7991.3460124469802</v>
      </c>
      <c r="G87" s="1">
        <v>465613501.98062003</v>
      </c>
    </row>
    <row r="88" spans="2:7" x14ac:dyDescent="0.25">
      <c r="B88" t="s">
        <v>1</v>
      </c>
      <c r="C88" t="s">
        <v>2</v>
      </c>
      <c r="D88" t="s">
        <v>13</v>
      </c>
      <c r="E88" t="s">
        <v>11</v>
      </c>
      <c r="F88" s="1">
        <v>224.43223953825</v>
      </c>
      <c r="G88" s="1">
        <v>18208719.8855564</v>
      </c>
    </row>
    <row r="89" spans="2:7" x14ac:dyDescent="0.25">
      <c r="B89" t="s">
        <v>7</v>
      </c>
      <c r="C89" t="s">
        <v>8</v>
      </c>
      <c r="D89" t="s">
        <v>5</v>
      </c>
      <c r="E89" t="s">
        <v>24</v>
      </c>
      <c r="F89" s="1">
        <v>4.956242832</v>
      </c>
      <c r="G89" s="1">
        <v>75098.14</v>
      </c>
    </row>
    <row r="90" spans="2:7" x14ac:dyDescent="0.25">
      <c r="B90" t="s">
        <v>18</v>
      </c>
      <c r="C90" t="s">
        <v>2</v>
      </c>
      <c r="D90" t="s">
        <v>12</v>
      </c>
      <c r="E90" t="s">
        <v>24</v>
      </c>
      <c r="F90" s="1">
        <v>12089.11498</v>
      </c>
      <c r="G90" s="1">
        <v>771999.99999999895</v>
      </c>
    </row>
    <row r="91" spans="2:7" x14ac:dyDescent="0.25">
      <c r="B91" t="s">
        <v>7</v>
      </c>
      <c r="C91" t="s">
        <v>8</v>
      </c>
      <c r="D91" t="s">
        <v>17</v>
      </c>
      <c r="E91" t="s">
        <v>11</v>
      </c>
      <c r="F91" s="1">
        <v>13809.533351230901</v>
      </c>
      <c r="G91" s="1">
        <v>789103563.65533495</v>
      </c>
    </row>
    <row r="92" spans="2:7" x14ac:dyDescent="0.25">
      <c r="B92" t="s">
        <v>1</v>
      </c>
      <c r="C92" t="s">
        <v>2</v>
      </c>
      <c r="D92" t="s">
        <v>12</v>
      </c>
      <c r="E92" t="s">
        <v>21</v>
      </c>
      <c r="F92" s="1">
        <v>83771.775704080006</v>
      </c>
      <c r="G92" s="1">
        <v>100743025.734216</v>
      </c>
    </row>
    <row r="93" spans="2:7" x14ac:dyDescent="0.25">
      <c r="B93" t="s">
        <v>7</v>
      </c>
      <c r="C93" t="s">
        <v>8</v>
      </c>
      <c r="D93" t="s">
        <v>3</v>
      </c>
      <c r="E93" t="s">
        <v>24</v>
      </c>
      <c r="F93" s="1">
        <v>7.2478311450000001</v>
      </c>
      <c r="G93" s="1">
        <v>496305.83</v>
      </c>
    </row>
    <row r="94" spans="2:7" x14ac:dyDescent="0.25">
      <c r="B94" t="s">
        <v>1</v>
      </c>
      <c r="C94" t="s">
        <v>2</v>
      </c>
      <c r="D94" t="s">
        <v>3</v>
      </c>
      <c r="E94" t="s">
        <v>6</v>
      </c>
      <c r="F94" s="1">
        <v>3163.61066014377</v>
      </c>
      <c r="G94" s="1">
        <v>120802155.783427</v>
      </c>
    </row>
    <row r="95" spans="2:7" x14ac:dyDescent="0.25">
      <c r="B95" t="s">
        <v>1</v>
      </c>
      <c r="C95" t="s">
        <v>2</v>
      </c>
      <c r="D95" t="s">
        <v>17</v>
      </c>
      <c r="E95" t="s">
        <v>6</v>
      </c>
      <c r="F95" s="1">
        <v>17.83343501485</v>
      </c>
      <c r="G95" s="1">
        <v>1682356.4299999899</v>
      </c>
    </row>
    <row r="96" spans="2:7" x14ac:dyDescent="0.25">
      <c r="B96" t="s">
        <v>7</v>
      </c>
      <c r="C96" t="s">
        <v>8</v>
      </c>
      <c r="D96" t="s">
        <v>5</v>
      </c>
      <c r="E96" t="s">
        <v>4</v>
      </c>
      <c r="F96" s="1">
        <v>4679.6591747530802</v>
      </c>
      <c r="G96" s="1">
        <v>237192046.68129501</v>
      </c>
    </row>
    <row r="97" spans="2:7" x14ac:dyDescent="0.25">
      <c r="B97" t="s">
        <v>7</v>
      </c>
      <c r="C97" t="s">
        <v>8</v>
      </c>
      <c r="D97" t="s">
        <v>23</v>
      </c>
      <c r="E97" t="s">
        <v>10</v>
      </c>
      <c r="F97" s="1">
        <v>95.762320009800007</v>
      </c>
      <c r="G97" s="1">
        <v>5281691.8596065696</v>
      </c>
    </row>
    <row r="98" spans="2:7" x14ac:dyDescent="0.25">
      <c r="B98" t="s">
        <v>1</v>
      </c>
      <c r="C98" t="s">
        <v>2</v>
      </c>
      <c r="D98" t="s">
        <v>3</v>
      </c>
      <c r="E98" t="s">
        <v>4</v>
      </c>
      <c r="F98" s="1">
        <v>39994.776884263803</v>
      </c>
      <c r="G98" s="1">
        <v>524105661.42858899</v>
      </c>
    </row>
    <row r="99" spans="2:7" x14ac:dyDescent="0.25">
      <c r="B99" t="s">
        <v>7</v>
      </c>
      <c r="C99" t="s">
        <v>8</v>
      </c>
      <c r="D99" t="s">
        <v>3</v>
      </c>
      <c r="E99" t="s">
        <v>4</v>
      </c>
      <c r="F99" s="1">
        <v>24735.157798055901</v>
      </c>
      <c r="G99" s="1">
        <v>1287256948.5585899</v>
      </c>
    </row>
    <row r="100" spans="2:7" x14ac:dyDescent="0.25">
      <c r="B100" t="s">
        <v>1</v>
      </c>
      <c r="C100" t="s">
        <v>2</v>
      </c>
      <c r="D100" t="s">
        <v>12</v>
      </c>
      <c r="E100" t="s">
        <v>24</v>
      </c>
      <c r="F100" s="1">
        <v>14423.676775702699</v>
      </c>
      <c r="G100" s="1">
        <v>3886272.6819653199</v>
      </c>
    </row>
    <row r="101" spans="2:7" x14ac:dyDescent="0.25">
      <c r="B101" t="s">
        <v>20</v>
      </c>
      <c r="C101" t="s">
        <v>2</v>
      </c>
      <c r="D101" t="s">
        <v>14</v>
      </c>
      <c r="E101" t="s">
        <v>14</v>
      </c>
      <c r="F101" s="1" t="s">
        <v>14</v>
      </c>
      <c r="G101" s="1">
        <v>9</v>
      </c>
    </row>
    <row r="102" spans="2:7" x14ac:dyDescent="0.25">
      <c r="B102" t="s">
        <v>7</v>
      </c>
      <c r="C102" t="s">
        <v>8</v>
      </c>
      <c r="D102" t="s">
        <v>9</v>
      </c>
      <c r="E102" t="s">
        <v>15</v>
      </c>
      <c r="F102" s="1">
        <v>2.9601177191999999</v>
      </c>
      <c r="G102" s="1">
        <v>2309239.31</v>
      </c>
    </row>
    <row r="103" spans="2:7" x14ac:dyDescent="0.25">
      <c r="B103" t="s">
        <v>1</v>
      </c>
      <c r="C103" t="s">
        <v>2</v>
      </c>
      <c r="D103" t="s">
        <v>12</v>
      </c>
      <c r="E103" t="s">
        <v>6</v>
      </c>
      <c r="F103" s="1">
        <v>670.20333597783804</v>
      </c>
      <c r="G103" s="1">
        <v>22051571.877376299</v>
      </c>
    </row>
    <row r="104" spans="2:7" x14ac:dyDescent="0.25">
      <c r="B104" t="s">
        <v>20</v>
      </c>
      <c r="C104" t="s">
        <v>2</v>
      </c>
      <c r="D104" t="s">
        <v>3</v>
      </c>
      <c r="E104" t="s">
        <v>4</v>
      </c>
      <c r="F104" s="1">
        <v>40.195052519050002</v>
      </c>
      <c r="G104" s="1">
        <v>183051.26691522999</v>
      </c>
    </row>
    <row r="105" spans="2:7" x14ac:dyDescent="0.25">
      <c r="B105" t="s">
        <v>1</v>
      </c>
      <c r="C105" t="s">
        <v>2</v>
      </c>
      <c r="D105" t="s">
        <v>16</v>
      </c>
      <c r="E105" t="s">
        <v>4</v>
      </c>
      <c r="F105" s="1">
        <v>2677.57327633874</v>
      </c>
      <c r="G105" s="1">
        <v>59290461.179588698</v>
      </c>
    </row>
    <row r="106" spans="2:7" x14ac:dyDescent="0.25">
      <c r="B106" t="s">
        <v>18</v>
      </c>
      <c r="C106" t="s">
        <v>2</v>
      </c>
      <c r="D106" t="s">
        <v>5</v>
      </c>
      <c r="E106" t="s">
        <v>21</v>
      </c>
      <c r="F106" s="1">
        <v>2.4575067400000001E-2</v>
      </c>
      <c r="G106" s="1">
        <v>41.93</v>
      </c>
    </row>
    <row r="107" spans="2:7" x14ac:dyDescent="0.25">
      <c r="B107" t="s">
        <v>7</v>
      </c>
      <c r="C107" t="s">
        <v>8</v>
      </c>
      <c r="D107" t="s">
        <v>19</v>
      </c>
      <c r="E107" t="s">
        <v>11</v>
      </c>
      <c r="F107" s="1">
        <v>302.36619585239998</v>
      </c>
      <c r="G107" s="1">
        <v>499051848.29720801</v>
      </c>
    </row>
    <row r="108" spans="2:7" x14ac:dyDescent="0.25">
      <c r="B108" t="s">
        <v>7</v>
      </c>
      <c r="C108" t="s">
        <v>8</v>
      </c>
      <c r="D108" t="s">
        <v>14</v>
      </c>
      <c r="F108" s="1">
        <v>1.0950651923000001</v>
      </c>
      <c r="G108" s="1">
        <v>90461.437174139704</v>
      </c>
    </row>
    <row r="109" spans="2:7" x14ac:dyDescent="0.25">
      <c r="B109" t="s">
        <v>18</v>
      </c>
      <c r="C109" t="s">
        <v>2</v>
      </c>
      <c r="D109" t="s">
        <v>16</v>
      </c>
      <c r="E109" t="s">
        <v>4</v>
      </c>
      <c r="F109" s="1">
        <v>10.75184218615</v>
      </c>
      <c r="G109" s="1">
        <v>110230.87</v>
      </c>
    </row>
    <row r="110" spans="2:7" x14ac:dyDescent="0.25">
      <c r="B110" t="s">
        <v>18</v>
      </c>
      <c r="C110" t="s">
        <v>2</v>
      </c>
      <c r="D110" t="s">
        <v>12</v>
      </c>
      <c r="E110" t="s">
        <v>10</v>
      </c>
      <c r="F110" s="1">
        <v>15.18691905575</v>
      </c>
      <c r="G110" s="1">
        <v>45069.39</v>
      </c>
    </row>
    <row r="111" spans="2:7" x14ac:dyDescent="0.25">
      <c r="B111" t="s">
        <v>7</v>
      </c>
      <c r="C111" t="s">
        <v>8</v>
      </c>
      <c r="D111" t="s">
        <v>16</v>
      </c>
      <c r="E111" t="s">
        <v>11</v>
      </c>
      <c r="F111" s="1">
        <v>3515.5613449252401</v>
      </c>
      <c r="G111" s="1">
        <v>862850302.60198498</v>
      </c>
    </row>
    <row r="112" spans="2:7" x14ac:dyDescent="0.25">
      <c r="B112" t="s">
        <v>7</v>
      </c>
      <c r="C112" t="s">
        <v>8</v>
      </c>
      <c r="D112" t="s">
        <v>19</v>
      </c>
      <c r="E112" t="s">
        <v>21</v>
      </c>
      <c r="F112" s="1">
        <v>1082.0973389926</v>
      </c>
      <c r="G112" s="1">
        <v>27101982.586634301</v>
      </c>
    </row>
    <row r="113" spans="2:7" x14ac:dyDescent="0.25">
      <c r="B113" t="s">
        <v>18</v>
      </c>
      <c r="C113" t="s">
        <v>2</v>
      </c>
      <c r="D113" t="s">
        <v>23</v>
      </c>
      <c r="E113" t="s">
        <v>11</v>
      </c>
      <c r="F113" s="1" t="s">
        <v>14</v>
      </c>
      <c r="G113" s="1">
        <v>557086.54</v>
      </c>
    </row>
    <row r="114" spans="2:7" x14ac:dyDescent="0.25">
      <c r="B114" t="s">
        <v>7</v>
      </c>
      <c r="C114" t="s">
        <v>8</v>
      </c>
      <c r="D114" t="s">
        <v>14</v>
      </c>
      <c r="E114" t="s">
        <v>14</v>
      </c>
      <c r="F114" s="1" t="s">
        <v>14</v>
      </c>
      <c r="G114" s="1">
        <v>36675990.390000001</v>
      </c>
    </row>
    <row r="115" spans="2:7" x14ac:dyDescent="0.25">
      <c r="B115" t="s">
        <v>18</v>
      </c>
      <c r="C115" t="s">
        <v>2</v>
      </c>
      <c r="D115" t="s">
        <v>14</v>
      </c>
      <c r="F115" s="1">
        <v>1.478414619</v>
      </c>
      <c r="G115" s="1">
        <v>552435.71</v>
      </c>
    </row>
    <row r="116" spans="2:7" x14ac:dyDescent="0.25">
      <c r="B116" t="s">
        <v>18</v>
      </c>
      <c r="C116" t="s">
        <v>2</v>
      </c>
      <c r="D116" t="s">
        <v>3</v>
      </c>
      <c r="E116" t="s">
        <v>10</v>
      </c>
      <c r="F116" s="1">
        <v>302.73223743109202</v>
      </c>
      <c r="G116" s="1">
        <v>5549875.1328467103</v>
      </c>
    </row>
    <row r="117" spans="2:7" x14ac:dyDescent="0.25">
      <c r="B117" t="s">
        <v>7</v>
      </c>
      <c r="C117" t="s">
        <v>8</v>
      </c>
      <c r="D117" t="s">
        <v>17</v>
      </c>
      <c r="E117" t="s">
        <v>4</v>
      </c>
      <c r="F117" s="1">
        <v>15685.1618772364</v>
      </c>
      <c r="G117" s="1">
        <v>629348846.31445396</v>
      </c>
    </row>
    <row r="118" spans="2:7" x14ac:dyDescent="0.25">
      <c r="B118" t="s">
        <v>7</v>
      </c>
      <c r="C118" t="s">
        <v>8</v>
      </c>
      <c r="D118" t="s">
        <v>17</v>
      </c>
      <c r="E118" t="s">
        <v>21</v>
      </c>
      <c r="F118" s="1">
        <v>25384.1681078812</v>
      </c>
      <c r="G118" s="1">
        <v>118682938.38487101</v>
      </c>
    </row>
    <row r="119" spans="2:7" x14ac:dyDescent="0.25">
      <c r="B119" t="s">
        <v>1</v>
      </c>
      <c r="C119" t="s">
        <v>2</v>
      </c>
      <c r="D119" t="s">
        <v>9</v>
      </c>
      <c r="E119" t="s">
        <v>11</v>
      </c>
      <c r="F119" s="1">
        <v>97.995141500550005</v>
      </c>
      <c r="G119" s="1">
        <v>9926752.5553468205</v>
      </c>
    </row>
    <row r="120" spans="2:7" x14ac:dyDescent="0.25">
      <c r="B120" t="s">
        <v>1</v>
      </c>
      <c r="C120" t="s">
        <v>2</v>
      </c>
      <c r="D120" t="s">
        <v>13</v>
      </c>
      <c r="E120" t="s">
        <v>6</v>
      </c>
      <c r="F120" s="1">
        <v>176.00954639634699</v>
      </c>
      <c r="G120" s="1">
        <v>8349776.8644152395</v>
      </c>
    </row>
    <row r="121" spans="2:7" x14ac:dyDescent="0.25">
      <c r="B121" t="s">
        <v>18</v>
      </c>
      <c r="C121" t="s">
        <v>2</v>
      </c>
      <c r="D121" t="s">
        <v>13</v>
      </c>
      <c r="E121" t="s">
        <v>21</v>
      </c>
      <c r="F121" s="1">
        <v>16.414838430250001</v>
      </c>
      <c r="G121" s="1">
        <v>27161.41</v>
      </c>
    </row>
    <row r="122" spans="2:7" x14ac:dyDescent="0.25">
      <c r="B122" t="s">
        <v>1</v>
      </c>
      <c r="C122" t="s">
        <v>2</v>
      </c>
      <c r="D122" t="s">
        <v>19</v>
      </c>
      <c r="E122" t="s">
        <v>21</v>
      </c>
      <c r="F122" s="1">
        <v>4298.0608159351696</v>
      </c>
      <c r="G122" s="1">
        <v>4256472.5606387798</v>
      </c>
    </row>
    <row r="123" spans="2:7" x14ac:dyDescent="0.25">
      <c r="B123" t="s">
        <v>1</v>
      </c>
      <c r="C123" t="s">
        <v>2</v>
      </c>
      <c r="D123" t="s">
        <v>19</v>
      </c>
      <c r="E123" t="s">
        <v>11</v>
      </c>
      <c r="F123" s="1">
        <v>6.9953706710999999</v>
      </c>
      <c r="G123" s="1">
        <v>1786795.07</v>
      </c>
    </row>
    <row r="124" spans="2:7" x14ac:dyDescent="0.25">
      <c r="B124" t="s">
        <v>7</v>
      </c>
      <c r="C124" t="s">
        <v>8</v>
      </c>
      <c r="D124" t="s">
        <v>17</v>
      </c>
      <c r="E124" t="s">
        <v>6</v>
      </c>
      <c r="F124" s="1">
        <v>670.62177585336497</v>
      </c>
      <c r="G124" s="1">
        <v>39314883.166693002</v>
      </c>
    </row>
    <row r="125" spans="2:7" x14ac:dyDescent="0.25">
      <c r="B125" t="s">
        <v>1</v>
      </c>
      <c r="C125" t="s">
        <v>2</v>
      </c>
      <c r="D125" t="s">
        <v>3</v>
      </c>
      <c r="E125" t="s">
        <v>21</v>
      </c>
      <c r="F125" s="1">
        <v>49380.352758697598</v>
      </c>
      <c r="G125" s="1">
        <v>182405250.01674101</v>
      </c>
    </row>
    <row r="126" spans="2:7" x14ac:dyDescent="0.25">
      <c r="B126" t="s">
        <v>7</v>
      </c>
      <c r="C126" t="s">
        <v>8</v>
      </c>
      <c r="D126" t="s">
        <v>13</v>
      </c>
      <c r="E126" t="s">
        <v>24</v>
      </c>
      <c r="F126" s="1">
        <v>12.7494347418</v>
      </c>
      <c r="G126" s="1">
        <v>654456.18999999994</v>
      </c>
    </row>
    <row r="127" spans="2:7" x14ac:dyDescent="0.25">
      <c r="B127" t="s">
        <v>7</v>
      </c>
      <c r="C127" t="s">
        <v>8</v>
      </c>
      <c r="D127" t="s">
        <v>16</v>
      </c>
      <c r="E127" t="s">
        <v>21</v>
      </c>
      <c r="F127" s="1">
        <v>4069.1355476587801</v>
      </c>
      <c r="G127" s="1">
        <v>152130636.28356701</v>
      </c>
    </row>
    <row r="128" spans="2:7" x14ac:dyDescent="0.25">
      <c r="B128" t="s">
        <v>1</v>
      </c>
      <c r="C128" t="s">
        <v>2</v>
      </c>
      <c r="D128" t="s">
        <v>23</v>
      </c>
      <c r="E128" t="s">
        <v>21</v>
      </c>
      <c r="F128" s="1">
        <v>396.96929342618199</v>
      </c>
      <c r="G128" s="1">
        <v>7171540.9799999902</v>
      </c>
    </row>
    <row r="129" spans="2:7" x14ac:dyDescent="0.25">
      <c r="B129" t="s">
        <v>18</v>
      </c>
      <c r="C129" t="s">
        <v>2</v>
      </c>
      <c r="D129" t="s">
        <v>17</v>
      </c>
      <c r="E129" t="s">
        <v>21</v>
      </c>
      <c r="F129" s="1">
        <v>0.65964743222759603</v>
      </c>
      <c r="G129" s="1">
        <v>30059.67</v>
      </c>
    </row>
    <row r="130" spans="2:7" x14ac:dyDescent="0.25">
      <c r="B130" t="s">
        <v>1</v>
      </c>
      <c r="C130" t="s">
        <v>2</v>
      </c>
      <c r="D130" t="s">
        <v>12</v>
      </c>
      <c r="E130" t="s">
        <v>4</v>
      </c>
      <c r="F130" s="1">
        <v>14776.224140863</v>
      </c>
      <c r="G130" s="1">
        <v>195749959.74366301</v>
      </c>
    </row>
    <row r="131" spans="2:7" x14ac:dyDescent="0.25">
      <c r="B131" t="s">
        <v>7</v>
      </c>
      <c r="C131" t="s">
        <v>8</v>
      </c>
      <c r="D131" t="s">
        <v>5</v>
      </c>
      <c r="E131" t="s">
        <v>10</v>
      </c>
      <c r="F131" s="1">
        <v>1906.4797984526799</v>
      </c>
      <c r="G131" s="1">
        <v>115676418.777255</v>
      </c>
    </row>
    <row r="132" spans="2:7" x14ac:dyDescent="0.25">
      <c r="B132" t="s">
        <v>7</v>
      </c>
      <c r="C132" t="s">
        <v>8</v>
      </c>
      <c r="D132" t="s">
        <v>5</v>
      </c>
      <c r="E132" t="s">
        <v>6</v>
      </c>
      <c r="F132" s="1">
        <v>932.20590785456102</v>
      </c>
      <c r="G132" s="1">
        <v>75806028.090421095</v>
      </c>
    </row>
    <row r="133" spans="2:7" x14ac:dyDescent="0.25">
      <c r="B133" t="s">
        <v>1</v>
      </c>
      <c r="C133" t="s">
        <v>2</v>
      </c>
      <c r="D133" t="s">
        <v>23</v>
      </c>
      <c r="E133" t="s">
        <v>4</v>
      </c>
      <c r="F133" s="1">
        <v>137.68801714697199</v>
      </c>
      <c r="G133" s="1">
        <v>2353438.2973906598</v>
      </c>
    </row>
    <row r="134" spans="2:7" x14ac:dyDescent="0.25">
      <c r="B134" t="s">
        <v>7</v>
      </c>
      <c r="C134" t="s">
        <v>8</v>
      </c>
      <c r="E134" t="s">
        <v>22</v>
      </c>
      <c r="F134" s="1">
        <v>235.06176045199999</v>
      </c>
      <c r="G134" s="1">
        <v>547103.71758620604</v>
      </c>
    </row>
    <row r="135" spans="2:7" x14ac:dyDescent="0.25">
      <c r="B135" t="s">
        <v>18</v>
      </c>
      <c r="C135" t="s">
        <v>2</v>
      </c>
      <c r="D135" t="s">
        <v>13</v>
      </c>
      <c r="E135" t="s">
        <v>4</v>
      </c>
      <c r="F135" s="1">
        <v>0.1359900144</v>
      </c>
      <c r="G135" s="1">
        <v>18624.330000000002</v>
      </c>
    </row>
    <row r="136" spans="2:7" x14ac:dyDescent="0.25">
      <c r="B136" t="s">
        <v>1</v>
      </c>
      <c r="C136" t="s">
        <v>2</v>
      </c>
      <c r="D136" t="s">
        <v>17</v>
      </c>
      <c r="E136" t="s">
        <v>21</v>
      </c>
      <c r="F136" s="1">
        <v>151943.73430366599</v>
      </c>
      <c r="G136" s="1">
        <v>51585381.475551501</v>
      </c>
    </row>
    <row r="137" spans="2:7" x14ac:dyDescent="0.25">
      <c r="B137" t="s">
        <v>7</v>
      </c>
      <c r="C137" t="s">
        <v>8</v>
      </c>
      <c r="D137" t="s">
        <v>19</v>
      </c>
      <c r="E137" t="s">
        <v>10</v>
      </c>
      <c r="F137" s="1">
        <v>518.88356678939999</v>
      </c>
      <c r="G137" s="1">
        <v>31295035.6199999</v>
      </c>
    </row>
    <row r="138" spans="2:7" x14ac:dyDescent="0.25">
      <c r="B138" t="s">
        <v>18</v>
      </c>
      <c r="C138" t="s">
        <v>2</v>
      </c>
      <c r="D138" t="s">
        <v>9</v>
      </c>
      <c r="E138" t="s">
        <v>11</v>
      </c>
      <c r="F138" s="1">
        <v>0.45822503999999997</v>
      </c>
      <c r="G138" s="1">
        <v>1412390.29999999</v>
      </c>
    </row>
    <row r="139" spans="2:7" x14ac:dyDescent="0.25">
      <c r="B139" t="s">
        <v>25</v>
      </c>
      <c r="C139" t="s">
        <v>2</v>
      </c>
      <c r="D139" t="s">
        <v>3</v>
      </c>
      <c r="E139" t="s">
        <v>4</v>
      </c>
      <c r="F139" s="1">
        <v>8.0903679467000007</v>
      </c>
      <c r="G139" s="1">
        <v>80638.559999999896</v>
      </c>
    </row>
    <row r="140" spans="2:7" x14ac:dyDescent="0.25">
      <c r="B140" t="s">
        <v>18</v>
      </c>
      <c r="C140" t="s">
        <v>2</v>
      </c>
      <c r="D140" t="s">
        <v>3</v>
      </c>
      <c r="E140" t="s">
        <v>21</v>
      </c>
      <c r="F140" s="1">
        <v>30.960491337826301</v>
      </c>
      <c r="G140" s="1">
        <v>417154.03999999899</v>
      </c>
    </row>
    <row r="141" spans="2:7" x14ac:dyDescent="0.25">
      <c r="B141" t="s">
        <v>7</v>
      </c>
      <c r="C141" t="s">
        <v>8</v>
      </c>
      <c r="D141" t="s">
        <v>13</v>
      </c>
      <c r="E141" t="s">
        <v>21</v>
      </c>
      <c r="F141" s="1">
        <v>4372.1842748773397</v>
      </c>
      <c r="G141" s="1">
        <v>175805470.55372599</v>
      </c>
    </row>
    <row r="142" spans="2:7" x14ac:dyDescent="0.25">
      <c r="B142" t="s">
        <v>18</v>
      </c>
      <c r="C142" t="s">
        <v>2</v>
      </c>
      <c r="D142" t="s">
        <v>13</v>
      </c>
      <c r="E142" t="s">
        <v>10</v>
      </c>
      <c r="F142" s="1">
        <v>24.130156529499999</v>
      </c>
      <c r="G142" s="1">
        <v>1468305.5403368799</v>
      </c>
    </row>
    <row r="143" spans="2:7" x14ac:dyDescent="0.25">
      <c r="B143" t="s">
        <v>1</v>
      </c>
      <c r="C143" t="s">
        <v>2</v>
      </c>
      <c r="D143" t="s">
        <v>14</v>
      </c>
      <c r="E143" t="s">
        <v>14</v>
      </c>
      <c r="F143" s="1" t="s">
        <v>14</v>
      </c>
      <c r="G143" s="1">
        <v>52521520.979999997</v>
      </c>
    </row>
    <row r="144" spans="2:7" x14ac:dyDescent="0.25">
      <c r="B144" t="s">
        <v>7</v>
      </c>
      <c r="C144" t="s">
        <v>8</v>
      </c>
      <c r="D144" t="s">
        <v>12</v>
      </c>
      <c r="E144" t="s">
        <v>21</v>
      </c>
      <c r="F144" s="1">
        <v>83547.523198089097</v>
      </c>
      <c r="G144" s="1">
        <v>706194920.70927894</v>
      </c>
    </row>
    <row r="145" spans="2:7" x14ac:dyDescent="0.25">
      <c r="B145" t="s">
        <v>7</v>
      </c>
      <c r="C145" t="s">
        <v>8</v>
      </c>
      <c r="D145" t="s">
        <v>13</v>
      </c>
      <c r="E145" t="s">
        <v>11</v>
      </c>
      <c r="F145" s="1">
        <v>21641.393918226298</v>
      </c>
      <c r="G145" s="1">
        <v>1798669784.9715199</v>
      </c>
    </row>
    <row r="146" spans="2:7" x14ac:dyDescent="0.25">
      <c r="B146" t="s">
        <v>7</v>
      </c>
      <c r="C146" t="s">
        <v>8</v>
      </c>
      <c r="D146" t="s">
        <v>19</v>
      </c>
      <c r="E146" t="s">
        <v>4</v>
      </c>
      <c r="F146" s="1">
        <v>2431.5991960383299</v>
      </c>
      <c r="G146" s="1">
        <v>117005606.952088</v>
      </c>
    </row>
    <row r="147" spans="2:7" x14ac:dyDescent="0.25">
      <c r="B147" t="s">
        <v>7</v>
      </c>
      <c r="C147" t="s">
        <v>8</v>
      </c>
      <c r="D147" t="s">
        <v>19</v>
      </c>
      <c r="E147" t="s">
        <v>6</v>
      </c>
      <c r="F147" s="1">
        <v>119.47233987</v>
      </c>
      <c r="G147" s="1">
        <v>11556476.439999901</v>
      </c>
    </row>
    <row r="148" spans="2:7" x14ac:dyDescent="0.25">
      <c r="B148" t="s">
        <v>1</v>
      </c>
      <c r="C148" t="s">
        <v>2</v>
      </c>
      <c r="D148" t="s">
        <v>13</v>
      </c>
      <c r="E148" t="s">
        <v>21</v>
      </c>
      <c r="F148" s="1">
        <v>65309.286281493703</v>
      </c>
      <c r="G148" s="1">
        <v>54887134.049968898</v>
      </c>
    </row>
    <row r="149" spans="2:7" x14ac:dyDescent="0.25">
      <c r="B149" t="s">
        <v>1</v>
      </c>
      <c r="C149" t="s">
        <v>2</v>
      </c>
      <c r="D149" t="s">
        <v>16</v>
      </c>
      <c r="E149" t="s">
        <v>21</v>
      </c>
      <c r="F149" s="1">
        <v>6243.7013586704697</v>
      </c>
      <c r="G149" s="1">
        <v>26305134.372372199</v>
      </c>
    </row>
    <row r="150" spans="2:7" x14ac:dyDescent="0.25">
      <c r="B150" t="s">
        <v>1</v>
      </c>
      <c r="C150" t="s">
        <v>2</v>
      </c>
      <c r="D150" t="s">
        <v>9</v>
      </c>
      <c r="E150" t="s">
        <v>6</v>
      </c>
      <c r="F150" s="1">
        <v>55.085120181542202</v>
      </c>
      <c r="G150" s="1">
        <v>6006358.4952282496</v>
      </c>
    </row>
    <row r="151" spans="2:7" x14ac:dyDescent="0.25">
      <c r="B151" t="s">
        <v>18</v>
      </c>
      <c r="C151" t="s">
        <v>2</v>
      </c>
      <c r="D151" t="s">
        <v>16</v>
      </c>
      <c r="E151" t="s">
        <v>6</v>
      </c>
      <c r="F151" s="1">
        <v>5.0141474999999998E-2</v>
      </c>
      <c r="G151" s="1">
        <v>2620.0100000000002</v>
      </c>
    </row>
    <row r="152" spans="2:7" x14ac:dyDescent="0.25">
      <c r="B152" t="s">
        <v>1</v>
      </c>
      <c r="C152" t="s">
        <v>2</v>
      </c>
      <c r="D152" t="s">
        <v>9</v>
      </c>
      <c r="E152" t="s">
        <v>4</v>
      </c>
      <c r="F152" s="1">
        <v>2614.19778681964</v>
      </c>
      <c r="G152" s="1">
        <v>91621699.921152905</v>
      </c>
    </row>
    <row r="153" spans="2:7" x14ac:dyDescent="0.25">
      <c r="B153" t="s">
        <v>1</v>
      </c>
      <c r="C153" t="s">
        <v>2</v>
      </c>
      <c r="D153" t="s">
        <v>5</v>
      </c>
      <c r="E153" t="s">
        <v>10</v>
      </c>
      <c r="F153" s="1">
        <v>908.634166139179</v>
      </c>
      <c r="G153" s="1">
        <v>18907153.4199575</v>
      </c>
    </row>
    <row r="154" spans="2:7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D558BC6CE45BCCE0C5A666FB0F3" ma:contentTypeVersion="3" ma:contentTypeDescription="Criar um novo documento." ma:contentTypeScope="" ma:versionID="6c79f40babdab5462f9a670aa0617a8b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e40b18d380c9a8276a1ad71929ba07d0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FEE89D-C691-4AB8-9073-3E60E69299F5}"/>
</file>

<file path=customXml/itemProps2.xml><?xml version="1.0" encoding="utf-8"?>
<ds:datastoreItem xmlns:ds="http://schemas.openxmlformats.org/officeDocument/2006/customXml" ds:itemID="{78F09ADC-A57D-4370-998B-41EBC407A916}"/>
</file>

<file path=customXml/itemProps3.xml><?xml version="1.0" encoding="utf-8"?>
<ds:datastoreItem xmlns:ds="http://schemas.openxmlformats.org/officeDocument/2006/customXml" ds:itemID="{CBABC389-C2DF-4D69-A049-2644930641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Resumo Emissões Dez 24</vt:lpstr>
      <vt:lpstr>2. EPC - Commercial Real Estate</vt:lpstr>
      <vt:lpstr>3. EPC - Mortgages Loans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dcterms:created xsi:type="dcterms:W3CDTF">2025-11-23T03:46:26Z</dcterms:created>
  <dcterms:modified xsi:type="dcterms:W3CDTF">2025-12-19T19:22:40Z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2025-12-19T14:53:12Z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c024fc10-984f-456b-be27-48960ec41515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0x01010085891D558BC6CE45BCCE0C5A666FB0F3</vt:lpwstr>
  </property>
</Properties>
</file>