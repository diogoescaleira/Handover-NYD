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7.Modelo de Garantias/05. Apresentações Steering/"/>
    </mc:Choice>
  </mc:AlternateContent>
  <xr:revisionPtr revIDLastSave="394" documentId="8_{9254AD56-C5C1-4204-8049-03ADE0C3B57E}" xr6:coauthVersionLast="47" xr6:coauthVersionMax="47" xr10:uidLastSave="{6677D879-D7DE-4A7B-83C8-2BD3078F9224}"/>
  <bookViews>
    <workbookView xWindow="-120" yWindow="-16320" windowWidth="29040" windowHeight="15840" xr2:uid="{00000000-000D-0000-FFFF-FFFF00000000}"/>
  </bookViews>
  <sheets>
    <sheet name="Capa" sheetId="4" r:id="rId1"/>
    <sheet name="1. Resumo Universo" sheetId="46" r:id="rId2"/>
    <sheet name="1.1.Pessoais" sheetId="49" r:id="rId3"/>
    <sheet name="1.2.Imóveis" sheetId="37" r:id="rId4"/>
    <sheet name="1.3.Financeiras" sheetId="53" r:id="rId5"/>
    <sheet name="1.4.Imóveis - LEA" sheetId="55" r:id="rId6"/>
    <sheet name="1.5.Pessoais - LEA" sheetId="56" r:id="rId7"/>
    <sheet name="1.6.Factoring" sheetId="64" r:id="rId8"/>
    <sheet name="Dados Fevereiro | 16-04-23" sheetId="71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123Graph_A" localSheetId="0" hidden="1">'[1]NJ-CA-MA-CT_jun06'!#REF!</definedName>
    <definedName name="__123Graph_A" hidden="1">'[2]NJ-CA-MA-CT_jun06'!#REF!</definedName>
    <definedName name="__123Graph_B" localSheetId="0" hidden="1">'[1]NJ-CA-MA-CT_jun06'!#REF!</definedName>
    <definedName name="__123Graph_B" hidden="1">'[2]NJ-CA-MA-CT_jun06'!#REF!</definedName>
    <definedName name="__123Graph_X" localSheetId="0" hidden="1">'[1]NJ-CA-MA-CT_jun06'!#REF!</definedName>
    <definedName name="__123Graph_X" hidden="1">'[2]NJ-CA-MA-CT_jun06'!#REF!</definedName>
    <definedName name="_AMO_UniqueIdentifier" hidden="1">"'9c8ca13c-fcb6-4d5e-90fc-e89d2944ee4d'"</definedName>
    <definedName name="_xlcn.WorksheetConnection_BSModelodeGarantiasTestes_v0.1.xlsxTable181" hidden="1">Table18</definedName>
    <definedName name="a" hidden="1">'[1]NJ-CA-MA-CT_jun06'!#REF!</definedName>
    <definedName name="Ambito">#REF!</definedName>
    <definedName name="ÁREA" localSheetId="2">#REF!</definedName>
    <definedName name="ÁREA" localSheetId="3">#REF!</definedName>
    <definedName name="ÁREA" localSheetId="4">#REF!</definedName>
    <definedName name="ÁREA" localSheetId="5">#REF!</definedName>
    <definedName name="ÁREA" localSheetId="6">#REF!</definedName>
    <definedName name="ÁREA" localSheetId="7">#REF!</definedName>
    <definedName name="ÁREA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efadf">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bn">'[3]Code List'!#REF!</definedName>
    <definedName name="Default_values">#REF!</definedName>
    <definedName name="efdsafavc" hidden="1">'[4]Carteira de Títulos'!#REF!</definedName>
    <definedName name="Estados">[5]!Table7[Estados]</definedName>
    <definedName name="Estados_testes" localSheetId="2">#REF!</definedName>
    <definedName name="Estados_testes" localSheetId="3">#REF!</definedName>
    <definedName name="Estados_testes" localSheetId="4">#REF!</definedName>
    <definedName name="Estados_testes" localSheetId="5">#REF!</definedName>
    <definedName name="Estados_testes" localSheetId="6">#REF!</definedName>
    <definedName name="Estados_testes" localSheetId="7">#REF!</definedName>
    <definedName name="Estados_testes">#REF!</definedName>
    <definedName name="nm" hidden="1">'[6]Carteira 21'!#REF!</definedName>
    <definedName name="Pendências">[5]!Table6[Pendências]</definedName>
    <definedName name="TABELA" localSheetId="2">#REF!</definedName>
    <definedName name="TABELA" localSheetId="3">#REF!</definedName>
    <definedName name="TABELA" localSheetId="4">#REF!</definedName>
    <definedName name="TABELA" localSheetId="5">#REF!</definedName>
    <definedName name="TABELA" localSheetId="6">#REF!</definedName>
    <definedName name="TABELA" localSheetId="7">#REF!</definedName>
    <definedName name="TABELA">#REF!</definedName>
    <definedName name="Validações_Especificas">#REF!</definedName>
    <definedName name="Validaçoes_Genericas">#REF!</definedName>
    <definedName name="XREF_COLUMN_1" localSheetId="0" hidden="1">'[7]Carteira 20'!#REF!</definedName>
    <definedName name="XREF_COLUMN_1" hidden="1">'[8]Carteira 20'!#REF!</definedName>
    <definedName name="XREF_COLUMN_2" localSheetId="0" hidden="1">'[6]Carteira 21'!#REF!</definedName>
    <definedName name="XREF_COLUMN_2" hidden="1">'[9]Carteira 21'!#REF!</definedName>
    <definedName name="XREF_COLUMN_3" localSheetId="0" hidden="1">'[6]Carteira 21'!#REF!</definedName>
    <definedName name="XREF_COLUMN_3" hidden="1">'[9]Carteira 21'!#REF!</definedName>
    <definedName name="XREF_COLUMN_4" localSheetId="0" hidden="1">'[4]Carteira de Títulos'!#REF!</definedName>
    <definedName name="XREF_COLUMN_4" hidden="1">'[4]Carteira de Títulos'!#REF!</definedName>
    <definedName name="XREF_COLUMN_5" localSheetId="0" hidden="1">'[4]Carteira de Títulos'!#REF!</definedName>
    <definedName name="XREF_COLUMN_5" hidden="1">'[4]Carteira de Títulos'!#REF!</definedName>
    <definedName name="XREF_COLUMN_7" localSheetId="0" hidden="1">'[6]Carteira 21'!#REF!</definedName>
    <definedName name="XREF_COLUMN_7" hidden="1">'[9]Carteira 21'!#REF!</definedName>
    <definedName name="XRefColumnsCount" hidden="1">6</definedName>
    <definedName name="XRefCopy1" localSheetId="0" hidden="1">'[6]Carteira 21'!#REF!</definedName>
    <definedName name="XRefCopy1" hidden="1">'[9]Carteira 21'!#REF!</definedName>
    <definedName name="XRefCopy10" localSheetId="0" hidden="1">'[6]Carteira 21'!#REF!</definedName>
    <definedName name="XRefCopy10" hidden="1">'[9]Carteira 21'!#REF!</definedName>
    <definedName name="XRefCopy11" localSheetId="0" hidden="1">'[6]Carteira 21'!#REF!</definedName>
    <definedName name="XRefCopy11" hidden="1">'[9]Carteira 21'!#REF!</definedName>
    <definedName name="XRefCopy11Row" localSheetId="0" hidden="1">#REF!</definedName>
    <definedName name="XRefCopy11Row" hidden="1">#REF!</definedName>
    <definedName name="XRefCopy12" localSheetId="0" hidden="1">'[6]Carteira 21'!#REF!</definedName>
    <definedName name="XRefCopy12" hidden="1">'[9]Carteira 21'!#REF!</definedName>
    <definedName name="XRefCopy12Row" localSheetId="0" hidden="1">#REF!</definedName>
    <definedName name="XRefCopy12Row" hidden="1">#REF!</definedName>
    <definedName name="XRefCopy13" localSheetId="0" hidden="1">'[6]Carteira 21'!#REF!</definedName>
    <definedName name="XRefCopy13" hidden="1">'[9]Carteira 21'!#REF!</definedName>
    <definedName name="XRefCopy13Row" localSheetId="0" hidden="1">[10]XREF!#REF!</definedName>
    <definedName name="XRefCopy13Row" hidden="1">[11]XREF!#REF!</definedName>
    <definedName name="XRefCopy14" localSheetId="0" hidden="1">'[7]Carteira 20'!#REF!</definedName>
    <definedName name="XRefCopy14" hidden="1">'[8]Carteira 20'!#REF!</definedName>
    <definedName name="XRefCopy14Row" localSheetId="0" hidden="1">#REF!</definedName>
    <definedName name="XRefCopy14Row" hidden="1">#REF!</definedName>
    <definedName name="XRefCopy15" localSheetId="0" hidden="1">'[6]Carteira 21'!#REF!</definedName>
    <definedName name="XRefCopy15" hidden="1">'[9]Carteira 21'!#REF!</definedName>
    <definedName name="XRefCopy15Row" localSheetId="0" hidden="1">#REF!</definedName>
    <definedName name="XRefCopy15Row" hidden="1">#REF!</definedName>
    <definedName name="XRefCopy17Row" localSheetId="0" hidden="1">[10]XREF!#REF!</definedName>
    <definedName name="XRefCopy17Row" hidden="1">[11]XREF!#REF!</definedName>
    <definedName name="XRefCopy18Row" localSheetId="0" hidden="1">[10]XREF!#REF!</definedName>
    <definedName name="XRefCopy18Row" hidden="1">[11]XREF!#REF!</definedName>
    <definedName name="XRefCopy19Row" localSheetId="0" hidden="1">[10]XREF!#REF!</definedName>
    <definedName name="XRefCopy19Row" hidden="1">[11]XREF!#REF!</definedName>
    <definedName name="XRefCopy1Row" localSheetId="0" hidden="1">#REF!</definedName>
    <definedName name="XRefCopy1Row" hidden="1">#REF!</definedName>
    <definedName name="XRefCopy2" localSheetId="0" hidden="1">'[7]Carteira 20'!#REF!</definedName>
    <definedName name="XRefCopy2" hidden="1">'[8]Carteira 20'!#REF!</definedName>
    <definedName name="XRefCopy20Row" hidden="1">[4]XREF!#REF!</definedName>
    <definedName name="XRefCopy24" hidden="1">'[4]Carteira de Títulos'!#REF!</definedName>
    <definedName name="XRefCopy24Row" hidden="1">[4]XREF!#REF!</definedName>
    <definedName name="XRefCopy25" hidden="1">'[4]Carteira de Títulos'!#REF!</definedName>
    <definedName name="XRefCopy25Row" hidden="1">[4]XREF!#REF!</definedName>
    <definedName name="XRefCopy2Row" hidden="1">[12]XREF!#REF!</definedName>
    <definedName name="XRefCopy3" localSheetId="0" hidden="1">'[6]Carteira 21'!#REF!</definedName>
    <definedName name="XRefCopy3" hidden="1">'[9]Carteira 21'!#REF!</definedName>
    <definedName name="XRefCopy3Row" localSheetId="0" hidden="1">#REF!</definedName>
    <definedName name="XRefCopy3Row" hidden="1">#REF!</definedName>
    <definedName name="XRefCopy4" localSheetId="0" hidden="1">'[6]Carteira 21'!#REF!</definedName>
    <definedName name="XRefCopy4" hidden="1">'[9]Carteira 21'!#REF!</definedName>
    <definedName name="XRefCopy4Row" hidden="1">[13]XREF!#REF!</definedName>
    <definedName name="XRefCopy6" hidden="1">[14]Eurodep_20!$C$18</definedName>
    <definedName name="XRefCopy7" localSheetId="0" hidden="1">'[7]Carteira 20'!#REF!</definedName>
    <definedName name="XRefCopy7" hidden="1">'[8]Carteira 20'!#REF!</definedName>
    <definedName name="XRefCopy7Row" localSheetId="0" hidden="1">#REF!</definedName>
    <definedName name="XRefCopy7Row" hidden="1">#REF!</definedName>
    <definedName name="XRefCopy8" localSheetId="0" hidden="1">'[7]Carteira 20'!#REF!</definedName>
    <definedName name="XRefCopy8" hidden="1">'[8]Carteira 20'!#REF!</definedName>
    <definedName name="XRefCopy8Row" localSheetId="0" hidden="1">#REF!</definedName>
    <definedName name="XRefCopy8Row" hidden="1">#REF!</definedName>
    <definedName name="XRefCopy9" localSheetId="0" hidden="1">'[6]Carteira 21'!#REF!</definedName>
    <definedName name="XRefCopy9" hidden="1">'[9]Carteira 21'!#REF!</definedName>
    <definedName name="XRefCopy99" hidden="1">'[6]Carteira 21'!#REF!</definedName>
    <definedName name="XRefCopy9Row" hidden="1">[13]XREF!$8:$8</definedName>
    <definedName name="XRefCopyRangeCount" hidden="1">10</definedName>
    <definedName name="XRefPaste10" localSheetId="0" hidden="1">'[6]Carteira 21'!#REF!</definedName>
    <definedName name="XRefPaste10" hidden="1">'[9]Carteira 21'!#REF!</definedName>
    <definedName name="XRefPaste10Row" localSheetId="0" hidden="1">#REF!</definedName>
    <definedName name="XRefPaste10Row" hidden="1">#REF!</definedName>
    <definedName name="XRefPaste11" localSheetId="0" hidden="1">'[7]Carteira 20'!#REF!</definedName>
    <definedName name="XRefPaste11" hidden="1">'[8]Carteira 20'!#REF!</definedName>
    <definedName name="XRefPaste11Row" localSheetId="0" hidden="1">#REF!</definedName>
    <definedName name="XRefPaste11Row" hidden="1">#REF!</definedName>
    <definedName name="XRefPaste12" localSheetId="0" hidden="1">'[7]Carteira 20'!#REF!</definedName>
    <definedName name="XRefPaste12" hidden="1">'[8]Carteira 20'!#REF!</definedName>
    <definedName name="XRefPaste12Row" localSheetId="0" hidden="1">#REF!</definedName>
    <definedName name="XRefPaste12Row" hidden="1">#REF!</definedName>
    <definedName name="XRefPaste13" localSheetId="0" hidden="1">'[6]Carteira 21'!#REF!</definedName>
    <definedName name="XRefPaste13" hidden="1">'[9]Carteira 21'!#REF!</definedName>
    <definedName name="XRefPaste13Row" localSheetId="0" hidden="1">#REF!</definedName>
    <definedName name="XRefPaste13Row" hidden="1">#REF!</definedName>
    <definedName name="XRefPaste1Row" localSheetId="0" hidden="1">[12]XREF!#REF!</definedName>
    <definedName name="XRefPaste1Row" hidden="1">[12]XREF!#REF!</definedName>
    <definedName name="XRefPaste2" localSheetId="0" hidden="1">'[6]Carteira 21'!#REF!</definedName>
    <definedName name="XRefPaste2" hidden="1">'[9]Carteira 21'!#REF!</definedName>
    <definedName name="XRefPaste2Row" localSheetId="0" hidden="1">#REF!</definedName>
    <definedName name="XRefPaste2Row" hidden="1">#REF!</definedName>
    <definedName name="XRefPaste3" localSheetId="0" hidden="1">'[6]Carteira 21'!#REF!</definedName>
    <definedName name="XRefPaste3" hidden="1">'[9]Carteira 21'!#REF!</definedName>
    <definedName name="XRefPaste3Row" localSheetId="0" hidden="1">#REF!</definedName>
    <definedName name="XRefPaste3Row" hidden="1">#REF!</definedName>
    <definedName name="XRefPaste4" localSheetId="0" hidden="1">'[7]Carteira 20'!#REF!</definedName>
    <definedName name="XRefPaste4" hidden="1">'[8]Carteira 20'!#REF!</definedName>
    <definedName name="XRefPaste4Row" hidden="1">[13]XREF!$3:$3</definedName>
    <definedName name="XRefPaste5Row" localSheetId="0" hidden="1">#REF!</definedName>
    <definedName name="XRefPaste5Row" hidden="1">#REF!</definedName>
    <definedName name="XRefPaste6" hidden="1">[14]Eurodep_20!$W$18</definedName>
    <definedName name="XRefPaste6Row" hidden="1">[13]XREF!$6:$6</definedName>
    <definedName name="XRefPaste7Row" hidden="1">[13]XREF!$11:$11</definedName>
    <definedName name="XRefPaste8Row" localSheetId="0" hidden="1">#REF!</definedName>
    <definedName name="XRefPaste8Row" hidden="1">#REF!</definedName>
    <definedName name="XRefPaste9" localSheetId="0" hidden="1">'[7]Carteira 20'!#REF!</definedName>
    <definedName name="XRefPaste9" hidden="1">'[8]Carteira 20'!#REF!</definedName>
    <definedName name="XRefPaste9Row" localSheetId="0" hidden="1">#REF!</definedName>
    <definedName name="XRefPaste9Row" hidden="1">#REF!</definedName>
    <definedName name="XRefPasteRangeCount" hidden="1">13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8" name="Table18" connection="WorksheetConnection_BS - Modelo de Garantias - Testes_v0.1.xlsx!Table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55" l="1"/>
  <c r="G19" i="55"/>
  <c r="K86" i="46"/>
  <c r="J86" i="46"/>
  <c r="J83" i="46"/>
  <c r="J80" i="46"/>
  <c r="N56" i="49"/>
  <c r="N55" i="49"/>
  <c r="N54" i="49"/>
  <c r="N53" i="49"/>
  <c r="N52" i="49"/>
  <c r="N51" i="49"/>
  <c r="N50" i="49"/>
  <c r="N49" i="49"/>
  <c r="I49" i="49"/>
  <c r="I50" i="49"/>
  <c r="I51" i="49"/>
  <c r="I52" i="49"/>
  <c r="I53" i="49"/>
  <c r="I54" i="49"/>
  <c r="I55" i="49"/>
  <c r="I56" i="49"/>
  <c r="J75" i="46"/>
  <c r="J73" i="46"/>
  <c r="K72" i="46"/>
  <c r="I187" i="46"/>
  <c r="H187" i="46"/>
  <c r="J187" i="46" s="1"/>
  <c r="E187" i="46"/>
  <c r="I179" i="46"/>
  <c r="J179" i="46" s="1"/>
  <c r="E179" i="46"/>
  <c r="I22" i="56"/>
  <c r="H22" i="56"/>
  <c r="G22" i="56"/>
  <c r="F22" i="56"/>
  <c r="E22" i="56"/>
  <c r="H107" i="46"/>
  <c r="E107" i="46"/>
  <c r="H105" i="46"/>
  <c r="E105" i="46"/>
  <c r="I102" i="46"/>
  <c r="H102" i="46"/>
  <c r="E102" i="46"/>
  <c r="D95" i="46"/>
  <c r="I12" i="49"/>
  <c r="F42" i="49"/>
  <c r="I61" i="49"/>
  <c r="I60" i="49"/>
  <c r="I59" i="49"/>
  <c r="I58" i="49"/>
  <c r="I57" i="49"/>
  <c r="I48" i="49"/>
  <c r="I47" i="49"/>
  <c r="I46" i="49"/>
  <c r="I143" i="46"/>
  <c r="H143" i="46"/>
  <c r="E143" i="46"/>
  <c r="M56" i="49" l="1"/>
  <c r="K83" i="46"/>
  <c r="M52" i="49"/>
  <c r="K73" i="46"/>
  <c r="M50" i="49"/>
  <c r="M55" i="49"/>
  <c r="M49" i="49"/>
  <c r="K75" i="46" s="1"/>
  <c r="M53" i="49"/>
  <c r="M51" i="49"/>
  <c r="M54" i="49"/>
  <c r="G20" i="55"/>
  <c r="F20" i="55"/>
  <c r="J27" i="46"/>
  <c r="J26" i="46"/>
  <c r="J25" i="46"/>
  <c r="J24" i="46"/>
  <c r="J23" i="46"/>
  <c r="J22" i="46"/>
  <c r="J21" i="46"/>
  <c r="J20" i="46"/>
  <c r="J19" i="46"/>
  <c r="J18" i="46"/>
  <c r="J17" i="46"/>
  <c r="J16" i="46"/>
  <c r="J15" i="46"/>
  <c r="J14" i="46"/>
  <c r="E62" i="46"/>
  <c r="I39" i="46"/>
  <c r="J39" i="46" s="1"/>
  <c r="H39" i="46"/>
  <c r="I38" i="46"/>
  <c r="J38" i="46" s="1"/>
  <c r="H38" i="46"/>
  <c r="I37" i="46"/>
  <c r="J37" i="46" s="1"/>
  <c r="H37" i="46"/>
  <c r="I36" i="46"/>
  <c r="J36" i="46" s="1"/>
  <c r="H36" i="46"/>
  <c r="I35" i="46"/>
  <c r="J35" i="46" s="1"/>
  <c r="H35" i="46"/>
  <c r="I34" i="46"/>
  <c r="J34" i="46" s="1"/>
  <c r="H34" i="46"/>
  <c r="I33" i="46"/>
  <c r="J33" i="46" s="1"/>
  <c r="H33" i="46"/>
  <c r="I32" i="46"/>
  <c r="J32" i="46" s="1"/>
  <c r="H32" i="46"/>
  <c r="J85" i="46" l="1"/>
  <c r="I144" i="46"/>
  <c r="I141" i="46"/>
  <c r="H144" i="46"/>
  <c r="E144" i="46"/>
  <c r="I164" i="46"/>
  <c r="I163" i="46"/>
  <c r="J158" i="46"/>
  <c r="I158" i="46"/>
  <c r="H158" i="46"/>
  <c r="E164" i="46"/>
  <c r="H141" i="46"/>
  <c r="E163" i="46"/>
  <c r="E158" i="46"/>
  <c r="E141" i="46"/>
  <c r="J82" i="46"/>
  <c r="J72" i="46"/>
  <c r="I191" i="46"/>
  <c r="I178" i="46"/>
  <c r="I177" i="46"/>
  <c r="E178" i="46"/>
  <c r="E177" i="46"/>
  <c r="H175" i="46"/>
  <c r="E175" i="46"/>
  <c r="I173" i="46"/>
  <c r="H173" i="46"/>
  <c r="I172" i="46"/>
  <c r="H172" i="46"/>
  <c r="E172" i="46"/>
  <c r="I171" i="46"/>
  <c r="H171" i="46"/>
  <c r="E173" i="46"/>
  <c r="E171" i="46"/>
  <c r="I113" i="46"/>
  <c r="E113" i="46"/>
  <c r="I112" i="46"/>
  <c r="E112" i="46"/>
  <c r="I111" i="46"/>
  <c r="J111" i="46" s="1"/>
  <c r="E111" i="46"/>
  <c r="I110" i="46"/>
  <c r="E110" i="46"/>
  <c r="H108" i="46"/>
  <c r="E108" i="46"/>
  <c r="H106" i="46"/>
  <c r="E106" i="46"/>
  <c r="D63" i="46"/>
  <c r="F63" i="46"/>
  <c r="K82" i="46"/>
  <c r="I103" i="46"/>
  <c r="E103" i="46"/>
  <c r="H100" i="46"/>
  <c r="E100" i="46"/>
  <c r="I180" i="46" l="1"/>
  <c r="J180" i="46" s="1"/>
  <c r="E101" i="46"/>
  <c r="J102" i="46"/>
  <c r="I100" i="46"/>
  <c r="H103" i="46"/>
  <c r="D60" i="46"/>
  <c r="D96" i="46" s="1"/>
  <c r="I101" i="46"/>
  <c r="J172" i="46"/>
  <c r="J173" i="46"/>
  <c r="J171" i="46"/>
  <c r="F60" i="46" l="1"/>
  <c r="I60" i="46" s="1"/>
  <c r="J53" i="37"/>
  <c r="J54" i="37"/>
  <c r="K85" i="46" l="1"/>
  <c r="J52" i="37"/>
  <c r="J46" i="37"/>
  <c r="F18" i="37" l="1"/>
  <c r="G18" i="37"/>
  <c r="G26" i="37" s="1"/>
  <c r="H18" i="37"/>
  <c r="H26" i="37" s="1"/>
  <c r="F27" i="37"/>
  <c r="G27" i="37"/>
  <c r="H27" i="37"/>
  <c r="F29" i="37"/>
  <c r="G29" i="37"/>
  <c r="H29" i="37"/>
  <c r="F33" i="37"/>
  <c r="G33" i="37"/>
  <c r="H33" i="37"/>
  <c r="F40" i="37"/>
  <c r="G40" i="37"/>
  <c r="H40" i="37"/>
  <c r="F43" i="37"/>
  <c r="G43" i="37"/>
  <c r="F45" i="37"/>
  <c r="G45" i="37"/>
  <c r="F48" i="37"/>
  <c r="G48" i="37"/>
  <c r="F49" i="37"/>
  <c r="G49" i="37"/>
  <c r="E40" i="46"/>
  <c r="J30" i="37"/>
  <c r="I29" i="37"/>
  <c r="I33" i="37"/>
  <c r="J77" i="46" l="1"/>
  <c r="F26" i="37"/>
  <c r="H142" i="46"/>
  <c r="I142" i="46"/>
  <c r="E142" i="46"/>
  <c r="G55" i="37"/>
  <c r="F55" i="37"/>
  <c r="F47" i="37"/>
  <c r="E149" i="46"/>
  <c r="E153" i="46" s="1"/>
  <c r="J71" i="46"/>
  <c r="G47" i="37"/>
  <c r="G57" i="37"/>
  <c r="H57" i="37"/>
  <c r="F57" i="37"/>
  <c r="F38" i="37"/>
  <c r="G38" i="37"/>
  <c r="J33" i="37"/>
  <c r="H38" i="37"/>
  <c r="H145" i="46" s="1"/>
  <c r="J25" i="37"/>
  <c r="J31" i="37"/>
  <c r="J36" i="37"/>
  <c r="J37" i="37"/>
  <c r="J35" i="37"/>
  <c r="J34" i="37"/>
  <c r="J32" i="37"/>
  <c r="J29" i="37"/>
  <c r="J28" i="37"/>
  <c r="J24" i="37"/>
  <c r="J23" i="37"/>
  <c r="J22" i="37"/>
  <c r="J21" i="37"/>
  <c r="J20" i="37"/>
  <c r="J19" i="37"/>
  <c r="E145" i="46" l="1"/>
  <c r="J141" i="46"/>
  <c r="J142" i="46"/>
  <c r="J144" i="46"/>
  <c r="J143" i="46"/>
  <c r="J191" i="46"/>
  <c r="E191" i="46"/>
  <c r="H189" i="46"/>
  <c r="H190" i="46" s="1"/>
  <c r="J190" i="46" s="1"/>
  <c r="E189" i="46"/>
  <c r="E190" i="46" s="1"/>
  <c r="J178" i="46"/>
  <c r="J177" i="46"/>
  <c r="J175" i="46"/>
  <c r="E120" i="46"/>
  <c r="I23" i="55"/>
  <c r="I24" i="55"/>
  <c r="I25" i="55"/>
  <c r="I26" i="55"/>
  <c r="H48" i="46"/>
  <c r="J106" i="46"/>
  <c r="J105" i="46"/>
  <c r="H60" i="46" l="1"/>
  <c r="H176" i="46"/>
  <c r="J176" i="46" s="1"/>
  <c r="H174" i="46"/>
  <c r="J189" i="46"/>
  <c r="E180" i="46"/>
  <c r="E176" i="46"/>
  <c r="K79" i="46" l="1"/>
  <c r="J79" i="46"/>
  <c r="K84" i="46"/>
  <c r="J84" i="46"/>
  <c r="I49" i="37" l="1"/>
  <c r="K71" i="46" s="1"/>
  <c r="E192" i="46" l="1"/>
  <c r="I186" i="46"/>
  <c r="I188" i="46" s="1"/>
  <c r="H186" i="46"/>
  <c r="E186" i="46"/>
  <c r="E188" i="46" s="1"/>
  <c r="H188" i="46" l="1"/>
  <c r="H193" i="46" s="1"/>
  <c r="J186" i="46"/>
  <c r="J188" i="46" s="1"/>
  <c r="E193" i="46"/>
  <c r="I193" i="46"/>
  <c r="I192" i="46"/>
  <c r="J192" i="46" s="1"/>
  <c r="J112" i="46" l="1"/>
  <c r="J110" i="46"/>
  <c r="J113" i="46"/>
  <c r="J108" i="46"/>
  <c r="J107" i="46"/>
  <c r="K74" i="46"/>
  <c r="J74" i="46"/>
  <c r="I45" i="37"/>
  <c r="K77" i="46" s="1"/>
  <c r="J51" i="37"/>
  <c r="J50" i="37"/>
  <c r="J49" i="37"/>
  <c r="J44" i="37"/>
  <c r="E128" i="46"/>
  <c r="E114" i="46" l="1"/>
  <c r="E109" i="46"/>
  <c r="E104" i="46"/>
  <c r="I114" i="46"/>
  <c r="J114" i="46" s="1"/>
  <c r="J100" i="46"/>
  <c r="I104" i="46"/>
  <c r="J103" i="46"/>
  <c r="H109" i="46"/>
  <c r="E115" i="46" l="1"/>
  <c r="F115" i="46" s="1"/>
  <c r="I150" i="46"/>
  <c r="E150" i="46"/>
  <c r="J134" i="46" l="1"/>
  <c r="J132" i="46"/>
  <c r="E52" i="46" l="1"/>
  <c r="E63" i="46" s="1"/>
  <c r="D52" i="46"/>
  <c r="F48" i="46"/>
  <c r="E48" i="46"/>
  <c r="D48" i="46"/>
  <c r="K81" i="46"/>
  <c r="J81" i="46"/>
  <c r="K80" i="46"/>
  <c r="J78" i="46"/>
  <c r="E60" i="46" l="1"/>
  <c r="E96" i="46" l="1"/>
  <c r="E49" i="46" l="1"/>
  <c r="E61" i="46" s="1"/>
  <c r="D49" i="46"/>
  <c r="D61" i="46" s="1"/>
  <c r="I135" i="46"/>
  <c r="J135" i="46" s="1"/>
  <c r="E135" i="46"/>
  <c r="I133" i="46"/>
  <c r="J133" i="46" s="1"/>
  <c r="E133" i="46"/>
  <c r="I131" i="46"/>
  <c r="E131" i="46"/>
  <c r="H129" i="46"/>
  <c r="H130" i="46" s="1"/>
  <c r="H128" i="46"/>
  <c r="J128" i="46" s="1"/>
  <c r="E129" i="46"/>
  <c r="E130" i="46" s="1"/>
  <c r="I123" i="46"/>
  <c r="H123" i="46"/>
  <c r="E123" i="46"/>
  <c r="I122" i="46"/>
  <c r="H122" i="46"/>
  <c r="E122" i="46"/>
  <c r="I121" i="46"/>
  <c r="H121" i="46"/>
  <c r="E121" i="46"/>
  <c r="I120" i="46"/>
  <c r="H120" i="46"/>
  <c r="E136" i="46" l="1"/>
  <c r="J131" i="46"/>
  <c r="I136" i="46"/>
  <c r="J129" i="46"/>
  <c r="J121" i="46"/>
  <c r="J123" i="46"/>
  <c r="J122" i="46"/>
  <c r="E124" i="46"/>
  <c r="H124" i="46"/>
  <c r="I124" i="46"/>
  <c r="J120" i="46"/>
  <c r="J124" i="46" l="1"/>
  <c r="H137" i="46"/>
  <c r="J164" i="46" l="1"/>
  <c r="J163" i="46"/>
  <c r="J18" i="37" l="1"/>
  <c r="I149" i="46"/>
  <c r="I153" i="46" s="1"/>
  <c r="J153" i="46" s="1"/>
  <c r="H15" i="55"/>
  <c r="J26" i="37" l="1"/>
  <c r="J45" i="37"/>
  <c r="J150" i="46"/>
  <c r="J149" i="46" l="1"/>
  <c r="E147" i="46"/>
  <c r="H51" i="46"/>
  <c r="E51" i="46"/>
  <c r="E64" i="46" s="1"/>
  <c r="D51" i="46"/>
  <c r="D64" i="46" s="1"/>
  <c r="H52" i="46"/>
  <c r="F52" i="46"/>
  <c r="F51" i="46"/>
  <c r="H22" i="55"/>
  <c r="F22" i="55"/>
  <c r="I15" i="55"/>
  <c r="H17" i="55"/>
  <c r="I159" i="46" s="1"/>
  <c r="G15" i="55"/>
  <c r="G17" i="55" s="1"/>
  <c r="H159" i="46" s="1"/>
  <c r="F15" i="55"/>
  <c r="H27" i="55" l="1"/>
  <c r="I27" i="55" s="1"/>
  <c r="I22" i="55"/>
  <c r="I29" i="55" s="1"/>
  <c r="H160" i="46"/>
  <c r="F27" i="55"/>
  <c r="E165" i="46" s="1"/>
  <c r="I51" i="46"/>
  <c r="J52" i="46"/>
  <c r="J51" i="46"/>
  <c r="I52" i="46"/>
  <c r="I63" i="46"/>
  <c r="H63" i="46"/>
  <c r="F64" i="46"/>
  <c r="H64" i="46"/>
  <c r="I174" i="46"/>
  <c r="I181" i="46" s="1"/>
  <c r="I160" i="46"/>
  <c r="F29" i="55"/>
  <c r="H29" i="55"/>
  <c r="G29" i="55"/>
  <c r="I17" i="55"/>
  <c r="F17" i="55"/>
  <c r="E159" i="46" s="1"/>
  <c r="J159" i="46" l="1"/>
  <c r="J160" i="46" s="1"/>
  <c r="H167" i="46"/>
  <c r="E166" i="46"/>
  <c r="J64" i="46"/>
  <c r="K64" i="46" s="1"/>
  <c r="I64" i="46"/>
  <c r="J63" i="46"/>
  <c r="K63" i="46" s="1"/>
  <c r="E161" i="46"/>
  <c r="H161" i="46"/>
  <c r="H162" i="46" s="1"/>
  <c r="J174" i="46"/>
  <c r="I165" i="46"/>
  <c r="I182" i="46" l="1"/>
  <c r="I166" i="46"/>
  <c r="I167" i="46" s="1"/>
  <c r="J165" i="46"/>
  <c r="E174" i="46"/>
  <c r="E181" i="46" s="1"/>
  <c r="F181" i="46" s="1"/>
  <c r="E160" i="46"/>
  <c r="E162" i="46"/>
  <c r="I137" i="46"/>
  <c r="I138" i="46" s="1"/>
  <c r="J109" i="46"/>
  <c r="J166" i="46" l="1"/>
  <c r="H181" i="46"/>
  <c r="H182" i="46" s="1"/>
  <c r="J136" i="46"/>
  <c r="E167" i="46"/>
  <c r="F167" i="46" s="1"/>
  <c r="I115" i="46"/>
  <c r="J130" i="46" l="1"/>
  <c r="E137" i="46"/>
  <c r="H49" i="46" l="1"/>
  <c r="H61" i="46" s="1"/>
  <c r="F49" i="46"/>
  <c r="I116" i="46"/>
  <c r="H50" i="46"/>
  <c r="F50" i="46"/>
  <c r="E50" i="46"/>
  <c r="D50" i="46"/>
  <c r="D62" i="46" s="1"/>
  <c r="H47" i="46"/>
  <c r="F47" i="46"/>
  <c r="E47" i="46"/>
  <c r="D47" i="46"/>
  <c r="H138" i="46" l="1"/>
  <c r="H53" i="46"/>
  <c r="D53" i="46"/>
  <c r="E53" i="46"/>
  <c r="F53" i="46"/>
  <c r="F59" i="46"/>
  <c r="F193" i="46" s="1"/>
  <c r="D59" i="46"/>
  <c r="E59" i="46"/>
  <c r="I194" i="46" s="1"/>
  <c r="I49" i="46"/>
  <c r="F61" i="46"/>
  <c r="K78" i="46"/>
  <c r="J49" i="46"/>
  <c r="H62" i="46"/>
  <c r="J50" i="46"/>
  <c r="H59" i="46"/>
  <c r="J59" i="46" s="1"/>
  <c r="K59" i="46" s="1"/>
  <c r="J47" i="46"/>
  <c r="I47" i="46"/>
  <c r="F62" i="46"/>
  <c r="I50" i="46"/>
  <c r="I48" i="46"/>
  <c r="J48" i="46"/>
  <c r="J61" i="46"/>
  <c r="K61" i="46" s="1"/>
  <c r="I27" i="37"/>
  <c r="I38" i="37" s="1"/>
  <c r="J27" i="37"/>
  <c r="I18" i="37"/>
  <c r="I26" i="37" s="1"/>
  <c r="I43" i="37"/>
  <c r="I47" i="37" s="1"/>
  <c r="I48" i="37"/>
  <c r="I55" i="37" s="1"/>
  <c r="J40" i="37"/>
  <c r="H194" i="46" l="1"/>
  <c r="J62" i="46"/>
  <c r="K62" i="46" s="1"/>
  <c r="I145" i="46"/>
  <c r="I146" i="46" s="1"/>
  <c r="I53" i="46"/>
  <c r="J53" i="46"/>
  <c r="I57" i="37"/>
  <c r="J38" i="37"/>
  <c r="I59" i="46"/>
  <c r="J47" i="37"/>
  <c r="J43" i="37"/>
  <c r="J55" i="37"/>
  <c r="J48" i="37"/>
  <c r="I61" i="46"/>
  <c r="F137" i="46"/>
  <c r="I62" i="46"/>
  <c r="J60" i="46"/>
  <c r="K60" i="46" s="1"/>
  <c r="H65" i="46"/>
  <c r="F65" i="46"/>
  <c r="D65" i="46"/>
  <c r="E65" i="46"/>
  <c r="J145" i="46" l="1"/>
  <c r="J65" i="46"/>
  <c r="J57" i="37"/>
  <c r="J58" i="37" s="1"/>
  <c r="H146" i="46"/>
  <c r="H147" i="46"/>
  <c r="J147" i="46" s="1"/>
  <c r="J41" i="37"/>
  <c r="I65" i="46"/>
  <c r="H148" i="46" l="1"/>
  <c r="J148" i="46" s="1"/>
  <c r="E146" i="46"/>
  <c r="E148" i="46"/>
  <c r="J146" i="46"/>
  <c r="E154" i="46" l="1"/>
  <c r="F154" i="46" s="1"/>
  <c r="H154" i="46"/>
  <c r="I154" i="46"/>
  <c r="H101" i="46" l="1"/>
  <c r="E95" i="46"/>
  <c r="H104" i="46" l="1"/>
  <c r="H115" i="46" s="1"/>
  <c r="H116" i="46" s="1"/>
  <c r="J101" i="46"/>
  <c r="J104" i="4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504FB-81D0-4727-BB21-6627BC2103A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612CDC7-8495-4D56-81A7-39C8DB7F9E2E}" name="WorksheetConnection_BS - Modelo de Garantias - Testes_v0.1.xlsx!Table18" type="102" refreshedVersion="6" minRefreshableVersion="5">
    <extLst>
      <ext xmlns:x15="http://schemas.microsoft.com/office/spreadsheetml/2010/11/main" uri="{DE250136-89BD-433C-8126-D09CA5730AF9}">
        <x15:connection id="Table18" autoDelete="1">
          <x15:rangePr sourceName="_xlcn.WorksheetConnection_BSModelodeGarantiasTestes_v0.1.xlsxTable181"/>
        </x15:connection>
      </ext>
    </extLst>
  </connection>
</connections>
</file>

<file path=xl/sharedStrings.xml><?xml version="1.0" encoding="utf-8"?>
<sst xmlns="http://schemas.openxmlformats.org/spreadsheetml/2006/main" count="915" uniqueCount="261">
  <si>
    <t>BCE Loan Tape</t>
  </si>
  <si>
    <t>Modelo Consolidado de Garantias | Testes</t>
  </si>
  <si>
    <t xml:space="preserve">Lisboa, </t>
  </si>
  <si>
    <t>1. Análises Universos</t>
  </si>
  <si>
    <t>Data de referência</t>
  </si>
  <si>
    <t>Data de atualização</t>
  </si>
  <si>
    <t>tipo</t>
  </si>
  <si>
    <t>biyr2500_caplic</t>
  </si>
  <si>
    <t>num_resp_proc</t>
  </si>
  <si>
    <t>biyr2500_mavaliaa</t>
  </si>
  <si>
    <t>F</t>
  </si>
  <si>
    <t xml:space="preserve">DC </t>
  </si>
  <si>
    <t xml:space="preserve">DP </t>
  </si>
  <si>
    <t xml:space="preserve">FU </t>
  </si>
  <si>
    <t xml:space="preserve">SG </t>
  </si>
  <si>
    <t xml:space="preserve">TT </t>
  </si>
  <si>
    <t>FAC</t>
  </si>
  <si>
    <t>I</t>
  </si>
  <si>
    <t xml:space="preserve">CS </t>
  </si>
  <si>
    <t xml:space="preserve">GP </t>
  </si>
  <si>
    <t>LEA</t>
  </si>
  <si>
    <t>P</t>
  </si>
  <si>
    <t>CLI</t>
  </si>
  <si>
    <t>CSA</t>
  </si>
  <si>
    <t>TBD</t>
  </si>
  <si>
    <t>Universo Modelo</t>
  </si>
  <si>
    <t>origem</t>
  </si>
  <si>
    <t>mavaliaa</t>
  </si>
  <si>
    <t>CS</t>
  </si>
  <si>
    <t>NULL</t>
  </si>
  <si>
    <t>GP</t>
  </si>
  <si>
    <t>BIYR9500</t>
  </si>
  <si>
    <t>Tipo</t>
  </si>
  <si>
    <t># Responsabilidade/ 
Processo</t>
  </si>
  <si>
    <t>MAVALIAA</t>
  </si>
  <si>
    <t>Factoring</t>
  </si>
  <si>
    <t>Pessoais</t>
  </si>
  <si>
    <t>Financeiras</t>
  </si>
  <si>
    <t>Imóveis</t>
  </si>
  <si>
    <t>Temas a ser contemplados no novo modelo</t>
  </si>
  <si>
    <t>ID</t>
  </si>
  <si>
    <t>Temas</t>
  </si>
  <si>
    <t>Todos os titulares, utilizados atualmente como garantias pessoais, serão excluídos.</t>
  </si>
  <si>
    <t>O algoritmos de apuramento de saldos das responsabilidades, relevantes para a distribuição dos montantes das garantias, passará a contemplar contas contabilisticas de juros e despesas vencidas.</t>
  </si>
  <si>
    <t>O montante considerado em garantias pessoais deve ser o da responsabilidade e não o do processo.</t>
  </si>
  <si>
    <t>2. Resumo de Casuísticas</t>
  </si>
  <si>
    <t>Legenda</t>
  </si>
  <si>
    <t>Universo</t>
  </si>
  <si>
    <t># Responsabilidade/
Processo/Cliente</t>
  </si>
  <si>
    <t>Novo Modelo de Garantias</t>
  </si>
  <si>
    <t>Em análise</t>
  </si>
  <si>
    <t>Universos</t>
  </si>
  <si>
    <t>Casuística</t>
  </si>
  <si>
    <t># Responsabilidade/
Processo</t>
  </si>
  <si>
    <t>MAVALIAA - Novo Modelo de garantias</t>
  </si>
  <si>
    <t>MAVALIAA - BIYR9500</t>
  </si>
  <si>
    <t>Diferenças</t>
  </si>
  <si>
    <t>1) Universo Comum</t>
  </si>
  <si>
    <t>Sem diferenças de mavaliaa</t>
  </si>
  <si>
    <t>Total</t>
  </si>
  <si>
    <t>2) Exclusivo Novo Modelo de Garantias</t>
  </si>
  <si>
    <t>3) Exclusivo BIYR2500</t>
  </si>
  <si>
    <t>IFRRU</t>
  </si>
  <si>
    <t>Outros Fomentos à Construção</t>
  </si>
  <si>
    <t>Processos sem bens associados - Traçabilidade incompleta no modelo</t>
  </si>
  <si>
    <t>Garantias Financeiras:</t>
  </si>
  <si>
    <t>Em analise</t>
  </si>
  <si>
    <t>-</t>
  </si>
  <si>
    <t>val_universos</t>
  </si>
  <si>
    <t>total_biyr2500_mavaliaa</t>
  </si>
  <si>
    <t>total_modelo_mavaliaa</t>
  </si>
  <si>
    <t>dif_mavaliaa</t>
  </si>
  <si>
    <t>COMUM</t>
  </si>
  <si>
    <t>EXCL_BIYR</t>
  </si>
  <si>
    <t>EXCL_MODELO</t>
  </si>
  <si>
    <t>Validação Universos</t>
  </si>
  <si>
    <t>Origem/Casuística</t>
  </si>
  <si>
    <t>Mavalia Modelo</t>
  </si>
  <si>
    <t>Mavalia Biyr</t>
  </si>
  <si>
    <t>2) Exclusivo Modelo</t>
  </si>
  <si>
    <t>1.2 Garantias Imóveis</t>
  </si>
  <si>
    <t>Empréstimo sem processo formalizado (GP)</t>
  </si>
  <si>
    <t>∆ Follow up</t>
  </si>
  <si>
    <t>Em resolução - definição de requisitos em curso</t>
  </si>
  <si>
    <t>Em resolução - requisitos definidos e planificados</t>
  </si>
  <si>
    <t>Correções concluídas</t>
  </si>
  <si>
    <t>Diferenças de metodologia</t>
  </si>
  <si>
    <t>num_reg_biyr</t>
  </si>
  <si>
    <t>num_reg_total</t>
  </si>
  <si>
    <t>Número de registos | biyr</t>
  </si>
  <si>
    <t>Número de registos | Modelo</t>
  </si>
  <si>
    <t>Processos sem bens associados</t>
  </si>
  <si>
    <t>Bens CS sem chave GP associada excluídos do modelo - data inválida</t>
  </si>
  <si>
    <t>Bens CS com chave GP associada excluídos do modelo - data e montantes inválidos</t>
  </si>
  <si>
    <t>Bens CS com chave GP associada excluídos do modelo - data inválida mas montantes válidos</t>
  </si>
  <si>
    <t>1.4 Garantias Imóveis - LEA</t>
  </si>
  <si>
    <t>Diferenças de MAVALIAA</t>
  </si>
  <si>
    <t>n/a</t>
  </si>
  <si>
    <t>Leasing - Imóveis</t>
  </si>
  <si>
    <t>biyr2500_tipgargblbg</t>
  </si>
  <si>
    <t>Número de registos (chave_cruzamento)</t>
  </si>
  <si>
    <t>1.5 Garantias Pessoais- LEA</t>
  </si>
  <si>
    <t>* Numero de registos ao nível do bem - Cliente</t>
  </si>
  <si>
    <t>Datas de vencimento inferiores à data de rácio</t>
  </si>
  <si>
    <t>Pessoais*</t>
  </si>
  <si>
    <t>Leasing - Pessoais*</t>
  </si>
  <si>
    <t>Leasing - Pessoais</t>
  </si>
  <si>
    <t>Para Steering</t>
  </si>
  <si>
    <t>Por quantificar</t>
  </si>
  <si>
    <t>Processos sem bens associados - Responsabilidades com outros tipos de garantia</t>
  </si>
  <si>
    <t>Processo de rateio incorreto no BIYR</t>
  </si>
  <si>
    <t>Novo</t>
  </si>
  <si>
    <t>Universo não existente na CL001</t>
  </si>
  <si>
    <t>Diferenças de repartição</t>
  </si>
  <si>
    <t>Garantias de outras tipologias</t>
  </si>
  <si>
    <t>Diferença de saldo - cativo de D+1</t>
  </si>
  <si>
    <t>Diferença de saldo - cativo de D+1/ Fx Rate</t>
  </si>
  <si>
    <t>Diferença de saldo - cativo de D+1/ Fx Rate/ Percentagem repartição</t>
  </si>
  <si>
    <t>Não existe bem associado</t>
  </si>
  <si>
    <t>Data de Cativo vencida</t>
  </si>
  <si>
    <t>Titulares excluidos do novo modelo de garantias</t>
  </si>
  <si>
    <t>Análise Imparidade:</t>
  </si>
  <si>
    <t># Responsabilidades</t>
  </si>
  <si>
    <t>Provisão c/ garantias BIYR</t>
  </si>
  <si>
    <t>Provisão c/ garantias Modelo</t>
  </si>
  <si>
    <t>Descrição</t>
  </si>
  <si>
    <t>1) Universo sem diferenças de Imparidade</t>
  </si>
  <si>
    <t>2) Universo com diferenças de Imparidade</t>
  </si>
  <si>
    <t>Sem Garantia</t>
  </si>
  <si>
    <t>Colaterais descartados</t>
  </si>
  <si>
    <t>Colaterais elegiveis - Sem Diferenças</t>
  </si>
  <si>
    <t>Colaterais elegiveis - Com Diferenças</t>
  </si>
  <si>
    <t>Em análise*</t>
  </si>
  <si>
    <t>*Em análise - Contratos que contêm pelo menos uma garantia em análise, as casuisticas das restantes garantias do mesmo contrato podem estar justificadas.</t>
  </si>
  <si>
    <t>Impactos não relacionados com garantias</t>
  </si>
  <si>
    <t>Saldos de bens financeiros utilizados no modelo apresentam lag de um dia face ao BIYR (BIYR utiliza saldos de D+1).</t>
  </si>
  <si>
    <t>A metodologia de aprovisionamento de montantes/datas de avaliação aplicada a Fomentos à Construção deve ser igual para todas as origens.</t>
  </si>
  <si>
    <t>São consideradas todas as garantias financeiras válidas dentro da mesma caução, independentemente da sua tipologia (exemplo, DO e TT).</t>
  </si>
  <si>
    <t>∆ Responsabilidade/ 
Processo</t>
  </si>
  <si>
    <t>∆ MAVALIAA</t>
  </si>
  <si>
    <t>Valores originais</t>
  </si>
  <si>
    <t>Bens CS com datas de avaliação inválidas</t>
  </si>
  <si>
    <t>BIYR9500 (1)</t>
  </si>
  <si>
    <t>Novo Modelo de Garantias (2)</t>
  </si>
  <si>
    <t>Não existe bem pessoal CS</t>
  </si>
  <si>
    <t>Diferenças de rateio</t>
  </si>
  <si>
    <t>Bens GP excluídos do modelo - datas de avaliação inválidas</t>
  </si>
  <si>
    <t>Bens GP excluídos do modelo - sem avaliações/reavaliações nas GPT</t>
  </si>
  <si>
    <t>Bens CS com chave GP associada excluídos do modelo - montantes da CST08 no BIYR</t>
  </si>
  <si>
    <t>CGARANT = 502 - Garantias financeiras excluidas do modelo</t>
  </si>
  <si>
    <t>Bens LEA sem chave GP associada na LGT03</t>
  </si>
  <si>
    <t>BIYR 9500</t>
  </si>
  <si>
    <t>DIFERENÇA (2500-9500)</t>
  </si>
  <si>
    <t>Garantias Manuais</t>
  </si>
  <si>
    <t>Diferenças na metdologia de cálculo das CSs</t>
  </si>
  <si>
    <t>Diferenças na metdologia de cálculo das GPs</t>
  </si>
  <si>
    <t>Garantias Manuais - Não existe caução carregada. Documentação em revisão pela respetiva área</t>
  </si>
  <si>
    <t>Garantias Manuais - Titulares excluidos do novo modelo de garantias</t>
  </si>
  <si>
    <t>Garantias Manuais - Valor da responsabilidade &lt;&gt; valor da cuação / percentagem cobertura 100%</t>
  </si>
  <si>
    <t>CS - Valor da responsabilidade &lt;&gt; valor da cuação / percentagem cobertura 100%</t>
  </si>
  <si>
    <t>CS - Valor da responsabilidade &lt;&gt; valor da cuação / percentagem cobertura diferente de 100% (campo da % coerente no Biyr e no modelo)</t>
  </si>
  <si>
    <t>CS - Valor da responsabilidade &lt;&gt; valor da cuação / percentagem cobertura diferente de 100% (campo da % alterado no Biyr)</t>
  </si>
  <si>
    <t>CS - Valor da responsabilidade &lt;&gt; valor da cuação / percentagem cobertura diferente de 100% (campo da % forçado no Biyr e no modelo)</t>
  </si>
  <si>
    <t>CS - Valor da responsabilidade = valor da cuação / percentagem cobertura diferente de 100% (campo da % coerente no Biyr e no modelo)</t>
  </si>
  <si>
    <t>CS - Valor da responsabilidade = valor da cuação / percentagem cobertura diferente de 100% (campo da % alterado no Biyr)</t>
  </si>
  <si>
    <t>GP - saldo de despesas/comissões/juros/custo aquisicao(capital)</t>
  </si>
  <si>
    <t>GP - saldo de despesas/comissões/juros</t>
  </si>
  <si>
    <t>Apenas serão contempladas garantias manuais de PPC com caução carregada para o respetivo emitente/programa. Nos títulos as cauções são as mesmas.</t>
  </si>
  <si>
    <t>Factoring*</t>
  </si>
  <si>
    <t>Em caso da percentagem de cobertura do cliente ser 0% na fonte de garantias pessoais, o modelo não vai forçar a percentagem para 100% (ao contrário da metodologia do biyr).</t>
  </si>
  <si>
    <t>Valor de avaliação mais recente a zero no modelo</t>
  </si>
  <si>
    <t>Percentagem da CST05 ao invés do rateio por responsabilidade</t>
  </si>
  <si>
    <t>Rateio realizado por contratos exclusivos do BIYR</t>
  </si>
  <si>
    <r>
      <t xml:space="preserve">Garantias Pessoais </t>
    </r>
    <r>
      <rPr>
        <sz val="10"/>
        <color theme="1"/>
        <rFont val="Santander Text"/>
        <family val="2"/>
      </rPr>
      <t xml:space="preserve">(excluindo </t>
    </r>
    <r>
      <rPr>
        <i/>
        <sz val="10"/>
        <color theme="1"/>
        <rFont val="Santander Text"/>
        <family val="2"/>
      </rPr>
      <t xml:space="preserve">Leasing </t>
    </r>
    <r>
      <rPr>
        <sz val="10"/>
        <color theme="1"/>
        <rFont val="Santander Text"/>
        <family val="2"/>
      </rPr>
      <t xml:space="preserve">e </t>
    </r>
    <r>
      <rPr>
        <i/>
        <sz val="10"/>
        <color theme="1"/>
        <rFont val="Santander Text"/>
        <family val="2"/>
      </rPr>
      <t>Factoring</t>
    </r>
    <r>
      <rPr>
        <sz val="10"/>
        <color theme="1"/>
        <rFont val="Santander Text"/>
        <family val="2"/>
      </rPr>
      <t xml:space="preserve">): </t>
    </r>
  </si>
  <si>
    <r>
      <rPr>
        <b/>
        <sz val="10"/>
        <color theme="1"/>
        <rFont val="Santander Text"/>
        <family val="2"/>
      </rPr>
      <t xml:space="preserve">Garantias Imóveis </t>
    </r>
    <r>
      <rPr>
        <sz val="10"/>
        <color theme="1"/>
        <rFont val="Santander Text"/>
        <family val="2"/>
      </rPr>
      <t xml:space="preserve">(excluindo </t>
    </r>
    <r>
      <rPr>
        <i/>
        <sz val="10"/>
        <color theme="1"/>
        <rFont val="Santander Text"/>
        <family val="2"/>
      </rPr>
      <t>Leasing</t>
    </r>
    <r>
      <rPr>
        <sz val="10"/>
        <color theme="1"/>
        <rFont val="Santander Text"/>
        <family val="2"/>
      </rPr>
      <t>):</t>
    </r>
  </si>
  <si>
    <r>
      <rPr>
        <b/>
        <sz val="10"/>
        <color theme="1"/>
        <rFont val="Santander Text"/>
        <family val="2"/>
      </rPr>
      <t xml:space="preserve">Garantias Imóveis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 ----------&gt; Versão original</t>
    </r>
  </si>
  <si>
    <r>
      <rPr>
        <b/>
        <sz val="10"/>
        <color theme="1"/>
        <rFont val="Santander Text"/>
        <family val="2"/>
      </rPr>
      <t xml:space="preserve">Garantias Pessoais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</t>
    </r>
  </si>
  <si>
    <r>
      <rPr>
        <b/>
        <sz val="10"/>
        <color theme="1"/>
        <rFont val="Santander Text"/>
        <family val="2"/>
      </rPr>
      <t xml:space="preserve">Garantias Pessoais </t>
    </r>
    <r>
      <rPr>
        <b/>
        <i/>
        <sz val="10"/>
        <color theme="1"/>
        <rFont val="Santander Text"/>
        <family val="2"/>
      </rPr>
      <t>- Factoring</t>
    </r>
    <r>
      <rPr>
        <sz val="10"/>
        <color theme="1"/>
        <rFont val="Santander Text"/>
        <family val="2"/>
      </rPr>
      <t>:</t>
    </r>
  </si>
  <si>
    <t># Responsabilidade/Processo</t>
  </si>
  <si>
    <t>Deve ser considerado o valor de avaliação mais recente, independentemente do seu montante (inclusão de avaliações com montante igual a zero).</t>
  </si>
  <si>
    <t>A metodologia de aprovisionamento de montantes de avaliação para fomentos à construção e IFRRUs, manter-se-á como no BIYR9500, à exceção da percentagem de avaliação atribuida ao BST (será como base o financiamento inicial do IFRRU e não no saldo em dívida atual). A mesma será revista após o rácio de Abril.</t>
  </si>
  <si>
    <t>O rateio dos bens pelos processos/responsabilidades deve ser feito independentemente da origem e deve ser realizado com base no valor atual da responsabilidade e não pela percentagem de cobertura calculada no momento da contratação.</t>
  </si>
  <si>
    <r>
      <t xml:space="preserve">Apenas serão contemplados bens com datas de avaliação válidas (exceto bens com origem </t>
    </r>
    <r>
      <rPr>
        <i/>
        <sz val="9.5"/>
        <color theme="1"/>
        <rFont val="Santander Text"/>
        <family val="2"/>
      </rPr>
      <t>leasing</t>
    </r>
    <r>
      <rPr>
        <sz val="9.5"/>
        <color theme="1"/>
        <rFont val="Santander Text"/>
        <family val="2"/>
      </rPr>
      <t>).</t>
    </r>
  </si>
  <si>
    <t xml:space="preserve">No caso das garantias financeiras, serão descartadas as garantias cuja data de vencimento seja inferior à data do rácio, mesmo tendo uma data de cativo válida (uma vez que a data de cativo pode ser referente à DO e não ao bem contratualizado incialmente com o cliente). Metodologia que será aplicada após quantificação de impactos. </t>
  </si>
  <si>
    <r>
      <t xml:space="preserve">Apenas serão contempladas responsabilidades/processos com bens associados e com datas de vencimento válidas (exceto bens com origem </t>
    </r>
    <r>
      <rPr>
        <i/>
        <sz val="9.5"/>
        <color theme="1"/>
        <rFont val="Santander Text"/>
        <family val="2"/>
      </rPr>
      <t>leasing</t>
    </r>
    <r>
      <rPr>
        <sz val="9.5"/>
        <color theme="1"/>
        <rFont val="Santander Text"/>
        <family val="2"/>
      </rPr>
      <t>).</t>
    </r>
  </si>
  <si>
    <t>O montante das garantias pessoais será o resultado após a multiplicação do valor da responsabilidade pela percentagem de cobertura do cliente (bem).</t>
  </si>
  <si>
    <t>Status</t>
  </si>
  <si>
    <t>Área responsável</t>
  </si>
  <si>
    <t># Responsabilidade/ Processo</t>
  </si>
  <si>
    <r>
      <t xml:space="preserve">Análise de impactos na ótica da </t>
    </r>
    <r>
      <rPr>
        <b/>
        <sz val="10"/>
        <color rgb="FF000000"/>
        <rFont val="Santander Text"/>
        <family val="2"/>
      </rPr>
      <t>área de Modelos</t>
    </r>
  </si>
  <si>
    <t>Concluído</t>
  </si>
  <si>
    <t>Modelos</t>
  </si>
  <si>
    <r>
      <t xml:space="preserve">Análise de diferenças de montantes de avaliação do universo de </t>
    </r>
    <r>
      <rPr>
        <b/>
        <sz val="10"/>
        <color rgb="FF000000"/>
        <rFont val="Santander Text"/>
        <family val="2"/>
      </rPr>
      <t>garantias Imobiliárias</t>
    </r>
  </si>
  <si>
    <t>Em curso</t>
  </si>
  <si>
    <t>CDO</t>
  </si>
  <si>
    <r>
      <t xml:space="preserve">Definição de metodologia para aprovisionamento das avaliações de </t>
    </r>
    <r>
      <rPr>
        <b/>
        <sz val="10"/>
        <color rgb="FF000000"/>
        <rFont val="Santander Text"/>
        <family val="2"/>
      </rPr>
      <t xml:space="preserve">Leasing Imobiliário </t>
    </r>
    <r>
      <rPr>
        <sz val="10"/>
        <color rgb="FF000000"/>
        <rFont val="Santander Text"/>
        <family val="2"/>
      </rPr>
      <t>que “regressaram” da aplicação de contencioso</t>
    </r>
    <r>
      <rPr>
        <b/>
        <sz val="10"/>
        <color rgb="FF000000"/>
        <rFont val="Santander Text"/>
        <family val="2"/>
      </rPr>
      <t xml:space="preserve">. </t>
    </r>
  </si>
  <si>
    <r>
      <t xml:space="preserve">CDO / </t>
    </r>
    <r>
      <rPr>
        <i/>
        <sz val="10"/>
        <color rgb="FF000000"/>
        <rFont val="Santander Text"/>
        <family val="2"/>
      </rPr>
      <t>Leasing</t>
    </r>
  </si>
  <si>
    <r>
      <t xml:space="preserve">Análise de diferenças de montantes de avaliação do universo de </t>
    </r>
    <r>
      <rPr>
        <b/>
        <sz val="10"/>
        <color rgb="FF000000"/>
        <rFont val="Santander Text"/>
        <family val="2"/>
      </rPr>
      <t xml:space="preserve">garantias Pessoais, incluindo </t>
    </r>
    <r>
      <rPr>
        <b/>
        <i/>
        <sz val="10"/>
        <color rgb="FF000000"/>
        <rFont val="Santander Text"/>
        <family val="2"/>
      </rPr>
      <t>Leasing.</t>
    </r>
  </si>
  <si>
    <r>
      <t xml:space="preserve">Análise e resolução de diferenças entre o </t>
    </r>
    <r>
      <rPr>
        <b/>
        <sz val="10"/>
        <color rgb="FF000000"/>
        <rFont val="Santander Text"/>
        <family val="2"/>
      </rPr>
      <t xml:space="preserve">Modelo Base de Garantias </t>
    </r>
    <r>
      <rPr>
        <sz val="10"/>
        <color rgb="FF000000"/>
        <rFont val="Santander Text"/>
        <family val="2"/>
      </rPr>
      <t xml:space="preserve">(GT018) e as </t>
    </r>
    <r>
      <rPr>
        <b/>
        <sz val="10"/>
        <color rgb="FF000000"/>
        <rFont val="Santander Text"/>
        <family val="2"/>
      </rPr>
      <t xml:space="preserve">tabelas de </t>
    </r>
    <r>
      <rPr>
        <b/>
        <i/>
        <sz val="10"/>
        <color rgb="FF000000"/>
        <rFont val="Santander Text"/>
        <family val="2"/>
      </rPr>
      <t xml:space="preserve">output </t>
    </r>
    <r>
      <rPr>
        <sz val="10"/>
        <color rgb="FF000000"/>
        <rFont val="Santander Text"/>
        <family val="2"/>
      </rPr>
      <t>(GT015)</t>
    </r>
  </si>
  <si>
    <t>CDO / IT</t>
  </si>
  <si>
    <r>
      <t xml:space="preserve">Análise e resolução de diferenças entre as </t>
    </r>
    <r>
      <rPr>
        <b/>
        <sz val="10"/>
        <color rgb="FF000000"/>
        <rFont val="Santander Text"/>
        <family val="2"/>
      </rPr>
      <t xml:space="preserve">tabelas de </t>
    </r>
    <r>
      <rPr>
        <b/>
        <i/>
        <sz val="10"/>
        <color rgb="FF000000"/>
        <rFont val="Santander Text"/>
        <family val="2"/>
      </rPr>
      <t xml:space="preserve">output </t>
    </r>
    <r>
      <rPr>
        <b/>
        <sz val="10"/>
        <color rgb="FF000000"/>
        <rFont val="Santander Text"/>
        <family val="2"/>
      </rPr>
      <t xml:space="preserve">do Modelo de Garantias </t>
    </r>
    <r>
      <rPr>
        <sz val="10"/>
        <color rgb="FF000000"/>
        <rFont val="Santander Text"/>
        <family val="2"/>
      </rPr>
      <t xml:space="preserve">(GT015) e </t>
    </r>
    <r>
      <rPr>
        <b/>
        <sz val="10"/>
        <color rgb="FF000000"/>
        <rFont val="Santander Text"/>
        <family val="2"/>
      </rPr>
      <t>BDR</t>
    </r>
    <r>
      <rPr>
        <sz val="10"/>
        <color rgb="FF000000"/>
        <rFont val="Santander Text"/>
        <family val="2"/>
      </rPr>
      <t xml:space="preserve"> (JM_GARANT_CTO)</t>
    </r>
  </si>
  <si>
    <r>
      <t xml:space="preserve">Continuação da análise de impactos na ótica da </t>
    </r>
    <r>
      <rPr>
        <b/>
        <sz val="10"/>
        <color rgb="FF000000"/>
        <rFont val="Santander Text"/>
        <family val="2"/>
      </rPr>
      <t>área de Capital</t>
    </r>
  </si>
  <si>
    <t>CDO / Capital</t>
  </si>
  <si>
    <t>Empréstimo Partenon</t>
  </si>
  <si>
    <t>Garantias Manuais - Zdeposit da parametrização BIYR desatualizado</t>
  </si>
  <si>
    <t>DIFERENÇA BIYRs</t>
  </si>
  <si>
    <t>A operação não existe no Biyr1500 (Leasing)</t>
  </si>
  <si>
    <t>Faturas sem saldo</t>
  </si>
  <si>
    <t>Variação face à execução anterior</t>
  </si>
  <si>
    <t>Bem IFRRU associado a um segundo empréstimo</t>
  </si>
  <si>
    <t>Erro no cálculo do mavaliaa do lado do modelo</t>
  </si>
  <si>
    <t>Mapeamento de avaliações por processo e não bem do lado do biyr</t>
  </si>
  <si>
    <t>Diferenças de rateio - V2</t>
  </si>
  <si>
    <t>Mapeamento de avaliações por processo e não bem do lado do biyr - V2</t>
  </si>
  <si>
    <t>Diferenças de rateio + Erro no cálculo do mavaliaa do lado do modelo</t>
  </si>
  <si>
    <t>Universo BIYR 2500</t>
  </si>
  <si>
    <t>Universo BIYR9500</t>
  </si>
  <si>
    <t>Inclusão de avaliações sobre processos não formalizados</t>
  </si>
  <si>
    <t>Bens GP excluídos do modelo - reavaliações sem R, V ou A</t>
  </si>
  <si>
    <t>Processo excluído do modelo por estado do processo - CODEST</t>
  </si>
  <si>
    <t>Empréstimo excluído do modelo por situação do contrato - CSITCTA</t>
  </si>
  <si>
    <t>Garantias Manuais - Garantes diferentes nas cauções</t>
  </si>
  <si>
    <t>Garantias Manuais - atualizar parametrização de garantias manuais</t>
  </si>
  <si>
    <t>Ex-cliente</t>
  </si>
  <si>
    <t>Caução de PPC aplicada a DOs incorretamente</t>
  </si>
  <si>
    <t>Sem saldo nas carteiras</t>
  </si>
  <si>
    <t>Duplicados CS eliminados incorretamente do Modelo</t>
  </si>
  <si>
    <t>Garantes eliminados da clt18</t>
  </si>
  <si>
    <t>Produtos diferentes de empréstimos com garantes (sem caução)</t>
  </si>
  <si>
    <t>Titulares ainda não excluidos do novo modelo de garantias</t>
  </si>
  <si>
    <t>Biyr exclui cauções com o mesmo produto</t>
  </si>
  <si>
    <t>CS - Valor da responsabilidade &lt;&gt; valor da cuação / percentagem de cobertura diferente porque caução diferente</t>
  </si>
  <si>
    <t>CS - Caução duplicada no Modelo</t>
  </si>
  <si>
    <t>1.1 Garantias Pessoais</t>
  </si>
  <si>
    <t>1.3 Garantias Financeiras</t>
  </si>
  <si>
    <t>Contas de juros,comissoes</t>
  </si>
  <si>
    <t>Contas de juros,comissoes e capital(28)</t>
  </si>
  <si>
    <t>Contas em analise</t>
  </si>
  <si>
    <t>Ex - cliente</t>
  </si>
  <si>
    <t>N/A</t>
  </si>
  <si>
    <t>Apenas serão contemplados empréstimos e processos formalizados.</t>
  </si>
  <si>
    <t>Cauções de garantias manuais de PPC selecionadas de acordo com a nova parametrização (cauções mais recentes carregadas por emitente/programa).</t>
  </si>
  <si>
    <t>EXECUÇÃO abril | 16-04-2023</t>
  </si>
  <si>
    <t xml:space="preserve">Legenda: </t>
  </si>
  <si>
    <t>Subcasuísticas</t>
  </si>
  <si>
    <t>Auxiliar</t>
  </si>
  <si>
    <r>
      <rPr>
        <b/>
        <sz val="10"/>
        <color theme="1"/>
        <rFont val="Santander Text"/>
        <family val="2"/>
      </rPr>
      <t xml:space="preserve">Garantias Imóveis </t>
    </r>
    <r>
      <rPr>
        <b/>
        <i/>
        <sz val="10"/>
        <color theme="1"/>
        <rFont val="Santander Text"/>
        <family val="2"/>
      </rPr>
      <t>- Leasing</t>
    </r>
    <r>
      <rPr>
        <sz val="10"/>
        <color theme="1"/>
        <rFont val="Santander Text"/>
        <family val="2"/>
      </rPr>
      <t>:</t>
    </r>
  </si>
  <si>
    <t>CS - Valor da responsabilidade incorreto no Modelo</t>
  </si>
  <si>
    <t>CS - saldo de despesas/comissões/juros</t>
  </si>
  <si>
    <t>CS - saldo de despesas/comissões/juros/custo aquisicao(capital)</t>
  </si>
  <si>
    <t>Duplicados - CSs</t>
  </si>
  <si>
    <t>Saldo da responsabilidade duplicado no Modelo - CSs</t>
  </si>
  <si>
    <t>Garantias Manuais - Caução PPC parametrizada por BIYR com relação cancelada</t>
  </si>
  <si>
    <t>Garantias Manuais - Modelo aplica caução diferente da parameterização</t>
  </si>
  <si>
    <t>1.6 Factoring</t>
  </si>
  <si>
    <t>% Diferenças MAVALIAA</t>
  </si>
  <si>
    <t xml:space="preserve">Comparação entre o BIYR2500 e o Novo Modelo de Garantias </t>
  </si>
  <si>
    <t>Alterações que foram realizadas no modelo face à situação que existe atualmente no BIYR9500 com impacto nos resultados:</t>
  </si>
  <si>
    <t>Mavalia Biyr (2500)</t>
  </si>
  <si>
    <t>Número de registos | biyr (2500)</t>
  </si>
  <si>
    <t>Análise e testes de Modelo em produção a 30 Abril 2023, com respeito a 30 Abril 2023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</si>
</sst>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%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38"/>
      <color rgb="FFFF0000"/>
      <name val="Arial"/>
      <family val="2"/>
    </font>
    <font>
      <b/>
      <sz val="14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Santander Text"/>
      <family val="2"/>
    </font>
    <font>
      <sz val="8"/>
      <color theme="1"/>
      <name val="Santander Text"/>
      <family val="2"/>
    </font>
    <font>
      <b/>
      <sz val="12"/>
      <color rgb="FFFF0000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0"/>
      <name val="Santander Text"/>
      <family val="2"/>
    </font>
    <font>
      <b/>
      <sz val="10"/>
      <color theme="0"/>
      <name val="Santander Text"/>
      <family val="2"/>
    </font>
    <font>
      <b/>
      <i/>
      <sz val="10"/>
      <color theme="0"/>
      <name val="Santander Text"/>
      <family val="2"/>
    </font>
    <font>
      <b/>
      <sz val="9"/>
      <name val="Santander Text"/>
      <family val="2"/>
    </font>
    <font>
      <sz val="9"/>
      <color theme="1"/>
      <name val="Santander Text"/>
      <family val="2"/>
    </font>
    <font>
      <b/>
      <sz val="9"/>
      <color theme="1"/>
      <name val="Santander Text"/>
      <family val="2"/>
    </font>
    <font>
      <sz val="8"/>
      <name val="Santander Text"/>
      <family val="2"/>
    </font>
    <font>
      <b/>
      <sz val="11"/>
      <color rgb="FFFF0000"/>
      <name val="Santander Text"/>
      <family val="2"/>
    </font>
    <font>
      <b/>
      <sz val="11"/>
      <color rgb="FF00B050"/>
      <name val="Santander Text"/>
      <family val="2"/>
    </font>
    <font>
      <i/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8"/>
      <color theme="0"/>
      <name val="Santander Text"/>
      <family val="2"/>
    </font>
    <font>
      <b/>
      <i/>
      <sz val="10"/>
      <color theme="1"/>
      <name val="Santander Text"/>
      <family val="2"/>
    </font>
    <font>
      <sz val="9.5"/>
      <color theme="1"/>
      <name val="Santander Text"/>
      <family val="2"/>
    </font>
    <font>
      <i/>
      <sz val="9.5"/>
      <color theme="1"/>
      <name val="Santander Text"/>
      <family val="2"/>
    </font>
    <font>
      <b/>
      <sz val="11"/>
      <color theme="5"/>
      <name val="Santander Text"/>
      <family val="2"/>
    </font>
    <font>
      <b/>
      <sz val="10"/>
      <color rgb="FF000000"/>
      <name val="Santander Text"/>
      <family val="2"/>
    </font>
    <font>
      <sz val="10"/>
      <color rgb="FF000000"/>
      <name val="Santander Text"/>
      <family val="2"/>
    </font>
    <font>
      <i/>
      <sz val="10"/>
      <color rgb="FF000000"/>
      <name val="Santander Text"/>
      <family val="2"/>
    </font>
    <font>
      <b/>
      <i/>
      <sz val="10"/>
      <color rgb="FF000000"/>
      <name val="Santander Text"/>
      <family val="2"/>
    </font>
    <font>
      <sz val="10"/>
      <color rgb="FF000000"/>
      <name val="Santander Text"/>
      <family val="2"/>
    </font>
    <font>
      <b/>
      <sz val="11"/>
      <color rgb="FFFFFFFF"/>
      <name val="Santander Text"/>
      <family val="2"/>
    </font>
    <font>
      <b/>
      <sz val="10"/>
      <color rgb="FF00B050"/>
      <name val="Santander Text"/>
      <family val="2"/>
    </font>
    <font>
      <b/>
      <sz val="10"/>
      <color rgb="FFE5AB00"/>
      <name val="Santander Text"/>
      <family val="2"/>
    </font>
    <font>
      <b/>
      <sz val="10"/>
      <color rgb="FF000000"/>
      <name val="Santander Text"/>
      <family val="2"/>
    </font>
    <font>
      <sz val="9"/>
      <name val="Santander Text"/>
      <family val="2"/>
    </font>
    <font>
      <sz val="9"/>
      <color theme="0"/>
      <name val="Santander Text"/>
      <family val="2"/>
    </font>
    <font>
      <b/>
      <sz val="12"/>
      <color theme="1" tint="0.499984740745262"/>
      <name val="Santander Text"/>
      <family val="2"/>
    </font>
    <font>
      <b/>
      <sz val="9"/>
      <color theme="0"/>
      <name val="Santander Text"/>
      <family val="2"/>
    </font>
    <font>
      <b/>
      <sz val="10"/>
      <color theme="0" tint="-0.14999847407452621"/>
      <name val="Santander Text"/>
      <family val="2"/>
    </font>
    <font>
      <b/>
      <sz val="10"/>
      <color theme="1" tint="0.499984740745262"/>
      <name val="Santander Text"/>
      <family val="2"/>
    </font>
    <font>
      <sz val="8"/>
      <color theme="1" tint="0.499984740745262"/>
      <name val="Santander Text"/>
      <family val="2"/>
    </font>
    <font>
      <sz val="11"/>
      <color theme="1" tint="0.499984740745262"/>
      <name val="Santander Text"/>
      <family val="2"/>
    </font>
    <font>
      <b/>
      <sz val="11"/>
      <color theme="1" tint="0.499984740745262"/>
      <name val="Santander Text"/>
      <family val="2"/>
    </font>
    <font>
      <b/>
      <u/>
      <sz val="11"/>
      <color theme="1"/>
      <name val="Santander Text"/>
      <family val="2"/>
    </font>
    <font>
      <sz val="11"/>
      <color theme="0"/>
      <name val="Santander Text"/>
      <family val="2"/>
    </font>
    <font>
      <sz val="11"/>
      <color theme="0" tint="-0.499984740745262"/>
      <name val="Santander Text"/>
      <family val="2"/>
    </font>
    <font>
      <sz val="10"/>
      <color theme="0" tint="-0.499984740745262"/>
      <name val="Santander Text"/>
      <family val="2"/>
    </font>
    <font>
      <sz val="9"/>
      <color theme="1" tint="0.499984740745262"/>
      <name val="Santander Text"/>
      <family val="2"/>
    </font>
    <font>
      <sz val="9"/>
      <color theme="0" tint="-0.499984740745262"/>
      <name val="Santander Text"/>
      <family val="2"/>
    </font>
    <font>
      <sz val="11"/>
      <color theme="1"/>
      <name val="Santander Text"/>
    </font>
    <font>
      <b/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darkUp">
        <fgColor theme="0" tint="-0.34998626667073579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/>
      <top/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/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rgb="FF000000"/>
      </bottom>
      <diagonal/>
    </border>
    <border>
      <left style="medium">
        <color rgb="FFFFFFFF"/>
      </left>
      <right/>
      <top style="thin">
        <color auto="1"/>
      </top>
      <bottom style="thin">
        <color rgb="FF000000"/>
      </bottom>
      <diagonal/>
    </border>
    <border>
      <left/>
      <right style="medium">
        <color rgb="FFFFFFFF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</borders>
  <cellStyleXfs count="7">
    <xf numFmtId="0" fontId="0" fillId="0" borderId="0"/>
    <xf numFmtId="0" fontId="1" fillId="0" borderId="0"/>
    <xf numFmtId="0" fontId="6" fillId="0" borderId="0"/>
    <xf numFmtId="0" fontId="1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</cellStyleXfs>
  <cellXfs count="316">
    <xf numFmtId="0" fontId="0" fillId="0" borderId="0" xfId="0"/>
    <xf numFmtId="0" fontId="3" fillId="0" borderId="0" xfId="1" applyFon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indent="1" readingOrder="1"/>
    </xf>
    <xf numFmtId="0" fontId="3" fillId="0" borderId="2" xfId="1" applyFont="1" applyBorder="1"/>
    <xf numFmtId="0" fontId="6" fillId="0" borderId="0" xfId="2"/>
    <xf numFmtId="0" fontId="7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9" fillId="0" borderId="0" xfId="1" applyFont="1"/>
    <xf numFmtId="0" fontId="10" fillId="0" borderId="0" xfId="1" applyFont="1" applyAlignment="1">
      <alignment horizontal="right"/>
    </xf>
    <xf numFmtId="0" fontId="11" fillId="0" borderId="0" xfId="1" applyFont="1"/>
    <xf numFmtId="0" fontId="12" fillId="0" borderId="0" xfId="1" applyFont="1" applyAlignment="1">
      <alignment horizontal="right"/>
    </xf>
    <xf numFmtId="0" fontId="13" fillId="0" borderId="0" xfId="1" applyFont="1"/>
    <xf numFmtId="0" fontId="14" fillId="0" borderId="0" xfId="1" applyFont="1" applyAlignment="1">
      <alignment horizontal="right"/>
    </xf>
    <xf numFmtId="0" fontId="15" fillId="0" borderId="0" xfId="1" applyFont="1"/>
    <xf numFmtId="0" fontId="16" fillId="0" borderId="0" xfId="1" applyFont="1" applyAlignment="1">
      <alignment horizontal="right"/>
    </xf>
    <xf numFmtId="0" fontId="17" fillId="0" borderId="0" xfId="1" applyFont="1" applyAlignment="1">
      <alignment horizontal="right"/>
    </xf>
    <xf numFmtId="0" fontId="3" fillId="0" borderId="0" xfId="1" applyFont="1" applyAlignment="1">
      <alignment horizontal="left" vertical="center" indent="1" readingOrder="1"/>
    </xf>
    <xf numFmtId="0" fontId="3" fillId="0" borderId="0" xfId="1" applyFont="1" applyAlignment="1">
      <alignment horizontal="right"/>
    </xf>
    <xf numFmtId="0" fontId="19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21" fillId="2" borderId="0" xfId="0" applyFont="1" applyFill="1" applyAlignment="1">
      <alignment vertical="center"/>
    </xf>
    <xf numFmtId="0" fontId="22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14" fontId="24" fillId="0" borderId="5" xfId="0" applyNumberFormat="1" applyFont="1" applyBorder="1" applyAlignment="1">
      <alignment vertical="center"/>
    </xf>
    <xf numFmtId="3" fontId="20" fillId="0" borderId="0" xfId="0" applyNumberFormat="1" applyFont="1"/>
    <xf numFmtId="0" fontId="25" fillId="0" borderId="0" xfId="0" applyFont="1"/>
    <xf numFmtId="0" fontId="25" fillId="0" borderId="5" xfId="0" applyFont="1" applyBorder="1"/>
    <xf numFmtId="0" fontId="20" fillId="0" borderId="5" xfId="0" applyFont="1" applyBorder="1"/>
    <xf numFmtId="4" fontId="20" fillId="0" borderId="5" xfId="0" applyNumberFormat="1" applyFont="1" applyBorder="1"/>
    <xf numFmtId="4" fontId="20" fillId="0" borderId="0" xfId="0" applyNumberFormat="1" applyFont="1"/>
    <xf numFmtId="3" fontId="25" fillId="0" borderId="0" xfId="0" applyNumberFormat="1" applyFont="1"/>
    <xf numFmtId="0" fontId="25" fillId="6" borderId="0" xfId="0" applyFont="1" applyFill="1" applyAlignment="1">
      <alignment vertical="center"/>
    </xf>
    <xf numFmtId="3" fontId="20" fillId="6" borderId="0" xfId="0" applyNumberFormat="1" applyFont="1" applyFill="1"/>
    <xf numFmtId="0" fontId="20" fillId="6" borderId="0" xfId="0" applyFont="1" applyFill="1"/>
    <xf numFmtId="0" fontId="26" fillId="0" borderId="0" xfId="0" applyFont="1"/>
    <xf numFmtId="0" fontId="27" fillId="6" borderId="5" xfId="0" applyFont="1" applyFill="1" applyBorder="1" applyAlignment="1">
      <alignment horizontal="centerContinuous"/>
    </xf>
    <xf numFmtId="0" fontId="28" fillId="2" borderId="5" xfId="0" applyFont="1" applyFill="1" applyBorder="1" applyAlignment="1">
      <alignment vertical="center"/>
    </xf>
    <xf numFmtId="0" fontId="28" fillId="2" borderId="5" xfId="0" applyFont="1" applyFill="1" applyBorder="1" applyAlignment="1">
      <alignment vertical="center" wrapText="1"/>
    </xf>
    <xf numFmtId="0" fontId="28" fillId="2" borderId="4" xfId="0" applyFont="1" applyFill="1" applyBorder="1" applyAlignment="1">
      <alignment vertical="center" wrapText="1"/>
    </xf>
    <xf numFmtId="0" fontId="28" fillId="2" borderId="3" xfId="0" applyFont="1" applyFill="1" applyBorder="1" applyAlignment="1">
      <alignment vertical="center" wrapText="1"/>
    </xf>
    <xf numFmtId="0" fontId="29" fillId="9" borderId="5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vertical="center"/>
    </xf>
    <xf numFmtId="3" fontId="31" fillId="0" borderId="5" xfId="0" applyNumberFormat="1" applyFont="1" applyBorder="1" applyAlignment="1">
      <alignment vertical="center"/>
    </xf>
    <xf numFmtId="3" fontId="26" fillId="0" borderId="0" xfId="0" applyNumberFormat="1" applyFont="1"/>
    <xf numFmtId="0" fontId="30" fillId="4" borderId="5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/>
    <xf numFmtId="0" fontId="28" fillId="2" borderId="4" xfId="0" applyFont="1" applyFill="1" applyBorder="1" applyAlignment="1">
      <alignment vertical="center"/>
    </xf>
    <xf numFmtId="0" fontId="35" fillId="0" borderId="0" xfId="0" applyFont="1"/>
    <xf numFmtId="0" fontId="30" fillId="0" borderId="4" xfId="0" applyFont="1" applyBorder="1" applyAlignment="1">
      <alignment horizontal="left" vertical="center"/>
    </xf>
    <xf numFmtId="0" fontId="24" fillId="0" borderId="0" xfId="0" applyFont="1"/>
    <xf numFmtId="0" fontId="23" fillId="0" borderId="0" xfId="0" applyFont="1"/>
    <xf numFmtId="3" fontId="24" fillId="0" borderId="5" xfId="0" applyNumberFormat="1" applyFont="1" applyBorder="1" applyAlignment="1">
      <alignment vertical="center"/>
    </xf>
    <xf numFmtId="0" fontId="20" fillId="0" borderId="0" xfId="0" applyFont="1" applyAlignment="1">
      <alignment wrapText="1"/>
    </xf>
    <xf numFmtId="0" fontId="37" fillId="2" borderId="5" xfId="0" applyFont="1" applyFill="1" applyBorder="1" applyAlignment="1">
      <alignment vertical="center" wrapText="1"/>
    </xf>
    <xf numFmtId="0" fontId="21" fillId="0" borderId="5" xfId="0" applyFont="1" applyBorder="1" applyAlignment="1">
      <alignment horizontal="left" vertical="center" indent="1"/>
    </xf>
    <xf numFmtId="3" fontId="33" fillId="0" borderId="5" xfId="0" applyNumberFormat="1" applyFont="1" applyBorder="1" applyAlignment="1">
      <alignment horizontal="right" vertical="center"/>
    </xf>
    <xf numFmtId="3" fontId="21" fillId="0" borderId="5" xfId="0" applyNumberFormat="1" applyFont="1" applyBorder="1" applyAlignment="1">
      <alignment vertical="center"/>
    </xf>
    <xf numFmtId="0" fontId="38" fillId="15" borderId="5" xfId="0" applyFont="1" applyFill="1" applyBorder="1" applyAlignment="1">
      <alignment horizontal="left" vertical="center" indent="1"/>
    </xf>
    <xf numFmtId="3" fontId="38" fillId="15" borderId="5" xfId="0" applyNumberFormat="1" applyFont="1" applyFill="1" applyBorder="1" applyAlignment="1">
      <alignment horizontal="right" vertical="center"/>
    </xf>
    <xf numFmtId="0" fontId="21" fillId="11" borderId="5" xfId="0" applyFont="1" applyFill="1" applyBorder="1" applyAlignment="1">
      <alignment horizontal="left" vertical="center" indent="1"/>
    </xf>
    <xf numFmtId="3" fontId="21" fillId="11" borderId="5" xfId="0" applyNumberFormat="1" applyFont="1" applyFill="1" applyBorder="1" applyAlignment="1">
      <alignment horizontal="right" vertical="center"/>
    </xf>
    <xf numFmtId="0" fontId="23" fillId="6" borderId="5" xfId="0" applyFont="1" applyFill="1" applyBorder="1" applyAlignment="1">
      <alignment vertical="center"/>
    </xf>
    <xf numFmtId="3" fontId="23" fillId="6" borderId="5" xfId="0" applyNumberFormat="1" applyFont="1" applyFill="1" applyBorder="1" applyAlignment="1">
      <alignment horizontal="right" vertical="center"/>
    </xf>
    <xf numFmtId="3" fontId="23" fillId="6" borderId="5" xfId="0" applyNumberFormat="1" applyFont="1" applyFill="1" applyBorder="1" applyAlignment="1">
      <alignment vertical="center"/>
    </xf>
    <xf numFmtId="3" fontId="23" fillId="8" borderId="5" xfId="0" applyNumberFormat="1" applyFont="1" applyFill="1" applyBorder="1" applyAlignment="1">
      <alignment vertical="center"/>
    </xf>
    <xf numFmtId="0" fontId="21" fillId="14" borderId="5" xfId="0" applyFont="1" applyFill="1" applyBorder="1" applyAlignment="1">
      <alignment horizontal="left" vertical="center" indent="1"/>
    </xf>
    <xf numFmtId="0" fontId="21" fillId="14" borderId="5" xfId="0" applyFont="1" applyFill="1" applyBorder="1" applyAlignment="1">
      <alignment horizontal="right" vertical="center"/>
    </xf>
    <xf numFmtId="0" fontId="21" fillId="12" borderId="5" xfId="0" applyFont="1" applyFill="1" applyBorder="1" applyAlignment="1">
      <alignment horizontal="left" vertical="center" indent="1"/>
    </xf>
    <xf numFmtId="3" fontId="21" fillId="12" borderId="5" xfId="0" applyNumberFormat="1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left" vertical="center" indent="1"/>
    </xf>
    <xf numFmtId="3" fontId="21" fillId="3" borderId="5" xfId="0" applyNumberFormat="1" applyFont="1" applyFill="1" applyBorder="1" applyAlignment="1">
      <alignment horizontal="right" vertical="center"/>
    </xf>
    <xf numFmtId="3" fontId="20" fillId="12" borderId="0" xfId="0" applyNumberFormat="1" applyFont="1" applyFill="1"/>
    <xf numFmtId="0" fontId="28" fillId="9" borderId="5" xfId="0" applyFont="1" applyFill="1" applyBorder="1" applyAlignment="1">
      <alignment horizontal="center" vertical="center" wrapText="1"/>
    </xf>
    <xf numFmtId="0" fontId="38" fillId="15" borderId="5" xfId="0" applyFont="1" applyFill="1" applyBorder="1" applyAlignment="1">
      <alignment horizontal="right" vertical="center"/>
    </xf>
    <xf numFmtId="3" fontId="21" fillId="8" borderId="5" xfId="0" applyNumberFormat="1" applyFont="1" applyFill="1" applyBorder="1" applyAlignment="1">
      <alignment vertical="center"/>
    </xf>
    <xf numFmtId="3" fontId="33" fillId="12" borderId="5" xfId="0" applyNumberFormat="1" applyFont="1" applyFill="1" applyBorder="1" applyAlignment="1">
      <alignment horizontal="right" vertical="center"/>
    </xf>
    <xf numFmtId="3" fontId="21" fillId="3" borderId="5" xfId="0" applyNumberFormat="1" applyFont="1" applyFill="1" applyBorder="1" applyAlignment="1">
      <alignment vertical="center"/>
    </xf>
    <xf numFmtId="0" fontId="21" fillId="0" borderId="0" xfId="0" applyFont="1"/>
    <xf numFmtId="10" fontId="20" fillId="0" borderId="0" xfId="6" applyNumberFormat="1" applyFont="1"/>
    <xf numFmtId="0" fontId="23" fillId="7" borderId="9" xfId="0" applyFont="1" applyFill="1" applyBorder="1" applyAlignment="1">
      <alignment horizontal="center" vertical="center" wrapText="1"/>
    </xf>
    <xf numFmtId="0" fontId="38" fillId="15" borderId="3" xfId="0" applyFont="1" applyFill="1" applyBorder="1" applyAlignment="1">
      <alignment horizontal="left" vertical="center" indent="1"/>
    </xf>
    <xf numFmtId="0" fontId="21" fillId="12" borderId="3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1" fillId="11" borderId="3" xfId="0" applyFont="1" applyFill="1" applyBorder="1" applyAlignment="1">
      <alignment horizontal="left" vertical="center" indent="1"/>
    </xf>
    <xf numFmtId="0" fontId="21" fillId="0" borderId="3" xfId="0" applyFont="1" applyBorder="1" applyAlignment="1">
      <alignment horizontal="left" vertical="center" indent="1"/>
    </xf>
    <xf numFmtId="0" fontId="23" fillId="6" borderId="3" xfId="0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3" fontId="31" fillId="0" borderId="0" xfId="0" applyNumberFormat="1" applyFont="1" applyAlignment="1">
      <alignment horizontal="left" vertical="center" wrapText="1"/>
    </xf>
    <xf numFmtId="3" fontId="31" fillId="0" borderId="0" xfId="0" applyNumberFormat="1" applyFont="1" applyAlignment="1">
      <alignment horizontal="center" vertical="center" wrapText="1"/>
    </xf>
    <xf numFmtId="3" fontId="31" fillId="0" borderId="0" xfId="0" applyNumberFormat="1" applyFont="1" applyAlignment="1">
      <alignment vertical="center" wrapText="1"/>
    </xf>
    <xf numFmtId="0" fontId="42" fillId="0" borderId="0" xfId="0" applyFont="1"/>
    <xf numFmtId="0" fontId="48" fillId="2" borderId="26" xfId="0" applyFont="1" applyFill="1" applyBorder="1" applyAlignment="1">
      <alignment horizontal="center" vertical="center" wrapText="1" readingOrder="1"/>
    </xf>
    <xf numFmtId="0" fontId="48" fillId="2" borderId="26" xfId="0" applyFont="1" applyFill="1" applyBorder="1" applyAlignment="1">
      <alignment horizontal="left" vertical="center" wrapText="1" readingOrder="1"/>
    </xf>
    <xf numFmtId="0" fontId="51" fillId="0" borderId="27" xfId="0" applyFont="1" applyBorder="1" applyAlignment="1">
      <alignment horizontal="center" vertical="center" wrapText="1" readingOrder="1"/>
    </xf>
    <xf numFmtId="0" fontId="49" fillId="0" borderId="27" xfId="0" applyFont="1" applyBorder="1" applyAlignment="1">
      <alignment horizontal="center" vertical="center" wrapText="1" readingOrder="1"/>
    </xf>
    <xf numFmtId="0" fontId="47" fillId="0" borderId="27" xfId="0" applyFont="1" applyBorder="1" applyAlignment="1">
      <alignment horizontal="center" vertical="center" wrapText="1" readingOrder="1"/>
    </xf>
    <xf numFmtId="0" fontId="20" fillId="0" borderId="1" xfId="0" applyFont="1" applyBorder="1"/>
    <xf numFmtId="0" fontId="47" fillId="0" borderId="30" xfId="0" applyFont="1" applyBorder="1" applyAlignment="1">
      <alignment horizontal="center" vertical="center" wrapText="1" readingOrder="1"/>
    </xf>
    <xf numFmtId="0" fontId="47" fillId="0" borderId="31" xfId="0" applyFont="1" applyBorder="1" applyAlignment="1">
      <alignment horizontal="center" vertical="center" wrapText="1" readingOrder="1"/>
    </xf>
    <xf numFmtId="0" fontId="51" fillId="0" borderId="32" xfId="0" applyFont="1" applyBorder="1" applyAlignment="1">
      <alignment horizontal="center" vertical="center" wrapText="1" readingOrder="1"/>
    </xf>
    <xf numFmtId="0" fontId="50" fillId="0" borderId="32" xfId="0" applyFont="1" applyBorder="1" applyAlignment="1">
      <alignment horizontal="center" vertical="center" wrapText="1" readingOrder="1"/>
    </xf>
    <xf numFmtId="0" fontId="47" fillId="0" borderId="32" xfId="0" applyFont="1" applyBorder="1" applyAlignment="1">
      <alignment horizontal="center" vertical="center" wrapText="1" readingOrder="1"/>
    </xf>
    <xf numFmtId="0" fontId="20" fillId="0" borderId="8" xfId="0" applyFont="1" applyBorder="1"/>
    <xf numFmtId="0" fontId="49" fillId="0" borderId="32" xfId="0" applyFont="1" applyBorder="1" applyAlignment="1">
      <alignment horizontal="center" vertical="center" wrapText="1" readingOrder="1"/>
    </xf>
    <xf numFmtId="0" fontId="47" fillId="0" borderId="35" xfId="0" applyFont="1" applyBorder="1" applyAlignment="1">
      <alignment horizontal="center" vertical="center" wrapText="1" readingOrder="1"/>
    </xf>
    <xf numFmtId="0" fontId="20" fillId="0" borderId="12" xfId="0" applyFont="1" applyBorder="1"/>
    <xf numFmtId="0" fontId="47" fillId="0" borderId="36" xfId="0" applyFont="1" applyBorder="1" applyAlignment="1">
      <alignment horizontal="center" vertical="center" wrapText="1" readingOrder="1"/>
    </xf>
    <xf numFmtId="0" fontId="47" fillId="0" borderId="37" xfId="0" applyFont="1" applyBorder="1" applyAlignment="1">
      <alignment horizontal="center" vertical="center" wrapText="1" readingOrder="1"/>
    </xf>
    <xf numFmtId="0" fontId="51" fillId="0" borderId="36" xfId="0" applyFont="1" applyBorder="1" applyAlignment="1">
      <alignment horizontal="center" vertical="center" wrapText="1" readingOrder="1"/>
    </xf>
    <xf numFmtId="0" fontId="50" fillId="0" borderId="37" xfId="0" applyFont="1" applyBorder="1" applyAlignment="1">
      <alignment horizontal="center" vertical="center" wrapText="1" readingOrder="1"/>
    </xf>
    <xf numFmtId="3" fontId="31" fillId="12" borderId="5" xfId="0" applyNumberFormat="1" applyFont="1" applyFill="1" applyBorder="1" applyAlignment="1">
      <alignment vertical="center"/>
    </xf>
    <xf numFmtId="3" fontId="47" fillId="12" borderId="32" xfId="0" applyNumberFormat="1" applyFont="1" applyFill="1" applyBorder="1" applyAlignment="1">
      <alignment horizontal="center" vertical="center" wrapText="1" readingOrder="1"/>
    </xf>
    <xf numFmtId="0" fontId="47" fillId="12" borderId="32" xfId="0" applyFont="1" applyFill="1" applyBorder="1" applyAlignment="1">
      <alignment horizontal="center" vertical="center" wrapText="1" readingOrder="1"/>
    </xf>
    <xf numFmtId="3" fontId="24" fillId="12" borderId="4" xfId="0" applyNumberFormat="1" applyFont="1" applyFill="1" applyBorder="1" applyAlignment="1">
      <alignment vertical="center"/>
    </xf>
    <xf numFmtId="3" fontId="24" fillId="12" borderId="3" xfId="0" applyNumberFormat="1" applyFont="1" applyFill="1" applyBorder="1" applyAlignment="1">
      <alignment vertical="center"/>
    </xf>
    <xf numFmtId="3" fontId="24" fillId="12" borderId="5" xfId="0" applyNumberFormat="1" applyFont="1" applyFill="1" applyBorder="1" applyAlignment="1">
      <alignment vertical="center"/>
    </xf>
    <xf numFmtId="3" fontId="24" fillId="0" borderId="4" xfId="0" applyNumberFormat="1" applyFont="1" applyBorder="1" applyAlignment="1">
      <alignment vertical="center"/>
    </xf>
    <xf numFmtId="3" fontId="24" fillId="0" borderId="3" xfId="0" applyNumberFormat="1" applyFont="1" applyBorder="1" applyAlignment="1">
      <alignment vertical="center"/>
    </xf>
    <xf numFmtId="3" fontId="23" fillId="4" borderId="5" xfId="0" applyNumberFormat="1" applyFont="1" applyFill="1" applyBorder="1" applyAlignment="1">
      <alignment vertical="center"/>
    </xf>
    <xf numFmtId="3" fontId="23" fillId="4" borderId="4" xfId="0" applyNumberFormat="1" applyFont="1" applyFill="1" applyBorder="1" applyAlignment="1">
      <alignment vertical="center"/>
    </xf>
    <xf numFmtId="3" fontId="23" fillId="4" borderId="3" xfId="0" applyNumberFormat="1" applyFont="1" applyFill="1" applyBorder="1" applyAlignment="1">
      <alignment vertical="center"/>
    </xf>
    <xf numFmtId="0" fontId="31" fillId="0" borderId="5" xfId="0" applyFont="1" applyBorder="1" applyAlignment="1">
      <alignment horizontal="left" vertical="center" indent="1"/>
    </xf>
    <xf numFmtId="3" fontId="52" fillId="0" borderId="5" xfId="0" applyNumberFormat="1" applyFont="1" applyBorder="1" applyAlignment="1">
      <alignment horizontal="right" vertical="center"/>
    </xf>
    <xf numFmtId="0" fontId="31" fillId="0" borderId="0" xfId="0" applyFont="1"/>
    <xf numFmtId="0" fontId="31" fillId="11" borderId="5" xfId="0" applyFont="1" applyFill="1" applyBorder="1" applyAlignment="1">
      <alignment horizontal="left" vertical="center" indent="1"/>
    </xf>
    <xf numFmtId="3" fontId="31" fillId="11" borderId="5" xfId="0" applyNumberFormat="1" applyFont="1" applyFill="1" applyBorder="1" applyAlignment="1">
      <alignment horizontal="right" vertical="center"/>
    </xf>
    <xf numFmtId="3" fontId="32" fillId="8" borderId="5" xfId="0" applyNumberFormat="1" applyFont="1" applyFill="1" applyBorder="1" applyAlignment="1">
      <alignment vertical="center"/>
    </xf>
    <xf numFmtId="0" fontId="53" fillId="15" borderId="5" xfId="0" applyFont="1" applyFill="1" applyBorder="1" applyAlignment="1">
      <alignment horizontal="left" vertical="center" indent="1"/>
    </xf>
    <xf numFmtId="3" fontId="53" fillId="15" borderId="5" xfId="0" applyNumberFormat="1" applyFont="1" applyFill="1" applyBorder="1" applyAlignment="1">
      <alignment horizontal="right" vertical="center"/>
    </xf>
    <xf numFmtId="0" fontId="31" fillId="12" borderId="5" xfId="0" applyFont="1" applyFill="1" applyBorder="1" applyAlignment="1">
      <alignment horizontal="left" vertical="center" indent="1"/>
    </xf>
    <xf numFmtId="3" fontId="31" fillId="12" borderId="5" xfId="0" applyNumberFormat="1" applyFont="1" applyFill="1" applyBorder="1" applyAlignment="1">
      <alignment horizontal="right" vertical="center"/>
    </xf>
    <xf numFmtId="0" fontId="31" fillId="3" borderId="5" xfId="0" applyFont="1" applyFill="1" applyBorder="1" applyAlignment="1">
      <alignment horizontal="left" vertical="center" indent="1"/>
    </xf>
    <xf numFmtId="3" fontId="31" fillId="3" borderId="5" xfId="0" applyNumberFormat="1" applyFont="1" applyFill="1" applyBorder="1" applyAlignment="1">
      <alignment horizontal="right" vertical="center"/>
    </xf>
    <xf numFmtId="3" fontId="31" fillId="11" borderId="5" xfId="0" applyNumberFormat="1" applyFont="1" applyFill="1" applyBorder="1" applyAlignment="1">
      <alignment vertical="center"/>
    </xf>
    <xf numFmtId="3" fontId="53" fillId="15" borderId="5" xfId="0" applyNumberFormat="1" applyFont="1" applyFill="1" applyBorder="1" applyAlignment="1">
      <alignment vertical="center"/>
    </xf>
    <xf numFmtId="3" fontId="31" fillId="0" borderId="5" xfId="0" applyNumberFormat="1" applyFont="1" applyBorder="1" applyAlignment="1">
      <alignment horizontal="right" vertical="center"/>
    </xf>
    <xf numFmtId="0" fontId="31" fillId="12" borderId="5" xfId="0" applyFont="1" applyFill="1" applyBorder="1" applyAlignment="1">
      <alignment horizontal="right" vertical="center"/>
    </xf>
    <xf numFmtId="4" fontId="31" fillId="12" borderId="5" xfId="0" applyNumberFormat="1" applyFont="1" applyFill="1" applyBorder="1" applyAlignment="1">
      <alignment horizontal="right" vertical="center"/>
    </xf>
    <xf numFmtId="0" fontId="31" fillId="11" borderId="5" xfId="0" applyFont="1" applyFill="1" applyBorder="1" applyAlignment="1">
      <alignment horizontal="right" vertical="center"/>
    </xf>
    <xf numFmtId="4" fontId="31" fillId="11" borderId="5" xfId="0" applyNumberFormat="1" applyFont="1" applyFill="1" applyBorder="1" applyAlignment="1">
      <alignment horizontal="right" vertical="center"/>
    </xf>
    <xf numFmtId="3" fontId="31" fillId="8" borderId="5" xfId="0" applyNumberFormat="1" applyFont="1" applyFill="1" applyBorder="1" applyAlignment="1">
      <alignment vertical="center"/>
    </xf>
    <xf numFmtId="0" fontId="31" fillId="14" borderId="5" xfId="0" applyFont="1" applyFill="1" applyBorder="1" applyAlignment="1">
      <alignment horizontal="left" vertical="center" indent="1"/>
    </xf>
    <xf numFmtId="0" fontId="31" fillId="14" borderId="5" xfId="0" applyFont="1" applyFill="1" applyBorder="1" applyAlignment="1">
      <alignment horizontal="right" vertical="center"/>
    </xf>
    <xf numFmtId="3" fontId="52" fillId="12" borderId="5" xfId="0" applyNumberFormat="1" applyFont="1" applyFill="1" applyBorder="1" applyAlignment="1">
      <alignment horizontal="right" vertical="center"/>
    </xf>
    <xf numFmtId="3" fontId="40" fillId="0" borderId="5" xfId="0" applyNumberFormat="1" applyFont="1" applyBorder="1" applyAlignment="1">
      <alignment horizontal="center" vertical="center" wrapText="1"/>
    </xf>
    <xf numFmtId="3" fontId="40" fillId="0" borderId="5" xfId="0" applyNumberFormat="1" applyFont="1" applyBorder="1" applyAlignment="1">
      <alignment vertical="center" wrapText="1"/>
    </xf>
    <xf numFmtId="3" fontId="40" fillId="3" borderId="5" xfId="0" applyNumberFormat="1" applyFont="1" applyFill="1" applyBorder="1" applyAlignment="1">
      <alignment horizontal="right" vertical="center" wrapText="1" indent="1"/>
    </xf>
    <xf numFmtId="0" fontId="25" fillId="0" borderId="38" xfId="0" applyFont="1" applyBorder="1"/>
    <xf numFmtId="3" fontId="25" fillId="12" borderId="0" xfId="0" applyNumberFormat="1" applyFont="1" applyFill="1"/>
    <xf numFmtId="0" fontId="30" fillId="16" borderId="4" xfId="0" applyFont="1" applyFill="1" applyBorder="1" applyAlignment="1">
      <alignment horizontal="left" vertical="center"/>
    </xf>
    <xf numFmtId="3" fontId="40" fillId="0" borderId="5" xfId="0" applyNumberFormat="1" applyFont="1" applyBorder="1" applyAlignment="1">
      <alignment horizontal="right" vertical="center" wrapText="1" indent="1"/>
    </xf>
    <xf numFmtId="9" fontId="20" fillId="0" borderId="0" xfId="6" applyFont="1"/>
    <xf numFmtId="9" fontId="0" fillId="0" borderId="0" xfId="6" applyFont="1"/>
    <xf numFmtId="9" fontId="0" fillId="16" borderId="0" xfId="6" applyFont="1" applyFill="1"/>
    <xf numFmtId="9" fontId="20" fillId="16" borderId="0" xfId="6" applyFont="1" applyFill="1"/>
    <xf numFmtId="0" fontId="21" fillId="0" borderId="0" xfId="0" applyFont="1" applyAlignment="1">
      <alignment vertical="center"/>
    </xf>
    <xf numFmtId="0" fontId="54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6" borderId="0" xfId="0" applyFont="1" applyFill="1" applyAlignment="1">
      <alignment vertical="center"/>
    </xf>
    <xf numFmtId="3" fontId="21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55" fillId="5" borderId="5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5" xfId="0" applyFont="1" applyBorder="1" applyAlignment="1">
      <alignment vertical="center"/>
    </xf>
    <xf numFmtId="3" fontId="31" fillId="13" borderId="5" xfId="0" applyNumberFormat="1" applyFont="1" applyFill="1" applyBorder="1" applyAlignment="1">
      <alignment horizontal="right" vertical="center"/>
    </xf>
    <xf numFmtId="4" fontId="31" fillId="0" borderId="0" xfId="0" applyNumberFormat="1" applyFont="1" applyAlignment="1">
      <alignment vertical="center"/>
    </xf>
    <xf numFmtId="3" fontId="31" fillId="13" borderId="5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vertical="center"/>
    </xf>
    <xf numFmtId="0" fontId="31" fillId="0" borderId="0" xfId="0" applyFont="1" applyAlignment="1">
      <alignment vertical="center" wrapText="1"/>
    </xf>
    <xf numFmtId="0" fontId="55" fillId="2" borderId="10" xfId="0" applyFont="1" applyFill="1" applyBorder="1" applyAlignment="1">
      <alignment vertical="center" wrapText="1"/>
    </xf>
    <xf numFmtId="0" fontId="55" fillId="2" borderId="11" xfId="0" applyFont="1" applyFill="1" applyBorder="1" applyAlignment="1">
      <alignment vertical="center" wrapText="1"/>
    </xf>
    <xf numFmtId="0" fontId="55" fillId="2" borderId="0" xfId="0" applyFont="1" applyFill="1" applyAlignment="1">
      <alignment vertical="center" wrapText="1"/>
    </xf>
    <xf numFmtId="0" fontId="55" fillId="2" borderId="14" xfId="0" applyFont="1" applyFill="1" applyBorder="1" applyAlignment="1">
      <alignment vertical="center" wrapText="1"/>
    </xf>
    <xf numFmtId="0" fontId="31" fillId="0" borderId="0" xfId="0" applyFont="1" applyAlignment="1">
      <alignment wrapText="1"/>
    </xf>
    <xf numFmtId="0" fontId="20" fillId="0" borderId="13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56" fillId="7" borderId="0" xfId="0" applyFont="1" applyFill="1" applyAlignment="1">
      <alignment vertical="center"/>
    </xf>
    <xf numFmtId="3" fontId="23" fillId="6" borderId="13" xfId="0" applyNumberFormat="1" applyFont="1" applyFill="1" applyBorder="1" applyAlignment="1">
      <alignment vertical="center"/>
    </xf>
    <xf numFmtId="3" fontId="23" fillId="6" borderId="0" xfId="0" applyNumberFormat="1" applyFont="1" applyFill="1" applyAlignment="1">
      <alignment vertical="center"/>
    </xf>
    <xf numFmtId="0" fontId="31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3" fontId="21" fillId="0" borderId="13" xfId="0" applyNumberFormat="1" applyFont="1" applyBorder="1" applyAlignment="1">
      <alignment vertical="center"/>
    </xf>
    <xf numFmtId="0" fontId="53" fillId="15" borderId="0" xfId="0" applyFont="1" applyFill="1" applyAlignment="1">
      <alignment horizontal="left" vertical="center" indent="1"/>
    </xf>
    <xf numFmtId="0" fontId="38" fillId="15" borderId="0" xfId="0" applyFont="1" applyFill="1" applyAlignment="1">
      <alignment horizontal="left" vertical="center" indent="1"/>
    </xf>
    <xf numFmtId="0" fontId="31" fillId="12" borderId="0" xfId="0" applyFont="1" applyFill="1" applyAlignment="1">
      <alignment horizontal="left" vertical="center" indent="1"/>
    </xf>
    <xf numFmtId="0" fontId="21" fillId="12" borderId="0" xfId="0" applyFont="1" applyFill="1" applyAlignment="1">
      <alignment horizontal="left" vertical="center" indent="1"/>
    </xf>
    <xf numFmtId="0" fontId="23" fillId="7" borderId="0" xfId="0" applyFont="1" applyFill="1" applyAlignment="1">
      <alignment vertical="center"/>
    </xf>
    <xf numFmtId="0" fontId="31" fillId="11" borderId="0" xfId="0" applyFont="1" applyFill="1" applyAlignment="1">
      <alignment horizontal="left" vertical="center" indent="1"/>
    </xf>
    <xf numFmtId="0" fontId="21" fillId="11" borderId="0" xfId="0" applyFont="1" applyFill="1" applyAlignment="1">
      <alignment horizontal="left" vertical="center" indent="1"/>
    </xf>
    <xf numFmtId="0" fontId="32" fillId="6" borderId="0" xfId="0" applyFont="1" applyFill="1" applyAlignment="1">
      <alignment vertical="center"/>
    </xf>
    <xf numFmtId="0" fontId="52" fillId="12" borderId="0" xfId="0" applyFont="1" applyFill="1" applyAlignment="1">
      <alignment horizontal="left" vertical="center" indent="1"/>
    </xf>
    <xf numFmtId="0" fontId="33" fillId="12" borderId="0" xfId="0" applyFont="1" applyFill="1" applyAlignment="1">
      <alignment horizontal="left" vertical="center" indent="1"/>
    </xf>
    <xf numFmtId="0" fontId="52" fillId="3" borderId="0" xfId="0" applyFont="1" applyFill="1" applyAlignment="1">
      <alignment horizontal="left" vertical="center" indent="1"/>
    </xf>
    <xf numFmtId="0" fontId="33" fillId="3" borderId="0" xfId="0" applyFont="1" applyFill="1" applyAlignment="1">
      <alignment horizontal="left" vertical="center" indent="1"/>
    </xf>
    <xf numFmtId="3" fontId="23" fillId="8" borderId="0" xfId="0" applyNumberFormat="1" applyFont="1" applyFill="1" applyAlignment="1">
      <alignment vertical="center"/>
    </xf>
    <xf numFmtId="3" fontId="21" fillId="8" borderId="0" xfId="0" applyNumberFormat="1" applyFont="1" applyFill="1" applyAlignment="1">
      <alignment vertical="center"/>
    </xf>
    <xf numFmtId="0" fontId="25" fillId="0" borderId="0" xfId="0" applyFont="1" applyAlignment="1">
      <alignment horizontal="right" vertical="center"/>
    </xf>
    <xf numFmtId="3" fontId="25" fillId="0" borderId="13" xfId="0" applyNumberFormat="1" applyFont="1" applyBorder="1" applyAlignment="1">
      <alignment vertical="center"/>
    </xf>
    <xf numFmtId="3" fontId="25" fillId="0" borderId="0" xfId="0" applyNumberFormat="1" applyFont="1" applyAlignment="1">
      <alignment vertical="center"/>
    </xf>
    <xf numFmtId="165" fontId="20" fillId="0" borderId="0" xfId="6" applyNumberFormat="1" applyFont="1" applyAlignment="1">
      <alignment vertical="center"/>
    </xf>
    <xf numFmtId="4" fontId="21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3" fontId="31" fillId="0" borderId="13" xfId="0" applyNumberFormat="1" applyFont="1" applyBorder="1" applyAlignment="1">
      <alignment vertical="center"/>
    </xf>
    <xf numFmtId="3" fontId="31" fillId="0" borderId="0" xfId="0" applyNumberFormat="1" applyFont="1" applyAlignment="1">
      <alignment vertical="center"/>
    </xf>
    <xf numFmtId="3" fontId="32" fillId="8" borderId="0" xfId="0" applyNumberFormat="1" applyFont="1" applyFill="1" applyAlignment="1">
      <alignment vertical="center"/>
    </xf>
    <xf numFmtId="4" fontId="31" fillId="0" borderId="0" xfId="0" applyNumberFormat="1" applyFont="1"/>
    <xf numFmtId="3" fontId="57" fillId="6" borderId="0" xfId="0" applyNumberFormat="1" applyFont="1" applyFill="1" applyAlignment="1">
      <alignment vertical="center"/>
    </xf>
    <xf numFmtId="3" fontId="58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3" fontId="60" fillId="0" borderId="0" xfId="0" applyNumberFormat="1" applyFont="1" applyAlignment="1">
      <alignment vertical="center"/>
    </xf>
    <xf numFmtId="0" fontId="28" fillId="18" borderId="13" xfId="0" applyFont="1" applyFill="1" applyBorder="1" applyAlignment="1">
      <alignment vertical="center"/>
    </xf>
    <xf numFmtId="0" fontId="28" fillId="18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5" fillId="0" borderId="1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3" fontId="31" fillId="0" borderId="13" xfId="0" applyNumberFormat="1" applyFont="1" applyBorder="1"/>
    <xf numFmtId="3" fontId="31" fillId="0" borderId="0" xfId="0" applyNumberFormat="1" applyFont="1"/>
    <xf numFmtId="0" fontId="28" fillId="5" borderId="5" xfId="0" applyFont="1" applyFill="1" applyBorder="1" applyAlignment="1">
      <alignment vertical="center"/>
    </xf>
    <xf numFmtId="0" fontId="24" fillId="0" borderId="5" xfId="0" applyFont="1" applyBorder="1" applyAlignment="1">
      <alignment vertical="center"/>
    </xf>
    <xf numFmtId="3" fontId="24" fillId="0" borderId="5" xfId="0" applyNumberFormat="1" applyFont="1" applyBorder="1" applyAlignment="1">
      <alignment horizontal="right" vertical="center"/>
    </xf>
    <xf numFmtId="0" fontId="61" fillId="0" borderId="0" xfId="0" applyFont="1" applyAlignment="1">
      <alignment vertical="center"/>
    </xf>
    <xf numFmtId="0" fontId="28" fillId="2" borderId="4" xfId="0" applyFont="1" applyFill="1" applyBorder="1" applyAlignment="1">
      <alignment horizontal="center" vertical="center" wrapText="1"/>
    </xf>
    <xf numFmtId="9" fontId="24" fillId="0" borderId="5" xfId="6" applyFont="1" applyBorder="1" applyAlignment="1">
      <alignment vertical="center"/>
    </xf>
    <xf numFmtId="0" fontId="28" fillId="2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62" fillId="10" borderId="22" xfId="0" applyFont="1" applyFill="1" applyBorder="1"/>
    <xf numFmtId="3" fontId="62" fillId="17" borderId="15" xfId="0" applyNumberFormat="1" applyFont="1" applyFill="1" applyBorder="1" applyAlignment="1">
      <alignment horizontal="center"/>
    </xf>
    <xf numFmtId="3" fontId="20" fillId="7" borderId="16" xfId="0" applyNumberFormat="1" applyFont="1" applyFill="1" applyBorder="1"/>
    <xf numFmtId="3" fontId="63" fillId="7" borderId="16" xfId="0" applyNumberFormat="1" applyFont="1" applyFill="1" applyBorder="1"/>
    <xf numFmtId="3" fontId="64" fillId="0" borderId="16" xfId="0" applyNumberFormat="1" applyFont="1" applyBorder="1"/>
    <xf numFmtId="4" fontId="24" fillId="0" borderId="0" xfId="0" applyNumberFormat="1" applyFont="1" applyAlignment="1">
      <alignment vertical="center"/>
    </xf>
    <xf numFmtId="3" fontId="65" fillId="0" borderId="0" xfId="0" applyNumberFormat="1" applyFont="1" applyAlignment="1">
      <alignment vertical="center"/>
    </xf>
    <xf numFmtId="3" fontId="31" fillId="0" borderId="16" xfId="0" applyNumberFormat="1" applyFont="1" applyBorder="1"/>
    <xf numFmtId="3" fontId="66" fillId="0" borderId="16" xfId="0" applyNumberFormat="1" applyFont="1" applyBorder="1"/>
    <xf numFmtId="3" fontId="20" fillId="7" borderId="0" xfId="0" applyNumberFormat="1" applyFont="1" applyFill="1"/>
    <xf numFmtId="3" fontId="63" fillId="7" borderId="0" xfId="0" applyNumberFormat="1" applyFont="1" applyFill="1"/>
    <xf numFmtId="3" fontId="55" fillId="17" borderId="15" xfId="0" applyNumberFormat="1" applyFont="1" applyFill="1" applyBorder="1" applyAlignment="1">
      <alignment horizontal="center" vertical="center"/>
    </xf>
    <xf numFmtId="0" fontId="52" fillId="0" borderId="16" xfId="0" applyFont="1" applyBorder="1"/>
    <xf numFmtId="3" fontId="52" fillId="0" borderId="16" xfId="0" applyNumberFormat="1" applyFont="1" applyBorder="1"/>
    <xf numFmtId="3" fontId="52" fillId="0" borderId="17" xfId="0" applyNumberFormat="1" applyFont="1" applyBorder="1"/>
    <xf numFmtId="0" fontId="53" fillId="15" borderId="20" xfId="0" applyFont="1" applyFill="1" applyBorder="1"/>
    <xf numFmtId="0" fontId="52" fillId="12" borderId="20" xfId="0" applyFont="1" applyFill="1" applyBorder="1"/>
    <xf numFmtId="0" fontId="52" fillId="11" borderId="16" xfId="0" applyFont="1" applyFill="1" applyBorder="1"/>
    <xf numFmtId="0" fontId="53" fillId="15" borderId="16" xfId="0" applyFont="1" applyFill="1" applyBorder="1"/>
    <xf numFmtId="0" fontId="52" fillId="3" borderId="20" xfId="0" applyFont="1" applyFill="1" applyBorder="1"/>
    <xf numFmtId="0" fontId="52" fillId="3" borderId="16" xfId="0" applyFont="1" applyFill="1" applyBorder="1"/>
    <xf numFmtId="0" fontId="52" fillId="11" borderId="20" xfId="0" applyFont="1" applyFill="1" applyBorder="1"/>
    <xf numFmtId="0" fontId="31" fillId="12" borderId="16" xfId="0" applyFont="1" applyFill="1" applyBorder="1"/>
    <xf numFmtId="0" fontId="31" fillId="11" borderId="16" xfId="0" applyFont="1" applyFill="1" applyBorder="1"/>
    <xf numFmtId="0" fontId="52" fillId="0" borderId="20" xfId="0" applyFont="1" applyBorder="1"/>
    <xf numFmtId="0" fontId="53" fillId="15" borderId="39" xfId="0" applyFont="1" applyFill="1" applyBorder="1"/>
    <xf numFmtId="0" fontId="31" fillId="0" borderId="20" xfId="0" applyFont="1" applyBorder="1"/>
    <xf numFmtId="0" fontId="31" fillId="12" borderId="20" xfId="0" applyFont="1" applyFill="1" applyBorder="1"/>
    <xf numFmtId="0" fontId="31" fillId="11" borderId="20" xfId="0" applyFont="1" applyFill="1" applyBorder="1"/>
    <xf numFmtId="3" fontId="66" fillId="0" borderId="0" xfId="0" applyNumberFormat="1" applyFont="1"/>
    <xf numFmtId="0" fontId="31" fillId="3" borderId="16" xfId="0" applyFont="1" applyFill="1" applyBorder="1"/>
    <xf numFmtId="0" fontId="20" fillId="0" borderId="0" xfId="0" applyFont="1" applyAlignment="1">
      <alignment vertical="center" wrapText="1"/>
    </xf>
    <xf numFmtId="0" fontId="37" fillId="2" borderId="10" xfId="0" applyFont="1" applyFill="1" applyBorder="1" applyAlignment="1">
      <alignment vertical="center" wrapText="1"/>
    </xf>
    <xf numFmtId="0" fontId="28" fillId="2" borderId="11" xfId="0" applyFont="1" applyFill="1" applyBorder="1" applyAlignment="1">
      <alignment vertical="center" wrapText="1"/>
    </xf>
    <xf numFmtId="0" fontId="28" fillId="2" borderId="0" xfId="0" applyFont="1" applyFill="1" applyAlignment="1">
      <alignment vertical="center" wrapText="1"/>
    </xf>
    <xf numFmtId="0" fontId="28" fillId="2" borderId="13" xfId="0" applyFont="1" applyFill="1" applyBorder="1" applyAlignment="1">
      <alignment vertical="center" wrapText="1"/>
    </xf>
    <xf numFmtId="0" fontId="67" fillId="0" borderId="0" xfId="0" applyFont="1" applyAlignment="1">
      <alignment vertical="center"/>
    </xf>
    <xf numFmtId="0" fontId="67" fillId="0" borderId="0" xfId="0" applyFont="1"/>
    <xf numFmtId="164" fontId="3" fillId="0" borderId="0" xfId="1" applyNumberFormat="1" applyFont="1" applyAlignment="1">
      <alignment horizontal="left"/>
    </xf>
    <xf numFmtId="0" fontId="23" fillId="7" borderId="7" xfId="0" applyFont="1" applyFill="1" applyBorder="1" applyAlignment="1">
      <alignment horizontal="left" vertical="center"/>
    </xf>
    <xf numFmtId="0" fontId="23" fillId="7" borderId="9" xfId="0" applyFont="1" applyFill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0" fontId="23" fillId="7" borderId="9" xfId="0" applyFont="1" applyFill="1" applyBorder="1" applyAlignment="1">
      <alignment horizontal="left" vertical="center" wrapText="1"/>
    </xf>
    <xf numFmtId="0" fontId="23" fillId="7" borderId="6" xfId="0" applyFont="1" applyFill="1" applyBorder="1" applyAlignment="1">
      <alignment horizontal="left" vertical="center" wrapText="1"/>
    </xf>
    <xf numFmtId="0" fontId="23" fillId="7" borderId="7" xfId="0" applyFont="1" applyFill="1" applyBorder="1" applyAlignment="1">
      <alignment horizontal="left" vertical="center" wrapText="1"/>
    </xf>
    <xf numFmtId="3" fontId="40" fillId="0" borderId="4" xfId="0" applyNumberFormat="1" applyFont="1" applyBorder="1" applyAlignment="1">
      <alignment horizontal="left" vertical="center" wrapText="1"/>
    </xf>
    <xf numFmtId="3" fontId="40" fillId="0" borderId="8" xfId="0" applyNumberFormat="1" applyFont="1" applyBorder="1" applyAlignment="1">
      <alignment horizontal="left" vertical="center" wrapText="1"/>
    </xf>
    <xf numFmtId="3" fontId="40" fillId="0" borderId="3" xfId="0" applyNumberFormat="1" applyFont="1" applyBorder="1" applyAlignment="1">
      <alignment horizontal="left" vertical="center" wrapText="1"/>
    </xf>
    <xf numFmtId="3" fontId="28" fillId="2" borderId="4" xfId="0" applyNumberFormat="1" applyFont="1" applyFill="1" applyBorder="1" applyAlignment="1">
      <alignment horizontal="left" vertical="center" wrapText="1"/>
    </xf>
    <xf numFmtId="3" fontId="28" fillId="2" borderId="8" xfId="0" applyNumberFormat="1" applyFont="1" applyFill="1" applyBorder="1" applyAlignment="1">
      <alignment horizontal="left" vertical="center" wrapText="1"/>
    </xf>
    <xf numFmtId="3" fontId="28" fillId="2" borderId="3" xfId="0" applyNumberFormat="1" applyFont="1" applyFill="1" applyBorder="1" applyAlignment="1">
      <alignment horizontal="left" vertical="center" wrapText="1"/>
    </xf>
    <xf numFmtId="0" fontId="23" fillId="7" borderId="17" xfId="0" applyFont="1" applyFill="1" applyBorder="1" applyAlignment="1">
      <alignment horizontal="left" vertical="center"/>
    </xf>
    <xf numFmtId="0" fontId="23" fillId="7" borderId="18" xfId="0" applyFont="1" applyFill="1" applyBorder="1" applyAlignment="1">
      <alignment horizontal="left" vertical="center"/>
    </xf>
    <xf numFmtId="0" fontId="23" fillId="7" borderId="19" xfId="0" applyFont="1" applyFill="1" applyBorder="1" applyAlignment="1">
      <alignment horizontal="left" vertical="center"/>
    </xf>
    <xf numFmtId="0" fontId="27" fillId="7" borderId="7" xfId="0" applyFont="1" applyFill="1" applyBorder="1" applyAlignment="1">
      <alignment horizontal="left" vertical="center"/>
    </xf>
    <xf numFmtId="0" fontId="27" fillId="7" borderId="9" xfId="0" applyFont="1" applyFill="1" applyBorder="1" applyAlignment="1">
      <alignment horizontal="left" vertical="center"/>
    </xf>
    <xf numFmtId="0" fontId="27" fillId="7" borderId="6" xfId="0" applyFont="1" applyFill="1" applyBorder="1" applyAlignment="1">
      <alignment horizontal="left" vertical="center"/>
    </xf>
    <xf numFmtId="0" fontId="55" fillId="2" borderId="13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horizontal="left" vertical="center" wrapText="1"/>
    </xf>
    <xf numFmtId="0" fontId="31" fillId="7" borderId="0" xfId="0" applyFont="1" applyFill="1" applyAlignment="1">
      <alignment horizontal="left" vertical="center" wrapText="1"/>
    </xf>
    <xf numFmtId="0" fontId="27" fillId="7" borderId="23" xfId="0" applyFont="1" applyFill="1" applyBorder="1" applyAlignment="1">
      <alignment horizontal="left" vertical="center"/>
    </xf>
    <xf numFmtId="0" fontId="23" fillId="7" borderId="23" xfId="0" applyFont="1" applyFill="1" applyBorder="1" applyAlignment="1">
      <alignment horizontal="left" vertical="center"/>
    </xf>
    <xf numFmtId="0" fontId="23" fillId="7" borderId="16" xfId="0" applyFont="1" applyFill="1" applyBorder="1" applyAlignment="1">
      <alignment horizontal="left" vertical="center"/>
    </xf>
    <xf numFmtId="0" fontId="37" fillId="18" borderId="21" xfId="0" applyFont="1" applyFill="1" applyBorder="1" applyAlignment="1">
      <alignment horizontal="left"/>
    </xf>
    <xf numFmtId="0" fontId="37" fillId="18" borderId="22" xfId="0" applyFont="1" applyFill="1" applyBorder="1" applyAlignment="1">
      <alignment horizontal="left"/>
    </xf>
    <xf numFmtId="0" fontId="47" fillId="0" borderId="33" xfId="0" applyFont="1" applyBorder="1" applyAlignment="1">
      <alignment horizontal="left" vertical="center" wrapText="1" readingOrder="1"/>
    </xf>
    <xf numFmtId="0" fontId="47" fillId="0" borderId="34" xfId="0" applyFont="1" applyBorder="1" applyAlignment="1">
      <alignment horizontal="left" vertical="center" wrapText="1" readingOrder="1"/>
    </xf>
    <xf numFmtId="0" fontId="23" fillId="7" borderId="7" xfId="0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 readingOrder="1"/>
    </xf>
    <xf numFmtId="0" fontId="48" fillId="2" borderId="25" xfId="0" applyFont="1" applyFill="1" applyBorder="1" applyAlignment="1">
      <alignment horizontal="center" vertical="center" wrapText="1" readingOrder="1"/>
    </xf>
    <xf numFmtId="0" fontId="47" fillId="0" borderId="28" xfId="0" applyFont="1" applyBorder="1" applyAlignment="1">
      <alignment horizontal="left" vertical="center" wrapText="1" readingOrder="1"/>
    </xf>
    <xf numFmtId="0" fontId="47" fillId="0" borderId="29" xfId="0" applyFont="1" applyBorder="1" applyAlignment="1">
      <alignment horizontal="left" vertical="center" wrapText="1" readingOrder="1"/>
    </xf>
    <xf numFmtId="3" fontId="40" fillId="16" borderId="4" xfId="0" applyNumberFormat="1" applyFont="1" applyFill="1" applyBorder="1" applyAlignment="1">
      <alignment horizontal="left" vertical="center" wrapText="1"/>
    </xf>
    <xf numFmtId="3" fontId="40" fillId="16" borderId="8" xfId="0" applyNumberFormat="1" applyFont="1" applyFill="1" applyBorder="1" applyAlignment="1">
      <alignment horizontal="left" vertical="center" wrapText="1"/>
    </xf>
    <xf numFmtId="3" fontId="40" fillId="16" borderId="3" xfId="0" applyNumberFormat="1" applyFont="1" applyFill="1" applyBorder="1" applyAlignment="1">
      <alignment horizontal="left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3" fontId="55" fillId="17" borderId="15" xfId="0" applyNumberFormat="1" applyFont="1" applyFill="1" applyBorder="1" applyAlignment="1">
      <alignment horizontal="center" vertical="center" wrapText="1"/>
    </xf>
    <xf numFmtId="3" fontId="55" fillId="17" borderId="15" xfId="0" applyNumberFormat="1" applyFont="1" applyFill="1" applyBorder="1" applyAlignment="1">
      <alignment horizontal="left" vertical="center" wrapText="1"/>
    </xf>
    <xf numFmtId="0" fontId="68" fillId="0" borderId="0" xfId="0" applyFont="1" applyAlignment="1">
      <alignment horizontal="left" indent="1"/>
    </xf>
  </cellXfs>
  <cellStyles count="7">
    <cellStyle name="Normal" xfId="0" builtinId="0"/>
    <cellStyle name="Normal 2 2 2" xfId="5" xr:uid="{D4855D1B-1A6E-4387-A582-3C2B67B91318}"/>
    <cellStyle name="Normal 2 2 3 4" xfId="1" xr:uid="{00000000-0005-0000-0000-000001000000}"/>
    <cellStyle name="Normal 20" xfId="4" xr:uid="{8D4ACA9B-4226-41B1-BA4D-1CEAA3F84C47}"/>
    <cellStyle name="Normal 3" xfId="3" xr:uid="{0E6E8561-8EB1-4195-9E61-E060A59325CC}"/>
    <cellStyle name="Normal 3 5 4" xfId="2" xr:uid="{00000000-0005-0000-0000-000002000000}"/>
    <cellStyle name="Percent" xfId="6" builtinId="5"/>
  </cellStyles>
  <dxfs count="12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  <dxf>
      <font>
        <b/>
        <i val="0"/>
        <color rgb="FF00B050"/>
      </font>
      <fill>
        <patternFill>
          <fgColor theme="0"/>
          <bgColor theme="9" tint="0.79998168889431442"/>
        </patternFill>
      </fill>
    </dxf>
  </dxfs>
  <tableStyles count="0" defaultTableStyle="TableStyleMedium2" defaultPivotStyle="PivotStyleLight16"/>
  <colors>
    <mruColors>
      <color rgb="FFCBF5F8"/>
      <color rgb="FFFFEAAD"/>
      <color rgb="FFC0E3C2"/>
      <color rgb="FFFFB9B9"/>
      <color rgb="FF9ECFDE"/>
      <color rgb="FFFF9B9B"/>
      <color rgb="FFFB7365"/>
      <color rgb="FFFF7575"/>
      <color rgb="FF8FCD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79261</xdr:colOff>
      <xdr:row>12</xdr:row>
      <xdr:rowOff>48645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911" y="2772795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56959</xdr:colOff>
      <xdr:row>1</xdr:row>
      <xdr:rowOff>74200</xdr:rowOff>
    </xdr:from>
    <xdr:to>
      <xdr:col>2</xdr:col>
      <xdr:colOff>631907</xdr:colOff>
      <xdr:row>1</xdr:row>
      <xdr:rowOff>284340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109AF1B-A93F-4D9A-B05D-C582115E6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959" y="264700"/>
          <a:ext cx="1089298" cy="217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3C03E59-A897-41C6-B056-EBDB7C3C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06" y="288289"/>
          <a:ext cx="1091457" cy="187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E65B5D5-FC79-433B-B0A9-2358E8DB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5107" cy="1947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666C0E03-3429-4EAA-BBA2-0A504E83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606" y="288289"/>
          <a:ext cx="1091457" cy="1870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58416</xdr:colOff>
      <xdr:row>1</xdr:row>
      <xdr:rowOff>93979</xdr:rowOff>
    </xdr:from>
    <xdr:to>
      <xdr:col>1</xdr:col>
      <xdr:colOff>895873</xdr:colOff>
      <xdr:row>1</xdr:row>
      <xdr:rowOff>288689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1C5ACA6D-EAD5-4783-A29D-536E2E40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8917" cy="1947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2F469A2-C1F1-4BC5-8F13-80AF8153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88917" cy="1947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54606</xdr:colOff>
      <xdr:row>1</xdr:row>
      <xdr:rowOff>97789</xdr:rowOff>
    </xdr:from>
    <xdr:to>
      <xdr:col>1</xdr:col>
      <xdr:colOff>892063</xdr:colOff>
      <xdr:row>1</xdr:row>
      <xdr:rowOff>284879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C504905-200D-4AA0-B7F2-79F26606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16" y="284479"/>
          <a:ext cx="1091457" cy="1947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60769</xdr:colOff>
      <xdr:row>1</xdr:row>
      <xdr:rowOff>74200</xdr:rowOff>
    </xdr:from>
    <xdr:to>
      <xdr:col>2</xdr:col>
      <xdr:colOff>628097</xdr:colOff>
      <xdr:row>1</xdr:row>
      <xdr:rowOff>288150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32B286BF-2BEE-4A77-BBD0-129CB8E81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769" y="264700"/>
          <a:ext cx="1062628" cy="213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856B7F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USERS/c699248/LOCALS~1/Temp/Temporary%20Directory%201%20for%20Mov%20impostos%20diferidos_consol_SGPS_DEZ11.zip/movimento%20impostos_350.xls?C6AC65B3" TargetMode="External"/><Relationship Id="rId1" Type="http://schemas.openxmlformats.org/officeDocument/2006/relationships/externalLinkPath" Target="file:///\\C6AC65B3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ople.ey.com/personal/paloma_munozgongora_es_ey_com/Documents/Documents/Clientes/Santander/Loan%20tape/Septiembre%202020/4.-%20Aplicabilidad/Loan%20Tape%20Estructural/BDR/Loan%20Tapes%20vs%20BDR_v11_MAPEO_BDR_SCIB_vbar2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sites/BSLoanTapeBCE/Shared%20Documents/General/04.%20Especifica&#231;&#227;o/06.%20Enviado%20IT/20211119/Especifica&#231;&#227;o%20-%20BCE%20Loan%20Tape%20202111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80A929\5221%20Carteira%20de%20Titulos%20_%2031.12.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Documents%20and%20Settings/ztorres/Local%20Settings/Temporary%20Internet%20Files/OLK19E/5221%20Carteira%20de%20Titulos%20_%2031.12.2004.xls?898FAE39" TargetMode="External"/><Relationship Id="rId1" Type="http://schemas.openxmlformats.org/officeDocument/2006/relationships/externalLinkPath" Target="file:///\\898FAE39\5221%20Carteira%20de%20Titulos%20_%2031.12.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2BD4D9\5520%20An&#225;lise%20da%20Carteira%20Pr&#243;pria%20de%20T&#237;tulos%20a%2031-12-2004_BSP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santandernet-my.sharepoint.com/01.%20BST/02.%20RDA/02.%20Otimiza&#231;&#227;o%20de%20Envios/Ficheiros%20realizados%2011set/Documents%20and%20Settings/mmelancia/Desktop/Juros%20a%20receber/5520%20An&#225;lise%20da%20Carteira%20Pr&#243;pria%20de%20T&#237;tulos%20a%2031-12-2004_BSP.xls?17A4EE7C" TargetMode="External"/><Relationship Id="rId1" Type="http://schemas.openxmlformats.org/officeDocument/2006/relationships/externalLinkPath" Target="file:///\\17A4EE7C\5520%20An&#225;lise%20da%20Carteira%20Pr&#243;pria%20de%20T&#237;tulos%20a%2031-12-2004_BS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ción"/>
      <sheetName val="Análisis Mapeo"/>
      <sheetName val="Calidad Campos BDR"/>
      <sheetName val="Calidad Tablas BDR"/>
      <sheetName val="Code List"/>
      <sheetName val="DefinicionesEnviad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1. Metodologia"/>
      <sheetName val="Entity"/>
      <sheetName val="Instrument"/>
      <sheetName val="Instr_Entity"/>
      <sheetName val="Protection"/>
      <sheetName val="Instr_Protection"/>
      <sheetName val="EF - Code List"/>
      <sheetName val="Code List"/>
      <sheetName val="Aux1. Campos Excluídos"/>
      <sheetName val="SUBPORTFOLIO_ID - Code List"/>
      <sheetName val="Aux2. Campos dif. de CRC"/>
      <sheetName val="Tabelas AUX"/>
      <sheetName val="Especificação - BCE Loan Tap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  <pageSetUpPr autoPageBreaks="0" fitToPage="1"/>
  </sheetPr>
  <dimension ref="A1:AD70"/>
  <sheetViews>
    <sheetView showGridLines="0" tabSelected="1" zoomScale="80" zoomScaleNormal="80" workbookViewId="0"/>
  </sheetViews>
  <sheetFormatPr defaultColWidth="0" defaultRowHeight="0" customHeight="1" zeroHeight="1" x14ac:dyDescent="0.25"/>
  <cols>
    <col min="1" max="1" width="3.5546875" style="1" customWidth="1"/>
    <col min="2" max="14" width="9.109375" style="1" customWidth="1"/>
    <col min="15" max="15" width="20.44140625" style="1" customWidth="1"/>
    <col min="16" max="16" width="5.5546875" style="1" hidden="1" customWidth="1"/>
    <col min="17" max="29" width="9.109375" style="1" hidden="1"/>
    <col min="30" max="30" width="14.5546875" style="1" hidden="1" customWidth="1"/>
    <col min="31" max="16384" width="9.109375" style="1" hidden="1"/>
  </cols>
  <sheetData>
    <row r="1" spans="2:9" ht="28.5" customHeight="1" x14ac:dyDescent="0.25"/>
    <row r="2" spans="2:9" ht="13.2" x14ac:dyDescent="0.25"/>
    <row r="3" spans="2:9" ht="13.2" x14ac:dyDescent="0.25"/>
    <row r="4" spans="2:9" ht="46.8" x14ac:dyDescent="0.25">
      <c r="B4" s="2" t="s">
        <v>0</v>
      </c>
    </row>
    <row r="5" spans="2:9" ht="17.399999999999999" x14ac:dyDescent="0.25">
      <c r="B5" s="3" t="s">
        <v>1</v>
      </c>
    </row>
    <row r="6" spans="2:9" ht="13.8" thickBot="1" x14ac:dyDescent="0.3">
      <c r="B6" s="4"/>
      <c r="C6" s="4"/>
      <c r="D6" s="4"/>
      <c r="E6" s="4"/>
      <c r="F6" s="4"/>
      <c r="G6" s="4"/>
      <c r="H6" s="4"/>
      <c r="I6" s="4"/>
    </row>
    <row r="7" spans="2:9" ht="14.4" x14ac:dyDescent="0.35">
      <c r="F7" s="5"/>
    </row>
    <row r="8" spans="2:9" ht="13.2" x14ac:dyDescent="0.25">
      <c r="B8" s="18" t="s">
        <v>2</v>
      </c>
      <c r="C8" s="272">
        <v>45068</v>
      </c>
      <c r="D8" s="272"/>
      <c r="E8" s="272"/>
    </row>
    <row r="9" spans="2:9" ht="13.2" x14ac:dyDescent="0.25"/>
    <row r="10" spans="2:9" ht="15.6" x14ac:dyDescent="0.3">
      <c r="B10" s="315" t="s">
        <v>260</v>
      </c>
    </row>
    <row r="11" spans="2:9" ht="13.2" x14ac:dyDescent="0.25"/>
    <row r="12" spans="2:9" ht="13.5" customHeight="1" x14ac:dyDescent="0.25"/>
    <row r="13" spans="2:9" ht="13.2" x14ac:dyDescent="0.25"/>
    <row r="14" spans="2:9" ht="13.2" x14ac:dyDescent="0.25"/>
    <row r="15" spans="2:9" ht="13.2" x14ac:dyDescent="0.25"/>
    <row r="16" spans="2:9" ht="13.2" x14ac:dyDescent="0.25"/>
    <row r="17" spans="13:15" s="6" customFormat="1" ht="13.5" customHeight="1" x14ac:dyDescent="0.3">
      <c r="O17" s="7"/>
    </row>
    <row r="18" spans="13:15" s="8" customFormat="1" ht="13.5" customHeight="1" x14ac:dyDescent="0.4">
      <c r="O18" s="9"/>
    </row>
    <row r="19" spans="13:15" ht="13.2" x14ac:dyDescent="0.25">
      <c r="O19" s="10"/>
    </row>
    <row r="20" spans="13:15" ht="13.2" x14ac:dyDescent="0.25">
      <c r="O20" s="10"/>
    </row>
    <row r="21" spans="13:15" ht="15.6" x14ac:dyDescent="0.3">
      <c r="O21" s="11"/>
    </row>
    <row r="22" spans="13:15" ht="13.2" x14ac:dyDescent="0.25">
      <c r="O22" s="12"/>
    </row>
    <row r="23" spans="13:15" ht="13.2" x14ac:dyDescent="0.25">
      <c r="O23" s="12"/>
    </row>
    <row r="24" spans="13:15" ht="15.6" x14ac:dyDescent="0.3">
      <c r="O24" s="13"/>
    </row>
    <row r="25" spans="13:15" ht="13.2" x14ac:dyDescent="0.25">
      <c r="O25" s="10"/>
    </row>
    <row r="26" spans="13:15" ht="13.2" x14ac:dyDescent="0.25">
      <c r="O26" s="10"/>
    </row>
    <row r="27" spans="13:15" ht="13.2" x14ac:dyDescent="0.25">
      <c r="O27" s="10"/>
    </row>
    <row r="28" spans="13:15" ht="13.2" x14ac:dyDescent="0.25">
      <c r="O28" s="10"/>
    </row>
    <row r="29" spans="13:15" ht="13.2" x14ac:dyDescent="0.25">
      <c r="O29" s="10"/>
    </row>
    <row r="30" spans="13:15" ht="13.2" x14ac:dyDescent="0.25">
      <c r="O30" s="10"/>
    </row>
    <row r="31" spans="13:15" ht="13.2" x14ac:dyDescent="0.25">
      <c r="O31" s="10"/>
    </row>
    <row r="32" spans="13:15" ht="13.2" x14ac:dyDescent="0.25">
      <c r="M32" s="14"/>
      <c r="N32" s="15"/>
      <c r="O32" s="16"/>
    </row>
    <row r="33" ht="13.2" x14ac:dyDescent="0.25"/>
    <row r="34" ht="13.2" hidden="1" x14ac:dyDescent="0.25"/>
    <row r="35" ht="13.2" hidden="1" x14ac:dyDescent="0.25"/>
    <row r="36" ht="13.2" hidden="1" x14ac:dyDescent="0.25"/>
    <row r="37" ht="13.2" hidden="1" x14ac:dyDescent="0.25"/>
    <row r="38" ht="13.2" hidden="1" x14ac:dyDescent="0.25"/>
    <row r="39" ht="13.2" hidden="1" x14ac:dyDescent="0.25"/>
    <row r="40" ht="13.2" hidden="1" x14ac:dyDescent="0.25"/>
    <row r="41" ht="13.2" hidden="1" x14ac:dyDescent="0.25"/>
    <row r="42" ht="13.2" hidden="1" x14ac:dyDescent="0.25"/>
    <row r="43" ht="13.2" hidden="1" x14ac:dyDescent="0.25"/>
    <row r="44" ht="13.2" hidden="1" x14ac:dyDescent="0.25"/>
    <row r="45" ht="13.2" hidden="1" x14ac:dyDescent="0.25"/>
    <row r="46" ht="12.75" customHeight="1" x14ac:dyDescent="0.25"/>
    <row r="70" spans="15:15" ht="0" hidden="1" customHeight="1" x14ac:dyDescent="0.25">
      <c r="O70" s="17"/>
    </row>
  </sheetData>
  <mergeCells count="1">
    <mergeCell ref="C8:E8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F5D0-1A22-4629-BD59-9D44BC01959C}">
  <sheetPr>
    <pageSetUpPr autoPageBreaks="0"/>
  </sheetPr>
  <dimension ref="A1:P195"/>
  <sheetViews>
    <sheetView showGridLines="0" zoomScaleNormal="100" workbookViewId="0"/>
  </sheetViews>
  <sheetFormatPr defaultColWidth="0" defaultRowHeight="17.399999999999999" zeroHeight="1" x14ac:dyDescent="0.45"/>
  <cols>
    <col min="1" max="2" width="3.6640625" style="23" customWidth="1"/>
    <col min="3" max="3" width="35.44140625" style="23" customWidth="1"/>
    <col min="4" max="4" width="33.44140625" style="23" customWidth="1"/>
    <col min="5" max="5" width="20.6640625" style="23" customWidth="1"/>
    <col min="6" max="6" width="22.6640625" style="23" bestFit="1" customWidth="1"/>
    <col min="7" max="7" width="1.77734375" style="23" customWidth="1"/>
    <col min="8" max="10" width="20.77734375" style="23" customWidth="1"/>
    <col min="11" max="11" width="20" style="23" customWidth="1"/>
    <col min="12" max="12" width="2.77734375" style="23" customWidth="1"/>
    <col min="13" max="13" width="9.88671875" style="23" hidden="1" customWidth="1"/>
    <col min="14" max="14" width="22.6640625" style="23" hidden="1" customWidth="1"/>
    <col min="15" max="15" width="8.88671875" style="23" hidden="1" customWidth="1"/>
    <col min="16" max="16" width="17.5546875" style="23" hidden="1" customWidth="1"/>
    <col min="17" max="16384" width="8.88671875" style="23" hidden="1"/>
  </cols>
  <sheetData>
    <row r="1" spans="1:16" ht="15" customHeight="1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6" ht="34.5" customHeight="1" x14ac:dyDescent="0.4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6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6" ht="15" customHeight="1" x14ac:dyDescent="0.4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6" ht="15" customHeight="1" x14ac:dyDescent="0.45">
      <c r="A5" s="22"/>
      <c r="B5" s="25" t="s">
        <v>3</v>
      </c>
      <c r="C5" s="25"/>
      <c r="D5" s="25"/>
      <c r="E5" s="25"/>
      <c r="F5" s="26"/>
      <c r="G5" s="26"/>
      <c r="H5" s="26"/>
      <c r="I5" s="26"/>
      <c r="J5" s="26"/>
      <c r="K5" s="26"/>
      <c r="L5" s="270"/>
    </row>
    <row r="6" spans="1:16" ht="15" customHeight="1" x14ac:dyDescent="0.4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6" ht="15" customHeight="1" x14ac:dyDescent="0.45">
      <c r="A7" s="22"/>
      <c r="C7" s="27" t="s">
        <v>4</v>
      </c>
      <c r="D7" s="28">
        <v>45046</v>
      </c>
      <c r="E7" s="22"/>
      <c r="F7" s="22"/>
      <c r="G7" s="22"/>
      <c r="H7" s="22"/>
      <c r="I7" s="22"/>
      <c r="J7" s="22"/>
    </row>
    <row r="8" spans="1:16" ht="15" customHeight="1" x14ac:dyDescent="0.45">
      <c r="A8" s="22"/>
      <c r="C8" s="27" t="s">
        <v>5</v>
      </c>
      <c r="D8" s="28">
        <v>45032</v>
      </c>
      <c r="E8" s="22"/>
      <c r="F8" s="22"/>
      <c r="G8" s="22"/>
      <c r="H8" s="22"/>
      <c r="I8" s="22"/>
      <c r="J8" s="22"/>
    </row>
    <row r="9" spans="1:16" ht="15" customHeight="1" x14ac:dyDescent="0.45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6" ht="15" hidden="1" customHeight="1" x14ac:dyDescent="0.45">
      <c r="C10" s="29"/>
      <c r="D10" s="29"/>
    </row>
    <row r="11" spans="1:16" ht="15" hidden="1" customHeight="1" x14ac:dyDescent="0.45">
      <c r="B11" s="30" t="s">
        <v>215</v>
      </c>
      <c r="J11" s="155" t="s">
        <v>216</v>
      </c>
    </row>
    <row r="12" spans="1:16" ht="4.95" hidden="1" customHeight="1" x14ac:dyDescent="0.45">
      <c r="B12" s="30"/>
    </row>
    <row r="13" spans="1:16" ht="15" hidden="1" customHeight="1" x14ac:dyDescent="0.45">
      <c r="C13" s="31" t="s">
        <v>6</v>
      </c>
      <c r="D13" s="31" t="s">
        <v>7</v>
      </c>
      <c r="E13" s="31" t="s">
        <v>99</v>
      </c>
      <c r="F13" s="31" t="s">
        <v>8</v>
      </c>
      <c r="H13" s="31" t="s">
        <v>9</v>
      </c>
      <c r="J13" s="30"/>
      <c r="K13" s="30"/>
      <c r="L13" s="30"/>
    </row>
    <row r="14" spans="1:16" ht="15" hidden="1" customHeight="1" x14ac:dyDescent="0.45">
      <c r="C14" s="32" t="s">
        <v>10</v>
      </c>
      <c r="D14" s="32" t="s">
        <v>11</v>
      </c>
      <c r="E14" s="32">
        <v>2</v>
      </c>
      <c r="F14" s="33">
        <v>2080</v>
      </c>
      <c r="H14" s="33">
        <v>97220800.060000002</v>
      </c>
      <c r="J14" s="160">
        <f>(H14-'Dados Fevereiro | 16-04-23'!H14)/'Dados Fevereiro | 16-04-23'!H14</f>
        <v>-7.6691745129212133E-2</v>
      </c>
      <c r="K14"/>
      <c r="L14"/>
      <c r="P14" s="34"/>
    </row>
    <row r="15" spans="1:16" ht="15" hidden="1" customHeight="1" x14ac:dyDescent="0.45">
      <c r="C15" s="32" t="s">
        <v>10</v>
      </c>
      <c r="D15" s="32" t="s">
        <v>12</v>
      </c>
      <c r="E15" s="32">
        <v>2</v>
      </c>
      <c r="F15" s="33">
        <v>1959</v>
      </c>
      <c r="H15" s="33">
        <v>197252464.41999999</v>
      </c>
      <c r="J15" s="160">
        <f>(H15-'Dados Fevereiro | 16-04-23'!H15)/'Dados Fevereiro | 16-04-23'!H15</f>
        <v>-2.6380261593196157E-2</v>
      </c>
      <c r="K15"/>
      <c r="L15"/>
      <c r="P15" s="34"/>
    </row>
    <row r="16" spans="1:16" ht="15" hidden="1" customHeight="1" x14ac:dyDescent="0.45">
      <c r="C16" s="32" t="s">
        <v>10</v>
      </c>
      <c r="D16" s="32" t="s">
        <v>13</v>
      </c>
      <c r="E16" s="32">
        <v>2</v>
      </c>
      <c r="F16" s="33">
        <v>1910</v>
      </c>
      <c r="H16" s="33">
        <v>233199707.22999999</v>
      </c>
      <c r="J16" s="160">
        <f>(H16-'Dados Fevereiro | 16-04-23'!H16)/'Dados Fevereiro | 16-04-23'!H16</f>
        <v>3.4782000340847483E-2</v>
      </c>
      <c r="K16"/>
      <c r="L16"/>
      <c r="P16" s="34"/>
    </row>
    <row r="17" spans="2:16" ht="15" hidden="1" customHeight="1" x14ac:dyDescent="0.45">
      <c r="C17" s="32" t="s">
        <v>10</v>
      </c>
      <c r="D17" s="32" t="s">
        <v>14</v>
      </c>
      <c r="E17" s="32">
        <v>2</v>
      </c>
      <c r="F17" s="33">
        <v>1111</v>
      </c>
      <c r="H17" s="33">
        <v>88514776.890000001</v>
      </c>
      <c r="J17" s="160">
        <f>(H17-'Dados Fevereiro | 16-04-23'!H17)/'Dados Fevereiro | 16-04-23'!H17</f>
        <v>-3.4271906185663975E-2</v>
      </c>
      <c r="K17"/>
      <c r="L17"/>
      <c r="P17" s="34"/>
    </row>
    <row r="18" spans="2:16" ht="15" hidden="1" customHeight="1" x14ac:dyDescent="0.45">
      <c r="C18" s="32" t="s">
        <v>10</v>
      </c>
      <c r="D18" s="32" t="s">
        <v>15</v>
      </c>
      <c r="E18" s="32">
        <v>2</v>
      </c>
      <c r="F18" s="33">
        <v>59</v>
      </c>
      <c r="H18" s="33">
        <v>60749720.289999999</v>
      </c>
      <c r="J18" s="160">
        <f>(H18-'Dados Fevereiro | 16-04-23'!H18)/'Dados Fevereiro | 16-04-23'!H18</f>
        <v>2.5215978641722162E-2</v>
      </c>
      <c r="K18"/>
      <c r="L18"/>
      <c r="P18" s="34"/>
    </row>
    <row r="19" spans="2:16" ht="15" hidden="1" customHeight="1" x14ac:dyDescent="0.45">
      <c r="C19" s="32" t="s">
        <v>16</v>
      </c>
      <c r="D19" s="32" t="s">
        <v>16</v>
      </c>
      <c r="E19" s="32">
        <v>1</v>
      </c>
      <c r="F19" s="33">
        <v>931</v>
      </c>
      <c r="H19" s="33">
        <v>105997480.8</v>
      </c>
      <c r="J19" s="161">
        <f>(H19-'Dados Fevereiro | 16-04-23'!H19)/'Dados Fevereiro | 16-04-23'!H19</f>
        <v>0.18094527683641015</v>
      </c>
      <c r="K19"/>
      <c r="L19"/>
      <c r="P19" s="34"/>
    </row>
    <row r="20" spans="2:16" ht="15" hidden="1" customHeight="1" x14ac:dyDescent="0.45">
      <c r="C20" s="32" t="s">
        <v>17</v>
      </c>
      <c r="D20" s="32" t="s">
        <v>18</v>
      </c>
      <c r="E20" s="32">
        <v>2</v>
      </c>
      <c r="F20" s="33">
        <v>1519</v>
      </c>
      <c r="H20" s="33">
        <v>5013534959.6300001</v>
      </c>
      <c r="J20" s="161">
        <f>(H20-'Dados Fevereiro | 16-04-23'!H20)/'Dados Fevereiro | 16-04-23'!H20</f>
        <v>0.19838070188581328</v>
      </c>
      <c r="K20"/>
      <c r="L20"/>
      <c r="P20" s="34"/>
    </row>
    <row r="21" spans="2:16" ht="15" hidden="1" customHeight="1" x14ac:dyDescent="0.45">
      <c r="C21" s="32" t="s">
        <v>17</v>
      </c>
      <c r="D21" s="32" t="s">
        <v>19</v>
      </c>
      <c r="E21" s="32">
        <v>2</v>
      </c>
      <c r="F21" s="33">
        <v>364116</v>
      </c>
      <c r="H21" s="33">
        <v>53228846197.879997</v>
      </c>
      <c r="J21" s="160">
        <f>(H21-'Dados Fevereiro | 16-04-23'!H21)/'Dados Fevereiro | 16-04-23'!H21</f>
        <v>-9.5344757875990421E-3</v>
      </c>
      <c r="K21"/>
      <c r="L21"/>
      <c r="P21" s="34"/>
    </row>
    <row r="22" spans="2:16" ht="15" hidden="1" customHeight="1" x14ac:dyDescent="0.45">
      <c r="C22" s="32" t="s">
        <v>20</v>
      </c>
      <c r="D22" s="32" t="s">
        <v>20</v>
      </c>
      <c r="E22" s="32">
        <v>1</v>
      </c>
      <c r="F22" s="33">
        <v>21454</v>
      </c>
      <c r="G22" s="34"/>
      <c r="H22" s="33">
        <v>1644913875.76</v>
      </c>
      <c r="J22" s="160">
        <f>(H22-'Dados Fevereiro | 16-04-23'!H22)/'Dados Fevereiro | 16-04-23'!H22</f>
        <v>-1.5567730328343063E-2</v>
      </c>
      <c r="K22"/>
      <c r="L22"/>
      <c r="P22" s="34"/>
    </row>
    <row r="23" spans="2:16" ht="15" hidden="1" customHeight="1" x14ac:dyDescent="0.45">
      <c r="C23" s="32" t="s">
        <v>20</v>
      </c>
      <c r="D23" s="32" t="s">
        <v>20</v>
      </c>
      <c r="E23" s="23">
        <v>2</v>
      </c>
      <c r="F23" s="33">
        <v>5155</v>
      </c>
      <c r="G23" s="34"/>
      <c r="H23" s="33">
        <v>1516393960.6400001</v>
      </c>
      <c r="J23" s="160">
        <f>(H23-'Dados Fevereiro | 16-04-23'!H23)/'Dados Fevereiro | 16-04-23'!H23</f>
        <v>-7.5587663911153829E-3</v>
      </c>
      <c r="K23"/>
      <c r="L23"/>
      <c r="P23" s="34"/>
    </row>
    <row r="24" spans="2:16" ht="15" hidden="1" customHeight="1" x14ac:dyDescent="0.45">
      <c r="C24" s="32" t="s">
        <v>21</v>
      </c>
      <c r="D24" s="32" t="s">
        <v>22</v>
      </c>
      <c r="E24" s="32">
        <v>1</v>
      </c>
      <c r="F24" s="33">
        <v>90394</v>
      </c>
      <c r="H24" s="33">
        <v>8620506144.8999996</v>
      </c>
      <c r="J24" s="160">
        <f>(H24-'Dados Fevereiro | 16-04-23'!H24)/'Dados Fevereiro | 16-04-23'!H24</f>
        <v>-2.6368522141395612E-2</v>
      </c>
      <c r="K24"/>
      <c r="L24"/>
      <c r="P24" s="34"/>
    </row>
    <row r="25" spans="2:16" ht="15" hidden="1" customHeight="1" x14ac:dyDescent="0.45">
      <c r="C25" s="32" t="s">
        <v>21</v>
      </c>
      <c r="D25" s="32" t="s">
        <v>18</v>
      </c>
      <c r="E25" s="32">
        <v>1</v>
      </c>
      <c r="F25" s="33">
        <v>35116</v>
      </c>
      <c r="H25" s="33">
        <v>4779684099.1899996</v>
      </c>
      <c r="J25" s="160">
        <f>(H25-'Dados Fevereiro | 16-04-23'!H25)/'Dados Fevereiro | 16-04-23'!H25</f>
        <v>9.7850144459278449E-2</v>
      </c>
      <c r="K25"/>
      <c r="L25"/>
      <c r="P25" s="34"/>
    </row>
    <row r="26" spans="2:16" ht="15" hidden="1" customHeight="1" x14ac:dyDescent="0.45">
      <c r="C26" s="32" t="s">
        <v>21</v>
      </c>
      <c r="D26" s="32" t="s">
        <v>23</v>
      </c>
      <c r="E26" s="32">
        <v>1</v>
      </c>
      <c r="F26" s="33">
        <v>122665</v>
      </c>
      <c r="H26" s="33">
        <v>20410731291.099998</v>
      </c>
      <c r="J26" s="160">
        <f>(H26-'Dados Fevereiro | 16-04-23'!H26)/'Dados Fevereiro | 16-04-23'!H26</f>
        <v>-6.8897419418837327E-2</v>
      </c>
      <c r="K26"/>
      <c r="L26"/>
      <c r="P26" s="34"/>
    </row>
    <row r="27" spans="2:16" ht="15" hidden="1" customHeight="1" x14ac:dyDescent="0.45">
      <c r="C27" s="32" t="s">
        <v>24</v>
      </c>
      <c r="D27" s="32" t="s">
        <v>18</v>
      </c>
      <c r="E27" s="32">
        <v>2</v>
      </c>
      <c r="F27" s="33">
        <v>396</v>
      </c>
      <c r="H27" s="33">
        <v>547687505.91999996</v>
      </c>
      <c r="J27" s="160">
        <f>(H27-'Dados Fevereiro | 16-04-23'!H27)/'Dados Fevereiro | 16-04-23'!H27</f>
        <v>1.477466332615931E-2</v>
      </c>
      <c r="K27"/>
      <c r="L27"/>
      <c r="P27" s="34"/>
    </row>
    <row r="28" spans="2:16" ht="15" hidden="1" customHeight="1" x14ac:dyDescent="0.45">
      <c r="D28" s="29"/>
      <c r="E28" s="29"/>
    </row>
    <row r="29" spans="2:16" ht="15" hidden="1" customHeight="1" x14ac:dyDescent="0.45">
      <c r="B29" s="30" t="s">
        <v>25</v>
      </c>
      <c r="D29" s="29"/>
      <c r="E29" s="35"/>
      <c r="H29" s="30"/>
      <c r="K29" s="30"/>
    </row>
    <row r="30" spans="2:16" ht="4.95" hidden="1" customHeight="1" x14ac:dyDescent="0.45">
      <c r="B30" s="30"/>
    </row>
    <row r="31" spans="2:16" ht="15" hidden="1" customHeight="1" x14ac:dyDescent="0.45">
      <c r="C31" s="31" t="s">
        <v>6</v>
      </c>
      <c r="D31" s="31" t="s">
        <v>26</v>
      </c>
      <c r="E31" s="31" t="s">
        <v>8</v>
      </c>
      <c r="F31" s="31" t="s">
        <v>27</v>
      </c>
      <c r="H31" s="155" t="s">
        <v>208</v>
      </c>
      <c r="I31" s="104"/>
      <c r="K31" s="34"/>
      <c r="L31" s="34"/>
    </row>
    <row r="32" spans="2:16" ht="15" hidden="1" customHeight="1" x14ac:dyDescent="0.45">
      <c r="C32" s="32" t="s">
        <v>10</v>
      </c>
      <c r="D32" s="32" t="s">
        <v>28</v>
      </c>
      <c r="E32" s="33">
        <v>7419</v>
      </c>
      <c r="F32" s="33">
        <v>679782824.65999997</v>
      </c>
      <c r="H32" s="34">
        <f>E32-'Dados Fevereiro | 16-04-23'!E32</f>
        <v>-378</v>
      </c>
      <c r="I32" s="34">
        <f>F32-'Dados Fevereiro | 16-04-23'!F32</f>
        <v>-9217284.6499999762</v>
      </c>
      <c r="J32" s="159">
        <f>I32/'Dados Fevereiro | 16-04-23'!F32</f>
        <v>-1.337776950315819E-2</v>
      </c>
      <c r="K32" s="34"/>
      <c r="L32" s="34"/>
    </row>
    <row r="33" spans="3:12" ht="15" hidden="1" customHeight="1" x14ac:dyDescent="0.45">
      <c r="C33" s="32" t="s">
        <v>17</v>
      </c>
      <c r="D33" s="32" t="s">
        <v>28</v>
      </c>
      <c r="E33" s="33">
        <v>966</v>
      </c>
      <c r="F33" s="33">
        <v>4397381316.0200005</v>
      </c>
      <c r="H33" s="34">
        <f>E33-'Dados Fevereiro | 16-04-23'!E33</f>
        <v>-31</v>
      </c>
      <c r="I33" s="34">
        <f>F33-'Dados Fevereiro | 16-04-23'!F33</f>
        <v>739545072.13000059</v>
      </c>
      <c r="J33" s="162">
        <f>I33/'Dados Fevereiro | 16-04-23'!F33</f>
        <v>0.20218102255543197</v>
      </c>
      <c r="K33" s="34"/>
      <c r="L33" s="34"/>
    </row>
    <row r="34" spans="3:12" ht="15" hidden="1" customHeight="1" x14ac:dyDescent="0.45">
      <c r="C34" s="32" t="s">
        <v>17</v>
      </c>
      <c r="D34" s="32" t="s">
        <v>30</v>
      </c>
      <c r="E34" s="33">
        <v>399722</v>
      </c>
      <c r="F34" s="33">
        <v>53143386342.07</v>
      </c>
      <c r="H34" s="34">
        <f>E34-'Dados Fevereiro | 16-04-23'!E34</f>
        <v>-4115</v>
      </c>
      <c r="I34" s="34">
        <f>F34-'Dados Fevereiro | 16-04-23'!F34</f>
        <v>-489509229.16999817</v>
      </c>
      <c r="J34" s="159">
        <f>I34/'Dados Fevereiro | 16-04-23'!F34</f>
        <v>-9.1270333991158147E-3</v>
      </c>
      <c r="K34" s="34"/>
      <c r="L34" s="34"/>
    </row>
    <row r="35" spans="3:12" ht="15" hidden="1" customHeight="1" x14ac:dyDescent="0.45">
      <c r="C35" s="32" t="s">
        <v>17</v>
      </c>
      <c r="D35" s="32" t="s">
        <v>20</v>
      </c>
      <c r="E35" s="33">
        <v>4941</v>
      </c>
      <c r="F35" s="33">
        <v>1492878315.54</v>
      </c>
      <c r="H35" s="34">
        <f>E35-'Dados Fevereiro | 16-04-23'!E35</f>
        <v>-64</v>
      </c>
      <c r="I35" s="34">
        <f>F35-'Dados Fevereiro | 16-04-23'!F35</f>
        <v>-10946366.670000076</v>
      </c>
      <c r="J35" s="159">
        <f>I35/'Dados Fevereiro | 16-04-23'!F35</f>
        <v>-7.2790178266747465E-3</v>
      </c>
      <c r="K35" s="34"/>
      <c r="L35" s="34"/>
    </row>
    <row r="36" spans="3:12" ht="15" hidden="1" customHeight="1" x14ac:dyDescent="0.45">
      <c r="C36" s="32" t="s">
        <v>21</v>
      </c>
      <c r="D36" s="32" t="s">
        <v>28</v>
      </c>
      <c r="E36" s="33">
        <v>107594</v>
      </c>
      <c r="F36" s="33">
        <v>13872364109.01</v>
      </c>
      <c r="H36" s="34">
        <f>E36-'Dados Fevereiro | 16-04-23'!E36</f>
        <v>-1561</v>
      </c>
      <c r="I36" s="34">
        <f>F36-'Dados Fevereiro | 16-04-23'!F36</f>
        <v>-199715914.43000031</v>
      </c>
      <c r="J36" s="159">
        <f>I36/'Dados Fevereiro | 16-04-23'!F36</f>
        <v>-1.4192352097012778E-2</v>
      </c>
      <c r="K36" s="34"/>
      <c r="L36" s="34"/>
    </row>
    <row r="37" spans="3:12" ht="15" hidden="1" customHeight="1" x14ac:dyDescent="0.45">
      <c r="C37" s="32" t="s">
        <v>21</v>
      </c>
      <c r="D37" s="32" t="s">
        <v>16</v>
      </c>
      <c r="E37" s="33">
        <v>11174</v>
      </c>
      <c r="F37" s="33">
        <v>105997394.7</v>
      </c>
      <c r="H37" s="34">
        <f>E37-'Dados Fevereiro | 16-04-23'!E37</f>
        <v>2133</v>
      </c>
      <c r="I37" s="34">
        <f>F37-'Dados Fevereiro | 16-04-23'!F37</f>
        <v>16239423.439999998</v>
      </c>
      <c r="J37" s="162">
        <f>I37/'Dados Fevereiro | 16-04-23'!F37</f>
        <v>0.18092458209599685</v>
      </c>
      <c r="K37" s="34"/>
      <c r="L37" s="34"/>
    </row>
    <row r="38" spans="3:12" ht="15" hidden="1" customHeight="1" x14ac:dyDescent="0.45">
      <c r="C38" s="32" t="s">
        <v>21</v>
      </c>
      <c r="D38" s="32" t="s">
        <v>30</v>
      </c>
      <c r="E38" s="33">
        <v>98371</v>
      </c>
      <c r="F38" s="33">
        <v>8467060361.0500002</v>
      </c>
      <c r="H38" s="34">
        <f>E38-'Dados Fevereiro | 16-04-23'!E38</f>
        <v>-2186</v>
      </c>
      <c r="I38" s="34">
        <f>F38-'Dados Fevereiro | 16-04-23'!F38</f>
        <v>-216567892.14000034</v>
      </c>
      <c r="J38" s="159">
        <f>I38/'Dados Fevereiro | 16-04-23'!F38</f>
        <v>-2.4939793117058229E-2</v>
      </c>
      <c r="K38" s="34"/>
      <c r="L38" s="34"/>
    </row>
    <row r="39" spans="3:12" ht="15" hidden="1" customHeight="1" x14ac:dyDescent="0.45">
      <c r="C39" s="32" t="s">
        <v>21</v>
      </c>
      <c r="D39" s="32" t="s">
        <v>20</v>
      </c>
      <c r="E39" s="33">
        <v>17437</v>
      </c>
      <c r="F39" s="33">
        <v>1586399716.99</v>
      </c>
      <c r="H39" s="34">
        <f>E39-'Dados Fevereiro | 16-04-23'!E39</f>
        <v>-26</v>
      </c>
      <c r="I39" s="34">
        <f>F39-'Dados Fevereiro | 16-04-23'!F39</f>
        <v>-2609044.2200000286</v>
      </c>
      <c r="J39" s="159">
        <f>I39/'Dados Fevereiro | 16-04-23'!F39</f>
        <v>-1.6419319286907462E-3</v>
      </c>
    </row>
    <row r="40" spans="3:12" ht="15" hidden="1" customHeight="1" x14ac:dyDescent="0.45">
      <c r="E40" s="34">
        <f>SUM(E32:E39)</f>
        <v>647624</v>
      </c>
    </row>
    <row r="41" spans="3:12" ht="15" hidden="1" customHeight="1" x14ac:dyDescent="0.45">
      <c r="E41" s="34"/>
    </row>
    <row r="42" spans="3:12" ht="15" hidden="1" customHeight="1" x14ac:dyDescent="0.45">
      <c r="D42" s="29"/>
      <c r="E42" s="29"/>
    </row>
    <row r="43" spans="3:12" ht="15" hidden="1" customHeight="1" x14ac:dyDescent="0.45">
      <c r="C43" s="36" t="s">
        <v>140</v>
      </c>
      <c r="D43" s="37"/>
      <c r="E43" s="37"/>
      <c r="F43" s="38"/>
      <c r="G43" s="38"/>
      <c r="H43" s="38"/>
      <c r="I43" s="38"/>
      <c r="J43" s="38"/>
    </row>
    <row r="44" spans="3:12" ht="15" hidden="1" customHeight="1" x14ac:dyDescent="0.45">
      <c r="H44" s="39"/>
      <c r="J44" s="39"/>
    </row>
    <row r="45" spans="3:12" ht="15" hidden="1" customHeight="1" x14ac:dyDescent="0.45">
      <c r="D45" s="40" t="s">
        <v>31</v>
      </c>
      <c r="E45" s="40"/>
      <c r="F45" s="40" t="s">
        <v>49</v>
      </c>
      <c r="G45" s="40"/>
      <c r="H45" s="40"/>
    </row>
    <row r="46" spans="3:12" ht="32.4" hidden="1" x14ac:dyDescent="0.45">
      <c r="C46" s="41" t="s">
        <v>32</v>
      </c>
      <c r="D46" s="42" t="s">
        <v>33</v>
      </c>
      <c r="E46" s="41" t="s">
        <v>34</v>
      </c>
      <c r="F46" s="43" t="s">
        <v>33</v>
      </c>
      <c r="G46" s="44"/>
      <c r="H46" s="41" t="s">
        <v>34</v>
      </c>
      <c r="I46" s="45" t="s">
        <v>138</v>
      </c>
      <c r="J46" s="45" t="s">
        <v>139</v>
      </c>
    </row>
    <row r="47" spans="3:12" ht="15" hidden="1" customHeight="1" x14ac:dyDescent="0.45">
      <c r="C47" s="46" t="s">
        <v>35</v>
      </c>
      <c r="D47" s="59">
        <f>F19</f>
        <v>931</v>
      </c>
      <c r="E47" s="59">
        <f>H19</f>
        <v>105997480.8</v>
      </c>
      <c r="F47" s="124">
        <f>E37</f>
        <v>11174</v>
      </c>
      <c r="G47" s="125"/>
      <c r="H47" s="59">
        <f>F37</f>
        <v>105997394.7</v>
      </c>
      <c r="I47" s="59">
        <f t="shared" ref="I47:I50" si="0">F47-D47</f>
        <v>10243</v>
      </c>
      <c r="J47" s="59">
        <f t="shared" ref="J47:J51" si="1">H47-E47</f>
        <v>-86.099999994039536</v>
      </c>
    </row>
    <row r="48" spans="3:12" ht="15" hidden="1" customHeight="1" x14ac:dyDescent="0.45">
      <c r="C48" s="46" t="s">
        <v>36</v>
      </c>
      <c r="D48" s="59">
        <f>SUM(F24:F26)</f>
        <v>248175</v>
      </c>
      <c r="E48" s="59">
        <f>SUM(H24:H26)</f>
        <v>33810921535.189999</v>
      </c>
      <c r="F48" s="124">
        <f>E36+E38</f>
        <v>205965</v>
      </c>
      <c r="G48" s="125"/>
      <c r="H48" s="59">
        <f>F36+F38</f>
        <v>22339424470.060001</v>
      </c>
      <c r="I48" s="59">
        <f>F48-D48</f>
        <v>-42210</v>
      </c>
      <c r="J48" s="59">
        <f>H48-E48</f>
        <v>-11471497065.129997</v>
      </c>
    </row>
    <row r="49" spans="2:12" ht="15" hidden="1" customHeight="1" x14ac:dyDescent="0.45">
      <c r="C49" s="46" t="s">
        <v>37</v>
      </c>
      <c r="D49" s="59">
        <f>SUM(F14:F18)+F27</f>
        <v>7515</v>
      </c>
      <c r="E49" s="59">
        <f>SUM(H14:H18)+H27</f>
        <v>1224624974.8099999</v>
      </c>
      <c r="F49" s="124">
        <f>SUM(E32)</f>
        <v>7419</v>
      </c>
      <c r="G49" s="125"/>
      <c r="H49" s="59">
        <f>SUM(F32)</f>
        <v>679782824.65999997</v>
      </c>
      <c r="I49" s="59">
        <f>F49-D49</f>
        <v>-96</v>
      </c>
      <c r="J49" s="59">
        <f t="shared" si="1"/>
        <v>-544842150.14999998</v>
      </c>
    </row>
    <row r="50" spans="2:12" ht="15" hidden="1" customHeight="1" x14ac:dyDescent="0.45">
      <c r="C50" s="46" t="s">
        <v>38</v>
      </c>
      <c r="D50" s="59">
        <f>SUM(F20:F21)</f>
        <v>365635</v>
      </c>
      <c r="E50" s="59">
        <f>SUM(H20:H21)</f>
        <v>58242381157.509995</v>
      </c>
      <c r="F50" s="124">
        <f>SUM(E33:E34)</f>
        <v>400688</v>
      </c>
      <c r="G50" s="125"/>
      <c r="H50" s="59">
        <f>SUM(F33:F34)</f>
        <v>57540767658.089996</v>
      </c>
      <c r="I50" s="59">
        <f t="shared" si="0"/>
        <v>35053</v>
      </c>
      <c r="J50" s="59">
        <f t="shared" si="1"/>
        <v>-701613499.41999817</v>
      </c>
    </row>
    <row r="51" spans="2:12" ht="15" hidden="1" customHeight="1" x14ac:dyDescent="0.45">
      <c r="C51" s="46" t="s">
        <v>98</v>
      </c>
      <c r="D51" s="59">
        <f>F23</f>
        <v>5155</v>
      </c>
      <c r="E51" s="59">
        <f>H23</f>
        <v>1516393960.6400001</v>
      </c>
      <c r="F51" s="124">
        <f>E35</f>
        <v>4941</v>
      </c>
      <c r="G51" s="125"/>
      <c r="H51" s="59">
        <f>F35</f>
        <v>1492878315.54</v>
      </c>
      <c r="I51" s="59">
        <f>F51-D51</f>
        <v>-214</v>
      </c>
      <c r="J51" s="59">
        <f t="shared" si="1"/>
        <v>-23515645.100000143</v>
      </c>
    </row>
    <row r="52" spans="2:12" ht="15" hidden="1" customHeight="1" x14ac:dyDescent="0.45">
      <c r="C52" s="46" t="s">
        <v>106</v>
      </c>
      <c r="D52" s="59">
        <f>F22</f>
        <v>21454</v>
      </c>
      <c r="E52" s="59">
        <f>H22</f>
        <v>1644913875.76</v>
      </c>
      <c r="F52" s="124">
        <f>E39</f>
        <v>17437</v>
      </c>
      <c r="G52" s="125"/>
      <c r="H52" s="59">
        <f>F39</f>
        <v>1586399716.99</v>
      </c>
      <c r="I52" s="59">
        <f>F52-D52</f>
        <v>-4017</v>
      </c>
      <c r="J52" s="59">
        <f>H52-E52</f>
        <v>-58514158.769999981</v>
      </c>
    </row>
    <row r="53" spans="2:12" ht="15" hidden="1" customHeight="1" x14ac:dyDescent="0.45">
      <c r="C53" s="49" t="s">
        <v>59</v>
      </c>
      <c r="D53" s="126">
        <f>SUM(D47:D52)</f>
        <v>648865</v>
      </c>
      <c r="E53" s="126">
        <f t="shared" ref="E53:J53" si="2">SUM(E47:E52)</f>
        <v>96545232984.709991</v>
      </c>
      <c r="F53" s="126">
        <f t="shared" si="2"/>
        <v>647624</v>
      </c>
      <c r="G53" s="126"/>
      <c r="H53" s="126">
        <f t="shared" si="2"/>
        <v>83745250380.039993</v>
      </c>
      <c r="I53" s="126">
        <f t="shared" si="2"/>
        <v>-1241</v>
      </c>
      <c r="J53" s="126">
        <f t="shared" si="2"/>
        <v>-12799982604.669996</v>
      </c>
    </row>
    <row r="54" spans="2:12" ht="15" hidden="1" customHeight="1" x14ac:dyDescent="0.45"/>
    <row r="55" spans="2:12" ht="15" customHeight="1" x14ac:dyDescent="0.45">
      <c r="B55" s="36" t="s">
        <v>256</v>
      </c>
      <c r="C55" s="38"/>
      <c r="D55" s="38"/>
      <c r="E55" s="38"/>
      <c r="F55" s="38"/>
      <c r="G55" s="38"/>
      <c r="H55" s="38"/>
      <c r="I55" s="38"/>
      <c r="J55" s="38"/>
      <c r="K55" s="38"/>
    </row>
    <row r="56" spans="2:12" ht="15" customHeight="1" x14ac:dyDescent="0.45">
      <c r="B56" s="30"/>
      <c r="C56" s="50"/>
    </row>
    <row r="57" spans="2:12" ht="15" customHeight="1" x14ac:dyDescent="0.45">
      <c r="D57" s="40" t="s">
        <v>142</v>
      </c>
      <c r="E57" s="40"/>
      <c r="F57" s="40" t="s">
        <v>143</v>
      </c>
      <c r="G57" s="40"/>
      <c r="H57" s="40"/>
    </row>
    <row r="58" spans="2:12" ht="32.4" x14ac:dyDescent="0.45">
      <c r="C58" s="41" t="s">
        <v>32</v>
      </c>
      <c r="D58" s="42" t="s">
        <v>33</v>
      </c>
      <c r="E58" s="41" t="s">
        <v>34</v>
      </c>
      <c r="F58" s="43" t="s">
        <v>33</v>
      </c>
      <c r="G58" s="44"/>
      <c r="H58" s="41" t="s">
        <v>34</v>
      </c>
      <c r="I58" s="45" t="s">
        <v>138</v>
      </c>
      <c r="J58" s="45" t="s">
        <v>139</v>
      </c>
      <c r="K58" s="80" t="s">
        <v>255</v>
      </c>
    </row>
    <row r="59" spans="2:12" ht="15" customHeight="1" x14ac:dyDescent="0.45">
      <c r="C59" s="46" t="s">
        <v>168</v>
      </c>
      <c r="D59" s="59">
        <f>D47</f>
        <v>931</v>
      </c>
      <c r="E59" s="59">
        <f>E47</f>
        <v>105997480.8</v>
      </c>
      <c r="F59" s="124">
        <f>F47</f>
        <v>11174</v>
      </c>
      <c r="G59" s="125"/>
      <c r="H59" s="59">
        <f>H47</f>
        <v>105997394.7</v>
      </c>
      <c r="I59" s="59">
        <f t="shared" ref="I59:I64" si="3">F59-D59</f>
        <v>10243</v>
      </c>
      <c r="J59" s="59">
        <f t="shared" ref="J59:J64" si="4">H59-E59</f>
        <v>-86.099999994039536</v>
      </c>
      <c r="K59" s="231">
        <f t="shared" ref="K59:K64" si="5">J59/E59</f>
        <v>-8.1228345564642458E-7</v>
      </c>
      <c r="L59" s="159"/>
    </row>
    <row r="60" spans="2:12" ht="15" customHeight="1" x14ac:dyDescent="0.45">
      <c r="C60" s="46" t="s">
        <v>104</v>
      </c>
      <c r="D60" s="59">
        <f>'1.1.Pessoais'!G42</f>
        <v>393158</v>
      </c>
      <c r="E60" s="59">
        <f>E48</f>
        <v>33810921535.189999</v>
      </c>
      <c r="F60" s="124">
        <f>'1.1.Pessoais'!E42</f>
        <v>358877</v>
      </c>
      <c r="G60" s="125"/>
      <c r="H60" s="59">
        <f>H48</f>
        <v>22339424470.060001</v>
      </c>
      <c r="I60" s="59">
        <f>F60-D60</f>
        <v>-34281</v>
      </c>
      <c r="J60" s="59">
        <f t="shared" si="4"/>
        <v>-11471497065.129997</v>
      </c>
      <c r="K60" s="231">
        <f t="shared" si="5"/>
        <v>-0.33928377412578364</v>
      </c>
      <c r="L60" s="159"/>
    </row>
    <row r="61" spans="2:12" ht="15" customHeight="1" x14ac:dyDescent="0.45">
      <c r="C61" s="46" t="s">
        <v>37</v>
      </c>
      <c r="D61" s="59">
        <f>D49</f>
        <v>7515</v>
      </c>
      <c r="E61" s="59">
        <f>E49</f>
        <v>1224624974.8099999</v>
      </c>
      <c r="F61" s="124">
        <f>F49</f>
        <v>7419</v>
      </c>
      <c r="G61" s="125"/>
      <c r="H61" s="59">
        <f>H49</f>
        <v>679782824.65999997</v>
      </c>
      <c r="I61" s="59">
        <f>F61-D61</f>
        <v>-96</v>
      </c>
      <c r="J61" s="59">
        <f t="shared" si="4"/>
        <v>-544842150.14999998</v>
      </c>
      <c r="K61" s="231">
        <f t="shared" si="5"/>
        <v>-0.4449053068140571</v>
      </c>
      <c r="L61" s="159"/>
    </row>
    <row r="62" spans="2:12" ht="15" customHeight="1" x14ac:dyDescent="0.45">
      <c r="C62" s="46" t="s">
        <v>38</v>
      </c>
      <c r="D62" s="59">
        <f>D50</f>
        <v>365635</v>
      </c>
      <c r="E62" s="59">
        <f>H20+H21</f>
        <v>58242381157.509995</v>
      </c>
      <c r="F62" s="124">
        <f>F50</f>
        <v>400688</v>
      </c>
      <c r="G62" s="125"/>
      <c r="H62" s="59">
        <f>H50</f>
        <v>57540767658.089996</v>
      </c>
      <c r="I62" s="59">
        <f t="shared" si="3"/>
        <v>35053</v>
      </c>
      <c r="J62" s="59">
        <f t="shared" si="4"/>
        <v>-701613499.41999817</v>
      </c>
      <c r="K62" s="231">
        <f t="shared" si="5"/>
        <v>-1.2046442564265411E-2</v>
      </c>
      <c r="L62" s="159"/>
    </row>
    <row r="63" spans="2:12" ht="15" customHeight="1" x14ac:dyDescent="0.45">
      <c r="C63" s="46" t="s">
        <v>105</v>
      </c>
      <c r="D63" s="59">
        <f>'1.5.Pessoais - LEA'!G22</f>
        <v>37874</v>
      </c>
      <c r="E63" s="59">
        <f>E52</f>
        <v>1644913875.76</v>
      </c>
      <c r="F63" s="124">
        <f>'1.5.Pessoais - LEA'!E22</f>
        <v>33492</v>
      </c>
      <c r="G63" s="125"/>
      <c r="H63" s="59">
        <f>H52</f>
        <v>1586399716.99</v>
      </c>
      <c r="I63" s="59">
        <f t="shared" si="3"/>
        <v>-4382</v>
      </c>
      <c r="J63" s="59">
        <f t="shared" si="4"/>
        <v>-58514158.769999981</v>
      </c>
      <c r="K63" s="231">
        <f t="shared" si="5"/>
        <v>-3.5572779604017057E-2</v>
      </c>
      <c r="L63" s="159"/>
    </row>
    <row r="64" spans="2:12" ht="15" customHeight="1" x14ac:dyDescent="0.45">
      <c r="C64" s="46" t="s">
        <v>98</v>
      </c>
      <c r="D64" s="59">
        <f>D51</f>
        <v>5155</v>
      </c>
      <c r="E64" s="59">
        <f>E51</f>
        <v>1516393960.6400001</v>
      </c>
      <c r="F64" s="124">
        <f>F51</f>
        <v>4941</v>
      </c>
      <c r="G64" s="125"/>
      <c r="H64" s="59">
        <f>H51</f>
        <v>1492878315.54</v>
      </c>
      <c r="I64" s="59">
        <f t="shared" si="3"/>
        <v>-214</v>
      </c>
      <c r="J64" s="59">
        <f t="shared" si="4"/>
        <v>-23515645.100000143</v>
      </c>
      <c r="K64" s="231">
        <f t="shared" si="5"/>
        <v>-1.5507609308912883E-2</v>
      </c>
      <c r="L64" s="159"/>
    </row>
    <row r="65" spans="1:11" ht="15" customHeight="1" x14ac:dyDescent="0.45">
      <c r="C65" s="49" t="s">
        <v>59</v>
      </c>
      <c r="D65" s="126">
        <f>SUM(D59:D64)</f>
        <v>810268</v>
      </c>
      <c r="E65" s="126">
        <f t="shared" ref="E65:F65" si="6">SUM(E59:E64)</f>
        <v>96545232984.709991</v>
      </c>
      <c r="F65" s="127">
        <f t="shared" si="6"/>
        <v>816591</v>
      </c>
      <c r="G65" s="128"/>
      <c r="H65" s="126">
        <f>SUM(H59:H64)</f>
        <v>83745250380.039993</v>
      </c>
      <c r="I65" s="126">
        <f>SUM(I59:I64)</f>
        <v>6323</v>
      </c>
      <c r="J65" s="126">
        <f>SUM(J59:J64)</f>
        <v>-12799982604.669996</v>
      </c>
      <c r="K65" s="271"/>
    </row>
    <row r="66" spans="1:11" ht="15" customHeight="1" x14ac:dyDescent="0.45">
      <c r="C66" s="51" t="s">
        <v>102</v>
      </c>
      <c r="D66" s="29"/>
      <c r="E66" s="29"/>
      <c r="F66" s="29"/>
      <c r="G66" s="29"/>
      <c r="H66" s="29"/>
      <c r="I66" s="29"/>
      <c r="J66" s="29"/>
    </row>
    <row r="67" spans="1:11" ht="15" customHeight="1" x14ac:dyDescent="0.45">
      <c r="C67" s="52"/>
      <c r="F67" s="34"/>
    </row>
    <row r="68" spans="1:11" ht="15" customHeight="1" x14ac:dyDescent="0.45">
      <c r="B68" s="36" t="s">
        <v>257</v>
      </c>
      <c r="C68" s="38"/>
      <c r="D68" s="38"/>
      <c r="E68" s="38"/>
      <c r="F68" s="38"/>
      <c r="G68" s="38"/>
      <c r="H68" s="38"/>
      <c r="I68" s="38"/>
      <c r="J68" s="38"/>
      <c r="K68" s="38"/>
    </row>
    <row r="69" spans="1:11" ht="15" customHeight="1" x14ac:dyDescent="0.45"/>
    <row r="70" spans="1:11" ht="30" customHeight="1" x14ac:dyDescent="0.45">
      <c r="C70" s="232" t="s">
        <v>40</v>
      </c>
      <c r="D70" s="282" t="s">
        <v>41</v>
      </c>
      <c r="E70" s="283"/>
      <c r="F70" s="283"/>
      <c r="G70" s="283"/>
      <c r="H70" s="283"/>
      <c r="I70" s="284"/>
      <c r="J70" s="230" t="s">
        <v>188</v>
      </c>
      <c r="K70" s="230" t="s">
        <v>96</v>
      </c>
    </row>
    <row r="71" spans="1:11" ht="30" customHeight="1" x14ac:dyDescent="0.45">
      <c r="A71" s="55"/>
      <c r="C71" s="233">
        <v>1</v>
      </c>
      <c r="D71" s="279" t="s">
        <v>184</v>
      </c>
      <c r="E71" s="280"/>
      <c r="F71" s="280"/>
      <c r="G71" s="280"/>
      <c r="H71" s="280"/>
      <c r="I71" s="281"/>
      <c r="J71" s="158">
        <f>'1.3.Financeiras'!G18+'1.3.Financeiras'!G19+'1.2.Imóveis'!F44+'1.2.Imóveis'!F49+'1.1.Pessoais'!G19+'1.2.Imóveis'!F46+'1.2.Imóveis'!F33+'1.2.Imóveis'!F37</f>
        <v>2374</v>
      </c>
      <c r="K71" s="158">
        <f>-('1.2.Imóveis'!I44+'1.2.Imóveis'!I49+'1.3.Financeiras'!H18+'1.3.Financeiras'!H19+'1.1.Pessoais'!H19+'1.2.Imóveis'!I46)+'1.2.Imóveis'!J33+'1.2.Imóveis'!J37</f>
        <v>-892183305.95999992</v>
      </c>
    </row>
    <row r="72" spans="1:11" ht="30" customHeight="1" x14ac:dyDescent="0.45">
      <c r="C72" s="233">
        <v>2</v>
      </c>
      <c r="D72" s="279" t="s">
        <v>42</v>
      </c>
      <c r="E72" s="280"/>
      <c r="F72" s="280"/>
      <c r="G72" s="280"/>
      <c r="H72" s="280"/>
      <c r="I72" s="281"/>
      <c r="J72" s="158">
        <f>'1.1.Pessoais'!G20+'1.1.Pessoais'!G18+'1.5.Pessoais - LEA'!G15</f>
        <v>63429</v>
      </c>
      <c r="K72" s="158">
        <f>-('1.1.Pessoais'!H18+'1.1.Pessoais'!H20+'1.5.Pessoais - LEA'!H15)</f>
        <v>-5167863669.29</v>
      </c>
    </row>
    <row r="73" spans="1:11" ht="30" customHeight="1" x14ac:dyDescent="0.45">
      <c r="C73" s="233">
        <v>3</v>
      </c>
      <c r="D73" s="279" t="s">
        <v>43</v>
      </c>
      <c r="E73" s="280"/>
      <c r="F73" s="280"/>
      <c r="G73" s="280"/>
      <c r="H73" s="280"/>
      <c r="I73" s="281"/>
      <c r="J73" s="158">
        <f>'1.1.Pessoais'!E57+'1.1.Pessoais'!E58+'1.1.Pessoais'!E59+'1.1.Pessoais'!E60</f>
        <v>206584</v>
      </c>
      <c r="K73" s="158">
        <f>'1.1.Pessoais'!I57+'1.1.Pessoais'!I58+'1.1.Pessoais'!I59+'1.1.Pessoais'!I60</f>
        <v>28337689.360000592</v>
      </c>
    </row>
    <row r="74" spans="1:11" ht="30" customHeight="1" x14ac:dyDescent="0.45">
      <c r="C74" s="233">
        <v>4</v>
      </c>
      <c r="D74" s="279" t="s">
        <v>180</v>
      </c>
      <c r="E74" s="280"/>
      <c r="F74" s="280"/>
      <c r="G74" s="280"/>
      <c r="H74" s="280"/>
      <c r="I74" s="281"/>
      <c r="J74" s="158">
        <f>'1.2.Imóveis'!F32</f>
        <v>242</v>
      </c>
      <c r="K74" s="158">
        <f>'1.2.Imóveis'!J32</f>
        <v>57230945.25</v>
      </c>
    </row>
    <row r="75" spans="1:11" ht="30" customHeight="1" x14ac:dyDescent="0.45">
      <c r="C75" s="233">
        <v>5</v>
      </c>
      <c r="D75" s="279" t="s">
        <v>44</v>
      </c>
      <c r="E75" s="280"/>
      <c r="F75" s="280"/>
      <c r="G75" s="280"/>
      <c r="H75" s="280"/>
      <c r="I75" s="281"/>
      <c r="J75" s="158">
        <f>SUM('1.1.Pessoais'!E49:E56)</f>
        <v>121833</v>
      </c>
      <c r="K75" s="158">
        <f>SUM('1.1.Pessoais'!M49:M56)</f>
        <v>-5636507988.79</v>
      </c>
    </row>
    <row r="76" spans="1:11" ht="30" customHeight="1" x14ac:dyDescent="0.45">
      <c r="A76" s="55"/>
      <c r="C76" s="233">
        <v>6</v>
      </c>
      <c r="D76" s="279" t="s">
        <v>183</v>
      </c>
      <c r="E76" s="280"/>
      <c r="F76" s="280"/>
      <c r="G76" s="280"/>
      <c r="H76" s="280"/>
      <c r="I76" s="281"/>
      <c r="J76" s="158" t="s">
        <v>108</v>
      </c>
      <c r="K76" s="158" t="s">
        <v>108</v>
      </c>
    </row>
    <row r="77" spans="1:11" ht="30" customHeight="1" x14ac:dyDescent="0.45">
      <c r="A77" s="55"/>
      <c r="C77" s="233">
        <v>7</v>
      </c>
      <c r="D77" s="279" t="s">
        <v>182</v>
      </c>
      <c r="E77" s="280"/>
      <c r="F77" s="280"/>
      <c r="G77" s="280"/>
      <c r="H77" s="280"/>
      <c r="I77" s="281"/>
      <c r="J77" s="158">
        <f>('1.2.Imóveis'!F45+'1.2.Imóveis'!F50+'1.2.Imóveis'!F51+'1.2.Imóveis'!F52)</f>
        <v>323</v>
      </c>
      <c r="K77" s="158">
        <f>-('1.2.Imóveis'!I45+'1.2.Imóveis'!I50+'1.2.Imóveis'!I51+'1.2.Imóveis'!I52)</f>
        <v>-83177936.74000001</v>
      </c>
    </row>
    <row r="78" spans="1:11" ht="30" customHeight="1" x14ac:dyDescent="0.45">
      <c r="A78" s="55"/>
      <c r="C78" s="233">
        <v>8</v>
      </c>
      <c r="D78" s="279" t="s">
        <v>136</v>
      </c>
      <c r="E78" s="280"/>
      <c r="F78" s="280"/>
      <c r="G78" s="280"/>
      <c r="H78" s="280"/>
      <c r="I78" s="281"/>
      <c r="J78" s="158">
        <f>'1.2.Imóveis'!F21</f>
        <v>11</v>
      </c>
      <c r="K78" s="158">
        <f>'1.2.Imóveis'!J21</f>
        <v>-160550345.50999999</v>
      </c>
    </row>
    <row r="79" spans="1:11" ht="30" customHeight="1" x14ac:dyDescent="0.45">
      <c r="A79" s="55"/>
      <c r="B79" s="98"/>
      <c r="C79" s="233">
        <v>9</v>
      </c>
      <c r="D79" s="279" t="s">
        <v>181</v>
      </c>
      <c r="E79" s="280"/>
      <c r="F79" s="280"/>
      <c r="G79" s="280"/>
      <c r="H79" s="280"/>
      <c r="I79" s="281"/>
      <c r="J79" s="158">
        <f>'1.2.Imóveis'!F22+'1.2.Imóveis'!F34+'1.2.Imóveis'!F23</f>
        <v>267</v>
      </c>
      <c r="K79" s="158">
        <f>'1.2.Imóveis'!J34+'1.2.Imóveis'!J22+'1.2.Imóveis'!J23</f>
        <v>-274945779.23000002</v>
      </c>
    </row>
    <row r="80" spans="1:11" ht="30" customHeight="1" x14ac:dyDescent="0.45">
      <c r="A80" s="55"/>
      <c r="C80" s="233">
        <v>10</v>
      </c>
      <c r="D80" s="279" t="s">
        <v>135</v>
      </c>
      <c r="E80" s="280"/>
      <c r="F80" s="280"/>
      <c r="G80" s="280"/>
      <c r="H80" s="280"/>
      <c r="I80" s="281"/>
      <c r="J80" s="158">
        <f>'1.3.Financeiras'!E13+'1.3.Financeiras'!E15</f>
        <v>2894</v>
      </c>
      <c r="K80" s="158">
        <f>'1.3.Financeiras'!I13+'1.3.Financeiras'!I15</f>
        <v>-509730.37999999523</v>
      </c>
    </row>
    <row r="81" spans="1:11" ht="30" customHeight="1" x14ac:dyDescent="0.45">
      <c r="A81" s="55"/>
      <c r="C81" s="233">
        <v>11</v>
      </c>
      <c r="D81" s="279" t="s">
        <v>137</v>
      </c>
      <c r="E81" s="280"/>
      <c r="F81" s="280"/>
      <c r="G81" s="280"/>
      <c r="H81" s="280"/>
      <c r="I81" s="281"/>
      <c r="J81" s="158">
        <f>'1.3.Financeiras'!E12</f>
        <v>0</v>
      </c>
      <c r="K81" s="158">
        <f>'1.3.Financeiras'!I12</f>
        <v>0</v>
      </c>
    </row>
    <row r="82" spans="1:11" ht="30" customHeight="1" x14ac:dyDescent="0.45">
      <c r="A82" s="55"/>
      <c r="C82" s="233">
        <v>12</v>
      </c>
      <c r="D82" s="279" t="s">
        <v>167</v>
      </c>
      <c r="E82" s="280"/>
      <c r="F82" s="280"/>
      <c r="G82" s="280"/>
      <c r="H82" s="280"/>
      <c r="I82" s="281"/>
      <c r="J82" s="158">
        <f>'1.1.Pessoais'!G21</f>
        <v>61</v>
      </c>
      <c r="K82" s="158">
        <f>'1.1.Pessoais'!I21</f>
        <v>-193133818</v>
      </c>
    </row>
    <row r="83" spans="1:11" ht="30" customHeight="1" x14ac:dyDescent="0.45">
      <c r="A83" s="55"/>
      <c r="C83" s="233">
        <v>13</v>
      </c>
      <c r="D83" s="279" t="s">
        <v>185</v>
      </c>
      <c r="E83" s="280"/>
      <c r="F83" s="280"/>
      <c r="G83" s="280"/>
      <c r="H83" s="280"/>
      <c r="I83" s="281"/>
      <c r="J83" s="158">
        <f>SUM('1.1.Pessoais'!E49:E56)</f>
        <v>121833</v>
      </c>
      <c r="K83" s="158">
        <f>SUM('1.1.Pessoais'!N49:N56)</f>
        <v>-494514719.9600001</v>
      </c>
    </row>
    <row r="84" spans="1:11" ht="30" customHeight="1" x14ac:dyDescent="0.45">
      <c r="A84" s="55"/>
      <c r="B84" s="55"/>
      <c r="C84" s="233">
        <v>14</v>
      </c>
      <c r="D84" s="279" t="s">
        <v>179</v>
      </c>
      <c r="E84" s="280"/>
      <c r="F84" s="280"/>
      <c r="G84" s="280"/>
      <c r="H84" s="280"/>
      <c r="I84" s="281"/>
      <c r="J84" s="158">
        <f>'1.2.Imóveis'!F24+'1.2.Imóveis'!F35</f>
        <v>52</v>
      </c>
      <c r="K84" s="158">
        <f>'1.2.Imóveis'!J24+'1.2.Imóveis'!J35</f>
        <v>-16155460.779999999</v>
      </c>
    </row>
    <row r="85" spans="1:11" ht="30" customHeight="1" x14ac:dyDescent="0.45">
      <c r="A85" s="55"/>
      <c r="B85" s="55" t="s">
        <v>111</v>
      </c>
      <c r="C85" s="233">
        <v>15</v>
      </c>
      <c r="D85" s="279" t="s">
        <v>240</v>
      </c>
      <c r="E85" s="280"/>
      <c r="F85" s="280"/>
      <c r="G85" s="280"/>
      <c r="H85" s="280"/>
      <c r="I85" s="281"/>
      <c r="J85" s="158">
        <f>'1.2.Imóveis'!F54+'1.2.Imóveis'!F53</f>
        <v>3</v>
      </c>
      <c r="K85" s="158">
        <f>'1.2.Imóveis'!J54+'1.2.Imóveis'!J53</f>
        <v>-1621265.57</v>
      </c>
    </row>
    <row r="86" spans="1:11" ht="30" customHeight="1" x14ac:dyDescent="0.45">
      <c r="A86" s="55"/>
      <c r="B86" s="55" t="s">
        <v>111</v>
      </c>
      <c r="C86" s="233">
        <v>16</v>
      </c>
      <c r="D86" s="279" t="s">
        <v>241</v>
      </c>
      <c r="E86" s="280"/>
      <c r="F86" s="280"/>
      <c r="G86" s="280"/>
      <c r="H86" s="280"/>
      <c r="I86" s="281"/>
      <c r="J86" s="158">
        <f>'1.1.Pessoais'!G22+'1.1.Pessoais'!E34+'1.1.Pessoais'!E35+'1.1.Pessoais'!E36</f>
        <v>58</v>
      </c>
      <c r="K86" s="158">
        <f>'1.1.Pessoais'!I22+'1.1.Pessoais'!I34+'1.1.Pessoais'!I35+'1.1.Pessoais'!I36</f>
        <v>97028306.569999993</v>
      </c>
    </row>
    <row r="87" spans="1:11" ht="30" customHeight="1" x14ac:dyDescent="0.45">
      <c r="A87" s="55"/>
      <c r="C87" s="94"/>
      <c r="D87" s="95"/>
      <c r="E87" s="95"/>
      <c r="F87" s="95"/>
      <c r="G87" s="95"/>
      <c r="H87" s="95"/>
      <c r="I87" s="95"/>
      <c r="J87" s="96"/>
      <c r="K87" s="96"/>
    </row>
    <row r="88" spans="1:11" ht="15" customHeight="1" x14ac:dyDescent="0.45"/>
    <row r="89" spans="1:11" ht="15" customHeight="1" x14ac:dyDescent="0.45">
      <c r="A89" s="22"/>
      <c r="B89" s="25" t="s">
        <v>45</v>
      </c>
      <c r="C89" s="25"/>
      <c r="D89" s="25"/>
      <c r="E89" s="25"/>
      <c r="F89" s="26"/>
      <c r="G89" s="26"/>
      <c r="H89" s="26"/>
      <c r="I89" s="26"/>
      <c r="J89" s="26"/>
    </row>
    <row r="90" spans="1:11" ht="4.95" customHeight="1" x14ac:dyDescent="0.45"/>
    <row r="91" spans="1:11" ht="15" customHeight="1" x14ac:dyDescent="0.45"/>
    <row r="92" spans="1:11" s="57" customFormat="1" ht="15" customHeight="1" x14ac:dyDescent="0.4">
      <c r="B92" s="58" t="s">
        <v>173</v>
      </c>
    </row>
    <row r="93" spans="1:11" ht="15" customHeight="1" x14ac:dyDescent="0.45">
      <c r="K93" s="57"/>
    </row>
    <row r="94" spans="1:11" ht="32.4" x14ac:dyDescent="0.45">
      <c r="C94" s="41" t="s">
        <v>47</v>
      </c>
      <c r="D94" s="42" t="s">
        <v>48</v>
      </c>
      <c r="E94" s="41" t="s">
        <v>34</v>
      </c>
      <c r="K94" s="57"/>
    </row>
    <row r="95" spans="1:11" ht="15" customHeight="1" x14ac:dyDescent="0.45">
      <c r="C95" s="27" t="s">
        <v>49</v>
      </c>
      <c r="D95" s="59">
        <f>'1.1.Pessoais'!E42</f>
        <v>358877</v>
      </c>
      <c r="E95" s="59">
        <f>'1.1.Pessoais'!F42</f>
        <v>22339424470.060001</v>
      </c>
      <c r="K95" s="57"/>
    </row>
    <row r="96" spans="1:11" ht="15" customHeight="1" x14ac:dyDescent="0.45">
      <c r="C96" s="27" t="s">
        <v>31</v>
      </c>
      <c r="D96" s="59">
        <f>D60</f>
        <v>393158</v>
      </c>
      <c r="E96" s="59">
        <f>E60</f>
        <v>33810921535.189999</v>
      </c>
      <c r="F96" s="34"/>
      <c r="G96" s="34"/>
      <c r="K96" s="57"/>
    </row>
    <row r="97" spans="3:12" ht="15" customHeight="1" x14ac:dyDescent="0.45">
      <c r="K97" s="57"/>
    </row>
    <row r="98" spans="3:12" ht="15" customHeight="1" x14ac:dyDescent="0.45"/>
    <row r="99" spans="3:12" s="60" customFormat="1" ht="32.4" x14ac:dyDescent="0.45">
      <c r="C99" s="61" t="s">
        <v>51</v>
      </c>
      <c r="D99" s="42" t="s">
        <v>52</v>
      </c>
      <c r="E99" s="42" t="s">
        <v>48</v>
      </c>
      <c r="F99" s="45" t="s">
        <v>82</v>
      </c>
      <c r="H99" s="42" t="s">
        <v>54</v>
      </c>
      <c r="I99" s="42" t="s">
        <v>55</v>
      </c>
      <c r="J99" s="42" t="s">
        <v>56</v>
      </c>
      <c r="K99" s="23"/>
      <c r="L99" s="23"/>
    </row>
    <row r="100" spans="3:12" ht="15" customHeight="1" x14ac:dyDescent="0.45">
      <c r="C100" s="273" t="s">
        <v>57</v>
      </c>
      <c r="D100" s="129" t="s">
        <v>58</v>
      </c>
      <c r="E100" s="143">
        <f>'1.1.Pessoais'!E10</f>
        <v>27026</v>
      </c>
      <c r="F100" s="130"/>
      <c r="G100" s="131"/>
      <c r="H100" s="143">
        <f>'1.1.Pessoais'!F10</f>
        <v>1901340022.0999999</v>
      </c>
      <c r="I100" s="143">
        <f>'1.1.Pessoais'!H10</f>
        <v>1901340022.0999999</v>
      </c>
      <c r="J100" s="47">
        <f>H100-I100</f>
        <v>0</v>
      </c>
      <c r="K100" s="29"/>
    </row>
    <row r="101" spans="3:12" ht="15" customHeight="1" x14ac:dyDescent="0.45">
      <c r="C101" s="274"/>
      <c r="D101" s="135" t="s">
        <v>86</v>
      </c>
      <c r="E101" s="136">
        <f>SUM('1.1.Pessoais'!E11:E13)</f>
        <v>328417</v>
      </c>
      <c r="F101" s="130"/>
      <c r="G101" s="131"/>
      <c r="H101" s="136">
        <f>SUM('1.1.Pessoais'!F11:F13)</f>
        <v>20090765567.710003</v>
      </c>
      <c r="I101" s="136">
        <f>SUM('1.1.Pessoais'!H11:H13)</f>
        <v>26193455255.48</v>
      </c>
      <c r="J101" s="142">
        <f>H101-I101</f>
        <v>-6102689687.7699966</v>
      </c>
    </row>
    <row r="102" spans="3:12" ht="15" customHeight="1" x14ac:dyDescent="0.45">
      <c r="C102" s="274"/>
      <c r="D102" s="137" t="s">
        <v>84</v>
      </c>
      <c r="E102" s="138">
        <f>'1.1.Pessoais'!E14+'1.1.Pessoais'!E15</f>
        <v>1678</v>
      </c>
      <c r="F102" s="130"/>
      <c r="G102" s="131"/>
      <c r="H102" s="138">
        <f>'1.1.Pessoais'!F14+'1.1.Pessoais'!F15</f>
        <v>130742361.83</v>
      </c>
      <c r="I102" s="138">
        <f>'1.1.Pessoais'!H14+'1.1.Pessoais'!H15</f>
        <v>65730247.910000004</v>
      </c>
      <c r="J102" s="138">
        <f>H102-I102</f>
        <v>65012113.919999994</v>
      </c>
    </row>
    <row r="103" spans="3:12" ht="15" customHeight="1" x14ac:dyDescent="0.45">
      <c r="C103" s="274"/>
      <c r="D103" s="132" t="s">
        <v>50</v>
      </c>
      <c r="E103" s="133">
        <f>'1.1.Pessoais'!E16</f>
        <v>1</v>
      </c>
      <c r="F103" s="130"/>
      <c r="G103" s="131"/>
      <c r="H103" s="133">
        <f>'1.1.Pessoais'!F16</f>
        <v>26429.25</v>
      </c>
      <c r="I103" s="133">
        <f>'1.1.Pessoais'!H16</f>
        <v>18472.25</v>
      </c>
      <c r="J103" s="141">
        <f>H103-I103</f>
        <v>7957</v>
      </c>
    </row>
    <row r="104" spans="3:12" ht="15" customHeight="1" x14ac:dyDescent="0.45">
      <c r="C104" s="275"/>
      <c r="D104" s="69" t="s">
        <v>59</v>
      </c>
      <c r="E104" s="70">
        <f>SUM(E100:E103)</f>
        <v>357122</v>
      </c>
      <c r="F104" s="70"/>
      <c r="H104" s="70">
        <f>SUM(H100:H103)</f>
        <v>22122874380.890003</v>
      </c>
      <c r="I104" s="70">
        <f>SUM(I100:I103)</f>
        <v>28160543997.739998</v>
      </c>
      <c r="J104" s="71">
        <f>SUM(J100:J103)</f>
        <v>-6037669616.8499966</v>
      </c>
    </row>
    <row r="105" spans="3:12" ht="15" customHeight="1" x14ac:dyDescent="0.45">
      <c r="C105" s="278" t="s">
        <v>60</v>
      </c>
      <c r="D105" s="135" t="s">
        <v>86</v>
      </c>
      <c r="E105" s="136">
        <f>SUM('1.1.Pessoais'!E34:E36)</f>
        <v>51</v>
      </c>
      <c r="F105" s="130"/>
      <c r="G105" s="131"/>
      <c r="H105" s="136">
        <f>SUM('1.1.Pessoais'!F34:F36)</f>
        <v>137028306.56999999</v>
      </c>
      <c r="I105" s="134"/>
      <c r="J105" s="136">
        <f>H105-I105</f>
        <v>137028306.56999999</v>
      </c>
    </row>
    <row r="106" spans="3:12" ht="15" customHeight="1" x14ac:dyDescent="0.45">
      <c r="C106" s="276"/>
      <c r="D106" s="137" t="s">
        <v>84</v>
      </c>
      <c r="E106" s="138">
        <f>'1.1.Pessoais'!E37</f>
        <v>5</v>
      </c>
      <c r="F106" s="130"/>
      <c r="G106" s="131"/>
      <c r="H106" s="138">
        <f>SUM('1.1.Pessoais'!F37)</f>
        <v>49840.86</v>
      </c>
      <c r="I106" s="134"/>
      <c r="J106" s="138">
        <f>H106-I106</f>
        <v>49840.86</v>
      </c>
    </row>
    <row r="107" spans="3:12" ht="15" customHeight="1" x14ac:dyDescent="0.45">
      <c r="C107" s="276"/>
      <c r="D107" s="139" t="s">
        <v>83</v>
      </c>
      <c r="E107" s="140">
        <f>'1.1.Pessoais'!E38+'1.1.Pessoais'!E39</f>
        <v>263</v>
      </c>
      <c r="F107" s="130"/>
      <c r="G107" s="131"/>
      <c r="H107" s="140">
        <f>'1.1.Pessoais'!F38+'1.1.Pessoais'!F39</f>
        <v>53042568.280000001</v>
      </c>
      <c r="I107" s="134"/>
      <c r="J107" s="140">
        <f>H107-I107</f>
        <v>53042568.280000001</v>
      </c>
    </row>
    <row r="108" spans="3:12" ht="15" customHeight="1" x14ac:dyDescent="0.45">
      <c r="C108" s="276"/>
      <c r="D108" s="132" t="s">
        <v>50</v>
      </c>
      <c r="E108" s="133">
        <f>'1.1.Pessoais'!E40</f>
        <v>1436</v>
      </c>
      <c r="F108" s="130"/>
      <c r="G108" s="131"/>
      <c r="H108" s="133">
        <f>'1.1.Pessoais'!F40</f>
        <v>26429373.460000001</v>
      </c>
      <c r="I108" s="134"/>
      <c r="J108" s="133">
        <f>H108-I108</f>
        <v>26429373.460000001</v>
      </c>
    </row>
    <row r="109" spans="3:12" ht="15" customHeight="1" x14ac:dyDescent="0.45">
      <c r="C109" s="277"/>
      <c r="D109" s="69" t="s">
        <v>59</v>
      </c>
      <c r="E109" s="70">
        <f>SUM(E105:E108)</f>
        <v>1755</v>
      </c>
      <c r="F109" s="70"/>
      <c r="H109" s="70">
        <f>SUM(H105:H108)</f>
        <v>216550089.17000002</v>
      </c>
      <c r="I109" s="72"/>
      <c r="J109" s="70">
        <f t="shared" ref="J109" si="7">H109-I109</f>
        <v>216550089.17000002</v>
      </c>
    </row>
    <row r="110" spans="3:12" ht="15" customHeight="1" x14ac:dyDescent="0.45">
      <c r="C110" s="273" t="s">
        <v>61</v>
      </c>
      <c r="D110" s="135" t="s">
        <v>86</v>
      </c>
      <c r="E110" s="136">
        <f>SUM('1.1.Pessoais'!G18:G22)+SUM('1.1.Pessoais'!G24:G26)</f>
        <v>60346</v>
      </c>
      <c r="F110" s="130"/>
      <c r="G110" s="131"/>
      <c r="H110" s="134"/>
      <c r="I110" s="136">
        <f>SUM('1.1.Pessoais'!H18:H22)+SUM('1.1.Pessoais'!H24:H26)</f>
        <v>5462818851.3499994</v>
      </c>
      <c r="J110" s="136">
        <f>H110-I110</f>
        <v>-5462818851.3499994</v>
      </c>
    </row>
    <row r="111" spans="3:12" ht="15" customHeight="1" x14ac:dyDescent="0.45">
      <c r="C111" s="274"/>
      <c r="D111" s="137" t="s">
        <v>84</v>
      </c>
      <c r="E111" s="138">
        <f>SUM('1.1.Pessoais'!G23,'1.1.Pessoais'!G27:G28)</f>
        <v>2448</v>
      </c>
      <c r="F111" s="130"/>
      <c r="G111" s="131"/>
      <c r="H111" s="134"/>
      <c r="I111" s="138">
        <f>SUM('1.1.Pessoais'!H23,'1.1.Pessoais'!H27:H28)</f>
        <v>177342823.25</v>
      </c>
      <c r="J111" s="138">
        <f>H111-I111</f>
        <v>-177342823.25</v>
      </c>
    </row>
    <row r="112" spans="3:12" ht="15" customHeight="1" x14ac:dyDescent="0.45">
      <c r="C112" s="274"/>
      <c r="D112" s="139" t="s">
        <v>83</v>
      </c>
      <c r="E112" s="140">
        <f>SUM('1.1.Pessoais'!G29:G31)</f>
        <v>108</v>
      </c>
      <c r="F112" s="130"/>
      <c r="G112" s="131"/>
      <c r="H112" s="134"/>
      <c r="I112" s="140">
        <f>SUM('1.1.Pessoais'!H29:H31)</f>
        <v>2276054.5099999998</v>
      </c>
      <c r="J112" s="140">
        <f>H112-I112</f>
        <v>-2276054.5099999998</v>
      </c>
    </row>
    <row r="113" spans="2:12" ht="15" customHeight="1" x14ac:dyDescent="0.45">
      <c r="C113" s="274"/>
      <c r="D113" s="132" t="s">
        <v>50</v>
      </c>
      <c r="E113" s="133">
        <f>SUM('1.1.Pessoais'!G32)</f>
        <v>29</v>
      </c>
      <c r="F113" s="130"/>
      <c r="G113" s="131"/>
      <c r="H113" s="134"/>
      <c r="I113" s="133">
        <f>SUM('1.1.Pessoais'!H32)</f>
        <v>7939808.3399999999</v>
      </c>
      <c r="J113" s="133">
        <f>H113-I113</f>
        <v>-7939808.3399999999</v>
      </c>
    </row>
    <row r="114" spans="2:12" ht="15" customHeight="1" x14ac:dyDescent="0.45">
      <c r="C114" s="275"/>
      <c r="D114" s="69" t="s">
        <v>59</v>
      </c>
      <c r="E114" s="70">
        <f>SUM(E110:E113)</f>
        <v>62931</v>
      </c>
      <c r="F114" s="70"/>
      <c r="H114" s="72"/>
      <c r="I114" s="70">
        <f>SUM(I110:I113)</f>
        <v>5650377537.4499998</v>
      </c>
      <c r="J114" s="70">
        <f>H114-I114</f>
        <v>-5650377537.4499998</v>
      </c>
    </row>
    <row r="115" spans="2:12" ht="15" customHeight="1" x14ac:dyDescent="0.45">
      <c r="E115" s="29">
        <f>E104+E109</f>
        <v>358877</v>
      </c>
      <c r="F115" s="79">
        <f>E115-F60</f>
        <v>0</v>
      </c>
      <c r="H115" s="29">
        <f>H104+H109</f>
        <v>22339424470.060001</v>
      </c>
      <c r="I115" s="29">
        <f>I104+I114</f>
        <v>33810921535.189999</v>
      </c>
    </row>
    <row r="116" spans="2:12" ht="15" customHeight="1" x14ac:dyDescent="0.45">
      <c r="E116" s="29"/>
      <c r="F116" s="29"/>
      <c r="H116" s="79">
        <f>H115-H60</f>
        <v>0</v>
      </c>
      <c r="I116" s="79">
        <f>I115-E60</f>
        <v>0</v>
      </c>
    </row>
    <row r="117" spans="2:12" ht="15" customHeight="1" x14ac:dyDescent="0.45">
      <c r="B117" s="58" t="s">
        <v>65</v>
      </c>
      <c r="E117" s="29"/>
      <c r="F117" s="29"/>
      <c r="H117" s="34"/>
    </row>
    <row r="118" spans="2:12" ht="15" customHeight="1" x14ac:dyDescent="0.45"/>
    <row r="119" spans="2:12" ht="32.4" x14ac:dyDescent="0.45">
      <c r="C119" s="61" t="s">
        <v>51</v>
      </c>
      <c r="D119" s="42" t="s">
        <v>52</v>
      </c>
      <c r="E119" s="42" t="s">
        <v>53</v>
      </c>
      <c r="F119" s="80" t="s">
        <v>82</v>
      </c>
      <c r="H119" s="42" t="s">
        <v>54</v>
      </c>
      <c r="I119" s="42" t="s">
        <v>55</v>
      </c>
      <c r="J119" s="42" t="s">
        <v>56</v>
      </c>
    </row>
    <row r="120" spans="2:12" ht="15" customHeight="1" x14ac:dyDescent="0.45">
      <c r="C120" s="273" t="s">
        <v>57</v>
      </c>
      <c r="D120" s="129" t="s">
        <v>58</v>
      </c>
      <c r="E120" s="143">
        <f>'1.3.Financeiras'!E10</f>
        <v>4235</v>
      </c>
      <c r="F120" s="130"/>
      <c r="G120" s="131"/>
      <c r="H120" s="47">
        <f>'1.3.Financeiras'!F10</f>
        <v>352472655.10000002</v>
      </c>
      <c r="I120" s="47">
        <f>'1.3.Financeiras'!H10</f>
        <v>352472655.10000002</v>
      </c>
      <c r="J120" s="47">
        <f>H120-I120</f>
        <v>0</v>
      </c>
      <c r="L120" s="34"/>
    </row>
    <row r="121" spans="2:12" ht="15" customHeight="1" x14ac:dyDescent="0.45">
      <c r="C121" s="274"/>
      <c r="D121" s="135" t="s">
        <v>86</v>
      </c>
      <c r="E121" s="136">
        <f>SUM('1.3.Financeiras'!E11:E13,'1.3.Financeiras'!E15)</f>
        <v>2952</v>
      </c>
      <c r="F121" s="130"/>
      <c r="G121" s="131"/>
      <c r="H121" s="136">
        <f>SUM('1.3.Financeiras'!F11:F13,'1.3.Financeiras'!F15)</f>
        <v>303778465.54000002</v>
      </c>
      <c r="I121" s="136">
        <f>SUM('1.3.Financeiras'!H11:H13,'1.3.Financeiras'!H15)</f>
        <v>304288195.92000002</v>
      </c>
      <c r="J121" s="136">
        <f>H121-I121</f>
        <v>-509730.37999999523</v>
      </c>
      <c r="L121" s="34"/>
    </row>
    <row r="122" spans="2:12" ht="15" hidden="1" customHeight="1" x14ac:dyDescent="0.45">
      <c r="C122" s="274"/>
      <c r="D122" s="137" t="s">
        <v>84</v>
      </c>
      <c r="E122" s="144">
        <f>'1.3.Financeiras'!E14</f>
        <v>0</v>
      </c>
      <c r="F122" s="130"/>
      <c r="G122" s="131"/>
      <c r="H122" s="145">
        <f>'1.3.Financeiras'!F14</f>
        <v>0</v>
      </c>
      <c r="I122" s="145">
        <f>'1.3.Financeiras'!H14</f>
        <v>0</v>
      </c>
      <c r="J122" s="145">
        <f>H122-I122</f>
        <v>0</v>
      </c>
      <c r="L122" s="34"/>
    </row>
    <row r="123" spans="2:12" ht="15" customHeight="1" x14ac:dyDescent="0.45">
      <c r="C123" s="274"/>
      <c r="D123" s="132" t="s">
        <v>50</v>
      </c>
      <c r="E123" s="146">
        <f>'1.3.Financeiras'!E16</f>
        <v>205</v>
      </c>
      <c r="F123" s="130"/>
      <c r="G123" s="131"/>
      <c r="H123" s="147">
        <f>'1.3.Financeiras'!F16</f>
        <v>22601119.010000002</v>
      </c>
      <c r="I123" s="147">
        <f>'1.3.Financeiras'!H16</f>
        <v>20173284.57</v>
      </c>
      <c r="J123" s="147">
        <f>H123-I123</f>
        <v>2427834.4400000013</v>
      </c>
      <c r="L123" s="34"/>
    </row>
    <row r="124" spans="2:12" ht="15" customHeight="1" x14ac:dyDescent="0.45">
      <c r="C124" s="275"/>
      <c r="D124" s="69" t="s">
        <v>59</v>
      </c>
      <c r="E124" s="71">
        <f>SUM(E120:E123)</f>
        <v>7392</v>
      </c>
      <c r="F124" s="70"/>
      <c r="H124" s="71">
        <f>SUM(H120:H123)</f>
        <v>678852239.6500001</v>
      </c>
      <c r="I124" s="71">
        <f t="shared" ref="I124" si="8">SUM(I120:I123)</f>
        <v>676934135.59000003</v>
      </c>
      <c r="J124" s="71">
        <f>SUM(J120:J123)</f>
        <v>1918104.0600000061</v>
      </c>
      <c r="L124" s="34"/>
    </row>
    <row r="125" spans="2:12" ht="14.55" hidden="1" customHeight="1" x14ac:dyDescent="0.45">
      <c r="C125" s="278" t="s">
        <v>60</v>
      </c>
      <c r="D125" s="65" t="s">
        <v>86</v>
      </c>
      <c r="E125" s="81">
        <v>0</v>
      </c>
      <c r="F125" s="63"/>
      <c r="H125" s="81" t="s">
        <v>67</v>
      </c>
      <c r="I125" s="82"/>
      <c r="J125" s="72"/>
    </row>
    <row r="126" spans="2:12" ht="14.55" hidden="1" customHeight="1" x14ac:dyDescent="0.45">
      <c r="C126" s="276"/>
      <c r="D126" s="73" t="s">
        <v>85</v>
      </c>
      <c r="E126" s="74">
        <v>0</v>
      </c>
      <c r="F126" s="63"/>
      <c r="H126" s="74" t="s">
        <v>67</v>
      </c>
      <c r="I126" s="82"/>
      <c r="J126" s="72"/>
    </row>
    <row r="127" spans="2:12" ht="14.55" hidden="1" customHeight="1" x14ac:dyDescent="0.45">
      <c r="C127" s="276"/>
      <c r="D127" s="75" t="s">
        <v>84</v>
      </c>
      <c r="E127" s="83">
        <v>0</v>
      </c>
      <c r="F127" s="63"/>
      <c r="H127" s="83" t="s">
        <v>67</v>
      </c>
      <c r="I127" s="82"/>
      <c r="J127" s="72"/>
    </row>
    <row r="128" spans="2:12" ht="14.55" hidden="1" customHeight="1" x14ac:dyDescent="0.45">
      <c r="C128" s="276"/>
      <c r="D128" s="77" t="s">
        <v>83</v>
      </c>
      <c r="E128" s="84" t="e">
        <f>'1.3.Financeiras'!#REF!</f>
        <v>#REF!</v>
      </c>
      <c r="F128" s="63"/>
      <c r="H128" s="84" t="e">
        <f>'1.3.Financeiras'!#REF!</f>
        <v>#REF!</v>
      </c>
      <c r="I128" s="82"/>
      <c r="J128" s="84" t="e">
        <f>H128-I128</f>
        <v>#REF!</v>
      </c>
    </row>
    <row r="129" spans="2:11" ht="15" customHeight="1" x14ac:dyDescent="0.45">
      <c r="C129" s="276"/>
      <c r="D129" s="132" t="s">
        <v>50</v>
      </c>
      <c r="E129" s="141">
        <f>'1.3.Financeiras'!E22</f>
        <v>27</v>
      </c>
      <c r="F129" s="130"/>
      <c r="G129" s="131"/>
      <c r="H129" s="141">
        <f>'1.3.Financeiras'!F22</f>
        <v>930585.01</v>
      </c>
      <c r="I129" s="148"/>
      <c r="J129" s="141">
        <f t="shared" ref="J129:J136" si="9">H129-I129</f>
        <v>930585.01</v>
      </c>
    </row>
    <row r="130" spans="2:11" ht="15" customHeight="1" x14ac:dyDescent="0.45">
      <c r="C130" s="277"/>
      <c r="D130" s="69" t="s">
        <v>59</v>
      </c>
      <c r="E130" s="71">
        <f>E129</f>
        <v>27</v>
      </c>
      <c r="F130" s="70"/>
      <c r="H130" s="71">
        <f>H129</f>
        <v>930585.01</v>
      </c>
      <c r="I130" s="72"/>
      <c r="J130" s="71">
        <f t="shared" si="9"/>
        <v>930585.01</v>
      </c>
    </row>
    <row r="131" spans="2:11" ht="15" customHeight="1" x14ac:dyDescent="0.45">
      <c r="C131" s="273" t="s">
        <v>61</v>
      </c>
      <c r="D131" s="135" t="s">
        <v>86</v>
      </c>
      <c r="E131" s="136">
        <f>'1.3.Financeiras'!G18+'1.3.Financeiras'!G19</f>
        <v>396</v>
      </c>
      <c r="F131" s="130"/>
      <c r="G131" s="131"/>
      <c r="H131" s="134"/>
      <c r="I131" s="136">
        <f>'1.3.Financeiras'!H18+'1.3.Financeiras'!H19</f>
        <v>547687505.91999996</v>
      </c>
      <c r="J131" s="136">
        <f t="shared" si="9"/>
        <v>-547687505.91999996</v>
      </c>
    </row>
    <row r="132" spans="2:11" ht="14.4" hidden="1" customHeight="1" x14ac:dyDescent="0.45">
      <c r="C132" s="274"/>
      <c r="D132" s="149" t="s">
        <v>85</v>
      </c>
      <c r="E132" s="150">
        <v>0</v>
      </c>
      <c r="F132" s="130"/>
      <c r="G132" s="131"/>
      <c r="H132" s="134"/>
      <c r="I132" s="150" t="s">
        <v>67</v>
      </c>
      <c r="J132" s="150" t="e">
        <f t="shared" si="9"/>
        <v>#VALUE!</v>
      </c>
    </row>
    <row r="133" spans="2:11" hidden="1" x14ac:dyDescent="0.45">
      <c r="C133" s="274"/>
      <c r="D133" s="137" t="s">
        <v>84</v>
      </c>
      <c r="E133" s="118" t="e">
        <f>'1.3.Financeiras'!#REF!</f>
        <v>#REF!</v>
      </c>
      <c r="F133" s="130"/>
      <c r="G133" s="131"/>
      <c r="H133" s="134"/>
      <c r="I133" s="151" t="e">
        <f>'1.3.Financeiras'!#REF!</f>
        <v>#REF!</v>
      </c>
      <c r="J133" s="151" t="e">
        <f t="shared" si="9"/>
        <v>#REF!</v>
      </c>
    </row>
    <row r="134" spans="2:11" ht="14.4" hidden="1" customHeight="1" x14ac:dyDescent="0.45">
      <c r="C134" s="274"/>
      <c r="D134" s="139" t="s">
        <v>83</v>
      </c>
      <c r="E134" s="140">
        <v>0</v>
      </c>
      <c r="F134" s="130"/>
      <c r="G134" s="131"/>
      <c r="H134" s="134"/>
      <c r="I134" s="140" t="s">
        <v>67</v>
      </c>
      <c r="J134" s="140" t="e">
        <f t="shared" si="9"/>
        <v>#VALUE!</v>
      </c>
    </row>
    <row r="135" spans="2:11" ht="15" customHeight="1" x14ac:dyDescent="0.45">
      <c r="C135" s="274"/>
      <c r="D135" s="132" t="s">
        <v>50</v>
      </c>
      <c r="E135" s="141">
        <f>'1.3.Financeiras'!G20</f>
        <v>2</v>
      </c>
      <c r="F135" s="130"/>
      <c r="G135" s="131"/>
      <c r="H135" s="134"/>
      <c r="I135" s="141">
        <f>'1.3.Financeiras'!H20</f>
        <v>3333.3</v>
      </c>
      <c r="J135" s="141">
        <f t="shared" si="9"/>
        <v>-3333.3</v>
      </c>
    </row>
    <row r="136" spans="2:11" ht="15" customHeight="1" x14ac:dyDescent="0.45">
      <c r="C136" s="275"/>
      <c r="D136" s="69" t="s">
        <v>59</v>
      </c>
      <c r="E136" s="71">
        <f>E131+E135</f>
        <v>398</v>
      </c>
      <c r="F136" s="70"/>
      <c r="H136" s="82"/>
      <c r="I136" s="71">
        <f>I131+I135</f>
        <v>547690839.21999991</v>
      </c>
      <c r="J136" s="71">
        <f t="shared" si="9"/>
        <v>-547690839.21999991</v>
      </c>
    </row>
    <row r="137" spans="2:11" ht="15" customHeight="1" x14ac:dyDescent="0.45">
      <c r="E137" s="29">
        <f>E124+E130</f>
        <v>7419</v>
      </c>
      <c r="F137" s="156">
        <f>E137-F61</f>
        <v>0</v>
      </c>
      <c r="H137" s="29">
        <f>H124+H130</f>
        <v>679782824.66000009</v>
      </c>
      <c r="I137" s="29">
        <f>I124+I136</f>
        <v>1224624974.8099999</v>
      </c>
    </row>
    <row r="138" spans="2:11" ht="15" customHeight="1" x14ac:dyDescent="0.45">
      <c r="B138" s="57" t="s">
        <v>174</v>
      </c>
      <c r="E138" s="29"/>
      <c r="F138" s="29"/>
      <c r="H138" s="79">
        <f>H137-H61</f>
        <v>0</v>
      </c>
      <c r="I138" s="79">
        <f>I137-E61</f>
        <v>0</v>
      </c>
    </row>
    <row r="139" spans="2:11" ht="15" customHeight="1" x14ac:dyDescent="0.45">
      <c r="B139" s="30"/>
    </row>
    <row r="140" spans="2:11" s="60" customFormat="1" ht="32.4" x14ac:dyDescent="0.45">
      <c r="C140" s="61" t="s">
        <v>51</v>
      </c>
      <c r="D140" s="42" t="s">
        <v>52</v>
      </c>
      <c r="E140" s="42" t="s">
        <v>53</v>
      </c>
      <c r="F140" s="80" t="s">
        <v>82</v>
      </c>
      <c r="H140" s="42" t="s">
        <v>54</v>
      </c>
      <c r="I140" s="42" t="s">
        <v>55</v>
      </c>
      <c r="J140" s="42" t="s">
        <v>56</v>
      </c>
    </row>
    <row r="141" spans="2:11" ht="15" customHeight="1" x14ac:dyDescent="0.45">
      <c r="C141" s="273" t="s">
        <v>57</v>
      </c>
      <c r="D141" s="129" t="s">
        <v>58</v>
      </c>
      <c r="E141" s="47">
        <f>'1.2.Imóveis'!F19+'1.2.Imóveis'!F28</f>
        <v>247467</v>
      </c>
      <c r="F141" s="130"/>
      <c r="G141" s="131"/>
      <c r="H141" s="47">
        <f>'1.2.Imóveis'!H19+'1.2.Imóveis'!H28</f>
        <v>43689031013.349998</v>
      </c>
      <c r="I141" s="47">
        <f>'1.2.Imóveis'!I19+'1.2.Imóveis'!I28</f>
        <v>43689031013.349998</v>
      </c>
      <c r="J141" s="47">
        <f>'1.2.Imóveis'!J19+'1.2.Imóveis'!J28</f>
        <v>0</v>
      </c>
    </row>
    <row r="142" spans="2:11" ht="15" customHeight="1" x14ac:dyDescent="0.45">
      <c r="C142" s="274"/>
      <c r="D142" s="135" t="s">
        <v>86</v>
      </c>
      <c r="E142" s="136">
        <f>SUM('1.2.Imóveis'!F20:F24,'1.2.Imóveis'!F29,'1.2.Imóveis'!F32:F35,'1.2.Imóveis'!F37)</f>
        <v>130335</v>
      </c>
      <c r="F142" s="130"/>
      <c r="G142" s="131"/>
      <c r="H142" s="136">
        <f>SUM('1.2.Imóveis'!H20:H24,'1.2.Imóveis'!H29,'1.2.Imóveis'!H32:H35,'1.2.Imóveis'!H37)</f>
        <v>12336141786.610001</v>
      </c>
      <c r="I142" s="136">
        <f>SUM('1.2.Imóveis'!I20:I24,'1.2.Imóveis'!I29,'1.2.Imóveis'!I32:I35,'1.2.Imóveis'!I37)</f>
        <v>12728662924.370001</v>
      </c>
      <c r="J142" s="136">
        <f>SUM('1.2.Imóveis'!J20:J24,'1.2.Imóveis'!J29,'1.2.Imóveis'!J32:J35,'1.2.Imóveis'!J37)</f>
        <v>-392521137.75999933</v>
      </c>
    </row>
    <row r="143" spans="2:11" x14ac:dyDescent="0.45">
      <c r="C143" s="274"/>
      <c r="D143" s="137" t="s">
        <v>84</v>
      </c>
      <c r="E143" s="138">
        <f>SUM('1.2.Imóveis'!F30:F31)+'1.2.Imóveis'!F25</f>
        <v>22752</v>
      </c>
      <c r="F143" s="130"/>
      <c r="G143" s="131"/>
      <c r="H143" s="138">
        <f>SUM('1.2.Imóveis'!H30:H31)+'1.2.Imóveis'!H25</f>
        <v>1501072950.1700001</v>
      </c>
      <c r="I143" s="138">
        <f>SUM('1.2.Imóveis'!I30:I31)+'1.2.Imóveis'!I25</f>
        <v>1501072950.05</v>
      </c>
      <c r="J143" s="138">
        <f>SUM('1.2.Imóveis'!J30:J31)</f>
        <v>0.1100001335144043</v>
      </c>
    </row>
    <row r="144" spans="2:11" x14ac:dyDescent="0.45">
      <c r="C144" s="274"/>
      <c r="D144" s="139" t="s">
        <v>83</v>
      </c>
      <c r="E144" s="140">
        <f>'1.2.Imóveis'!F36</f>
        <v>8</v>
      </c>
      <c r="F144" s="130"/>
      <c r="G144" s="131"/>
      <c r="H144" s="140">
        <f>'1.2.Imóveis'!H36</f>
        <v>11568788.07</v>
      </c>
      <c r="I144" s="140">
        <f>'1.2.Imóveis'!I36</f>
        <v>11576446.35</v>
      </c>
      <c r="J144" s="140">
        <f>'1.2.Imóveis'!J36</f>
        <v>-7658.2799999993294</v>
      </c>
      <c r="K144" s="85"/>
    </row>
    <row r="145" spans="2:11" ht="15" customHeight="1" x14ac:dyDescent="0.45">
      <c r="C145" s="274"/>
      <c r="D145" s="132" t="s">
        <v>50</v>
      </c>
      <c r="E145" s="133">
        <f>'1.2.Imóveis'!F26+'1.2.Imóveis'!F38</f>
        <v>15</v>
      </c>
      <c r="F145" s="130"/>
      <c r="G145" s="131"/>
      <c r="H145" s="133">
        <f>'1.2.Imóveis'!H26+'1.2.Imóveis'!H38</f>
        <v>2317975.2899990082</v>
      </c>
      <c r="I145" s="133">
        <f>'1.2.Imóveis'!I26+'1.2.Imóveis'!I38</f>
        <v>2690135.4199981689</v>
      </c>
      <c r="J145" s="133">
        <f>'1.2.Imóveis'!J26+'1.2.Imóveis'!J38</f>
        <v>-372160.12999790907</v>
      </c>
      <c r="K145" s="29"/>
    </row>
    <row r="146" spans="2:11" ht="15" customHeight="1" x14ac:dyDescent="0.45">
      <c r="C146" s="275"/>
      <c r="D146" s="69" t="s">
        <v>59</v>
      </c>
      <c r="E146" s="71">
        <f>SUM(E141:E145)</f>
        <v>400577</v>
      </c>
      <c r="F146" s="70"/>
      <c r="H146" s="71">
        <f>SUM(H141:H145)</f>
        <v>57540132513.489998</v>
      </c>
      <c r="I146" s="71">
        <f>SUM(I141:I145)</f>
        <v>57933033469.540001</v>
      </c>
      <c r="J146" s="71">
        <f>SUM(J141:J145)</f>
        <v>-392900956.05999708</v>
      </c>
    </row>
    <row r="147" spans="2:11" ht="15" customHeight="1" x14ac:dyDescent="0.45">
      <c r="C147" s="276" t="s">
        <v>60</v>
      </c>
      <c r="D147" s="132" t="s">
        <v>50</v>
      </c>
      <c r="E147" s="133">
        <f>'1.2.Imóveis'!F41</f>
        <v>111</v>
      </c>
      <c r="F147" s="130"/>
      <c r="G147" s="131"/>
      <c r="H147" s="133">
        <f>'1.2.Imóveis'!H41</f>
        <v>635144.6</v>
      </c>
      <c r="I147" s="134"/>
      <c r="J147" s="133">
        <f>H147-I147</f>
        <v>635144.6</v>
      </c>
    </row>
    <row r="148" spans="2:11" ht="15" customHeight="1" x14ac:dyDescent="0.45">
      <c r="C148" s="277"/>
      <c r="D148" s="69" t="s">
        <v>59</v>
      </c>
      <c r="E148" s="71">
        <f>SUM(E147:E147)</f>
        <v>111</v>
      </c>
      <c r="F148" s="70"/>
      <c r="H148" s="71">
        <f>SUM(H147:H147)</f>
        <v>635144.6</v>
      </c>
      <c r="I148" s="72"/>
      <c r="J148" s="71">
        <f>H148-I148</f>
        <v>635144.6</v>
      </c>
    </row>
    <row r="149" spans="2:11" ht="15" customHeight="1" x14ac:dyDescent="0.45">
      <c r="C149" s="273" t="s">
        <v>61</v>
      </c>
      <c r="D149" s="135" t="s">
        <v>86</v>
      </c>
      <c r="E149" s="136">
        <f>SUM('1.2.Imóveis'!F44:F46,'1.2.Imóveis'!F49:F54)</f>
        <v>1243</v>
      </c>
      <c r="F149" s="130"/>
      <c r="G149" s="131"/>
      <c r="H149" s="134"/>
      <c r="I149" s="136">
        <f>SUM('1.2.Imóveis'!I44:I46,'1.2.Imóveis'!I49:I54)</f>
        <v>309347687.97000003</v>
      </c>
      <c r="J149" s="136">
        <f>SUM('1.2.Imóveis'!J44:J46,'1.2.Imóveis'!J49:J54)</f>
        <v>-309347687.97000003</v>
      </c>
    </row>
    <row r="150" spans="2:11" ht="15" hidden="1" customHeight="1" x14ac:dyDescent="0.45">
      <c r="C150" s="274"/>
      <c r="D150" s="137" t="s">
        <v>84</v>
      </c>
      <c r="E150" s="138" t="e">
        <f>'1.2.Imóveis'!#REF!</f>
        <v>#REF!</v>
      </c>
      <c r="F150" s="130"/>
      <c r="G150" s="131"/>
      <c r="H150" s="134"/>
      <c r="I150" s="138" t="e">
        <f>'1.2.Imóveis'!#REF!</f>
        <v>#REF!</v>
      </c>
      <c r="J150" s="138" t="e">
        <f t="shared" ref="J150:J153" si="10">H150-I150</f>
        <v>#REF!</v>
      </c>
    </row>
    <row r="151" spans="2:11" hidden="1" x14ac:dyDescent="0.45">
      <c r="C151" s="274"/>
      <c r="D151" s="139" t="s">
        <v>83</v>
      </c>
      <c r="E151" s="140" t="s">
        <v>67</v>
      </c>
      <c r="F151" s="130"/>
      <c r="G151" s="131"/>
      <c r="H151" s="134"/>
      <c r="I151" s="140" t="s">
        <v>67</v>
      </c>
      <c r="J151" s="140" t="s">
        <v>67</v>
      </c>
    </row>
    <row r="152" spans="2:11" ht="15" hidden="1" customHeight="1" x14ac:dyDescent="0.45">
      <c r="C152" s="274"/>
      <c r="D152" s="132" t="s">
        <v>50</v>
      </c>
      <c r="E152" s="133"/>
      <c r="F152" s="130"/>
      <c r="G152" s="131"/>
      <c r="H152" s="134"/>
      <c r="I152" s="133"/>
      <c r="J152" s="133"/>
    </row>
    <row r="153" spans="2:11" ht="15" customHeight="1" x14ac:dyDescent="0.45">
      <c r="C153" s="275"/>
      <c r="D153" s="69" t="s">
        <v>59</v>
      </c>
      <c r="E153" s="71">
        <f>E149</f>
        <v>1243</v>
      </c>
      <c r="F153" s="70"/>
      <c r="H153" s="82"/>
      <c r="I153" s="71">
        <f>I149</f>
        <v>309347687.97000003</v>
      </c>
      <c r="J153" s="71">
        <f t="shared" si="10"/>
        <v>-309347687.97000003</v>
      </c>
    </row>
    <row r="154" spans="2:11" ht="15" customHeight="1" x14ac:dyDescent="0.45">
      <c r="E154" s="29">
        <f>E146+E148</f>
        <v>400688</v>
      </c>
      <c r="F154" s="29">
        <f>E154-F62</f>
        <v>0</v>
      </c>
      <c r="H154" s="29">
        <f>H146+H148-('1.2.Imóveis'!H27+'1.2.Imóveis'!H18+'1.2.Imóveis'!H40)</f>
        <v>0</v>
      </c>
      <c r="I154" s="29">
        <f>I146+I153-('1.2.Imóveis'!I27+'1.2.Imóveis'!I18+'1.2.Imóveis'!I43+'1.2.Imóveis'!I48)</f>
        <v>0</v>
      </c>
    </row>
    <row r="155" spans="2:11" ht="15" customHeight="1" x14ac:dyDescent="0.45">
      <c r="B155" s="57" t="s">
        <v>246</v>
      </c>
      <c r="E155" s="29"/>
      <c r="F155" s="29"/>
    </row>
    <row r="156" spans="2:11" ht="15" customHeight="1" x14ac:dyDescent="0.45">
      <c r="B156" s="30"/>
    </row>
    <row r="157" spans="2:11" s="60" customFormat="1" ht="32.4" x14ac:dyDescent="0.45">
      <c r="C157" s="61" t="s">
        <v>51</v>
      </c>
      <c r="D157" s="42" t="s">
        <v>52</v>
      </c>
      <c r="E157" s="42" t="s">
        <v>53</v>
      </c>
      <c r="F157" s="80" t="s">
        <v>82</v>
      </c>
      <c r="H157" s="42" t="s">
        <v>54</v>
      </c>
      <c r="I157" s="42" t="s">
        <v>55</v>
      </c>
      <c r="J157" s="42" t="s">
        <v>56</v>
      </c>
    </row>
    <row r="158" spans="2:11" ht="15" customHeight="1" x14ac:dyDescent="0.45">
      <c r="C158" s="273" t="s">
        <v>57</v>
      </c>
      <c r="D158" s="129" t="s">
        <v>58</v>
      </c>
      <c r="E158" s="47">
        <f>'1.4.Imóveis - LEA'!F16</f>
        <v>4926</v>
      </c>
      <c r="F158" s="130"/>
      <c r="G158" s="131"/>
      <c r="H158" s="47">
        <f>'1.4.Imóveis - LEA'!G16</f>
        <v>1490769219.74</v>
      </c>
      <c r="I158" s="47">
        <f>'1.4.Imóveis - LEA'!H16</f>
        <v>1490769219.74</v>
      </c>
      <c r="J158" s="47">
        <f>'1.4.Imóveis - LEA'!I16</f>
        <v>0</v>
      </c>
    </row>
    <row r="159" spans="2:11" ht="15" customHeight="1" x14ac:dyDescent="0.45">
      <c r="C159" s="274"/>
      <c r="D159" s="132" t="s">
        <v>50</v>
      </c>
      <c r="E159" s="133">
        <f>'1.4.Imóveis - LEA'!F17</f>
        <v>15</v>
      </c>
      <c r="F159" s="130"/>
      <c r="G159" s="131"/>
      <c r="H159" s="133">
        <f>'1.4.Imóveis - LEA'!G17</f>
        <v>2109095.7999999523</v>
      </c>
      <c r="I159" s="133">
        <f>'1.4.Imóveis - LEA'!H17</f>
        <v>757600</v>
      </c>
      <c r="J159" s="133">
        <f>'1.4.Imóveis - LEA'!I17</f>
        <v>1351495.7999999523</v>
      </c>
    </row>
    <row r="160" spans="2:11" ht="15" customHeight="1" x14ac:dyDescent="0.45">
      <c r="C160" s="275"/>
      <c r="D160" s="69" t="s">
        <v>59</v>
      </c>
      <c r="E160" s="71">
        <f>SUM(E158:E159)</f>
        <v>4941</v>
      </c>
      <c r="F160" s="70"/>
      <c r="H160" s="71">
        <f>SUM(H158:H159)</f>
        <v>1492878315.54</v>
      </c>
      <c r="I160" s="71">
        <f>SUM(I158:I159)</f>
        <v>1491526819.74</v>
      </c>
      <c r="J160" s="71">
        <f>SUM(J158:J159)</f>
        <v>1351495.7999999523</v>
      </c>
    </row>
    <row r="161" spans="2:10" ht="14.4" hidden="1" customHeight="1" x14ac:dyDescent="0.45">
      <c r="C161" s="278" t="s">
        <v>60</v>
      </c>
      <c r="D161" s="67" t="s">
        <v>50</v>
      </c>
      <c r="E161" s="68">
        <f>'1.4.Imóveis - LEA'!F20</f>
        <v>0</v>
      </c>
      <c r="F161" s="63"/>
      <c r="H161" s="68">
        <f>'1.4.Imóveis - LEA'!G20</f>
        <v>0</v>
      </c>
      <c r="I161" s="72"/>
      <c r="J161" s="72"/>
    </row>
    <row r="162" spans="2:10" hidden="1" x14ac:dyDescent="0.45">
      <c r="C162" s="277"/>
      <c r="D162" s="69" t="s">
        <v>59</v>
      </c>
      <c r="E162" s="71">
        <f>SUM(E161:E161)</f>
        <v>0</v>
      </c>
      <c r="F162" s="70"/>
      <c r="H162" s="71">
        <f>SUM(H161:H161)</f>
        <v>0</v>
      </c>
      <c r="I162" s="72"/>
      <c r="J162" s="72"/>
    </row>
    <row r="163" spans="2:10" ht="15" customHeight="1" x14ac:dyDescent="0.45">
      <c r="C163" s="273" t="s">
        <v>61</v>
      </c>
      <c r="D163" s="137" t="s">
        <v>84</v>
      </c>
      <c r="E163" s="138">
        <f>'1.4.Imóveis - LEA'!F25</f>
        <v>190</v>
      </c>
      <c r="F163" s="130"/>
      <c r="G163" s="131"/>
      <c r="H163" s="134"/>
      <c r="I163" s="138">
        <f>'1.4.Imóveis - LEA'!H25</f>
        <v>22705005.77</v>
      </c>
      <c r="J163" s="138">
        <f>H163-I163</f>
        <v>-22705005.77</v>
      </c>
    </row>
    <row r="164" spans="2:10" ht="15" customHeight="1" x14ac:dyDescent="0.45">
      <c r="C164" s="274"/>
      <c r="D164" s="139" t="s">
        <v>83</v>
      </c>
      <c r="E164" s="140">
        <f>'1.4.Imóveis - LEA'!F26</f>
        <v>24</v>
      </c>
      <c r="F164" s="130"/>
      <c r="G164" s="131"/>
      <c r="H164" s="134"/>
      <c r="I164" s="140">
        <f>'1.4.Imóveis - LEA'!H26</f>
        <v>2162135.13</v>
      </c>
      <c r="J164" s="140">
        <f t="shared" ref="J164:J166" si="11">H164-I164</f>
        <v>-2162135.13</v>
      </c>
    </row>
    <row r="165" spans="2:10" ht="15" hidden="1" customHeight="1" x14ac:dyDescent="0.45">
      <c r="C165" s="274"/>
      <c r="D165" s="132" t="s">
        <v>50</v>
      </c>
      <c r="E165" s="133">
        <f>'1.4.Imóveis - LEA'!F27</f>
        <v>0</v>
      </c>
      <c r="F165" s="130"/>
      <c r="G165" s="131"/>
      <c r="H165" s="134"/>
      <c r="I165" s="133">
        <f>'1.4.Imóveis - LEA'!H27</f>
        <v>0</v>
      </c>
      <c r="J165" s="133">
        <f t="shared" si="11"/>
        <v>0</v>
      </c>
    </row>
    <row r="166" spans="2:10" ht="15" customHeight="1" x14ac:dyDescent="0.45">
      <c r="C166" s="275"/>
      <c r="D166" s="69" t="s">
        <v>59</v>
      </c>
      <c r="E166" s="71">
        <f>SUM(E163:E165)</f>
        <v>214</v>
      </c>
      <c r="F166" s="70"/>
      <c r="H166" s="82"/>
      <c r="I166" s="71">
        <f>SUM(I163:I165)</f>
        <v>24867140.899999999</v>
      </c>
      <c r="J166" s="71">
        <f t="shared" si="11"/>
        <v>-24867140.899999999</v>
      </c>
    </row>
    <row r="167" spans="2:10" ht="15" customHeight="1" x14ac:dyDescent="0.45">
      <c r="E167" s="29">
        <f>E160</f>
        <v>4941</v>
      </c>
      <c r="F167" s="29">
        <f>E167-F64</f>
        <v>0</v>
      </c>
      <c r="H167" s="29">
        <f>H160-H64</f>
        <v>0</v>
      </c>
      <c r="I167" s="29">
        <f>I160+I166-E64</f>
        <v>0</v>
      </c>
    </row>
    <row r="168" spans="2:10" ht="15" customHeight="1" x14ac:dyDescent="0.45">
      <c r="B168" s="57" t="s">
        <v>176</v>
      </c>
      <c r="E168" s="29"/>
      <c r="F168" s="29"/>
    </row>
    <row r="169" spans="2:10" ht="15" customHeight="1" x14ac:dyDescent="0.45">
      <c r="B169" s="30"/>
    </row>
    <row r="170" spans="2:10" s="60" customFormat="1" ht="32.4" x14ac:dyDescent="0.45">
      <c r="C170" s="61" t="s">
        <v>51</v>
      </c>
      <c r="D170" s="42" t="s">
        <v>52</v>
      </c>
      <c r="E170" s="42" t="s">
        <v>48</v>
      </c>
      <c r="F170" s="80" t="s">
        <v>82</v>
      </c>
      <c r="H170" s="42" t="s">
        <v>54</v>
      </c>
      <c r="I170" s="42" t="s">
        <v>55</v>
      </c>
      <c r="J170" s="42" t="s">
        <v>56</v>
      </c>
    </row>
    <row r="171" spans="2:10" ht="15" customHeight="1" x14ac:dyDescent="0.45">
      <c r="C171" s="273" t="s">
        <v>57</v>
      </c>
      <c r="D171" s="129" t="s">
        <v>58</v>
      </c>
      <c r="E171" s="47">
        <f>'1.5.Pessoais - LEA'!E10</f>
        <v>2352</v>
      </c>
      <c r="F171" s="130"/>
      <c r="G171" s="131"/>
      <c r="H171" s="47">
        <f>SUM('1.5.Pessoais - LEA'!F10)</f>
        <v>17384623.059999999</v>
      </c>
      <c r="I171" s="47">
        <f>SUM('1.5.Pessoais - LEA'!H10)</f>
        <v>17384623.059999999</v>
      </c>
      <c r="J171" s="47">
        <f>H171-I171</f>
        <v>0</v>
      </c>
    </row>
    <row r="172" spans="2:10" ht="15" customHeight="1" x14ac:dyDescent="0.45">
      <c r="C172" s="274"/>
      <c r="D172" s="135" t="s">
        <v>86</v>
      </c>
      <c r="E172" s="136">
        <f>SUM('1.5.Pessoais - LEA'!E11:E12)</f>
        <v>29858</v>
      </c>
      <c r="F172" s="130"/>
      <c r="G172" s="131"/>
      <c r="H172" s="136">
        <f>SUM('1.5.Pessoais - LEA'!F11:F12)</f>
        <v>1424062180.54</v>
      </c>
      <c r="I172" s="136">
        <f>SUM('1.5.Pessoais - LEA'!H11:H12)</f>
        <v>1415314434.8299999</v>
      </c>
      <c r="J172" s="136">
        <f>H172-I172</f>
        <v>8747745.7100000381</v>
      </c>
    </row>
    <row r="173" spans="2:10" ht="15" customHeight="1" x14ac:dyDescent="0.45">
      <c r="C173" s="274"/>
      <c r="D173" s="132" t="s">
        <v>50</v>
      </c>
      <c r="E173" s="133">
        <f>'1.5.Pessoais - LEA'!E13</f>
        <v>1282</v>
      </c>
      <c r="F173" s="130"/>
      <c r="G173" s="131"/>
      <c r="H173" s="133">
        <f>'1.5.Pessoais - LEA'!F13</f>
        <v>144952913.38999999</v>
      </c>
      <c r="I173" s="133">
        <f>'1.5.Pessoais - LEA'!H13</f>
        <v>120062873.09999999</v>
      </c>
      <c r="J173" s="133">
        <f>H173-I173</f>
        <v>24890040.289999992</v>
      </c>
    </row>
    <row r="174" spans="2:10" ht="15" customHeight="1" x14ac:dyDescent="0.45">
      <c r="C174" s="275"/>
      <c r="D174" s="69" t="s">
        <v>59</v>
      </c>
      <c r="E174" s="71">
        <f>SUM(E171:E173)</f>
        <v>33492</v>
      </c>
      <c r="F174" s="70"/>
      <c r="H174" s="71">
        <f>SUM(H171:H173)</f>
        <v>1586399716.9899998</v>
      </c>
      <c r="I174" s="71">
        <f>SUM(I171:I173)</f>
        <v>1552761930.9899998</v>
      </c>
      <c r="J174" s="71">
        <f>SUM(J171:J173)</f>
        <v>33637786.00000003</v>
      </c>
    </row>
    <row r="175" spans="2:10" ht="15" hidden="1" customHeight="1" x14ac:dyDescent="0.45">
      <c r="C175" s="276" t="s">
        <v>60</v>
      </c>
      <c r="D175" s="132" t="s">
        <v>50</v>
      </c>
      <c r="E175" s="133">
        <f>'1.5.Pessoais - LEA'!E20</f>
        <v>0</v>
      </c>
      <c r="F175" s="130"/>
      <c r="G175" s="131"/>
      <c r="H175" s="133">
        <f>'1.5.Pessoais - LEA'!F20</f>
        <v>0</v>
      </c>
      <c r="I175" s="134"/>
      <c r="J175" s="133">
        <f>H175-I175</f>
        <v>0</v>
      </c>
    </row>
    <row r="176" spans="2:10" ht="15" hidden="1" customHeight="1" x14ac:dyDescent="0.45">
      <c r="C176" s="277"/>
      <c r="D176" s="69" t="s">
        <v>59</v>
      </c>
      <c r="E176" s="71">
        <f>SUM(E175:E175)</f>
        <v>0</v>
      </c>
      <c r="F176" s="70"/>
      <c r="H176" s="71">
        <f>SUM(H175:H175)</f>
        <v>0</v>
      </c>
      <c r="I176" s="72"/>
      <c r="J176" s="71">
        <f>H176-I176</f>
        <v>0</v>
      </c>
    </row>
    <row r="177" spans="2:10" ht="15" customHeight="1" x14ac:dyDescent="0.45">
      <c r="C177" s="273" t="s">
        <v>61</v>
      </c>
      <c r="D177" s="135" t="s">
        <v>86</v>
      </c>
      <c r="E177" s="136">
        <f>SUM('1.5.Pessoais - LEA'!G15:G16)</f>
        <v>4349</v>
      </c>
      <c r="F177" s="130"/>
      <c r="G177" s="131"/>
      <c r="H177" s="134"/>
      <c r="I177" s="136">
        <f>SUM('1.5.Pessoais - LEA'!H15:H16)</f>
        <v>92125044.650000006</v>
      </c>
      <c r="J177" s="136">
        <f>H177-I177</f>
        <v>-92125044.650000006</v>
      </c>
    </row>
    <row r="178" spans="2:10" ht="15" customHeight="1" x14ac:dyDescent="0.45">
      <c r="C178" s="274"/>
      <c r="D178" s="139" t="s">
        <v>83</v>
      </c>
      <c r="E178" s="140">
        <f>SUM('1.5.Pessoais - LEA'!G17)</f>
        <v>32</v>
      </c>
      <c r="F178" s="130"/>
      <c r="G178" s="131"/>
      <c r="H178" s="134"/>
      <c r="I178" s="140">
        <f>'1.5.Pessoais - LEA'!H17</f>
        <v>900.12</v>
      </c>
      <c r="J178" s="140">
        <f t="shared" ref="J178" si="12">H178-I178</f>
        <v>-900.12</v>
      </c>
    </row>
    <row r="179" spans="2:10" ht="15" customHeight="1" x14ac:dyDescent="0.45">
      <c r="C179" s="274"/>
      <c r="D179" s="132" t="s">
        <v>50</v>
      </c>
      <c r="E179" s="133">
        <f>'1.5.Pessoais - LEA'!G18</f>
        <v>1</v>
      </c>
      <c r="F179" s="130"/>
      <c r="G179" s="131"/>
      <c r="H179" s="134"/>
      <c r="I179" s="133">
        <f>'1.5.Pessoais - LEA'!H18</f>
        <v>26000</v>
      </c>
      <c r="J179" s="133">
        <f>H179-I179</f>
        <v>-26000</v>
      </c>
    </row>
    <row r="180" spans="2:10" ht="15" customHeight="1" x14ac:dyDescent="0.45">
      <c r="C180" s="275"/>
      <c r="D180" s="69" t="s">
        <v>59</v>
      </c>
      <c r="E180" s="71">
        <f>SUM(E177:E178)</f>
        <v>4381</v>
      </c>
      <c r="F180" s="70"/>
      <c r="H180" s="82"/>
      <c r="I180" s="71">
        <f>SUM(I177:I179)</f>
        <v>92151944.770000011</v>
      </c>
      <c r="J180" s="71">
        <f>H180-I180</f>
        <v>-92151944.770000011</v>
      </c>
    </row>
    <row r="181" spans="2:10" ht="15" customHeight="1" x14ac:dyDescent="0.45">
      <c r="E181" s="29">
        <f>E174</f>
        <v>33492</v>
      </c>
      <c r="F181" s="29">
        <f>E181-F63</f>
        <v>0</v>
      </c>
      <c r="H181" s="29">
        <f>H174+H176</f>
        <v>1586399716.9899998</v>
      </c>
      <c r="I181" s="29">
        <f>I174+I180</f>
        <v>1644913875.7599998</v>
      </c>
    </row>
    <row r="182" spans="2:10" ht="15" customHeight="1" x14ac:dyDescent="0.45">
      <c r="E182" s="29"/>
      <c r="F182" s="29"/>
      <c r="H182" s="79">
        <f>H181-H63</f>
        <v>0</v>
      </c>
      <c r="I182" s="79">
        <f>I181-E63</f>
        <v>0</v>
      </c>
    </row>
    <row r="183" spans="2:10" ht="15" customHeight="1" x14ac:dyDescent="0.45">
      <c r="B183" s="57" t="s">
        <v>177</v>
      </c>
      <c r="E183" s="29"/>
      <c r="F183" s="29"/>
      <c r="I183" s="34"/>
    </row>
    <row r="184" spans="2:10" ht="15" customHeight="1" x14ac:dyDescent="0.45">
      <c r="B184" s="30"/>
    </row>
    <row r="185" spans="2:10" s="60" customFormat="1" ht="15" customHeight="1" x14ac:dyDescent="0.45">
      <c r="C185" s="61" t="s">
        <v>51</v>
      </c>
      <c r="D185" s="42" t="s">
        <v>52</v>
      </c>
      <c r="E185" s="42" t="s">
        <v>48</v>
      </c>
      <c r="F185" s="80" t="s">
        <v>82</v>
      </c>
      <c r="H185" s="42" t="s">
        <v>54</v>
      </c>
      <c r="I185" s="42" t="s">
        <v>55</v>
      </c>
      <c r="J185" s="42" t="s">
        <v>56</v>
      </c>
    </row>
    <row r="186" spans="2:10" ht="15" customHeight="1" x14ac:dyDescent="0.45">
      <c r="C186" s="273" t="s">
        <v>57</v>
      </c>
      <c r="D186" s="129" t="s">
        <v>58</v>
      </c>
      <c r="E186" s="47">
        <f>'1.6.Factoring'!E10</f>
        <v>11158</v>
      </c>
      <c r="F186" s="130"/>
      <c r="G186" s="131"/>
      <c r="H186" s="47">
        <f>'1.6.Factoring'!F10</f>
        <v>105986083.48999999</v>
      </c>
      <c r="I186" s="47">
        <f>'1.6.Factoring'!H10</f>
        <v>105986083.48999999</v>
      </c>
      <c r="J186" s="47">
        <f>H186-I186</f>
        <v>0</v>
      </c>
    </row>
    <row r="187" spans="2:10" ht="15" customHeight="1" x14ac:dyDescent="0.45">
      <c r="C187" s="274"/>
      <c r="D187" s="132" t="s">
        <v>50</v>
      </c>
      <c r="E187" s="133">
        <f>'1.6.Factoring'!E11</f>
        <v>16</v>
      </c>
      <c r="F187" s="130"/>
      <c r="G187" s="131"/>
      <c r="H187" s="133">
        <f>'1.6.Factoring'!F11</f>
        <v>11311.21</v>
      </c>
      <c r="I187" s="133">
        <f>'1.6.Factoring'!H11</f>
        <v>11397.31</v>
      </c>
      <c r="J187" s="47">
        <f>H187-I187</f>
        <v>-86.100000000000364</v>
      </c>
    </row>
    <row r="188" spans="2:10" ht="15" customHeight="1" x14ac:dyDescent="0.45">
      <c r="C188" s="275"/>
      <c r="D188" s="69" t="s">
        <v>59</v>
      </c>
      <c r="E188" s="71">
        <f>SUM(E186:E187)</f>
        <v>11174</v>
      </c>
      <c r="F188" s="70"/>
      <c r="H188" s="71">
        <f>SUM(H186:H187)</f>
        <v>105997394.69999999</v>
      </c>
      <c r="I188" s="71">
        <f>SUM(I186:I187)</f>
        <v>105997480.8</v>
      </c>
      <c r="J188" s="71">
        <f>SUM(J186:J187)</f>
        <v>-86.100000000000364</v>
      </c>
    </row>
    <row r="189" spans="2:10" ht="15" hidden="1" customHeight="1" x14ac:dyDescent="0.45">
      <c r="C189" s="276" t="s">
        <v>60</v>
      </c>
      <c r="D189" s="132" t="s">
        <v>50</v>
      </c>
      <c r="E189" s="133">
        <f>'1.6.Factoring'!E15</f>
        <v>0</v>
      </c>
      <c r="F189" s="130"/>
      <c r="G189" s="131"/>
      <c r="H189" s="133">
        <f>'1.6.Factoring'!F15</f>
        <v>0</v>
      </c>
      <c r="I189" s="134"/>
      <c r="J189" s="133">
        <f>H189-I189</f>
        <v>0</v>
      </c>
    </row>
    <row r="190" spans="2:10" ht="15" hidden="1" customHeight="1" x14ac:dyDescent="0.45">
      <c r="C190" s="277"/>
      <c r="D190" s="69" t="s">
        <v>59</v>
      </c>
      <c r="E190" s="71">
        <f>SUM(E189:E189)</f>
        <v>0</v>
      </c>
      <c r="F190" s="70"/>
      <c r="H190" s="71">
        <f>SUM(H189:H189)</f>
        <v>0</v>
      </c>
      <c r="I190" s="72"/>
      <c r="J190" s="71">
        <f>H190-I190</f>
        <v>0</v>
      </c>
    </row>
    <row r="191" spans="2:10" ht="15" customHeight="1" x14ac:dyDescent="0.45">
      <c r="C191" s="273" t="s">
        <v>61</v>
      </c>
      <c r="D191" s="135" t="s">
        <v>86</v>
      </c>
      <c r="E191" s="136">
        <f>'1.6.Factoring'!G13</f>
        <v>327</v>
      </c>
      <c r="F191" s="130"/>
      <c r="G191" s="131"/>
      <c r="H191" s="134"/>
      <c r="I191" s="136">
        <f>'1.6.Factoring'!H13</f>
        <v>0</v>
      </c>
      <c r="J191" s="136">
        <f>H191-I191</f>
        <v>0</v>
      </c>
    </row>
    <row r="192" spans="2:10" ht="15" customHeight="1" x14ac:dyDescent="0.45">
      <c r="C192" s="275"/>
      <c r="D192" s="69" t="s">
        <v>59</v>
      </c>
      <c r="E192" s="71">
        <f>SUM(E191:E191)</f>
        <v>327</v>
      </c>
      <c r="F192" s="70"/>
      <c r="H192" s="82"/>
      <c r="I192" s="71">
        <f>SUM(I191:I191)</f>
        <v>0</v>
      </c>
      <c r="J192" s="71">
        <f t="shared" ref="J192" si="13">H192-I192</f>
        <v>0</v>
      </c>
    </row>
    <row r="193" spans="5:9" ht="15" customHeight="1" x14ac:dyDescent="0.45">
      <c r="E193" s="29">
        <f>E188+E190</f>
        <v>11174</v>
      </c>
      <c r="F193" s="79">
        <f>E193-F59</f>
        <v>0</v>
      </c>
      <c r="H193" s="29">
        <f>H188+H190</f>
        <v>105997394.69999999</v>
      </c>
      <c r="I193" s="29">
        <f>I188+I191</f>
        <v>105997480.8</v>
      </c>
    </row>
    <row r="194" spans="5:9" ht="15" customHeight="1" x14ac:dyDescent="0.45">
      <c r="E194" s="29"/>
      <c r="F194" s="29"/>
      <c r="H194" s="79">
        <f>H193-H59</f>
        <v>0</v>
      </c>
      <c r="I194" s="79">
        <f>I193-E59</f>
        <v>0</v>
      </c>
    </row>
    <row r="195" spans="5:9" x14ac:dyDescent="0.45"/>
  </sheetData>
  <mergeCells count="35">
    <mergeCell ref="D70:I70"/>
    <mergeCell ref="D77:I77"/>
    <mergeCell ref="C131:C136"/>
    <mergeCell ref="D71:I71"/>
    <mergeCell ref="D76:I76"/>
    <mergeCell ref="D75:I75"/>
    <mergeCell ref="D74:I74"/>
    <mergeCell ref="D73:I73"/>
    <mergeCell ref="D72:I72"/>
    <mergeCell ref="C110:C114"/>
    <mergeCell ref="C125:C130"/>
    <mergeCell ref="D78:I78"/>
    <mergeCell ref="D79:I79"/>
    <mergeCell ref="D80:I80"/>
    <mergeCell ref="D81:I81"/>
    <mergeCell ref="C186:C188"/>
    <mergeCell ref="C191:C192"/>
    <mergeCell ref="C175:C176"/>
    <mergeCell ref="C177:C180"/>
    <mergeCell ref="C171:C174"/>
    <mergeCell ref="C189:C190"/>
    <mergeCell ref="C100:C104"/>
    <mergeCell ref="C105:C109"/>
    <mergeCell ref="D82:I82"/>
    <mergeCell ref="D83:I83"/>
    <mergeCell ref="D84:I84"/>
    <mergeCell ref="D85:I85"/>
    <mergeCell ref="D86:I86"/>
    <mergeCell ref="C120:C124"/>
    <mergeCell ref="C147:C148"/>
    <mergeCell ref="C158:C160"/>
    <mergeCell ref="C161:C162"/>
    <mergeCell ref="C163:C166"/>
    <mergeCell ref="C149:C153"/>
    <mergeCell ref="C141:C146"/>
  </mergeCells>
  <conditionalFormatting sqref="H154:I154">
    <cfRule type="cellIs" dxfId="11" priority="6" operator="equal">
      <formula>0</formula>
    </cfRule>
  </conditionalFormatting>
  <conditionalFormatting sqref="F154">
    <cfRule type="cellIs" dxfId="10" priority="5" operator="equal">
      <formula>0</formula>
    </cfRule>
  </conditionalFormatting>
  <conditionalFormatting sqref="F154:I154">
    <cfRule type="cellIs" dxfId="9" priority="4" operator="notEqual">
      <formula>0</formula>
    </cfRule>
  </conditionalFormatting>
  <conditionalFormatting sqref="H167:I167">
    <cfRule type="cellIs" dxfId="8" priority="3" operator="equal">
      <formula>0</formula>
    </cfRule>
  </conditionalFormatting>
  <conditionalFormatting sqref="F167">
    <cfRule type="cellIs" dxfId="7" priority="2" operator="equal">
      <formula>0</formula>
    </cfRule>
  </conditionalFormatting>
  <conditionalFormatting sqref="F167:I167">
    <cfRule type="cellIs" dxfId="6" priority="1" operator="not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A35-6D48-4628-8B4F-EEBDEA072CF6}">
  <sheetPr>
    <tabColor theme="0"/>
    <pageSetUpPr autoPageBreaks="0"/>
  </sheetPr>
  <dimension ref="A1:S61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22" customWidth="1"/>
    <col min="2" max="2" width="26.33203125" style="22" customWidth="1"/>
    <col min="3" max="3" width="44.5546875" style="22" customWidth="1"/>
    <col min="4" max="4" width="2.21875" style="23" customWidth="1"/>
    <col min="5" max="11" width="15.77734375" style="22" customWidth="1"/>
    <col min="12" max="12" width="3.6640625" style="22" customWidth="1"/>
    <col min="13" max="14" width="20.6640625" style="23" hidden="1" customWidth="1"/>
    <col min="15" max="15" width="14.77734375" style="23" hidden="1" customWidth="1"/>
    <col min="16" max="16" width="18.109375" style="23" hidden="1" customWidth="1"/>
    <col min="17" max="19" width="0" style="23" hidden="1" customWidth="1"/>
    <col min="20" max="16384" width="8.88671875" style="23" hidden="1"/>
  </cols>
  <sheetData>
    <row r="1" spans="1:12" customFormat="1" ht="15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customFormat="1" ht="34.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customFormat="1" ht="2.25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15" customHeight="1" x14ac:dyDescent="0.45">
      <c r="D4" s="22"/>
    </row>
    <row r="5" spans="1:12" ht="15" customHeight="1" x14ac:dyDescent="0.45">
      <c r="B5" s="164" t="s">
        <v>233</v>
      </c>
      <c r="C5" s="25"/>
      <c r="D5" s="25"/>
      <c r="E5" s="25"/>
      <c r="F5" s="25"/>
      <c r="G5" s="26"/>
      <c r="H5" s="26"/>
      <c r="I5" s="26"/>
      <c r="J5" s="26"/>
      <c r="K5" s="26"/>
      <c r="L5" s="166"/>
    </row>
    <row r="6" spans="1:12" s="57" customFormat="1" ht="15" customHeight="1" x14ac:dyDescent="0.45">
      <c r="A6" s="166"/>
      <c r="B6" s="166"/>
      <c r="C6" s="166"/>
      <c r="D6" s="23"/>
      <c r="E6" s="166"/>
      <c r="F6" s="166"/>
      <c r="G6" s="166"/>
      <c r="H6" s="166"/>
      <c r="I6" s="166"/>
      <c r="J6" s="166"/>
      <c r="K6" s="166"/>
      <c r="L6" s="166"/>
    </row>
    <row r="7" spans="1:12" ht="15" customHeight="1" x14ac:dyDescent="0.45">
      <c r="D7" s="22"/>
      <c r="E7" s="219" t="s">
        <v>242</v>
      </c>
      <c r="F7" s="219"/>
      <c r="G7" s="219"/>
      <c r="H7" s="219"/>
      <c r="I7" s="219"/>
      <c r="J7" s="219"/>
      <c r="K7" s="219"/>
    </row>
    <row r="8" spans="1:12" ht="30" x14ac:dyDescent="0.45">
      <c r="B8" s="178" t="s">
        <v>75</v>
      </c>
      <c r="C8" s="179" t="s">
        <v>52</v>
      </c>
      <c r="E8" s="181" t="s">
        <v>90</v>
      </c>
      <c r="F8" s="179" t="s">
        <v>77</v>
      </c>
      <c r="G8" s="180" t="s">
        <v>259</v>
      </c>
      <c r="H8" s="179" t="s">
        <v>258</v>
      </c>
      <c r="I8" s="179" t="s">
        <v>56</v>
      </c>
      <c r="J8" s="313" t="s">
        <v>151</v>
      </c>
      <c r="K8" s="314" t="s">
        <v>152</v>
      </c>
    </row>
    <row r="9" spans="1:12" ht="4.95" customHeight="1" x14ac:dyDescent="0.45">
      <c r="B9" s="23"/>
      <c r="C9" s="23"/>
      <c r="E9" s="29"/>
      <c r="F9" s="29"/>
      <c r="G9" s="29"/>
      <c r="H9" s="29"/>
      <c r="I9" s="29"/>
      <c r="J9" s="29"/>
      <c r="K9" s="29"/>
    </row>
    <row r="10" spans="1:12" s="57" customFormat="1" ht="16.2" x14ac:dyDescent="0.4">
      <c r="A10" s="166"/>
      <c r="B10" s="285" t="s">
        <v>57</v>
      </c>
      <c r="C10" s="246" t="s">
        <v>58</v>
      </c>
      <c r="E10" s="241">
        <v>27026</v>
      </c>
      <c r="F10" s="241">
        <v>1901340022.0999999</v>
      </c>
      <c r="G10" s="241">
        <v>27026</v>
      </c>
      <c r="H10" s="241">
        <v>1901340022.0999999</v>
      </c>
      <c r="I10" s="242">
        <v>0</v>
      </c>
      <c r="J10" s="213"/>
      <c r="K10" s="213"/>
      <c r="L10" s="166"/>
    </row>
    <row r="11" spans="1:12" s="57" customFormat="1" ht="16.2" x14ac:dyDescent="0.4">
      <c r="A11" s="166"/>
      <c r="B11" s="286"/>
      <c r="C11" s="249" t="s">
        <v>153</v>
      </c>
      <c r="E11" s="241">
        <v>6</v>
      </c>
      <c r="F11" s="241">
        <v>393364329.61000001</v>
      </c>
      <c r="G11" s="241">
        <v>6</v>
      </c>
      <c r="H11" s="241">
        <v>472000000</v>
      </c>
      <c r="I11" s="242">
        <v>-78635670.389999986</v>
      </c>
      <c r="J11" s="213"/>
      <c r="K11" s="213"/>
      <c r="L11" s="166"/>
    </row>
    <row r="12" spans="1:12" s="57" customFormat="1" ht="16.2" x14ac:dyDescent="0.4">
      <c r="A12" s="166"/>
      <c r="B12" s="286"/>
      <c r="C12" s="249" t="s">
        <v>154</v>
      </c>
      <c r="E12" s="241">
        <v>144517</v>
      </c>
      <c r="F12" s="241">
        <v>11378349443.590002</v>
      </c>
      <c r="G12" s="241">
        <v>135918</v>
      </c>
      <c r="H12" s="241">
        <v>17428230665.98</v>
      </c>
      <c r="I12" s="242">
        <f>F12-H12</f>
        <v>-6049881222.3899975</v>
      </c>
      <c r="J12" s="213"/>
      <c r="K12" s="213"/>
      <c r="L12" s="166"/>
    </row>
    <row r="13" spans="1:12" s="57" customFormat="1" ht="16.2" x14ac:dyDescent="0.4">
      <c r="A13" s="166"/>
      <c r="B13" s="286"/>
      <c r="C13" s="249" t="s">
        <v>155</v>
      </c>
      <c r="E13" s="241">
        <v>183894</v>
      </c>
      <c r="F13" s="241">
        <v>8319051794.5100002</v>
      </c>
      <c r="G13" s="241">
        <v>165607</v>
      </c>
      <c r="H13" s="241">
        <v>8293224589.5</v>
      </c>
      <c r="I13" s="242">
        <v>25827205.010000229</v>
      </c>
      <c r="J13" s="213"/>
      <c r="K13" s="213"/>
      <c r="L13" s="166"/>
    </row>
    <row r="14" spans="1:12" s="57" customFormat="1" ht="16.2" x14ac:dyDescent="0.4">
      <c r="A14" s="166"/>
      <c r="B14" s="286"/>
      <c r="C14" s="250" t="s">
        <v>250</v>
      </c>
      <c r="E14" s="241">
        <v>18</v>
      </c>
      <c r="F14" s="241">
        <v>1037142.19</v>
      </c>
      <c r="G14" s="241">
        <v>9</v>
      </c>
      <c r="H14" s="241">
        <v>877638.1</v>
      </c>
      <c r="I14" s="242">
        <v>159504.08999999997</v>
      </c>
      <c r="J14" s="213"/>
      <c r="K14" s="213"/>
      <c r="L14" s="166"/>
    </row>
    <row r="15" spans="1:12" s="57" customFormat="1" ht="16.2" x14ac:dyDescent="0.4">
      <c r="A15" s="166"/>
      <c r="B15" s="286"/>
      <c r="C15" s="250" t="s">
        <v>251</v>
      </c>
      <c r="E15" s="241">
        <v>1660</v>
      </c>
      <c r="F15" s="241">
        <v>129705219.64</v>
      </c>
      <c r="G15" s="241">
        <v>1660</v>
      </c>
      <c r="H15" s="241">
        <v>64852609.810000002</v>
      </c>
      <c r="I15" s="242">
        <v>64852609.829999998</v>
      </c>
      <c r="J15" s="213"/>
      <c r="K15" s="213"/>
      <c r="L15" s="166"/>
    </row>
    <row r="16" spans="1:12" s="57" customFormat="1" ht="16.2" x14ac:dyDescent="0.4">
      <c r="A16" s="166"/>
      <c r="B16" s="287"/>
      <c r="C16" s="251" t="s">
        <v>66</v>
      </c>
      <c r="E16" s="241">
        <v>1</v>
      </c>
      <c r="F16" s="241">
        <v>26429.25</v>
      </c>
      <c r="G16" s="241">
        <v>1</v>
      </c>
      <c r="H16" s="241">
        <v>18472.25</v>
      </c>
      <c r="I16" s="242">
        <v>7957</v>
      </c>
      <c r="J16" s="213"/>
      <c r="K16" s="213"/>
      <c r="L16" s="166"/>
    </row>
    <row r="17" spans="1:12" ht="4.95" customHeight="1" x14ac:dyDescent="0.45">
      <c r="B17" s="23"/>
      <c r="C17" s="23"/>
      <c r="E17" s="29"/>
      <c r="F17" s="29"/>
      <c r="G17" s="29"/>
      <c r="H17" s="29"/>
      <c r="I17" s="29"/>
      <c r="J17" s="29"/>
      <c r="K17" s="29"/>
    </row>
    <row r="18" spans="1:12" s="57" customFormat="1" ht="16.2" x14ac:dyDescent="0.4">
      <c r="A18" s="166"/>
      <c r="B18" s="285" t="s">
        <v>61</v>
      </c>
      <c r="C18" s="249" t="s">
        <v>120</v>
      </c>
      <c r="E18" s="213"/>
      <c r="F18" s="213"/>
      <c r="G18" s="241">
        <v>59257</v>
      </c>
      <c r="H18" s="241">
        <v>5082544646.1199999</v>
      </c>
      <c r="I18" s="242">
        <v>-5082544646.1199999</v>
      </c>
      <c r="J18" s="213"/>
      <c r="K18" s="213"/>
      <c r="L18" s="166"/>
    </row>
    <row r="19" spans="1:12" s="57" customFormat="1" ht="16.2" x14ac:dyDescent="0.4">
      <c r="A19" s="166"/>
      <c r="B19" s="286"/>
      <c r="C19" s="249" t="s">
        <v>144</v>
      </c>
      <c r="E19" s="213"/>
      <c r="F19" s="213"/>
      <c r="G19" s="241">
        <v>962</v>
      </c>
      <c r="H19" s="241">
        <v>121891690.36</v>
      </c>
      <c r="I19" s="242">
        <v>-121891690.36</v>
      </c>
      <c r="J19" s="213"/>
      <c r="K19" s="213"/>
      <c r="L19" s="166"/>
    </row>
    <row r="20" spans="1:12" s="57" customFormat="1" ht="16.2" x14ac:dyDescent="0.4">
      <c r="A20" s="166"/>
      <c r="B20" s="286"/>
      <c r="C20" s="249" t="s">
        <v>157</v>
      </c>
      <c r="E20" s="213"/>
      <c r="F20" s="213"/>
      <c r="G20" s="241">
        <v>7</v>
      </c>
      <c r="H20" s="241">
        <v>1456901.03</v>
      </c>
      <c r="I20" s="242">
        <v>-1456901.03</v>
      </c>
      <c r="J20" s="213"/>
      <c r="K20" s="213"/>
      <c r="L20" s="166"/>
    </row>
    <row r="21" spans="1:12" s="57" customFormat="1" ht="16.2" x14ac:dyDescent="0.4">
      <c r="A21" s="166"/>
      <c r="B21" s="286"/>
      <c r="C21" s="249" t="s">
        <v>156</v>
      </c>
      <c r="E21" s="213"/>
      <c r="F21" s="213"/>
      <c r="G21" s="241">
        <v>61</v>
      </c>
      <c r="H21" s="241">
        <v>193133818</v>
      </c>
      <c r="I21" s="242">
        <v>-193133818</v>
      </c>
      <c r="J21" s="213"/>
      <c r="K21" s="213"/>
      <c r="L21" s="166"/>
    </row>
    <row r="22" spans="1:12" s="57" customFormat="1" ht="16.2" x14ac:dyDescent="0.4">
      <c r="A22" s="166"/>
      <c r="B22" s="286"/>
      <c r="C22" s="249" t="s">
        <v>221</v>
      </c>
      <c r="E22" s="213"/>
      <c r="F22" s="213"/>
      <c r="G22" s="241">
        <v>7</v>
      </c>
      <c r="H22" s="241">
        <v>40000000</v>
      </c>
      <c r="I22" s="242">
        <v>-40000000</v>
      </c>
      <c r="J22" s="213"/>
      <c r="K22" s="213"/>
      <c r="L22" s="166"/>
    </row>
    <row r="23" spans="1:12" s="57" customFormat="1" ht="16.2" x14ac:dyDescent="0.4">
      <c r="A23" s="166"/>
      <c r="B23" s="286"/>
      <c r="C23" s="250" t="s">
        <v>222</v>
      </c>
      <c r="E23" s="213"/>
      <c r="F23" s="213"/>
      <c r="G23" s="213"/>
      <c r="H23" s="213"/>
      <c r="I23" s="213"/>
      <c r="J23" s="213"/>
      <c r="K23" s="213"/>
      <c r="L23" s="166"/>
    </row>
    <row r="24" spans="1:12" s="57" customFormat="1" ht="16.2" x14ac:dyDescent="0.4">
      <c r="B24" s="286"/>
      <c r="C24" s="252" t="s">
        <v>223</v>
      </c>
      <c r="E24" s="213"/>
      <c r="F24" s="213"/>
      <c r="G24" s="241">
        <v>42</v>
      </c>
      <c r="H24" s="241">
        <v>8182539.8399999999</v>
      </c>
      <c r="I24" s="242">
        <v>-8182539.8399999999</v>
      </c>
      <c r="J24" s="213"/>
      <c r="K24" s="213"/>
      <c r="L24" s="166"/>
    </row>
    <row r="25" spans="1:12" s="57" customFormat="1" ht="16.2" x14ac:dyDescent="0.4">
      <c r="A25" s="166"/>
      <c r="B25" s="286"/>
      <c r="C25" s="249" t="s">
        <v>224</v>
      </c>
      <c r="E25" s="213"/>
      <c r="F25" s="213"/>
      <c r="G25" s="241">
        <v>1</v>
      </c>
      <c r="H25" s="241">
        <v>12500000</v>
      </c>
      <c r="I25" s="242">
        <v>-12500000</v>
      </c>
      <c r="J25" s="213"/>
      <c r="K25" s="213"/>
      <c r="L25" s="166"/>
    </row>
    <row r="26" spans="1:12" s="57" customFormat="1" ht="16.2" x14ac:dyDescent="0.4">
      <c r="B26" s="286"/>
      <c r="C26" s="249" t="s">
        <v>225</v>
      </c>
      <c r="E26" s="213"/>
      <c r="F26" s="213"/>
      <c r="G26" s="241">
        <v>9</v>
      </c>
      <c r="H26" s="241">
        <v>3109256</v>
      </c>
      <c r="I26" s="242">
        <v>-3109256</v>
      </c>
      <c r="J26" s="213"/>
      <c r="K26" s="213"/>
      <c r="L26" s="166"/>
    </row>
    <row r="27" spans="1:12" s="57" customFormat="1" ht="16.2" x14ac:dyDescent="0.4">
      <c r="A27" s="166"/>
      <c r="B27" s="286"/>
      <c r="C27" s="250" t="s">
        <v>203</v>
      </c>
      <c r="E27" s="213"/>
      <c r="F27" s="213"/>
      <c r="G27" s="241">
        <v>1134</v>
      </c>
      <c r="H27" s="241">
        <v>52759041.369999997</v>
      </c>
      <c r="I27" s="242">
        <v>-52759041.369999997</v>
      </c>
      <c r="J27" s="213"/>
      <c r="K27" s="213"/>
      <c r="L27" s="166"/>
    </row>
    <row r="28" spans="1:12" s="57" customFormat="1" ht="16.2" x14ac:dyDescent="0.4">
      <c r="A28" s="166"/>
      <c r="B28" s="286"/>
      <c r="C28" s="250" t="s">
        <v>81</v>
      </c>
      <c r="E28" s="213"/>
      <c r="F28" s="213"/>
      <c r="G28" s="241">
        <v>1314</v>
      </c>
      <c r="H28" s="241">
        <v>124583781.88</v>
      </c>
      <c r="I28" s="242">
        <v>-124583781.88</v>
      </c>
      <c r="J28" s="213"/>
      <c r="K28" s="213"/>
      <c r="L28" s="166"/>
    </row>
    <row r="29" spans="1:12" s="57" customFormat="1" ht="16.2" x14ac:dyDescent="0.4">
      <c r="A29" s="166"/>
      <c r="B29" s="286"/>
      <c r="C29" s="253" t="s">
        <v>226</v>
      </c>
      <c r="E29" s="213"/>
      <c r="F29" s="213"/>
      <c r="G29" s="213"/>
      <c r="H29" s="213"/>
      <c r="I29" s="213"/>
      <c r="J29" s="213"/>
      <c r="K29" s="213"/>
      <c r="L29" s="166"/>
    </row>
    <row r="30" spans="1:12" s="57" customFormat="1" ht="16.2" x14ac:dyDescent="0.4">
      <c r="A30" s="166"/>
      <c r="B30" s="286"/>
      <c r="C30" s="254" t="s">
        <v>227</v>
      </c>
      <c r="E30" s="213"/>
      <c r="F30" s="213"/>
      <c r="G30" s="213"/>
      <c r="H30" s="213"/>
      <c r="I30" s="213"/>
      <c r="J30" s="213"/>
      <c r="K30" s="213"/>
      <c r="L30" s="166"/>
    </row>
    <row r="31" spans="1:12" s="57" customFormat="1" ht="16.2" x14ac:dyDescent="0.4">
      <c r="A31" s="166"/>
      <c r="B31" s="286"/>
      <c r="C31" s="253" t="s">
        <v>228</v>
      </c>
      <c r="E31" s="213"/>
      <c r="F31" s="213"/>
      <c r="G31" s="241">
        <v>108</v>
      </c>
      <c r="H31" s="241">
        <v>2276054.5099999998</v>
      </c>
      <c r="I31" s="242">
        <v>-2276054.5099999998</v>
      </c>
      <c r="J31" s="213"/>
      <c r="K31" s="213"/>
      <c r="L31" s="166"/>
    </row>
    <row r="32" spans="1:12" s="57" customFormat="1" ht="16.2" x14ac:dyDescent="0.4">
      <c r="B32" s="287"/>
      <c r="C32" s="255" t="s">
        <v>66</v>
      </c>
      <c r="E32" s="213"/>
      <c r="F32" s="213"/>
      <c r="G32" s="241">
        <v>29</v>
      </c>
      <c r="H32" s="241">
        <v>7939808.3399999999</v>
      </c>
      <c r="I32" s="242">
        <v>-7939808.3399999999</v>
      </c>
      <c r="J32" s="213"/>
      <c r="K32" s="213"/>
      <c r="L32" s="166"/>
    </row>
    <row r="33" spans="1:18" ht="4.95" customHeight="1" x14ac:dyDescent="0.45">
      <c r="B33" s="23"/>
      <c r="C33" s="23"/>
      <c r="E33" s="225"/>
      <c r="F33" s="225"/>
      <c r="G33" s="225"/>
      <c r="H33" s="225"/>
      <c r="I33" s="225"/>
      <c r="J33" s="29"/>
      <c r="K33" s="29"/>
    </row>
    <row r="34" spans="1:18" s="57" customFormat="1" ht="16.2" x14ac:dyDescent="0.4">
      <c r="A34" s="166"/>
      <c r="B34" s="285" t="s">
        <v>79</v>
      </c>
      <c r="C34" s="252" t="s">
        <v>221</v>
      </c>
      <c r="E34" s="241">
        <v>6</v>
      </c>
      <c r="F34" s="241">
        <v>20108600</v>
      </c>
      <c r="G34" s="213"/>
      <c r="H34" s="213"/>
      <c r="I34" s="242">
        <v>20108600</v>
      </c>
      <c r="J34" s="213"/>
      <c r="K34" s="213"/>
      <c r="L34" s="166"/>
    </row>
    <row r="35" spans="1:18" s="57" customFormat="1" ht="16.2" x14ac:dyDescent="0.4">
      <c r="A35" s="166"/>
      <c r="B35" s="286"/>
      <c r="C35" s="252" t="s">
        <v>204</v>
      </c>
      <c r="E35" s="241">
        <v>6</v>
      </c>
      <c r="F35" s="241">
        <v>62710951.039999999</v>
      </c>
      <c r="G35" s="213"/>
      <c r="H35" s="213"/>
      <c r="I35" s="242">
        <v>62710951.039999999</v>
      </c>
      <c r="J35" s="213"/>
      <c r="K35" s="213"/>
      <c r="L35" s="166"/>
    </row>
    <row r="36" spans="1:18" s="57" customFormat="1" ht="16.2" x14ac:dyDescent="0.4">
      <c r="A36" s="166"/>
      <c r="B36" s="286"/>
      <c r="C36" s="252" t="s">
        <v>252</v>
      </c>
      <c r="E36" s="241">
        <v>39</v>
      </c>
      <c r="F36" s="241">
        <v>54208755.530000001</v>
      </c>
      <c r="G36" s="213"/>
      <c r="H36" s="213"/>
      <c r="I36" s="242">
        <v>54208755.530000001</v>
      </c>
      <c r="J36" s="213"/>
      <c r="K36" s="213"/>
      <c r="L36" s="166"/>
    </row>
    <row r="37" spans="1:18" s="57" customFormat="1" ht="16.2" x14ac:dyDescent="0.4">
      <c r="A37" s="166"/>
      <c r="B37" s="286"/>
      <c r="C37" s="256" t="s">
        <v>229</v>
      </c>
      <c r="E37" s="241">
        <v>5</v>
      </c>
      <c r="F37" s="241">
        <v>49840.86</v>
      </c>
      <c r="G37" s="213"/>
      <c r="H37" s="213"/>
      <c r="I37" s="242">
        <v>49840.86</v>
      </c>
      <c r="J37" s="213"/>
      <c r="K37" s="213"/>
      <c r="L37" s="166"/>
    </row>
    <row r="38" spans="1:18" s="57" customFormat="1" ht="16.2" x14ac:dyDescent="0.4">
      <c r="A38" s="166"/>
      <c r="B38" s="286"/>
      <c r="C38" s="254" t="s">
        <v>230</v>
      </c>
      <c r="E38" s="241">
        <v>262</v>
      </c>
      <c r="F38" s="241">
        <v>48516318.280000001</v>
      </c>
      <c r="G38" s="213"/>
      <c r="H38" s="213"/>
      <c r="I38" s="242">
        <v>48516318.280000001</v>
      </c>
      <c r="J38" s="213"/>
      <c r="K38" s="213"/>
      <c r="L38" s="166"/>
    </row>
    <row r="39" spans="1:18" s="57" customFormat="1" ht="16.2" x14ac:dyDescent="0.4">
      <c r="A39" s="166"/>
      <c r="B39" s="286"/>
      <c r="C39" s="254" t="s">
        <v>253</v>
      </c>
      <c r="E39" s="241">
        <v>1</v>
      </c>
      <c r="F39" s="241">
        <v>4526250</v>
      </c>
      <c r="G39" s="213"/>
      <c r="H39" s="213"/>
      <c r="I39" s="242">
        <v>4526250</v>
      </c>
      <c r="J39" s="213"/>
      <c r="K39" s="213"/>
      <c r="L39" s="166"/>
    </row>
    <row r="40" spans="1:18" s="57" customFormat="1" ht="16.2" x14ac:dyDescent="0.4">
      <c r="A40" s="166"/>
      <c r="B40" s="287"/>
      <c r="C40" s="257" t="s">
        <v>66</v>
      </c>
      <c r="E40" s="241">
        <v>1436</v>
      </c>
      <c r="F40" s="241">
        <v>26429373.460000001</v>
      </c>
      <c r="G40" s="213"/>
      <c r="H40" s="213"/>
      <c r="I40" s="242">
        <v>26429373.460000001</v>
      </c>
      <c r="J40" s="213"/>
      <c r="K40" s="213"/>
      <c r="L40" s="166"/>
    </row>
    <row r="41" spans="1:18" ht="4.95" customHeight="1" x14ac:dyDescent="0.45">
      <c r="E41" s="29"/>
      <c r="F41" s="176"/>
      <c r="G41" s="176"/>
      <c r="H41" s="176"/>
    </row>
    <row r="42" spans="1:18" s="57" customFormat="1" x14ac:dyDescent="0.4">
      <c r="A42" s="166"/>
      <c r="B42" s="22"/>
      <c r="C42" s="205" t="s">
        <v>59</v>
      </c>
      <c r="E42" s="207">
        <v>358877</v>
      </c>
      <c r="F42" s="207">
        <f>SUM(F10:F40)</f>
        <v>22339424470.060001</v>
      </c>
      <c r="G42" s="207">
        <v>393158</v>
      </c>
      <c r="H42" s="207">
        <v>33810921535.189995</v>
      </c>
      <c r="I42" s="207">
        <v>-11471492396.75</v>
      </c>
      <c r="J42" s="207"/>
      <c r="K42" s="22"/>
      <c r="L42" s="166"/>
    </row>
    <row r="43" spans="1:18" x14ac:dyDescent="0.45">
      <c r="D43" s="22"/>
      <c r="E43" s="176"/>
      <c r="F43" s="29"/>
      <c r="I43" s="176"/>
    </row>
    <row r="44" spans="1:18" x14ac:dyDescent="0.45">
      <c r="D44" s="22"/>
      <c r="F44" s="23"/>
    </row>
    <row r="45" spans="1:18" ht="30" x14ac:dyDescent="0.45">
      <c r="B45" s="178" t="s">
        <v>75</v>
      </c>
      <c r="C45" s="179" t="s">
        <v>52</v>
      </c>
      <c r="E45" s="181" t="s">
        <v>90</v>
      </c>
      <c r="F45" s="179" t="s">
        <v>77</v>
      </c>
      <c r="G45" s="180" t="s">
        <v>259</v>
      </c>
      <c r="H45" s="179" t="s">
        <v>258</v>
      </c>
      <c r="I45" s="179" t="s">
        <v>56</v>
      </c>
      <c r="J45" s="245" t="s">
        <v>151</v>
      </c>
      <c r="K45" s="245" t="s">
        <v>152</v>
      </c>
    </row>
    <row r="46" spans="1:18" s="57" customFormat="1" ht="16.2" x14ac:dyDescent="0.4">
      <c r="A46" s="166"/>
      <c r="B46" s="288" t="s">
        <v>57</v>
      </c>
      <c r="C46" s="258" t="s">
        <v>58</v>
      </c>
      <c r="D46" s="166"/>
      <c r="E46" s="247">
        <v>27026</v>
      </c>
      <c r="F46" s="247">
        <v>1901340022.0999999</v>
      </c>
      <c r="G46" s="247">
        <v>27026</v>
      </c>
      <c r="H46" s="247">
        <v>1901340022.0999999</v>
      </c>
      <c r="I46" s="242">
        <f>F46-H46</f>
        <v>0</v>
      </c>
      <c r="J46" s="242">
        <v>1772183376.8</v>
      </c>
      <c r="K46" s="242">
        <v>1905074046.5999999</v>
      </c>
      <c r="L46" s="166"/>
      <c r="M46" s="238" t="s">
        <v>239</v>
      </c>
      <c r="N46" s="238" t="s">
        <v>239</v>
      </c>
      <c r="R46" s="166"/>
    </row>
    <row r="47" spans="1:18" s="57" customFormat="1" ht="16.2" x14ac:dyDescent="0.4">
      <c r="A47" s="166"/>
      <c r="B47" s="289"/>
      <c r="C47" s="250" t="s">
        <v>232</v>
      </c>
      <c r="D47" s="166"/>
      <c r="E47" s="247">
        <v>18</v>
      </c>
      <c r="F47" s="247">
        <v>1037142.19</v>
      </c>
      <c r="G47" s="247">
        <v>9</v>
      </c>
      <c r="H47" s="247">
        <v>877638.1</v>
      </c>
      <c r="I47" s="242">
        <f t="shared" ref="I47:I61" si="0">F47-H47</f>
        <v>159504.08999999997</v>
      </c>
      <c r="J47" s="242">
        <v>877638.1</v>
      </c>
      <c r="K47" s="242">
        <v>931075.07</v>
      </c>
      <c r="L47" s="166"/>
      <c r="M47" s="238" t="s">
        <v>239</v>
      </c>
      <c r="N47" s="238" t="s">
        <v>239</v>
      </c>
      <c r="R47" s="166"/>
    </row>
    <row r="48" spans="1:18" s="57" customFormat="1" ht="16.2" x14ac:dyDescent="0.4">
      <c r="A48" s="166"/>
      <c r="B48" s="289"/>
      <c r="C48" s="250" t="s">
        <v>247</v>
      </c>
      <c r="D48" s="166"/>
      <c r="E48" s="247">
        <v>1660</v>
      </c>
      <c r="F48" s="247">
        <v>129705219.64</v>
      </c>
      <c r="G48" s="247">
        <v>1660</v>
      </c>
      <c r="H48" s="247">
        <v>64852609.810000002</v>
      </c>
      <c r="I48" s="242">
        <f t="shared" si="0"/>
        <v>64852609.829999998</v>
      </c>
      <c r="J48" s="242">
        <v>64852609.810000002</v>
      </c>
      <c r="K48" s="242">
        <v>132955219.64</v>
      </c>
      <c r="L48" s="166"/>
      <c r="M48" s="238" t="s">
        <v>239</v>
      </c>
      <c r="N48" s="238" t="s">
        <v>239</v>
      </c>
      <c r="R48" s="166"/>
    </row>
    <row r="49" spans="1:18" s="57" customFormat="1" ht="16.2" x14ac:dyDescent="0.4">
      <c r="A49" s="166"/>
      <c r="B49" s="289"/>
      <c r="C49" s="249" t="s">
        <v>158</v>
      </c>
      <c r="D49" s="166"/>
      <c r="E49" s="247">
        <v>6</v>
      </c>
      <c r="F49" s="247">
        <v>393364329.61000001</v>
      </c>
      <c r="G49" s="247">
        <v>6</v>
      </c>
      <c r="H49" s="247">
        <v>472000000</v>
      </c>
      <c r="I49" s="242">
        <f t="shared" si="0"/>
        <v>-78635670.389999986</v>
      </c>
      <c r="J49" s="242">
        <v>472000000</v>
      </c>
      <c r="K49" s="242">
        <v>393364329.61000001</v>
      </c>
      <c r="L49" s="166"/>
      <c r="M49" s="238">
        <f t="shared" ref="M49:M56" si="1">I49-N49</f>
        <v>-78635670.389999986</v>
      </c>
      <c r="N49" s="238">
        <f t="shared" ref="N49:N56" si="2">F49-K49</f>
        <v>0</v>
      </c>
      <c r="R49" s="166"/>
    </row>
    <row r="50" spans="1:18" s="57" customFormat="1" ht="16.2" x14ac:dyDescent="0.4">
      <c r="A50" s="166"/>
      <c r="B50" s="289"/>
      <c r="C50" s="249" t="s">
        <v>159</v>
      </c>
      <c r="D50" s="166"/>
      <c r="E50" s="247">
        <v>108860</v>
      </c>
      <c r="F50" s="247">
        <v>9484415416.6299992</v>
      </c>
      <c r="G50" s="247">
        <v>101715</v>
      </c>
      <c r="H50" s="247">
        <v>14999949302.4</v>
      </c>
      <c r="I50" s="242">
        <f t="shared" si="0"/>
        <v>-5515533885.7700005</v>
      </c>
      <c r="J50" s="242">
        <v>15196769482.889999</v>
      </c>
      <c r="K50" s="242">
        <v>9484415416.6299992</v>
      </c>
      <c r="L50" s="166"/>
      <c r="M50" s="238">
        <f t="shared" si="1"/>
        <v>-5515533885.7700005</v>
      </c>
      <c r="N50" s="238">
        <f t="shared" si="2"/>
        <v>0</v>
      </c>
      <c r="R50" s="166"/>
    </row>
    <row r="51" spans="1:18" s="57" customFormat="1" ht="16.2" x14ac:dyDescent="0.4">
      <c r="A51" s="166"/>
      <c r="B51" s="289"/>
      <c r="C51" s="249" t="s">
        <v>160</v>
      </c>
      <c r="D51" s="166"/>
      <c r="E51" s="247">
        <v>10465</v>
      </c>
      <c r="F51" s="247">
        <v>804553135.80999994</v>
      </c>
      <c r="G51" s="247">
        <v>9969</v>
      </c>
      <c r="H51" s="247">
        <v>1234609481.72</v>
      </c>
      <c r="I51" s="242">
        <f t="shared" si="0"/>
        <v>-430056345.91000009</v>
      </c>
      <c r="J51" s="242">
        <v>1234609481.97</v>
      </c>
      <c r="K51" s="242">
        <v>1215419926.21</v>
      </c>
      <c r="L51" s="166"/>
      <c r="M51" s="238">
        <f t="shared" si="1"/>
        <v>-19189555.50999999</v>
      </c>
      <c r="N51" s="238">
        <f t="shared" si="2"/>
        <v>-410866790.4000001</v>
      </c>
      <c r="R51" s="166"/>
    </row>
    <row r="52" spans="1:18" s="57" customFormat="1" ht="16.2" x14ac:dyDescent="0.4">
      <c r="A52" s="166"/>
      <c r="B52" s="289"/>
      <c r="C52" s="249" t="s">
        <v>161</v>
      </c>
      <c r="D52" s="166"/>
      <c r="E52" s="247">
        <v>1040</v>
      </c>
      <c r="F52" s="247">
        <v>0</v>
      </c>
      <c r="G52" s="247">
        <v>1040</v>
      </c>
      <c r="H52" s="247">
        <v>69079045.980000004</v>
      </c>
      <c r="I52" s="242">
        <f t="shared" si="0"/>
        <v>-69079045.980000004</v>
      </c>
      <c r="J52" s="242">
        <v>82485106.659999996</v>
      </c>
      <c r="K52" s="242">
        <v>45061475.539999999</v>
      </c>
      <c r="L52" s="166"/>
      <c r="M52" s="238">
        <f t="shared" si="1"/>
        <v>-24017570.440000005</v>
      </c>
      <c r="N52" s="238">
        <f t="shared" si="2"/>
        <v>-45061475.539999999</v>
      </c>
      <c r="R52" s="166"/>
    </row>
    <row r="53" spans="1:18" s="57" customFormat="1" ht="16.2" x14ac:dyDescent="0.4">
      <c r="A53" s="166"/>
      <c r="B53" s="289"/>
      <c r="C53" s="249" t="s">
        <v>162</v>
      </c>
      <c r="D53" s="166"/>
      <c r="E53" s="247">
        <v>1</v>
      </c>
      <c r="F53" s="247">
        <v>900575.27</v>
      </c>
      <c r="G53" s="247">
        <v>1</v>
      </c>
      <c r="H53" s="247">
        <v>1125000</v>
      </c>
      <c r="I53" s="242">
        <f t="shared" si="0"/>
        <v>-224424.72999999998</v>
      </c>
      <c r="J53" s="242">
        <v>1125000</v>
      </c>
      <c r="K53" s="242">
        <v>900575.27</v>
      </c>
      <c r="L53" s="166"/>
      <c r="M53" s="238">
        <f t="shared" si="1"/>
        <v>-224424.72999999998</v>
      </c>
      <c r="N53" s="238">
        <f t="shared" si="2"/>
        <v>0</v>
      </c>
      <c r="R53" s="166"/>
    </row>
    <row r="54" spans="1:18" s="57" customFormat="1" ht="16.2" x14ac:dyDescent="0.4">
      <c r="A54" s="166"/>
      <c r="B54" s="289"/>
      <c r="C54" s="249" t="s">
        <v>231</v>
      </c>
      <c r="D54" s="166"/>
      <c r="E54" s="247">
        <v>1</v>
      </c>
      <c r="F54" s="247">
        <v>2500000</v>
      </c>
      <c r="G54" s="247">
        <v>1</v>
      </c>
      <c r="H54" s="247">
        <v>1416858</v>
      </c>
      <c r="I54" s="242">
        <f t="shared" si="0"/>
        <v>1083142</v>
      </c>
      <c r="J54" s="242">
        <v>1416858</v>
      </c>
      <c r="K54" s="242">
        <v>2500000</v>
      </c>
      <c r="L54" s="166"/>
      <c r="M54" s="238">
        <f t="shared" si="1"/>
        <v>1083142</v>
      </c>
      <c r="N54" s="238">
        <f t="shared" si="2"/>
        <v>0</v>
      </c>
      <c r="R54" s="166"/>
    </row>
    <row r="55" spans="1:18" s="57" customFormat="1" ht="16.2" x14ac:dyDescent="0.4">
      <c r="A55" s="166"/>
      <c r="B55" s="289"/>
      <c r="C55" s="249" t="s">
        <v>164</v>
      </c>
      <c r="D55" s="166"/>
      <c r="E55" s="247">
        <v>1414</v>
      </c>
      <c r="F55" s="247">
        <v>0</v>
      </c>
      <c r="G55" s="247">
        <v>1414</v>
      </c>
      <c r="H55" s="247">
        <v>34096919.579999998</v>
      </c>
      <c r="I55" s="242">
        <f t="shared" si="0"/>
        <v>-34096919.579999998</v>
      </c>
      <c r="J55" s="242">
        <v>34106895.539999999</v>
      </c>
      <c r="K55" s="242">
        <v>34106895.630000003</v>
      </c>
      <c r="L55" s="166"/>
      <c r="M55" s="238">
        <f t="shared" si="1"/>
        <v>9976.0500000044703</v>
      </c>
      <c r="N55" s="238">
        <f t="shared" si="2"/>
        <v>-34106895.630000003</v>
      </c>
      <c r="R55" s="166"/>
    </row>
    <row r="56" spans="1:18" s="57" customFormat="1" ht="16.2" x14ac:dyDescent="0.4">
      <c r="A56" s="166"/>
      <c r="B56" s="289"/>
      <c r="C56" s="259" t="s">
        <v>163</v>
      </c>
      <c r="D56" s="166"/>
      <c r="E56" s="248">
        <v>46</v>
      </c>
      <c r="F56" s="248">
        <v>8754610.9399999995</v>
      </c>
      <c r="G56" s="248">
        <v>46</v>
      </c>
      <c r="H56" s="248">
        <v>13234169.33</v>
      </c>
      <c r="I56" s="242">
        <f t="shared" si="0"/>
        <v>-4479558.3900000006</v>
      </c>
      <c r="J56" s="242">
        <v>13234169.33</v>
      </c>
      <c r="K56" s="242">
        <v>13234169.33</v>
      </c>
      <c r="L56" s="166"/>
      <c r="M56" s="238">
        <f t="shared" si="1"/>
        <v>0</v>
      </c>
      <c r="N56" s="238">
        <f t="shared" si="2"/>
        <v>-4479558.3900000006</v>
      </c>
      <c r="R56" s="166"/>
    </row>
    <row r="57" spans="1:18" s="57" customFormat="1" ht="16.2" x14ac:dyDescent="0.4">
      <c r="A57" s="166"/>
      <c r="B57" s="289"/>
      <c r="C57" s="259" t="s">
        <v>248</v>
      </c>
      <c r="D57" s="166"/>
      <c r="E57" s="248">
        <v>22640</v>
      </c>
      <c r="F57" s="248">
        <v>1076950882.6300001</v>
      </c>
      <c r="G57" s="248">
        <v>21715</v>
      </c>
      <c r="H57" s="248">
        <v>1074443630.98</v>
      </c>
      <c r="I57" s="242">
        <f t="shared" si="0"/>
        <v>2507251.6500000954</v>
      </c>
      <c r="J57" s="242">
        <v>1906430106.27</v>
      </c>
      <c r="K57" s="242">
        <v>1501455535.9300001</v>
      </c>
      <c r="L57" s="166"/>
      <c r="M57" s="238" t="s">
        <v>239</v>
      </c>
      <c r="N57" s="238" t="s">
        <v>239</v>
      </c>
      <c r="R57" s="166"/>
    </row>
    <row r="58" spans="1:18" s="57" customFormat="1" ht="16.2" x14ac:dyDescent="0.4">
      <c r="A58" s="166"/>
      <c r="B58" s="289"/>
      <c r="C58" s="259" t="s">
        <v>249</v>
      </c>
      <c r="D58" s="166"/>
      <c r="E58" s="248">
        <v>50</v>
      </c>
      <c r="F58" s="248">
        <v>279490.69</v>
      </c>
      <c r="G58" s="248">
        <v>17</v>
      </c>
      <c r="H58" s="248">
        <v>276257.99</v>
      </c>
      <c r="I58" s="242">
        <f t="shared" si="0"/>
        <v>3232.7000000000116</v>
      </c>
      <c r="J58" s="242">
        <v>518581.23</v>
      </c>
      <c r="K58" s="242">
        <v>301764.01</v>
      </c>
      <c r="L58" s="166"/>
      <c r="M58" s="238" t="s">
        <v>239</v>
      </c>
      <c r="N58" s="238" t="s">
        <v>239</v>
      </c>
      <c r="R58" s="166"/>
    </row>
    <row r="59" spans="1:18" s="57" customFormat="1" ht="16.2" x14ac:dyDescent="0.4">
      <c r="A59" s="166"/>
      <c r="B59" s="289"/>
      <c r="C59" s="249" t="s">
        <v>166</v>
      </c>
      <c r="D59" s="166"/>
      <c r="E59" s="247">
        <v>178424</v>
      </c>
      <c r="F59" s="247">
        <v>8258852524.8000002</v>
      </c>
      <c r="G59" s="247">
        <v>164153</v>
      </c>
      <c r="H59" s="247">
        <v>8233465439.3199997</v>
      </c>
      <c r="I59" s="242">
        <f t="shared" si="0"/>
        <v>25387085.480000496</v>
      </c>
      <c r="J59" s="242">
        <v>0</v>
      </c>
      <c r="K59" s="242">
        <v>8258852524.8000002</v>
      </c>
      <c r="L59" s="166"/>
      <c r="M59" s="238" t="s">
        <v>239</v>
      </c>
      <c r="N59" s="238" t="s">
        <v>239</v>
      </c>
      <c r="R59" s="166"/>
    </row>
    <row r="60" spans="1:18" s="57" customFormat="1" ht="16.2" x14ac:dyDescent="0.4">
      <c r="A60" s="166"/>
      <c r="B60" s="289"/>
      <c r="C60" s="249" t="s">
        <v>165</v>
      </c>
      <c r="D60" s="166"/>
      <c r="E60" s="247">
        <v>5470</v>
      </c>
      <c r="F60" s="247">
        <v>60199269.710000001</v>
      </c>
      <c r="G60" s="247">
        <v>1454</v>
      </c>
      <c r="H60" s="247">
        <v>59759150.18</v>
      </c>
      <c r="I60" s="242">
        <f t="shared" si="0"/>
        <v>440119.53000000119</v>
      </c>
      <c r="J60" s="242">
        <v>0</v>
      </c>
      <c r="K60" s="242">
        <v>60199269.710000001</v>
      </c>
      <c r="L60" s="166"/>
      <c r="M60" s="238" t="s">
        <v>239</v>
      </c>
      <c r="N60" s="238" t="s">
        <v>239</v>
      </c>
      <c r="R60" s="166"/>
    </row>
    <row r="61" spans="1:18" s="57" customFormat="1" ht="16.2" x14ac:dyDescent="0.4">
      <c r="A61" s="166"/>
      <c r="B61" s="290"/>
      <c r="C61" s="255" t="s">
        <v>66</v>
      </c>
      <c r="D61" s="166"/>
      <c r="E61" s="247">
        <v>1</v>
      </c>
      <c r="F61" s="247">
        <v>26429.25</v>
      </c>
      <c r="G61" s="247">
        <v>1</v>
      </c>
      <c r="H61" s="247">
        <v>18472.25</v>
      </c>
      <c r="I61" s="242">
        <f t="shared" si="0"/>
        <v>7957</v>
      </c>
      <c r="J61" s="242">
        <v>35000</v>
      </c>
      <c r="K61" s="242">
        <v>26429.25</v>
      </c>
      <c r="L61" s="166"/>
      <c r="M61" s="238" t="s">
        <v>239</v>
      </c>
      <c r="N61" s="238" t="s">
        <v>239</v>
      </c>
      <c r="R61" s="166"/>
    </row>
  </sheetData>
  <mergeCells count="4">
    <mergeCell ref="B10:B16"/>
    <mergeCell ref="B18:B32"/>
    <mergeCell ref="B34:B40"/>
    <mergeCell ref="B46:B6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F17A-D97D-47EA-994D-18F796E8AE3C}">
  <sheetPr>
    <tabColor theme="0"/>
    <pageSetUpPr autoPageBreaks="0"/>
  </sheetPr>
  <dimension ref="A1:Y84"/>
  <sheetViews>
    <sheetView showGridLines="0" zoomScaleNormal="100" workbookViewId="0">
      <pane ySplit="16" topLeftCell="A17" activePane="bottomLeft" state="frozen"/>
      <selection pane="bottomLeft" activeCell="A17" sqref="A17"/>
    </sheetView>
  </sheetViews>
  <sheetFormatPr defaultColWidth="0" defaultRowHeight="17.399999999999999" x14ac:dyDescent="0.45"/>
  <cols>
    <col min="1" max="1" width="3.6640625" style="22" customWidth="1"/>
    <col min="2" max="2" width="26.33203125" style="22" customWidth="1"/>
    <col min="3" max="4" width="22.6640625" style="22" customWidth="1"/>
    <col min="5" max="5" width="1.77734375" style="22" customWidth="1"/>
    <col min="6" max="6" width="15.77734375" style="163" customWidth="1"/>
    <col min="7" max="10" width="15.77734375" style="22" customWidth="1"/>
    <col min="11" max="11" width="3.6640625" style="23" customWidth="1"/>
    <col min="12" max="25" width="0" style="23" hidden="1" customWidth="1"/>
    <col min="26" max="16384" width="8.88671875" style="23" hidden="1"/>
  </cols>
  <sheetData>
    <row r="1" spans="1:11" ht="15" customHeight="1" x14ac:dyDescent="0.45">
      <c r="K1" s="22"/>
    </row>
    <row r="2" spans="1:11" ht="34.5" customHeight="1" x14ac:dyDescent="0.45">
      <c r="K2" s="22"/>
    </row>
    <row r="3" spans="1:11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15" customHeight="1" x14ac:dyDescent="0.45">
      <c r="K4" s="22"/>
    </row>
    <row r="5" spans="1:11" ht="15" customHeight="1" x14ac:dyDescent="0.45">
      <c r="B5" s="164" t="s">
        <v>80</v>
      </c>
      <c r="C5" s="25"/>
      <c r="D5" s="25"/>
      <c r="E5" s="26"/>
      <c r="F5" s="165"/>
      <c r="G5" s="26"/>
      <c r="H5" s="26"/>
      <c r="I5" s="26"/>
      <c r="J5" s="26"/>
      <c r="K5" s="22"/>
    </row>
    <row r="6" spans="1:11" hidden="1" x14ac:dyDescent="0.45">
      <c r="F6" s="22"/>
    </row>
    <row r="7" spans="1:11" hidden="1" x14ac:dyDescent="0.45">
      <c r="B7" s="170" t="s">
        <v>68</v>
      </c>
      <c r="C7" s="170" t="s">
        <v>26</v>
      </c>
      <c r="D7" s="170" t="s">
        <v>88</v>
      </c>
      <c r="E7" s="171"/>
      <c r="F7" s="170" t="s">
        <v>87</v>
      </c>
      <c r="G7" s="170" t="s">
        <v>69</v>
      </c>
      <c r="H7" s="170" t="s">
        <v>70</v>
      </c>
      <c r="I7" s="170" t="s">
        <v>71</v>
      </c>
      <c r="J7" s="171"/>
    </row>
    <row r="8" spans="1:11" hidden="1" x14ac:dyDescent="0.45">
      <c r="B8" s="172" t="s">
        <v>72</v>
      </c>
      <c r="C8" s="172" t="s">
        <v>28</v>
      </c>
      <c r="D8" s="143">
        <v>855</v>
      </c>
      <c r="E8" s="174"/>
      <c r="F8" s="173">
        <v>761</v>
      </c>
      <c r="G8" s="143">
        <v>4757865790.6400003</v>
      </c>
      <c r="H8" s="143">
        <v>4396746171.4200001</v>
      </c>
      <c r="I8" s="143">
        <v>-361119619.22000003</v>
      </c>
      <c r="J8" s="174"/>
    </row>
    <row r="9" spans="1:11" hidden="1" x14ac:dyDescent="0.45">
      <c r="B9" s="172" t="s">
        <v>72</v>
      </c>
      <c r="C9" s="172" t="s">
        <v>30</v>
      </c>
      <c r="D9" s="143">
        <v>399722</v>
      </c>
      <c r="E9" s="174"/>
      <c r="F9" s="173">
        <v>363631</v>
      </c>
      <c r="G9" s="143">
        <v>53175167678.900002</v>
      </c>
      <c r="H9" s="143">
        <v>53143386342.07</v>
      </c>
      <c r="I9" s="143">
        <v>-31781336.829999998</v>
      </c>
      <c r="J9" s="174"/>
    </row>
    <row r="10" spans="1:11" hidden="1" x14ac:dyDescent="0.45">
      <c r="B10" s="172" t="s">
        <v>73</v>
      </c>
      <c r="C10" s="172" t="s">
        <v>18</v>
      </c>
      <c r="D10" s="143">
        <v>758</v>
      </c>
      <c r="E10" s="174"/>
      <c r="F10" s="173">
        <v>758</v>
      </c>
      <c r="G10" s="143">
        <v>255669168.99000001</v>
      </c>
      <c r="H10" s="134"/>
      <c r="I10" s="134"/>
      <c r="J10" s="174"/>
    </row>
    <row r="11" spans="1:11" hidden="1" x14ac:dyDescent="0.45">
      <c r="B11" s="172" t="s">
        <v>73</v>
      </c>
      <c r="C11" s="172" t="s">
        <v>19</v>
      </c>
      <c r="D11" s="143">
        <v>485</v>
      </c>
      <c r="E11" s="174"/>
      <c r="F11" s="173">
        <v>485</v>
      </c>
      <c r="G11" s="143">
        <v>53678518.979999997</v>
      </c>
      <c r="H11" s="134"/>
      <c r="I11" s="134"/>
      <c r="J11" s="174"/>
    </row>
    <row r="12" spans="1:11" hidden="1" x14ac:dyDescent="0.45">
      <c r="B12" s="172" t="s">
        <v>74</v>
      </c>
      <c r="C12" s="172" t="s">
        <v>28</v>
      </c>
      <c r="D12" s="47">
        <v>111</v>
      </c>
      <c r="E12" s="174"/>
      <c r="F12" s="175">
        <v>1</v>
      </c>
      <c r="G12" s="134"/>
      <c r="H12" s="47">
        <v>635144.6</v>
      </c>
      <c r="I12" s="134"/>
      <c r="J12" s="174"/>
    </row>
    <row r="13" spans="1:11" hidden="1" x14ac:dyDescent="0.45">
      <c r="B13" s="172" t="s">
        <v>74</v>
      </c>
      <c r="C13" s="172" t="s">
        <v>30</v>
      </c>
      <c r="D13" s="47">
        <v>0</v>
      </c>
      <c r="E13" s="169"/>
      <c r="F13" s="175">
        <v>0</v>
      </c>
      <c r="G13" s="134"/>
      <c r="H13" s="47">
        <v>0</v>
      </c>
      <c r="I13" s="134"/>
      <c r="J13" s="169"/>
    </row>
    <row r="14" spans="1:11" ht="15" customHeight="1" x14ac:dyDescent="0.45">
      <c r="F14" s="168"/>
    </row>
    <row r="15" spans="1:11" s="57" customFormat="1" ht="15" customHeight="1" x14ac:dyDescent="0.4">
      <c r="A15" s="166"/>
      <c r="B15" s="166"/>
      <c r="C15" s="166"/>
      <c r="D15" s="166"/>
      <c r="E15" s="166"/>
      <c r="F15" s="219" t="s">
        <v>242</v>
      </c>
      <c r="G15" s="220"/>
      <c r="H15" s="220"/>
      <c r="I15" s="220"/>
      <c r="J15" s="220"/>
    </row>
    <row r="16" spans="1:11" s="182" customFormat="1" ht="30" x14ac:dyDescent="0.4">
      <c r="A16" s="177"/>
      <c r="B16" s="178" t="s">
        <v>75</v>
      </c>
      <c r="C16" s="179" t="s">
        <v>76</v>
      </c>
      <c r="D16" s="180"/>
      <c r="E16" s="177"/>
      <c r="F16" s="181" t="s">
        <v>90</v>
      </c>
      <c r="G16" s="180" t="s">
        <v>89</v>
      </c>
      <c r="H16" s="179" t="s">
        <v>77</v>
      </c>
      <c r="I16" s="179" t="s">
        <v>78</v>
      </c>
      <c r="J16" s="179" t="s">
        <v>56</v>
      </c>
    </row>
    <row r="17" spans="2:10" ht="4.95" customHeight="1" x14ac:dyDescent="0.45">
      <c r="B17" s="50"/>
      <c r="F17" s="183"/>
    </row>
    <row r="18" spans="2:10" ht="15" customHeight="1" x14ac:dyDescent="0.45">
      <c r="B18" s="185"/>
      <c r="C18" s="167" t="s">
        <v>28</v>
      </c>
      <c r="D18" s="167"/>
      <c r="F18" s="186">
        <f>D8</f>
        <v>855</v>
      </c>
      <c r="G18" s="187">
        <f>F8</f>
        <v>761</v>
      </c>
      <c r="H18" s="187">
        <f>H8</f>
        <v>4396746171.4200001</v>
      </c>
      <c r="I18" s="187">
        <f>G8</f>
        <v>4757865790.6400003</v>
      </c>
      <c r="J18" s="215">
        <f>I8</f>
        <v>-361119619.22000003</v>
      </c>
    </row>
    <row r="19" spans="2:10" ht="15" customHeight="1" x14ac:dyDescent="0.45">
      <c r="B19" s="185"/>
      <c r="C19" s="188" t="s">
        <v>58</v>
      </c>
      <c r="D19" s="189"/>
      <c r="F19" s="211">
        <v>557</v>
      </c>
      <c r="G19" s="212">
        <v>490</v>
      </c>
      <c r="H19" s="212">
        <v>3173295836.9000001</v>
      </c>
      <c r="I19" s="212">
        <v>3173295836.9000001</v>
      </c>
      <c r="J19" s="240">
        <f>H19-I19</f>
        <v>0</v>
      </c>
    </row>
    <row r="20" spans="2:10" ht="15" customHeight="1" x14ac:dyDescent="0.45">
      <c r="B20" s="185"/>
      <c r="C20" s="191" t="s">
        <v>145</v>
      </c>
      <c r="D20" s="192"/>
      <c r="F20" s="211">
        <v>82</v>
      </c>
      <c r="G20" s="212">
        <v>75</v>
      </c>
      <c r="H20" s="212">
        <v>688478056</v>
      </c>
      <c r="I20" s="212">
        <v>688478056</v>
      </c>
      <c r="J20" s="240">
        <f t="shared" ref="J20:J25" si="0">H20-I20</f>
        <v>0</v>
      </c>
    </row>
    <row r="21" spans="2:10" ht="15" customHeight="1" x14ac:dyDescent="0.45">
      <c r="B21" s="185"/>
      <c r="C21" s="191" t="s">
        <v>63</v>
      </c>
      <c r="D21" s="192"/>
      <c r="F21" s="211">
        <v>11</v>
      </c>
      <c r="G21" s="212">
        <v>10</v>
      </c>
      <c r="H21" s="212">
        <v>29360905.170000002</v>
      </c>
      <c r="I21" s="212">
        <v>189911250.68000001</v>
      </c>
      <c r="J21" s="240">
        <f t="shared" si="0"/>
        <v>-160550345.50999999</v>
      </c>
    </row>
    <row r="22" spans="2:10" ht="15" customHeight="1" x14ac:dyDescent="0.45">
      <c r="B22" s="185"/>
      <c r="C22" s="191" t="s">
        <v>110</v>
      </c>
      <c r="D22" s="192"/>
      <c r="F22" s="211">
        <v>54</v>
      </c>
      <c r="G22" s="212">
        <v>48</v>
      </c>
      <c r="H22" s="212">
        <v>67921881.859999999</v>
      </c>
      <c r="I22" s="212">
        <v>263590047</v>
      </c>
      <c r="J22" s="240">
        <f t="shared" si="0"/>
        <v>-195668165.13999999</v>
      </c>
    </row>
    <row r="23" spans="2:10" ht="15" customHeight="1" x14ac:dyDescent="0.45">
      <c r="B23" s="185"/>
      <c r="C23" s="191" t="s">
        <v>171</v>
      </c>
      <c r="D23" s="192"/>
      <c r="F23" s="211">
        <v>130</v>
      </c>
      <c r="G23" s="212">
        <v>118</v>
      </c>
      <c r="H23" s="212">
        <v>58585567.329999998</v>
      </c>
      <c r="I23" s="212">
        <v>50515870.240000002</v>
      </c>
      <c r="J23" s="240">
        <f t="shared" si="0"/>
        <v>8069697.0899999961</v>
      </c>
    </row>
    <row r="24" spans="2:10" ht="15" customHeight="1" x14ac:dyDescent="0.45">
      <c r="B24" s="185"/>
      <c r="C24" s="191" t="s">
        <v>170</v>
      </c>
      <c r="D24" s="192"/>
      <c r="F24" s="211">
        <v>7</v>
      </c>
      <c r="G24" s="212">
        <v>7</v>
      </c>
      <c r="H24" s="212">
        <v>0</v>
      </c>
      <c r="I24" s="212">
        <v>13020418.779999999</v>
      </c>
      <c r="J24" s="240">
        <f t="shared" si="0"/>
        <v>-13020418.779999999</v>
      </c>
    </row>
    <row r="25" spans="2:10" ht="15" customHeight="1" x14ac:dyDescent="0.45">
      <c r="B25" s="185"/>
      <c r="C25" s="193" t="s">
        <v>210</v>
      </c>
      <c r="D25" s="194"/>
      <c r="F25" s="211">
        <v>9</v>
      </c>
      <c r="G25" s="212">
        <v>9</v>
      </c>
      <c r="H25" s="212">
        <v>378820000.00999999</v>
      </c>
      <c r="I25" s="212">
        <v>378820000</v>
      </c>
      <c r="J25" s="240">
        <f t="shared" si="0"/>
        <v>9.9999904632568359E-3</v>
      </c>
    </row>
    <row r="26" spans="2:10" ht="15" customHeight="1" x14ac:dyDescent="0.45">
      <c r="B26" s="195" t="s">
        <v>57</v>
      </c>
      <c r="C26" s="196" t="s">
        <v>50</v>
      </c>
      <c r="D26" s="197"/>
      <c r="F26" s="211">
        <f>F18-SUM(F19:F25)</f>
        <v>5</v>
      </c>
      <c r="G26" s="212">
        <f>G18-SUM(G19:G25)</f>
        <v>4</v>
      </c>
      <c r="H26" s="212">
        <f>H18-SUM(H19:H25)</f>
        <v>283924.14999961853</v>
      </c>
      <c r="I26" s="212">
        <f>I18-SUM(I19:I25)</f>
        <v>234311.04000091553</v>
      </c>
      <c r="J26" s="240">
        <f>J18-SUM(J19:J25)</f>
        <v>49613.1099999547</v>
      </c>
    </row>
    <row r="27" spans="2:10" ht="15" customHeight="1" x14ac:dyDescent="0.45">
      <c r="B27" s="195"/>
      <c r="C27" s="198" t="s">
        <v>30</v>
      </c>
      <c r="D27" s="167"/>
      <c r="F27" s="186">
        <f>D9</f>
        <v>399722</v>
      </c>
      <c r="G27" s="187">
        <f>F9</f>
        <v>363631</v>
      </c>
      <c r="H27" s="187">
        <f>H9</f>
        <v>53143386342.07</v>
      </c>
      <c r="I27" s="187">
        <f>G9</f>
        <v>53175167678.900002</v>
      </c>
      <c r="J27" s="215">
        <f>I9</f>
        <v>-31781336.829999998</v>
      </c>
    </row>
    <row r="28" spans="2:10" ht="15" customHeight="1" x14ac:dyDescent="0.45">
      <c r="B28" s="185" t="s">
        <v>57</v>
      </c>
      <c r="C28" s="188" t="s">
        <v>58</v>
      </c>
      <c r="D28" s="189"/>
      <c r="F28" s="211">
        <v>246910</v>
      </c>
      <c r="G28" s="212">
        <v>228862</v>
      </c>
      <c r="H28" s="212">
        <v>40515735176.449997</v>
      </c>
      <c r="I28" s="212">
        <v>40515735176.449997</v>
      </c>
      <c r="J28" s="240">
        <f t="shared" ref="J28:J37" si="1">H28-I28</f>
        <v>0</v>
      </c>
    </row>
    <row r="29" spans="2:10" ht="15" customHeight="1" x14ac:dyDescent="0.45">
      <c r="B29" s="185"/>
      <c r="C29" s="191" t="s">
        <v>145</v>
      </c>
      <c r="D29" s="192"/>
      <c r="F29" s="211">
        <f>SUM(F77:F78)</f>
        <v>129582</v>
      </c>
      <c r="G29" s="212">
        <f>SUM(G77:G78)</f>
        <v>120178</v>
      </c>
      <c r="H29" s="212">
        <f>SUM(H77:H78)</f>
        <v>10487467287</v>
      </c>
      <c r="I29" s="212">
        <f>SUM(I77:I78)</f>
        <v>10487512160.469999</v>
      </c>
      <c r="J29" s="240">
        <f t="shared" si="1"/>
        <v>-44873.469999313354</v>
      </c>
    </row>
    <row r="30" spans="2:10" ht="15" customHeight="1" x14ac:dyDescent="0.45">
      <c r="B30" s="185"/>
      <c r="C30" s="199" t="s">
        <v>214</v>
      </c>
      <c r="D30" s="200"/>
      <c r="F30" s="211">
        <v>22743</v>
      </c>
      <c r="G30" s="212">
        <v>14209</v>
      </c>
      <c r="H30" s="212">
        <v>1122252950.1600001</v>
      </c>
      <c r="I30" s="212">
        <v>1122252950.05</v>
      </c>
      <c r="J30" s="240">
        <f t="shared" si="1"/>
        <v>0.1100001335144043</v>
      </c>
    </row>
    <row r="31" spans="2:10" ht="15" customHeight="1" x14ac:dyDescent="0.45">
      <c r="B31" s="185"/>
      <c r="C31" s="193" t="s">
        <v>210</v>
      </c>
      <c r="D31" s="194"/>
      <c r="F31" s="211">
        <v>0</v>
      </c>
      <c r="G31" s="212">
        <v>0</v>
      </c>
      <c r="H31" s="212">
        <v>0</v>
      </c>
      <c r="I31" s="212">
        <v>0</v>
      </c>
      <c r="J31" s="240">
        <f>H31-I31</f>
        <v>0</v>
      </c>
    </row>
    <row r="32" spans="2:10" ht="15" customHeight="1" x14ac:dyDescent="0.45">
      <c r="B32" s="185"/>
      <c r="C32" s="191" t="s">
        <v>62</v>
      </c>
      <c r="D32" s="192"/>
      <c r="F32" s="211">
        <v>242</v>
      </c>
      <c r="G32" s="212">
        <v>183</v>
      </c>
      <c r="H32" s="212">
        <v>402882410.19</v>
      </c>
      <c r="I32" s="212">
        <v>345651464.94</v>
      </c>
      <c r="J32" s="240">
        <f t="shared" si="1"/>
        <v>57230945.25</v>
      </c>
    </row>
    <row r="33" spans="1:10" ht="15" customHeight="1" x14ac:dyDescent="0.45">
      <c r="B33" s="185"/>
      <c r="C33" s="191" t="s">
        <v>211</v>
      </c>
      <c r="D33" s="192"/>
      <c r="F33" s="211">
        <f>SUM(F80:F81)</f>
        <v>87</v>
      </c>
      <c r="G33" s="212">
        <f>SUM(G80:G81)</f>
        <v>70</v>
      </c>
      <c r="H33" s="212">
        <f>SUM(H80:H81)</f>
        <v>11376030.49</v>
      </c>
      <c r="I33" s="212">
        <f>SUM(I80:I81)</f>
        <v>10055039.1</v>
      </c>
      <c r="J33" s="240">
        <f>H33-I33</f>
        <v>1320991.3900000006</v>
      </c>
    </row>
    <row r="34" spans="1:10" ht="15" customHeight="1" x14ac:dyDescent="0.45">
      <c r="B34" s="185"/>
      <c r="C34" s="191" t="s">
        <v>110</v>
      </c>
      <c r="D34" s="192"/>
      <c r="F34" s="211">
        <v>83</v>
      </c>
      <c r="G34" s="212">
        <v>71</v>
      </c>
      <c r="H34" s="212">
        <v>433992777.88999999</v>
      </c>
      <c r="I34" s="212">
        <v>521340089.06999999</v>
      </c>
      <c r="J34" s="240">
        <f t="shared" si="1"/>
        <v>-87347311.180000007</v>
      </c>
    </row>
    <row r="35" spans="1:10" ht="15" customHeight="1" x14ac:dyDescent="0.45">
      <c r="B35" s="185"/>
      <c r="C35" s="191" t="s">
        <v>170</v>
      </c>
      <c r="D35" s="192"/>
      <c r="F35" s="211">
        <v>45</v>
      </c>
      <c r="G35" s="212">
        <v>38</v>
      </c>
      <c r="H35" s="212">
        <v>150199642.16</v>
      </c>
      <c r="I35" s="212">
        <v>153334684.16</v>
      </c>
      <c r="J35" s="240">
        <f t="shared" si="1"/>
        <v>-3135042</v>
      </c>
    </row>
    <row r="36" spans="1:10" ht="15" customHeight="1" x14ac:dyDescent="0.45">
      <c r="B36" s="185"/>
      <c r="C36" s="201" t="s">
        <v>209</v>
      </c>
      <c r="D36" s="202"/>
      <c r="F36" s="211">
        <v>8</v>
      </c>
      <c r="G36" s="212">
        <v>7</v>
      </c>
      <c r="H36" s="212">
        <v>11568788.07</v>
      </c>
      <c r="I36" s="212">
        <v>11576446.35</v>
      </c>
      <c r="J36" s="240">
        <f t="shared" si="1"/>
        <v>-7658.2799999993294</v>
      </c>
    </row>
    <row r="37" spans="1:10" ht="15" customHeight="1" x14ac:dyDescent="0.45">
      <c r="B37" s="185"/>
      <c r="C37" s="191" t="s">
        <v>172</v>
      </c>
      <c r="D37" s="192"/>
      <c r="F37" s="211">
        <v>12</v>
      </c>
      <c r="G37" s="212">
        <v>5</v>
      </c>
      <c r="H37" s="212">
        <v>5877228.5199999996</v>
      </c>
      <c r="I37" s="212">
        <v>5253843.93</v>
      </c>
      <c r="J37" s="240">
        <f t="shared" si="1"/>
        <v>623384.58999999985</v>
      </c>
    </row>
    <row r="38" spans="1:10" ht="15" customHeight="1" x14ac:dyDescent="0.45">
      <c r="B38" s="185" t="s">
        <v>57</v>
      </c>
      <c r="C38" s="196" t="s">
        <v>50</v>
      </c>
      <c r="D38" s="197"/>
      <c r="F38" s="211">
        <f>F27-SUM(F28:F37)</f>
        <v>10</v>
      </c>
      <c r="G38" s="212">
        <f>G27-SUM(G28:G37)</f>
        <v>8</v>
      </c>
      <c r="H38" s="212">
        <f>H27-SUM(H28:H37)</f>
        <v>2034051.1399993896</v>
      </c>
      <c r="I38" s="212">
        <f>I27-SUM(I28:I37)</f>
        <v>2455824.3799972534</v>
      </c>
      <c r="J38" s="240">
        <f t="shared" ref="J38" si="2">H38-I38</f>
        <v>-421773.23999786377</v>
      </c>
    </row>
    <row r="39" spans="1:10" ht="4.95" customHeight="1" x14ac:dyDescent="0.45">
      <c r="B39" s="50"/>
      <c r="F39" s="183"/>
      <c r="J39" s="217"/>
    </row>
    <row r="40" spans="1:10" s="57" customFormat="1" ht="15" customHeight="1" x14ac:dyDescent="0.4">
      <c r="A40" s="22"/>
      <c r="B40" s="185" t="s">
        <v>79</v>
      </c>
      <c r="C40" s="167" t="s">
        <v>28</v>
      </c>
      <c r="D40" s="167"/>
      <c r="F40" s="186">
        <f>D12</f>
        <v>111</v>
      </c>
      <c r="G40" s="187">
        <f>F12</f>
        <v>1</v>
      </c>
      <c r="H40" s="187">
        <f>H12</f>
        <v>635144.6</v>
      </c>
      <c r="I40" s="203"/>
      <c r="J40" s="215">
        <f t="shared" ref="J40:J41" si="3">H40-I40</f>
        <v>635144.6</v>
      </c>
    </row>
    <row r="41" spans="1:10" s="57" customFormat="1" ht="15" customHeight="1" x14ac:dyDescent="0.4">
      <c r="A41" s="22"/>
      <c r="B41" s="195" t="s">
        <v>79</v>
      </c>
      <c r="C41" s="196" t="s">
        <v>50</v>
      </c>
      <c r="D41" s="196"/>
      <c r="F41" s="211">
        <v>111</v>
      </c>
      <c r="G41" s="212">
        <v>1</v>
      </c>
      <c r="H41" s="212">
        <v>635144.6</v>
      </c>
      <c r="I41" s="204"/>
      <c r="J41" s="240">
        <f t="shared" si="3"/>
        <v>635144.6</v>
      </c>
    </row>
    <row r="42" spans="1:10" ht="4.95" customHeight="1" x14ac:dyDescent="0.45">
      <c r="B42" s="50"/>
      <c r="F42" s="183"/>
      <c r="J42" s="217"/>
    </row>
    <row r="43" spans="1:10" ht="15" customHeight="1" x14ac:dyDescent="0.45">
      <c r="B43" s="185" t="s">
        <v>61</v>
      </c>
      <c r="C43" s="167" t="s">
        <v>28</v>
      </c>
      <c r="D43" s="167"/>
      <c r="F43" s="186">
        <f>D10</f>
        <v>758</v>
      </c>
      <c r="G43" s="187">
        <f>F10</f>
        <v>758</v>
      </c>
      <c r="H43" s="203"/>
      <c r="I43" s="187">
        <f>G10</f>
        <v>255669168.99000001</v>
      </c>
      <c r="J43" s="215">
        <f t="shared" ref="J43:J55" si="4">H43-I43</f>
        <v>-255669168.99000001</v>
      </c>
    </row>
    <row r="44" spans="1:10" ht="15" customHeight="1" x14ac:dyDescent="0.45">
      <c r="B44" s="195" t="s">
        <v>61</v>
      </c>
      <c r="C44" s="191" t="s">
        <v>91</v>
      </c>
      <c r="D44" s="191"/>
      <c r="E44" s="171"/>
      <c r="F44" s="211">
        <v>562</v>
      </c>
      <c r="G44" s="212">
        <v>562</v>
      </c>
      <c r="H44" s="213"/>
      <c r="I44" s="212">
        <v>148824854.93000001</v>
      </c>
      <c r="J44" s="240">
        <f t="shared" si="4"/>
        <v>-148824854.93000001</v>
      </c>
    </row>
    <row r="45" spans="1:10" ht="15" customHeight="1" x14ac:dyDescent="0.45">
      <c r="B45" s="195"/>
      <c r="C45" s="191" t="s">
        <v>141</v>
      </c>
      <c r="D45" s="191"/>
      <c r="E45" s="171"/>
      <c r="F45" s="211">
        <f>SUM(F68:F71)</f>
        <v>194</v>
      </c>
      <c r="G45" s="212">
        <f>SUM(G68:G71)</f>
        <v>194</v>
      </c>
      <c r="H45" s="213"/>
      <c r="I45" s="212">
        <f>SUM(I68:I71)</f>
        <v>62277314.060000002</v>
      </c>
      <c r="J45" s="240">
        <f t="shared" si="4"/>
        <v>-62277314.060000002</v>
      </c>
    </row>
    <row r="46" spans="1:10" ht="15" customHeight="1" x14ac:dyDescent="0.45">
      <c r="B46" s="195"/>
      <c r="C46" s="191" t="s">
        <v>217</v>
      </c>
      <c r="D46" s="191"/>
      <c r="E46" s="171"/>
      <c r="F46" s="211">
        <v>2</v>
      </c>
      <c r="G46" s="212">
        <v>2</v>
      </c>
      <c r="H46" s="213"/>
      <c r="I46" s="212">
        <v>44567000</v>
      </c>
      <c r="J46" s="240">
        <f t="shared" si="4"/>
        <v>-44567000</v>
      </c>
    </row>
    <row r="47" spans="1:10" ht="15" hidden="1" customHeight="1" x14ac:dyDescent="0.45">
      <c r="B47" s="195"/>
      <c r="C47" s="197" t="s">
        <v>50</v>
      </c>
      <c r="D47" s="197"/>
      <c r="F47" s="190">
        <f>F43-SUM(F44:F46)</f>
        <v>0</v>
      </c>
      <c r="G47" s="168">
        <f>G43-SUM(G44:G46)</f>
        <v>0</v>
      </c>
      <c r="H47" s="203"/>
      <c r="I47" s="168">
        <f>I43-SUM(I44:I46)</f>
        <v>0</v>
      </c>
      <c r="J47" s="216">
        <f t="shared" si="4"/>
        <v>0</v>
      </c>
    </row>
    <row r="48" spans="1:10" ht="15" customHeight="1" x14ac:dyDescent="0.45">
      <c r="B48" s="185" t="s">
        <v>61</v>
      </c>
      <c r="C48" s="167" t="s">
        <v>30</v>
      </c>
      <c r="D48" s="167"/>
      <c r="F48" s="186">
        <f>D11</f>
        <v>485</v>
      </c>
      <c r="G48" s="187">
        <f>F11</f>
        <v>485</v>
      </c>
      <c r="H48" s="203"/>
      <c r="I48" s="187">
        <f>G11</f>
        <v>53678518.979999997</v>
      </c>
      <c r="J48" s="215">
        <f t="shared" si="4"/>
        <v>-53678518.979999997</v>
      </c>
    </row>
    <row r="49" spans="2:10" ht="15" customHeight="1" x14ac:dyDescent="0.45">
      <c r="B49" s="185"/>
      <c r="C49" s="191" t="s">
        <v>91</v>
      </c>
      <c r="D49" s="191"/>
      <c r="E49" s="171"/>
      <c r="F49" s="211">
        <f>SUM(F73:F75)</f>
        <v>353</v>
      </c>
      <c r="G49" s="171">
        <f>SUM(G73:G75)</f>
        <v>353</v>
      </c>
      <c r="H49" s="213"/>
      <c r="I49" s="212">
        <f>SUM(I73:I75)</f>
        <v>31156630.729999997</v>
      </c>
      <c r="J49" s="240">
        <f t="shared" si="4"/>
        <v>-31156630.729999997</v>
      </c>
    </row>
    <row r="50" spans="2:10" ht="15" customHeight="1" x14ac:dyDescent="0.45">
      <c r="B50" s="185"/>
      <c r="C50" s="191" t="s">
        <v>146</v>
      </c>
      <c r="D50" s="191"/>
      <c r="E50" s="171"/>
      <c r="F50" s="211">
        <v>57</v>
      </c>
      <c r="G50" s="171">
        <v>57</v>
      </c>
      <c r="H50" s="213"/>
      <c r="I50" s="212">
        <v>15630299.810000001</v>
      </c>
      <c r="J50" s="240">
        <f t="shared" si="4"/>
        <v>-15630299.810000001</v>
      </c>
    </row>
    <row r="51" spans="2:10" ht="15" customHeight="1" x14ac:dyDescent="0.45">
      <c r="B51" s="185"/>
      <c r="C51" s="191" t="s">
        <v>147</v>
      </c>
      <c r="D51" s="191"/>
      <c r="E51" s="171"/>
      <c r="F51" s="211">
        <v>50</v>
      </c>
      <c r="G51" s="171">
        <v>50</v>
      </c>
      <c r="H51" s="213"/>
      <c r="I51" s="212">
        <v>3689868.45</v>
      </c>
      <c r="J51" s="240">
        <f t="shared" si="4"/>
        <v>-3689868.45</v>
      </c>
    </row>
    <row r="52" spans="2:10" ht="15" customHeight="1" x14ac:dyDescent="0.45">
      <c r="B52" s="185"/>
      <c r="C52" s="191" t="s">
        <v>218</v>
      </c>
      <c r="D52" s="191"/>
      <c r="E52" s="171"/>
      <c r="F52" s="211">
        <v>22</v>
      </c>
      <c r="G52" s="171">
        <v>22</v>
      </c>
      <c r="H52" s="213"/>
      <c r="I52" s="212">
        <v>1580454.42</v>
      </c>
      <c r="J52" s="240">
        <f t="shared" si="4"/>
        <v>-1580454.42</v>
      </c>
    </row>
    <row r="53" spans="2:10" ht="15" customHeight="1" x14ac:dyDescent="0.45">
      <c r="B53" s="185"/>
      <c r="C53" s="191" t="s">
        <v>220</v>
      </c>
      <c r="D53" s="191"/>
      <c r="E53" s="171"/>
      <c r="F53" s="211">
        <v>2</v>
      </c>
      <c r="G53" s="171">
        <v>2</v>
      </c>
      <c r="H53" s="213"/>
      <c r="I53" s="212">
        <v>208001</v>
      </c>
      <c r="J53" s="240">
        <f>H53-I53</f>
        <v>-208001</v>
      </c>
    </row>
    <row r="54" spans="2:10" ht="15" customHeight="1" x14ac:dyDescent="0.45">
      <c r="B54" s="185"/>
      <c r="C54" s="191" t="s">
        <v>219</v>
      </c>
      <c r="D54" s="191"/>
      <c r="E54" s="171"/>
      <c r="F54" s="211">
        <v>1</v>
      </c>
      <c r="G54" s="171">
        <v>1</v>
      </c>
      <c r="H54" s="213"/>
      <c r="I54" s="212">
        <v>1413264.57</v>
      </c>
      <c r="J54" s="240">
        <f t="shared" si="4"/>
        <v>-1413264.57</v>
      </c>
    </row>
    <row r="55" spans="2:10" ht="15" hidden="1" customHeight="1" x14ac:dyDescent="0.45">
      <c r="B55" s="185" t="s">
        <v>61</v>
      </c>
      <c r="C55" s="197" t="s">
        <v>50</v>
      </c>
      <c r="D55" s="197"/>
      <c r="F55" s="190">
        <f>F48-SUM(F49:F54)</f>
        <v>0</v>
      </c>
      <c r="G55" s="168">
        <f>G48-SUM(G49:G54)</f>
        <v>0</v>
      </c>
      <c r="H55" s="203"/>
      <c r="I55" s="168">
        <f>I48-SUM(I49:I54)</f>
        <v>0</v>
      </c>
      <c r="J55" s="168">
        <f t="shared" si="4"/>
        <v>0</v>
      </c>
    </row>
    <row r="56" spans="2:10" x14ac:dyDescent="0.45">
      <c r="F56" s="184"/>
      <c r="G56" s="163"/>
    </row>
    <row r="57" spans="2:10" x14ac:dyDescent="0.45">
      <c r="D57" s="205" t="s">
        <v>59</v>
      </c>
      <c r="F57" s="206">
        <f>F48+F43+F40+F27+F18</f>
        <v>401931</v>
      </c>
      <c r="G57" s="207">
        <f>G48+G43+G40+G27+G18</f>
        <v>365636</v>
      </c>
      <c r="H57" s="207">
        <f>H48+H43+H40+H27+H18</f>
        <v>57540767658.089996</v>
      </c>
      <c r="I57" s="207">
        <f>I48+I43+I40+I27+I18</f>
        <v>58242381157.510002</v>
      </c>
      <c r="J57" s="218">
        <f>J48+J43+J40+J27+J18</f>
        <v>-701613499.42000008</v>
      </c>
    </row>
    <row r="58" spans="2:10" x14ac:dyDescent="0.45">
      <c r="B58" s="50" t="s">
        <v>243</v>
      </c>
      <c r="F58" s="168"/>
      <c r="J58" s="208">
        <f>J57/I57</f>
        <v>-1.2046442564265443E-2</v>
      </c>
    </row>
    <row r="59" spans="2:10" x14ac:dyDescent="0.45">
      <c r="B59" s="65" t="s">
        <v>86</v>
      </c>
    </row>
    <row r="60" spans="2:10" x14ac:dyDescent="0.45">
      <c r="B60" s="73" t="s">
        <v>85</v>
      </c>
      <c r="G60" s="176"/>
    </row>
    <row r="61" spans="2:10" x14ac:dyDescent="0.45">
      <c r="B61" s="75" t="s">
        <v>84</v>
      </c>
    </row>
    <row r="62" spans="2:10" x14ac:dyDescent="0.45">
      <c r="B62" s="77" t="s">
        <v>83</v>
      </c>
      <c r="F62" s="209"/>
    </row>
    <row r="63" spans="2:10" x14ac:dyDescent="0.45">
      <c r="B63" s="67" t="s">
        <v>50</v>
      </c>
    </row>
    <row r="65" spans="1:10" x14ac:dyDescent="0.45">
      <c r="B65" s="222" t="s">
        <v>245</v>
      </c>
      <c r="C65" s="26"/>
      <c r="D65" s="26"/>
      <c r="E65" s="26"/>
      <c r="F65" s="165"/>
      <c r="G65" s="26"/>
      <c r="H65" s="26"/>
      <c r="I65" s="26"/>
    </row>
    <row r="67" spans="1:10" ht="30" x14ac:dyDescent="0.45">
      <c r="B67" s="181" t="s">
        <v>52</v>
      </c>
      <c r="C67" s="291" t="s">
        <v>244</v>
      </c>
      <c r="D67" s="292"/>
      <c r="E67" s="221"/>
      <c r="F67" s="181" t="s">
        <v>90</v>
      </c>
      <c r="G67" s="180" t="s">
        <v>89</v>
      </c>
      <c r="H67" s="179" t="s">
        <v>77</v>
      </c>
      <c r="I67" s="179" t="s">
        <v>78</v>
      </c>
    </row>
    <row r="68" spans="1:10" s="131" customFormat="1" ht="15" x14ac:dyDescent="0.4">
      <c r="A68" s="171"/>
      <c r="B68" s="293" t="s">
        <v>141</v>
      </c>
      <c r="C68" s="223" t="s">
        <v>93</v>
      </c>
      <c r="F68" s="211">
        <v>5</v>
      </c>
      <c r="G68" s="212">
        <v>5</v>
      </c>
      <c r="H68" s="213" t="s">
        <v>29</v>
      </c>
      <c r="I68" s="212">
        <v>2904767.07</v>
      </c>
    </row>
    <row r="69" spans="1:10" s="131" customFormat="1" ht="15" x14ac:dyDescent="0.4">
      <c r="A69" s="171"/>
      <c r="B69" s="293"/>
      <c r="C69" s="223" t="s">
        <v>94</v>
      </c>
      <c r="F69" s="211">
        <v>5</v>
      </c>
      <c r="G69" s="212">
        <v>5</v>
      </c>
      <c r="H69" s="213" t="s">
        <v>29</v>
      </c>
      <c r="I69" s="212">
        <v>25065563</v>
      </c>
    </row>
    <row r="70" spans="1:10" s="131" customFormat="1" ht="15" x14ac:dyDescent="0.4">
      <c r="A70" s="171"/>
      <c r="B70" s="293"/>
      <c r="C70" s="223" t="s">
        <v>148</v>
      </c>
      <c r="F70" s="211">
        <v>1</v>
      </c>
      <c r="G70" s="212">
        <v>1</v>
      </c>
      <c r="H70" s="213" t="s">
        <v>29</v>
      </c>
      <c r="I70" s="212">
        <v>1071700</v>
      </c>
    </row>
    <row r="71" spans="1:10" s="131" customFormat="1" ht="15" x14ac:dyDescent="0.4">
      <c r="A71" s="171"/>
      <c r="B71" s="293"/>
      <c r="C71" s="223" t="s">
        <v>92</v>
      </c>
      <c r="F71" s="211">
        <v>183</v>
      </c>
      <c r="G71" s="212">
        <v>183</v>
      </c>
      <c r="H71" s="213" t="s">
        <v>29</v>
      </c>
      <c r="I71" s="212">
        <v>33235283.989999998</v>
      </c>
    </row>
    <row r="72" spans="1:10" s="131" customFormat="1" ht="10.050000000000001" customHeight="1" x14ac:dyDescent="0.4">
      <c r="A72" s="171"/>
      <c r="B72" s="171"/>
      <c r="C72" s="171"/>
      <c r="D72" s="171"/>
      <c r="E72" s="171"/>
      <c r="F72" s="211"/>
      <c r="G72" s="212"/>
      <c r="H72" s="212"/>
      <c r="I72" s="212"/>
      <c r="J72" s="171"/>
    </row>
    <row r="73" spans="1:10" s="131" customFormat="1" ht="15" x14ac:dyDescent="0.4">
      <c r="A73" s="171"/>
      <c r="B73" s="293" t="s">
        <v>91</v>
      </c>
      <c r="C73" s="131" t="s">
        <v>91</v>
      </c>
      <c r="E73" s="171"/>
      <c r="F73" s="224">
        <v>60</v>
      </c>
      <c r="G73" s="225">
        <v>60</v>
      </c>
      <c r="H73" s="213" t="s">
        <v>29</v>
      </c>
      <c r="I73" s="225">
        <v>6864814.0099999998</v>
      </c>
      <c r="J73" s="214"/>
    </row>
    <row r="74" spans="1:10" s="131" customFormat="1" ht="15" x14ac:dyDescent="0.4">
      <c r="A74" s="171"/>
      <c r="B74" s="293"/>
      <c r="C74" s="131" t="s">
        <v>109</v>
      </c>
      <c r="E74" s="171"/>
      <c r="F74" s="224">
        <v>47</v>
      </c>
      <c r="G74" s="225">
        <v>47</v>
      </c>
      <c r="H74" s="213" t="s">
        <v>29</v>
      </c>
      <c r="I74" s="225">
        <v>4009629.18</v>
      </c>
      <c r="J74" s="214"/>
    </row>
    <row r="75" spans="1:10" s="131" customFormat="1" ht="15" x14ac:dyDescent="0.4">
      <c r="A75" s="171"/>
      <c r="B75" s="293"/>
      <c r="C75" s="131" t="s">
        <v>64</v>
      </c>
      <c r="E75" s="171"/>
      <c r="F75" s="224">
        <v>246</v>
      </c>
      <c r="G75" s="225">
        <v>246</v>
      </c>
      <c r="H75" s="213" t="s">
        <v>29</v>
      </c>
      <c r="I75" s="225">
        <v>20282187.539999999</v>
      </c>
      <c r="J75" s="214"/>
    </row>
    <row r="76" spans="1:10" s="131" customFormat="1" ht="10.050000000000001" customHeight="1" x14ac:dyDescent="0.4">
      <c r="A76" s="171"/>
      <c r="B76" s="171"/>
      <c r="C76" s="171"/>
      <c r="D76" s="171"/>
      <c r="E76" s="171"/>
      <c r="F76" s="211"/>
      <c r="G76" s="212"/>
      <c r="H76" s="212"/>
      <c r="I76" s="212"/>
      <c r="J76" s="171"/>
    </row>
    <row r="77" spans="1:10" s="131" customFormat="1" ht="15" x14ac:dyDescent="0.4">
      <c r="A77" s="171"/>
      <c r="B77" s="293" t="s">
        <v>145</v>
      </c>
      <c r="C77" s="131" t="s">
        <v>145</v>
      </c>
      <c r="E77" s="171"/>
      <c r="F77" s="224">
        <v>106192</v>
      </c>
      <c r="G77" s="225">
        <v>103813</v>
      </c>
      <c r="H77" s="225">
        <v>9199064268.6000004</v>
      </c>
      <c r="I77" s="225">
        <v>9199064268.4899998</v>
      </c>
    </row>
    <row r="78" spans="1:10" s="131" customFormat="1" ht="15" x14ac:dyDescent="0.4">
      <c r="A78" s="171"/>
      <c r="B78" s="293"/>
      <c r="C78" s="131" t="s">
        <v>212</v>
      </c>
      <c r="E78" s="171"/>
      <c r="F78" s="224">
        <v>23390</v>
      </c>
      <c r="G78" s="225">
        <v>16365</v>
      </c>
      <c r="H78" s="225">
        <v>1288403018.4000001</v>
      </c>
      <c r="I78" s="225">
        <v>1288447891.98</v>
      </c>
    </row>
    <row r="79" spans="1:10" s="131" customFormat="1" ht="10.050000000000001" customHeight="1" x14ac:dyDescent="0.4">
      <c r="A79" s="171"/>
      <c r="B79" s="171"/>
      <c r="C79" s="171"/>
      <c r="D79" s="171"/>
      <c r="E79" s="171"/>
      <c r="F79" s="211"/>
      <c r="G79" s="212"/>
      <c r="H79" s="212"/>
      <c r="I79" s="212"/>
      <c r="J79" s="171"/>
    </row>
    <row r="80" spans="1:10" s="131" customFormat="1" ht="15" x14ac:dyDescent="0.4">
      <c r="A80" s="171"/>
      <c r="B80" s="293" t="s">
        <v>211</v>
      </c>
      <c r="C80" s="131" t="s">
        <v>211</v>
      </c>
      <c r="E80" s="171"/>
      <c r="F80" s="224">
        <v>72</v>
      </c>
      <c r="G80" s="225">
        <v>57</v>
      </c>
      <c r="H80" s="225">
        <v>8903030.4900000002</v>
      </c>
      <c r="I80" s="225">
        <v>8126405.29</v>
      </c>
    </row>
    <row r="81" spans="1:10" s="131" customFormat="1" ht="15" x14ac:dyDescent="0.4">
      <c r="A81" s="171"/>
      <c r="B81" s="293"/>
      <c r="C81" s="131" t="s">
        <v>213</v>
      </c>
      <c r="E81" s="171"/>
      <c r="F81" s="224">
        <v>15</v>
      </c>
      <c r="G81" s="225">
        <v>13</v>
      </c>
      <c r="H81" s="225">
        <v>2473000</v>
      </c>
      <c r="I81" s="225">
        <v>1928633.81</v>
      </c>
    </row>
    <row r="82" spans="1:10" x14ac:dyDescent="0.45">
      <c r="F82" s="23"/>
      <c r="G82" s="23"/>
      <c r="H82" s="23"/>
      <c r="I82" s="23"/>
      <c r="J82" s="23"/>
    </row>
    <row r="83" spans="1:10" x14ac:dyDescent="0.45">
      <c r="J83" s="210"/>
    </row>
    <row r="84" spans="1:10" x14ac:dyDescent="0.45">
      <c r="J84" s="210"/>
    </row>
  </sheetData>
  <mergeCells count="5">
    <mergeCell ref="C67:D67"/>
    <mergeCell ref="B68:B71"/>
    <mergeCell ref="B73:B75"/>
    <mergeCell ref="B77:B78"/>
    <mergeCell ref="B80:B8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49AA-2E38-43D0-8D33-CC51E8623E41}">
  <sheetPr>
    <tabColor theme="0"/>
    <pageSetUpPr autoPageBreaks="0"/>
  </sheetPr>
  <dimension ref="A1:U26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22" customWidth="1"/>
    <col min="2" max="2" width="26.33203125" style="22" customWidth="1"/>
    <col min="3" max="3" width="44.5546875" style="22" customWidth="1"/>
    <col min="4" max="4" width="1.109375" style="23" customWidth="1"/>
    <col min="5" max="9" width="15.77734375" style="22" customWidth="1"/>
    <col min="10" max="10" width="3.6640625" style="22" customWidth="1"/>
    <col min="11" max="11" width="20.6640625" style="23" hidden="1" customWidth="1"/>
    <col min="12" max="12" width="22.109375" style="23" hidden="1" customWidth="1"/>
    <col min="13" max="13" width="11" style="23" hidden="1" customWidth="1"/>
    <col min="14" max="15" width="17.88671875" style="23" hidden="1" customWidth="1"/>
    <col min="16" max="16" width="15" style="23" hidden="1" customWidth="1"/>
    <col min="17" max="17" width="3.6640625" style="23" hidden="1" customWidth="1"/>
    <col min="18" max="18" width="6.6640625" style="22" hidden="1" customWidth="1"/>
    <col min="19" max="19" width="14.5546875" style="23" hidden="1" customWidth="1"/>
    <col min="20" max="20" width="13.88671875" style="23" hidden="1" customWidth="1"/>
    <col min="21" max="21" width="14.5546875" style="23" hidden="1" customWidth="1"/>
    <col min="22" max="16384" width="8.88671875" style="23" hidden="1"/>
  </cols>
  <sheetData>
    <row r="1" spans="1:18" ht="15" customHeight="1" x14ac:dyDescent="0.45">
      <c r="D1" s="22"/>
      <c r="R1" s="23"/>
    </row>
    <row r="2" spans="1:18" ht="34.5" customHeight="1" x14ac:dyDescent="0.45">
      <c r="D2" s="22"/>
      <c r="R2" s="23"/>
    </row>
    <row r="3" spans="1:18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  <c r="R3" s="23"/>
    </row>
    <row r="4" spans="1:18" ht="15" customHeight="1" x14ac:dyDescent="0.45">
      <c r="D4" s="22"/>
    </row>
    <row r="5" spans="1:18" ht="15" customHeight="1" x14ac:dyDescent="0.45">
      <c r="B5" s="164" t="s">
        <v>234</v>
      </c>
      <c r="C5" s="25"/>
      <c r="D5" s="25"/>
      <c r="E5" s="25"/>
      <c r="F5" s="25"/>
      <c r="G5" s="26"/>
      <c r="H5" s="26"/>
      <c r="I5" s="26"/>
      <c r="J5" s="26"/>
      <c r="R5" s="23"/>
    </row>
    <row r="6" spans="1:18" ht="15" customHeight="1" x14ac:dyDescent="0.45"/>
    <row r="7" spans="1:18" ht="15" customHeight="1" x14ac:dyDescent="0.45">
      <c r="D7" s="22"/>
      <c r="E7" s="219" t="s">
        <v>242</v>
      </c>
      <c r="F7" s="219"/>
      <c r="G7" s="219"/>
      <c r="H7" s="219"/>
      <c r="I7" s="219"/>
      <c r="R7" s="23"/>
    </row>
    <row r="8" spans="1:18" ht="30" x14ac:dyDescent="0.45">
      <c r="B8" s="178" t="s">
        <v>75</v>
      </c>
      <c r="C8" s="179" t="s">
        <v>52</v>
      </c>
      <c r="E8" s="181" t="s">
        <v>90</v>
      </c>
      <c r="F8" s="179" t="s">
        <v>77</v>
      </c>
      <c r="G8" s="180" t="s">
        <v>259</v>
      </c>
      <c r="H8" s="179" t="s">
        <v>258</v>
      </c>
      <c r="I8" s="179" t="s">
        <v>56</v>
      </c>
      <c r="J8" s="23"/>
      <c r="R8" s="23"/>
    </row>
    <row r="9" spans="1:18" customFormat="1" ht="4.95" customHeight="1" x14ac:dyDescent="0.45">
      <c r="A9" s="22"/>
      <c r="B9" s="22"/>
      <c r="C9" s="22"/>
      <c r="D9" s="22"/>
      <c r="E9" s="22"/>
      <c r="F9" s="22"/>
      <c r="G9" s="22"/>
      <c r="H9" s="22"/>
      <c r="I9" s="22"/>
      <c r="J9" s="23"/>
    </row>
    <row r="10" spans="1:18" s="57" customFormat="1" ht="16.2" x14ac:dyDescent="0.4">
      <c r="A10" s="166"/>
      <c r="B10" s="294" t="s">
        <v>57</v>
      </c>
      <c r="C10" s="260" t="s">
        <v>58</v>
      </c>
      <c r="E10" s="241">
        <v>4235</v>
      </c>
      <c r="F10" s="241">
        <v>352472655.10000002</v>
      </c>
      <c r="G10" s="241">
        <v>4115</v>
      </c>
      <c r="H10" s="241">
        <v>352472655.10000002</v>
      </c>
      <c r="I10" s="242">
        <v>0</v>
      </c>
    </row>
    <row r="11" spans="1:18" s="57" customFormat="1" ht="16.2" x14ac:dyDescent="0.4">
      <c r="A11" s="166"/>
      <c r="B11" s="294"/>
      <c r="C11" s="249" t="s">
        <v>113</v>
      </c>
      <c r="E11" s="241">
        <v>58</v>
      </c>
      <c r="F11" s="241">
        <v>3428802.32</v>
      </c>
      <c r="G11" s="241">
        <v>51</v>
      </c>
      <c r="H11" s="241">
        <v>3428802.32</v>
      </c>
      <c r="I11" s="242">
        <v>0</v>
      </c>
    </row>
    <row r="12" spans="1:18" s="57" customFormat="1" ht="16.2" x14ac:dyDescent="0.4">
      <c r="A12" s="166"/>
      <c r="B12" s="294"/>
      <c r="C12" s="249" t="s">
        <v>114</v>
      </c>
      <c r="E12" s="213"/>
      <c r="F12" s="213"/>
      <c r="G12" s="213"/>
      <c r="H12" s="213"/>
      <c r="I12" s="213"/>
    </row>
    <row r="13" spans="1:18" s="57" customFormat="1" ht="16.2" x14ac:dyDescent="0.4">
      <c r="A13" s="166"/>
      <c r="B13" s="294"/>
      <c r="C13" s="249" t="s">
        <v>115</v>
      </c>
      <c r="E13" s="241">
        <v>2894</v>
      </c>
      <c r="F13" s="241">
        <v>300349663.22000003</v>
      </c>
      <c r="G13" s="241">
        <v>2768</v>
      </c>
      <c r="H13" s="241">
        <v>300859393.60000002</v>
      </c>
      <c r="I13" s="242">
        <v>-509730.37999999523</v>
      </c>
    </row>
    <row r="14" spans="1:18" s="57" customFormat="1" ht="16.2" x14ac:dyDescent="0.4">
      <c r="A14" s="166"/>
      <c r="B14" s="294"/>
      <c r="C14" s="261" t="s">
        <v>116</v>
      </c>
      <c r="E14" s="213"/>
      <c r="F14" s="213"/>
      <c r="G14" s="213"/>
      <c r="H14" s="213"/>
      <c r="I14" s="213"/>
    </row>
    <row r="15" spans="1:18" s="57" customFormat="1" ht="16.2" x14ac:dyDescent="0.4">
      <c r="A15" s="166"/>
      <c r="B15" s="294"/>
      <c r="C15" s="249" t="s">
        <v>117</v>
      </c>
      <c r="E15" s="213"/>
      <c r="F15" s="213"/>
      <c r="G15" s="213"/>
      <c r="H15" s="213"/>
      <c r="I15" s="213"/>
    </row>
    <row r="16" spans="1:18" s="57" customFormat="1" ht="16.2" x14ac:dyDescent="0.4">
      <c r="A16" s="166"/>
      <c r="B16" s="294"/>
      <c r="C16" s="262" t="s">
        <v>50</v>
      </c>
      <c r="E16" s="241">
        <v>205</v>
      </c>
      <c r="F16" s="241">
        <v>22601119.010000002</v>
      </c>
      <c r="G16" s="241">
        <v>183</v>
      </c>
      <c r="H16" s="241">
        <v>20173284.57</v>
      </c>
      <c r="I16" s="242">
        <v>2427834.4400000013</v>
      </c>
    </row>
    <row r="17" spans="1:18" s="57" customFormat="1" ht="4.95" customHeight="1" x14ac:dyDescent="0.4">
      <c r="A17" s="166"/>
      <c r="E17" s="131"/>
      <c r="F17" s="225"/>
      <c r="G17" s="225"/>
      <c r="H17" s="225"/>
      <c r="I17" s="225"/>
    </row>
    <row r="18" spans="1:18" s="57" customFormat="1" ht="16.2" x14ac:dyDescent="0.4">
      <c r="A18" s="166"/>
      <c r="B18" s="295" t="s">
        <v>61</v>
      </c>
      <c r="C18" s="249" t="s">
        <v>118</v>
      </c>
      <c r="E18" s="213"/>
      <c r="F18" s="213"/>
      <c r="G18" s="241">
        <v>370</v>
      </c>
      <c r="H18" s="241">
        <v>546506890.78999996</v>
      </c>
      <c r="I18" s="242">
        <v>-546506890.78999996</v>
      </c>
    </row>
    <row r="19" spans="1:18" s="57" customFormat="1" ht="16.2" x14ac:dyDescent="0.4">
      <c r="A19" s="166"/>
      <c r="B19" s="295"/>
      <c r="C19" s="249" t="s">
        <v>119</v>
      </c>
      <c r="E19" s="213"/>
      <c r="F19" s="213"/>
      <c r="G19" s="241">
        <v>26</v>
      </c>
      <c r="H19" s="241">
        <v>1180615.1299999999</v>
      </c>
      <c r="I19" s="242">
        <v>-1180615.1299999999</v>
      </c>
    </row>
    <row r="20" spans="1:18" s="57" customFormat="1" ht="16.2" x14ac:dyDescent="0.4">
      <c r="A20" s="166"/>
      <c r="B20" s="295"/>
      <c r="C20" s="262" t="s">
        <v>66</v>
      </c>
      <c r="E20" s="213"/>
      <c r="F20" s="213"/>
      <c r="G20" s="241">
        <v>2</v>
      </c>
      <c r="H20" s="241">
        <v>3333.3</v>
      </c>
      <c r="I20" s="242">
        <v>-3333.3</v>
      </c>
    </row>
    <row r="21" spans="1:18" s="57" customFormat="1" ht="4.95" customHeight="1" x14ac:dyDescent="0.4">
      <c r="A21" s="166"/>
      <c r="E21" s="131"/>
      <c r="F21" s="225"/>
      <c r="G21" s="225"/>
      <c r="H21" s="225"/>
      <c r="I21" s="263"/>
    </row>
    <row r="22" spans="1:18" s="57" customFormat="1" ht="16.2" x14ac:dyDescent="0.4">
      <c r="A22" s="166"/>
      <c r="B22" s="195" t="s">
        <v>79</v>
      </c>
      <c r="C22" s="262" t="s">
        <v>66</v>
      </c>
      <c r="E22" s="241">
        <v>27</v>
      </c>
      <c r="F22" s="241">
        <v>930585.01</v>
      </c>
      <c r="G22" s="213"/>
      <c r="H22" s="213"/>
      <c r="I22" s="242">
        <v>1232874.81</v>
      </c>
    </row>
    <row r="23" spans="1:18" s="57" customFormat="1" ht="16.2" x14ac:dyDescent="0.4">
      <c r="A23" s="166"/>
      <c r="B23" s="166"/>
      <c r="C23" s="166"/>
      <c r="F23" s="166"/>
      <c r="G23" s="166"/>
      <c r="H23" s="166"/>
      <c r="I23" s="166"/>
    </row>
    <row r="24" spans="1:18" s="57" customFormat="1" x14ac:dyDescent="0.4">
      <c r="A24" s="166"/>
      <c r="B24" s="166"/>
      <c r="C24" s="205" t="s">
        <v>59</v>
      </c>
      <c r="E24" s="207">
        <v>7419</v>
      </c>
      <c r="F24" s="207">
        <v>679782824.66000009</v>
      </c>
      <c r="G24" s="207">
        <v>7515</v>
      </c>
      <c r="H24" s="207">
        <v>1224624974.8099999</v>
      </c>
      <c r="I24" s="207">
        <v>-544842150.14999986</v>
      </c>
    </row>
    <row r="25" spans="1:18" s="57" customFormat="1" ht="16.2" x14ac:dyDescent="0.4">
      <c r="A25" s="166"/>
      <c r="B25" s="166"/>
      <c r="C25" s="166"/>
      <c r="E25" s="239"/>
      <c r="F25" s="239"/>
      <c r="G25" s="239"/>
      <c r="H25" s="239"/>
      <c r="I25" s="239"/>
      <c r="J25" s="239"/>
      <c r="R25" s="166"/>
    </row>
    <row r="26" spans="1:18" x14ac:dyDescent="0.45">
      <c r="E26" s="169"/>
      <c r="F26" s="169"/>
      <c r="G26" s="169"/>
      <c r="H26" s="169"/>
      <c r="I26" s="169"/>
      <c r="J26" s="169"/>
    </row>
  </sheetData>
  <mergeCells count="2">
    <mergeCell ref="B10:B16"/>
    <mergeCell ref="B18:B2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3A4C-C0A9-405B-974C-FAF5135003AF}">
  <sheetPr>
    <tabColor theme="0"/>
    <pageSetUpPr autoPageBreaks="0"/>
  </sheetPr>
  <dimension ref="A1:W36"/>
  <sheetViews>
    <sheetView showGridLines="0" zoomScaleNormal="100" workbookViewId="0">
      <pane ySplit="13" topLeftCell="A14" activePane="bottomLeft" state="frozen"/>
      <selection pane="bottomLeft" activeCell="A14" sqref="A14"/>
    </sheetView>
  </sheetViews>
  <sheetFormatPr defaultColWidth="0" defaultRowHeight="17.399999999999999" x14ac:dyDescent="0.3"/>
  <cols>
    <col min="1" max="1" width="3.6640625" style="22" customWidth="1"/>
    <col min="2" max="2" width="26.33203125" style="22" customWidth="1"/>
    <col min="3" max="4" width="22.6640625" style="22" customWidth="1"/>
    <col min="5" max="5" width="1.77734375" style="22" customWidth="1"/>
    <col min="6" max="9" width="22.6640625" style="22" customWidth="1"/>
    <col min="10" max="10" width="3.77734375" style="22" customWidth="1"/>
    <col min="11" max="11" width="60.77734375" hidden="1" customWidth="1"/>
    <col min="12" max="12" width="17.21875" hidden="1" customWidth="1"/>
    <col min="13" max="13" width="14.5546875" hidden="1" customWidth="1"/>
    <col min="14" max="14" width="13.88671875" hidden="1" customWidth="1"/>
    <col min="15" max="15" width="14.5546875" hidden="1" customWidth="1"/>
    <col min="16" max="16" width="9.88671875" hidden="1" customWidth="1"/>
    <col min="17" max="17" width="14.5546875" hidden="1" customWidth="1"/>
    <col min="18" max="18" width="13.88671875" hidden="1" customWidth="1"/>
    <col min="19" max="19" width="14.5546875" hidden="1" customWidth="1"/>
    <col min="20" max="20" width="9.88671875" hidden="1" customWidth="1"/>
    <col min="21" max="21" width="13.88671875" hidden="1" customWidth="1"/>
    <col min="22" max="22" width="14.5546875" hidden="1" customWidth="1"/>
    <col min="23" max="23" width="9.88671875" hidden="1" customWidth="1"/>
    <col min="24" max="16384" width="8.88671875" hidden="1"/>
  </cols>
  <sheetData>
    <row r="1" spans="1:10" ht="15" customHeight="1" x14ac:dyDescent="0.3"/>
    <row r="2" spans="1:10" ht="34.5" customHeight="1" x14ac:dyDescent="0.3"/>
    <row r="3" spans="1:10" ht="2.25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ht="15" customHeight="1" x14ac:dyDescent="0.3"/>
    <row r="5" spans="1:10" ht="15" customHeight="1" x14ac:dyDescent="0.3">
      <c r="B5" s="164" t="s">
        <v>95</v>
      </c>
      <c r="C5" s="25"/>
      <c r="D5" s="25"/>
      <c r="E5" s="26"/>
      <c r="F5" s="26"/>
      <c r="G5" s="25"/>
      <c r="H5" s="26"/>
      <c r="I5" s="26"/>
      <c r="J5" s="26"/>
    </row>
    <row r="6" spans="1:10" ht="15" hidden="1" customHeight="1" x14ac:dyDescent="0.3">
      <c r="J6" s="169"/>
    </row>
    <row r="7" spans="1:10" ht="15" hidden="1" customHeight="1" x14ac:dyDescent="0.3">
      <c r="B7" s="226" t="s">
        <v>68</v>
      </c>
      <c r="C7" s="226" t="s">
        <v>26</v>
      </c>
      <c r="D7" s="226" t="s">
        <v>88</v>
      </c>
      <c r="F7" s="226" t="s">
        <v>69</v>
      </c>
      <c r="G7" s="226" t="s">
        <v>70</v>
      </c>
      <c r="H7" s="226" t="s">
        <v>71</v>
      </c>
    </row>
    <row r="8" spans="1:10" ht="15" hidden="1" customHeight="1" x14ac:dyDescent="0.3">
      <c r="B8" s="227" t="s">
        <v>72</v>
      </c>
      <c r="C8" s="227" t="s">
        <v>20</v>
      </c>
      <c r="D8" s="228">
        <v>4941</v>
      </c>
      <c r="F8" s="228">
        <v>1491526819.74</v>
      </c>
      <c r="G8" s="228">
        <v>1492878315.54</v>
      </c>
      <c r="H8" s="228">
        <v>1351495.8</v>
      </c>
    </row>
    <row r="9" spans="1:10" ht="15" hidden="1" customHeight="1" x14ac:dyDescent="0.3">
      <c r="B9" s="227" t="s">
        <v>73</v>
      </c>
      <c r="C9" s="227" t="s">
        <v>20</v>
      </c>
      <c r="D9" s="228">
        <v>214</v>
      </c>
      <c r="F9" s="228">
        <v>24867140.899999999</v>
      </c>
      <c r="G9" s="72" t="s">
        <v>29</v>
      </c>
      <c r="H9" s="72" t="s">
        <v>29</v>
      </c>
      <c r="I9" s="169"/>
    </row>
    <row r="10" spans="1:10" ht="15" hidden="1" customHeight="1" x14ac:dyDescent="0.3">
      <c r="B10" s="227" t="s">
        <v>74</v>
      </c>
      <c r="C10" s="227" t="s">
        <v>20</v>
      </c>
      <c r="D10" s="59">
        <v>0</v>
      </c>
      <c r="F10" s="72"/>
      <c r="G10" s="228">
        <v>0</v>
      </c>
      <c r="H10" s="72"/>
      <c r="I10" s="169"/>
    </row>
    <row r="11" spans="1:10" ht="15" customHeight="1" x14ac:dyDescent="0.3">
      <c r="H11" s="176"/>
    </row>
    <row r="12" spans="1:10" ht="15" customHeight="1" x14ac:dyDescent="0.45">
      <c r="F12" s="219" t="s">
        <v>242</v>
      </c>
      <c r="G12" s="220"/>
      <c r="H12" s="220"/>
      <c r="I12" s="220"/>
      <c r="J12" s="23"/>
    </row>
    <row r="13" spans="1:10" s="21" customFormat="1" ht="30" customHeight="1" x14ac:dyDescent="0.45">
      <c r="A13" s="265"/>
      <c r="B13" s="266" t="s">
        <v>75</v>
      </c>
      <c r="C13" s="267" t="s">
        <v>76</v>
      </c>
      <c r="D13" s="268"/>
      <c r="E13" s="265"/>
      <c r="F13" s="269" t="s">
        <v>100</v>
      </c>
      <c r="G13" s="267" t="s">
        <v>77</v>
      </c>
      <c r="H13" s="267" t="s">
        <v>78</v>
      </c>
      <c r="I13" s="267" t="s">
        <v>56</v>
      </c>
      <c r="J13" s="60"/>
    </row>
    <row r="14" spans="1:10" ht="4.95" customHeight="1" x14ac:dyDescent="0.45">
      <c r="B14" s="50"/>
      <c r="F14" s="183"/>
      <c r="J14" s="23"/>
    </row>
    <row r="15" spans="1:10" ht="15" customHeight="1" x14ac:dyDescent="0.45">
      <c r="B15" s="185" t="s">
        <v>57</v>
      </c>
      <c r="C15" s="167" t="s">
        <v>59</v>
      </c>
      <c r="D15" s="167"/>
      <c r="F15" s="186">
        <f>D8</f>
        <v>4941</v>
      </c>
      <c r="G15" s="187">
        <f>G8</f>
        <v>1492878315.54</v>
      </c>
      <c r="H15" s="187">
        <f>F8</f>
        <v>1491526819.74</v>
      </c>
      <c r="I15" s="187">
        <f>H8</f>
        <v>1351495.8</v>
      </c>
      <c r="J15" s="23"/>
    </row>
    <row r="16" spans="1:10" ht="15" customHeight="1" x14ac:dyDescent="0.45">
      <c r="B16" s="195" t="s">
        <v>57</v>
      </c>
      <c r="C16" s="188" t="s">
        <v>58</v>
      </c>
      <c r="D16" s="188"/>
      <c r="F16" s="211">
        <v>4926</v>
      </c>
      <c r="G16" s="212">
        <v>1490769219.74</v>
      </c>
      <c r="H16" s="212">
        <v>1490769219.74</v>
      </c>
      <c r="I16" s="212">
        <v>0</v>
      </c>
      <c r="J16" s="23"/>
    </row>
    <row r="17" spans="2:10" ht="15" customHeight="1" x14ac:dyDescent="0.45">
      <c r="B17" s="195"/>
      <c r="C17" s="196" t="s">
        <v>50</v>
      </c>
      <c r="D17" s="196"/>
      <c r="F17" s="211">
        <f>F15-SUM(F16:F16)</f>
        <v>15</v>
      </c>
      <c r="G17" s="212">
        <f>G15-SUM(G16:G16)</f>
        <v>2109095.7999999523</v>
      </c>
      <c r="H17" s="212">
        <f>H15-SUM(H16:H16)</f>
        <v>757600</v>
      </c>
      <c r="I17" s="212">
        <f t="shared" ref="I17" si="0">G17-H17</f>
        <v>1351495.7999999523</v>
      </c>
      <c r="J17" s="23"/>
    </row>
    <row r="18" spans="2:10" ht="4.95" customHeight="1" x14ac:dyDescent="0.45">
      <c r="B18" s="50"/>
      <c r="F18" s="183"/>
      <c r="J18" s="23"/>
    </row>
    <row r="19" spans="2:10" hidden="1" x14ac:dyDescent="0.4">
      <c r="B19" s="195" t="s">
        <v>79</v>
      </c>
      <c r="C19" s="167" t="s">
        <v>59</v>
      </c>
      <c r="D19" s="167"/>
      <c r="F19" s="186">
        <f>D10</f>
        <v>0</v>
      </c>
      <c r="G19" s="187">
        <f>G10</f>
        <v>0</v>
      </c>
      <c r="H19" s="203"/>
      <c r="I19" s="203"/>
      <c r="J19" s="57"/>
    </row>
    <row r="20" spans="2:10" hidden="1" x14ac:dyDescent="0.4">
      <c r="B20" s="195"/>
      <c r="C20" s="197" t="s">
        <v>50</v>
      </c>
      <c r="D20" s="197"/>
      <c r="F20" s="190">
        <f>F19</f>
        <v>0</v>
      </c>
      <c r="G20" s="168">
        <f>G19</f>
        <v>0</v>
      </c>
      <c r="H20" s="204"/>
      <c r="I20" s="203"/>
      <c r="J20" s="57"/>
    </row>
    <row r="21" spans="2:10" ht="15" hidden="1" customHeight="1" x14ac:dyDescent="0.45">
      <c r="B21" s="50"/>
      <c r="F21" s="183"/>
      <c r="J21" s="23"/>
    </row>
    <row r="22" spans="2:10" ht="15" customHeight="1" x14ac:dyDescent="0.45">
      <c r="B22" s="195" t="s">
        <v>61</v>
      </c>
      <c r="C22" s="167" t="s">
        <v>59</v>
      </c>
      <c r="D22" s="167"/>
      <c r="F22" s="186">
        <f>D9</f>
        <v>214</v>
      </c>
      <c r="G22" s="203"/>
      <c r="H22" s="187">
        <f>F9</f>
        <v>24867140.899999999</v>
      </c>
      <c r="I22" s="203">
        <f t="shared" ref="I22:I27" si="1">G22-H22</f>
        <v>-24867140.899999999</v>
      </c>
      <c r="J22" s="23"/>
    </row>
    <row r="23" spans="2:10" hidden="1" x14ac:dyDescent="0.45">
      <c r="B23" s="195"/>
      <c r="C23" s="200" t="s">
        <v>103</v>
      </c>
      <c r="D23" s="200"/>
      <c r="F23" s="190">
        <v>0</v>
      </c>
      <c r="G23" s="203"/>
      <c r="H23" s="168">
        <v>0</v>
      </c>
      <c r="I23" s="203">
        <f t="shared" si="1"/>
        <v>0</v>
      </c>
      <c r="J23" s="23"/>
    </row>
    <row r="24" spans="2:10" hidden="1" x14ac:dyDescent="0.45">
      <c r="B24" s="195"/>
      <c r="C24" s="200" t="s">
        <v>112</v>
      </c>
      <c r="D24" s="200"/>
      <c r="F24" s="190">
        <v>0</v>
      </c>
      <c r="G24" s="203"/>
      <c r="H24" s="168">
        <v>0</v>
      </c>
      <c r="I24" s="203">
        <f t="shared" si="1"/>
        <v>0</v>
      </c>
      <c r="J24" s="23"/>
    </row>
    <row r="25" spans="2:10" x14ac:dyDescent="0.45">
      <c r="B25" s="195"/>
      <c r="C25" s="199" t="s">
        <v>150</v>
      </c>
      <c r="D25" s="199"/>
      <c r="F25" s="211">
        <v>190</v>
      </c>
      <c r="G25" s="203"/>
      <c r="H25" s="212">
        <v>22705005.77</v>
      </c>
      <c r="I25" s="203">
        <f t="shared" si="1"/>
        <v>-22705005.77</v>
      </c>
      <c r="J25" s="23"/>
    </row>
    <row r="26" spans="2:10" x14ac:dyDescent="0.45">
      <c r="B26" s="195"/>
      <c r="C26" s="201" t="s">
        <v>149</v>
      </c>
      <c r="D26" s="201"/>
      <c r="F26" s="211">
        <v>24</v>
      </c>
      <c r="G26" s="203"/>
      <c r="H26" s="212">
        <v>2162135.13</v>
      </c>
      <c r="I26" s="203">
        <f t="shared" si="1"/>
        <v>-2162135.13</v>
      </c>
      <c r="J26" s="23"/>
    </row>
    <row r="27" spans="2:10" hidden="1" x14ac:dyDescent="0.45">
      <c r="B27" s="195"/>
      <c r="C27" s="197" t="s">
        <v>50</v>
      </c>
      <c r="D27" s="197"/>
      <c r="F27" s="190">
        <f>F22-SUM(F23:F26)</f>
        <v>0</v>
      </c>
      <c r="G27" s="203"/>
      <c r="H27" s="168">
        <f>H22-SUM(H23:H26)</f>
        <v>0</v>
      </c>
      <c r="I27" s="203">
        <f t="shared" si="1"/>
        <v>0</v>
      </c>
      <c r="J27" s="23"/>
    </row>
    <row r="28" spans="2:10" x14ac:dyDescent="0.45">
      <c r="F28" s="184"/>
      <c r="J28" s="23"/>
    </row>
    <row r="29" spans="2:10" x14ac:dyDescent="0.45">
      <c r="D29" s="205" t="s">
        <v>59</v>
      </c>
      <c r="F29" s="206">
        <f>F15+F19+F22</f>
        <v>5155</v>
      </c>
      <c r="G29" s="207">
        <f>G15+G19+G22</f>
        <v>1492878315.54</v>
      </c>
      <c r="H29" s="207">
        <f>H15+H19+H22</f>
        <v>1516393960.6400001</v>
      </c>
      <c r="I29" s="207">
        <f>I15+I19+I22</f>
        <v>-23515645.099999998</v>
      </c>
      <c r="J29" s="23"/>
    </row>
    <row r="30" spans="2:10" x14ac:dyDescent="0.3">
      <c r="D30" s="205"/>
      <c r="F30" s="207"/>
      <c r="G30" s="207"/>
      <c r="H30" s="207"/>
      <c r="I30" s="207"/>
    </row>
    <row r="31" spans="2:10" x14ac:dyDescent="0.3">
      <c r="B31" s="50" t="s">
        <v>46</v>
      </c>
      <c r="D31" s="229"/>
    </row>
    <row r="32" spans="2:10" x14ac:dyDescent="0.3">
      <c r="B32" s="65" t="s">
        <v>86</v>
      </c>
      <c r="D32" s="189"/>
    </row>
    <row r="33" spans="2:4" x14ac:dyDescent="0.3">
      <c r="B33" s="73" t="s">
        <v>85</v>
      </c>
      <c r="D33" s="189"/>
    </row>
    <row r="34" spans="2:4" x14ac:dyDescent="0.3">
      <c r="B34" s="75" t="s">
        <v>84</v>
      </c>
      <c r="D34" s="189"/>
    </row>
    <row r="35" spans="2:4" x14ac:dyDescent="0.3">
      <c r="B35" s="77" t="s">
        <v>83</v>
      </c>
    </row>
    <row r="36" spans="2:4" x14ac:dyDescent="0.3">
      <c r="B36" s="67" t="s">
        <v>50</v>
      </c>
    </row>
  </sheetData>
  <conditionalFormatting sqref="H23:H27 I16:I17">
    <cfRule type="colorScale" priority="4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FEDA-3910-4A3D-9F06-1B4ECB7CE034}">
  <sheetPr>
    <tabColor theme="0"/>
    <pageSetUpPr autoPageBreaks="0"/>
  </sheetPr>
  <dimension ref="A1:P30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22" customWidth="1"/>
    <col min="2" max="2" width="26.33203125" style="22" customWidth="1"/>
    <col min="3" max="3" width="44.5546875" style="22" customWidth="1"/>
    <col min="4" max="4" width="2.21875" style="23" customWidth="1"/>
    <col min="5" max="9" width="15.77734375" style="22" customWidth="1"/>
    <col min="10" max="10" width="3.6640625" style="22" customWidth="1"/>
    <col min="11" max="11" width="13.88671875" style="23" hidden="1" customWidth="1"/>
    <col min="12" max="12" width="14.5546875" style="23" hidden="1" customWidth="1"/>
    <col min="13" max="15" width="8.88671875" style="23" hidden="1" customWidth="1"/>
    <col min="16" max="16" width="0" style="23" hidden="1" customWidth="1"/>
    <col min="17" max="16384" width="8.88671875" style="23" hidden="1"/>
  </cols>
  <sheetData>
    <row r="1" spans="1:13" ht="15" customHeight="1" x14ac:dyDescent="0.45">
      <c r="D1" s="22"/>
    </row>
    <row r="2" spans="1:13" ht="34.5" customHeight="1" x14ac:dyDescent="0.45">
      <c r="D2" s="22"/>
    </row>
    <row r="3" spans="1:13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3" ht="15" customHeight="1" x14ac:dyDescent="0.45">
      <c r="D4" s="22"/>
    </row>
    <row r="5" spans="1:13" ht="15" customHeight="1" x14ac:dyDescent="0.45">
      <c r="B5" s="164" t="s">
        <v>101</v>
      </c>
      <c r="C5" s="25"/>
      <c r="D5" s="25"/>
      <c r="E5" s="25"/>
      <c r="F5" s="25"/>
      <c r="G5" s="26"/>
      <c r="H5" s="26"/>
      <c r="I5" s="26"/>
      <c r="J5" s="23"/>
    </row>
    <row r="6" spans="1:13" ht="15" customHeight="1" x14ac:dyDescent="0.45">
      <c r="D6" s="22"/>
      <c r="J6" s="23"/>
    </row>
    <row r="7" spans="1:13" ht="15" customHeight="1" x14ac:dyDescent="0.45">
      <c r="A7" s="23"/>
      <c r="E7" s="297" t="s">
        <v>242</v>
      </c>
      <c r="F7" s="298"/>
      <c r="G7" s="298"/>
      <c r="H7" s="298"/>
      <c r="I7" s="298"/>
      <c r="J7" s="23"/>
      <c r="K7" s="22"/>
      <c r="L7" s="22"/>
      <c r="M7" s="22"/>
    </row>
    <row r="8" spans="1:13" ht="30" x14ac:dyDescent="0.45">
      <c r="A8" s="23"/>
      <c r="B8" s="178" t="s">
        <v>75</v>
      </c>
      <c r="C8" s="179" t="s">
        <v>52</v>
      </c>
      <c r="E8" s="181" t="s">
        <v>90</v>
      </c>
      <c r="F8" s="179" t="s">
        <v>77</v>
      </c>
      <c r="G8" s="180" t="s">
        <v>259</v>
      </c>
      <c r="H8" s="179" t="s">
        <v>258</v>
      </c>
      <c r="I8" s="179" t="s">
        <v>56</v>
      </c>
      <c r="J8" s="23"/>
      <c r="K8" s="22"/>
      <c r="L8" s="22"/>
      <c r="M8" s="22"/>
    </row>
    <row r="9" spans="1:13" ht="4.95" customHeight="1" x14ac:dyDescent="0.45">
      <c r="A9" s="23"/>
      <c r="B9" s="23"/>
      <c r="C9" s="131"/>
      <c r="E9" s="29"/>
      <c r="F9" s="29"/>
      <c r="G9" s="29"/>
      <c r="H9" s="29"/>
      <c r="I9" s="29"/>
      <c r="J9" s="23"/>
      <c r="K9" s="22"/>
      <c r="L9" s="22"/>
      <c r="M9" s="22"/>
    </row>
    <row r="10" spans="1:13" x14ac:dyDescent="0.45">
      <c r="A10" s="23"/>
      <c r="B10" s="296" t="s">
        <v>57</v>
      </c>
      <c r="C10" s="246" t="s">
        <v>58</v>
      </c>
      <c r="E10" s="241">
        <v>2352</v>
      </c>
      <c r="F10" s="241">
        <v>17384623.059999999</v>
      </c>
      <c r="G10" s="241">
        <v>2352</v>
      </c>
      <c r="H10" s="241">
        <v>17384623.059999999</v>
      </c>
      <c r="I10" s="242">
        <v>0</v>
      </c>
      <c r="J10" s="23"/>
      <c r="K10" s="22"/>
      <c r="L10" s="22"/>
      <c r="M10" s="22"/>
    </row>
    <row r="11" spans="1:13" x14ac:dyDescent="0.45">
      <c r="A11" s="23"/>
      <c r="B11" s="296"/>
      <c r="C11" s="249" t="s">
        <v>235</v>
      </c>
      <c r="E11" s="241">
        <v>29796</v>
      </c>
      <c r="F11" s="241">
        <v>1413582117.8099999</v>
      </c>
      <c r="G11" s="241">
        <v>29796</v>
      </c>
      <c r="H11" s="241">
        <v>1409909474.47</v>
      </c>
      <c r="I11" s="242">
        <v>3672643.3399999142</v>
      </c>
      <c r="J11" s="23"/>
      <c r="K11" s="22"/>
      <c r="L11" s="22"/>
      <c r="M11" s="22"/>
    </row>
    <row r="12" spans="1:13" x14ac:dyDescent="0.45">
      <c r="A12" s="23"/>
      <c r="B12" s="296"/>
      <c r="C12" s="249" t="s">
        <v>236</v>
      </c>
      <c r="E12" s="241">
        <v>62</v>
      </c>
      <c r="F12" s="241">
        <v>10480062.73</v>
      </c>
      <c r="G12" s="241">
        <v>62</v>
      </c>
      <c r="H12" s="241">
        <v>5404960.3600000003</v>
      </c>
      <c r="I12" s="242">
        <v>5075102.37</v>
      </c>
      <c r="J12" s="23"/>
      <c r="K12" s="22"/>
      <c r="L12" s="22"/>
      <c r="M12" s="22"/>
    </row>
    <row r="13" spans="1:13" x14ac:dyDescent="0.45">
      <c r="A13" s="23"/>
      <c r="B13" s="296"/>
      <c r="C13" s="255" t="s">
        <v>237</v>
      </c>
      <c r="E13" s="241">
        <v>1282</v>
      </c>
      <c r="F13" s="241">
        <v>144952913.38999999</v>
      </c>
      <c r="G13" s="241">
        <v>1282</v>
      </c>
      <c r="H13" s="241">
        <v>120062873.09999999</v>
      </c>
      <c r="I13" s="242">
        <v>24890040.289999992</v>
      </c>
      <c r="J13" s="23"/>
      <c r="K13" s="22"/>
      <c r="L13" s="22"/>
      <c r="M13" s="22"/>
    </row>
    <row r="14" spans="1:13" ht="4.95" customHeight="1" x14ac:dyDescent="0.45">
      <c r="A14" s="23"/>
      <c r="B14" s="23"/>
      <c r="C14" s="131"/>
      <c r="E14" s="29"/>
      <c r="F14" s="29"/>
      <c r="G14" s="29"/>
      <c r="H14" s="29"/>
      <c r="I14" s="29"/>
      <c r="J14" s="23"/>
      <c r="K14" s="22"/>
      <c r="L14" s="22"/>
      <c r="M14" s="22"/>
    </row>
    <row r="15" spans="1:13" x14ac:dyDescent="0.45">
      <c r="A15" s="23"/>
      <c r="B15" s="285" t="s">
        <v>61</v>
      </c>
      <c r="C15" s="249" t="s">
        <v>120</v>
      </c>
      <c r="E15" s="203"/>
      <c r="F15" s="203"/>
      <c r="G15" s="241">
        <v>4165</v>
      </c>
      <c r="H15" s="241">
        <v>83862122.140000001</v>
      </c>
      <c r="I15" s="242">
        <v>-83862122.140000001</v>
      </c>
      <c r="J15" s="23"/>
      <c r="K15" s="22"/>
      <c r="L15" s="22"/>
      <c r="M15" s="22"/>
    </row>
    <row r="16" spans="1:13" x14ac:dyDescent="0.45">
      <c r="A16" s="23"/>
      <c r="B16" s="286"/>
      <c r="C16" s="252" t="s">
        <v>238</v>
      </c>
      <c r="E16" s="203"/>
      <c r="F16" s="203"/>
      <c r="G16" s="241">
        <v>184</v>
      </c>
      <c r="H16" s="241">
        <v>8262922.5099999998</v>
      </c>
      <c r="I16" s="242">
        <v>-8262922.5099999998</v>
      </c>
      <c r="J16" s="23"/>
      <c r="K16" s="22"/>
      <c r="L16" s="22"/>
      <c r="M16" s="22"/>
    </row>
    <row r="17" spans="1:13" x14ac:dyDescent="0.45">
      <c r="A17" s="23"/>
      <c r="B17" s="286"/>
      <c r="C17" s="264" t="s">
        <v>206</v>
      </c>
      <c r="E17" s="203"/>
      <c r="F17" s="203"/>
      <c r="G17" s="241">
        <v>32</v>
      </c>
      <c r="H17" s="241">
        <v>900.12</v>
      </c>
      <c r="I17" s="242">
        <v>-900.12</v>
      </c>
      <c r="J17" s="23"/>
      <c r="K17" s="22"/>
      <c r="L17" s="22"/>
      <c r="M17" s="22"/>
    </row>
    <row r="18" spans="1:13" x14ac:dyDescent="0.45">
      <c r="A18" s="23"/>
      <c r="B18" s="287"/>
      <c r="C18" s="257" t="s">
        <v>66</v>
      </c>
      <c r="E18" s="203"/>
      <c r="F18" s="203"/>
      <c r="G18" s="241">
        <v>1</v>
      </c>
      <c r="H18" s="241">
        <v>26000</v>
      </c>
      <c r="I18" s="242">
        <v>-26000</v>
      </c>
      <c r="J18" s="23"/>
      <c r="K18" s="22"/>
      <c r="L18" s="22"/>
      <c r="M18" s="22"/>
    </row>
    <row r="19" spans="1:13" ht="4.95" customHeight="1" x14ac:dyDescent="0.45">
      <c r="A19" s="23"/>
      <c r="B19" s="23"/>
      <c r="C19" s="131"/>
      <c r="E19" s="29"/>
      <c r="F19" s="29"/>
      <c r="G19" s="29"/>
      <c r="H19" s="29"/>
      <c r="I19" s="29"/>
      <c r="J19" s="23"/>
      <c r="K19" s="22"/>
      <c r="L19" s="22"/>
      <c r="M19" s="22"/>
    </row>
    <row r="20" spans="1:13" x14ac:dyDescent="0.45">
      <c r="A20" s="23"/>
      <c r="B20" s="195" t="s">
        <v>79</v>
      </c>
      <c r="C20" s="257" t="s">
        <v>66</v>
      </c>
      <c r="E20" s="203"/>
      <c r="F20" s="203"/>
      <c r="G20" s="203"/>
      <c r="H20" s="203"/>
      <c r="I20" s="203"/>
      <c r="J20" s="23"/>
      <c r="K20" s="22"/>
      <c r="L20" s="22"/>
      <c r="M20" s="22"/>
    </row>
    <row r="21" spans="1:13" ht="4.95" customHeight="1" x14ac:dyDescent="0.45">
      <c r="A21" s="23"/>
      <c r="E21" s="29"/>
      <c r="F21" s="176"/>
      <c r="G21" s="176"/>
      <c r="H21" s="176"/>
      <c r="J21" s="23"/>
      <c r="K21" s="22"/>
      <c r="L21" s="22"/>
      <c r="M21" s="22"/>
    </row>
    <row r="22" spans="1:13" x14ac:dyDescent="0.45">
      <c r="A22" s="23"/>
      <c r="B22" s="166"/>
      <c r="C22" s="205" t="s">
        <v>59</v>
      </c>
      <c r="E22" s="207">
        <f>SUM(E10:E20)</f>
        <v>33492</v>
      </c>
      <c r="F22" s="207">
        <f>SUM(F10:F20)</f>
        <v>1586399716.9899998</v>
      </c>
      <c r="G22" s="207">
        <f>SUM(G10:G20)</f>
        <v>37874</v>
      </c>
      <c r="H22" s="207">
        <f>SUM(H10:H20)</f>
        <v>1644913875.7599998</v>
      </c>
      <c r="I22" s="207">
        <f>SUM(I10:I20)</f>
        <v>-58514158.770000085</v>
      </c>
      <c r="J22" s="23"/>
      <c r="K22" s="22"/>
      <c r="L22" s="22"/>
      <c r="M22" s="22"/>
    </row>
    <row r="23" spans="1:13" s="57" customFormat="1" x14ac:dyDescent="0.45">
      <c r="A23" s="166"/>
      <c r="B23" s="166"/>
      <c r="C23" s="166"/>
      <c r="D23" s="23"/>
    </row>
    <row r="24" spans="1:13" s="57" customFormat="1" x14ac:dyDescent="0.45">
      <c r="A24" s="166"/>
      <c r="B24" s="166"/>
      <c r="C24" s="166"/>
      <c r="D24" s="23"/>
      <c r="E24" s="166"/>
      <c r="F24" s="166"/>
      <c r="G24" s="166"/>
      <c r="H24" s="166"/>
      <c r="I24" s="166"/>
    </row>
    <row r="25" spans="1:13" x14ac:dyDescent="0.45">
      <c r="B25" s="50" t="s">
        <v>46</v>
      </c>
      <c r="E25" s="229"/>
    </row>
    <row r="26" spans="1:13" x14ac:dyDescent="0.45">
      <c r="B26" s="65" t="s">
        <v>86</v>
      </c>
      <c r="E26" s="189"/>
    </row>
    <row r="27" spans="1:13" x14ac:dyDescent="0.45">
      <c r="B27" s="73" t="s">
        <v>85</v>
      </c>
      <c r="E27" s="189"/>
    </row>
    <row r="28" spans="1:13" s="22" customFormat="1" x14ac:dyDescent="0.45">
      <c r="B28" s="75" t="s">
        <v>84</v>
      </c>
      <c r="D28" s="23"/>
      <c r="K28" s="23"/>
      <c r="L28" s="23"/>
      <c r="M28" s="23"/>
    </row>
    <row r="29" spans="1:13" s="22" customFormat="1" x14ac:dyDescent="0.45">
      <c r="B29" s="77" t="s">
        <v>83</v>
      </c>
      <c r="D29" s="23"/>
      <c r="K29" s="23"/>
      <c r="L29" s="23"/>
      <c r="M29" s="23"/>
    </row>
    <row r="30" spans="1:13" s="22" customFormat="1" x14ac:dyDescent="0.45">
      <c r="B30" s="67" t="s">
        <v>50</v>
      </c>
      <c r="D30" s="23"/>
      <c r="K30" s="23"/>
      <c r="L30" s="23"/>
      <c r="M30" s="23"/>
    </row>
  </sheetData>
  <mergeCells count="3">
    <mergeCell ref="B10:B13"/>
    <mergeCell ref="E7:I7"/>
    <mergeCell ref="B15:B1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682F-2B28-4FD7-B0F1-E70E91583375}">
  <sheetPr>
    <tabColor theme="0"/>
    <pageSetUpPr autoPageBreaks="0"/>
  </sheetPr>
  <dimension ref="A1:Q26"/>
  <sheetViews>
    <sheetView showGridLines="0" zoomScaleNormal="100" workbookViewId="0">
      <pane ySplit="8" topLeftCell="A9" activePane="bottomLeft" state="frozen"/>
      <selection pane="bottomLeft" activeCell="A9" sqref="A9"/>
    </sheetView>
  </sheetViews>
  <sheetFormatPr defaultColWidth="0" defaultRowHeight="17.399999999999999" x14ac:dyDescent="0.45"/>
  <cols>
    <col min="1" max="1" width="3.6640625" style="22" customWidth="1"/>
    <col min="2" max="2" width="26.33203125" style="22" customWidth="1"/>
    <col min="3" max="3" width="44.5546875" style="22" customWidth="1"/>
    <col min="4" max="4" width="2.109375" style="22" customWidth="1"/>
    <col min="5" max="9" width="15.77734375" style="22" customWidth="1"/>
    <col min="10" max="10" width="3.6640625" style="22" customWidth="1"/>
    <col min="11" max="12" width="22.6640625" style="22" hidden="1" customWidth="1"/>
    <col min="13" max="13" width="2.77734375" style="163" hidden="1" customWidth="1"/>
    <col min="14" max="14" width="14.5546875" style="23" hidden="1" customWidth="1"/>
    <col min="15" max="15" width="13.88671875" style="23" hidden="1" customWidth="1"/>
    <col min="16" max="16" width="14.5546875" style="23" hidden="1" customWidth="1"/>
    <col min="17" max="17" width="0" style="23" hidden="1" customWidth="1"/>
    <col min="18" max="16384" width="8.88671875" style="23" hidden="1"/>
  </cols>
  <sheetData>
    <row r="1" spans="1:13" ht="15" customHeight="1" x14ac:dyDescent="0.45"/>
    <row r="2" spans="1:13" ht="34.5" customHeight="1" x14ac:dyDescent="0.45"/>
    <row r="3" spans="1:13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" customHeight="1" x14ac:dyDescent="0.45"/>
    <row r="5" spans="1:13" ht="15" customHeight="1" x14ac:dyDescent="0.45">
      <c r="B5" s="164" t="s">
        <v>254</v>
      </c>
      <c r="C5" s="25"/>
      <c r="D5" s="25"/>
      <c r="E5" s="25"/>
      <c r="F5" s="26"/>
      <c r="G5" s="26"/>
      <c r="H5" s="26"/>
      <c r="I5" s="25"/>
      <c r="J5" s="166"/>
      <c r="K5" s="26"/>
      <c r="L5" s="26"/>
      <c r="M5" s="165"/>
    </row>
    <row r="6" spans="1:13" ht="15" customHeight="1" x14ac:dyDescent="0.4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15" customHeight="1" x14ac:dyDescent="0.45">
      <c r="A7" s="23"/>
      <c r="E7" s="297" t="s">
        <v>242</v>
      </c>
      <c r="F7" s="298"/>
      <c r="G7" s="298"/>
      <c r="H7" s="298"/>
      <c r="I7" s="298"/>
      <c r="J7" s="23"/>
      <c r="K7" s="234"/>
      <c r="L7" s="234"/>
      <c r="M7" s="22"/>
    </row>
    <row r="8" spans="1:13" ht="30" x14ac:dyDescent="0.45">
      <c r="A8" s="23"/>
      <c r="B8" s="178" t="s">
        <v>75</v>
      </c>
      <c r="C8" s="179" t="s">
        <v>52</v>
      </c>
      <c r="D8" s="23"/>
      <c r="E8" s="181" t="s">
        <v>90</v>
      </c>
      <c r="F8" s="179" t="s">
        <v>77</v>
      </c>
      <c r="G8" s="180" t="s">
        <v>259</v>
      </c>
      <c r="H8" s="179" t="s">
        <v>258</v>
      </c>
      <c r="I8" s="179" t="s">
        <v>56</v>
      </c>
      <c r="J8" s="23"/>
      <c r="K8" s="235" t="s">
        <v>151</v>
      </c>
      <c r="L8" s="235" t="s">
        <v>205</v>
      </c>
      <c r="M8" s="22"/>
    </row>
    <row r="9" spans="1:13" ht="4.95" customHeight="1" x14ac:dyDescent="0.45">
      <c r="A9" s="23"/>
      <c r="B9" s="23"/>
      <c r="C9" s="23"/>
      <c r="D9" s="23"/>
      <c r="E9" s="29"/>
      <c r="F9" s="29"/>
      <c r="G9" s="29"/>
      <c r="H9" s="29"/>
      <c r="I9" s="29"/>
      <c r="J9" s="23"/>
      <c r="K9" s="29"/>
      <c r="L9" s="29"/>
      <c r="M9" s="22"/>
    </row>
    <row r="10" spans="1:13" x14ac:dyDescent="0.45">
      <c r="A10" s="23"/>
      <c r="B10" s="285" t="s">
        <v>57</v>
      </c>
      <c r="C10" s="246" t="s">
        <v>58</v>
      </c>
      <c r="D10" s="23"/>
      <c r="E10" s="241">
        <v>11158</v>
      </c>
      <c r="F10" s="241">
        <v>105986083.48999999</v>
      </c>
      <c r="G10" s="241">
        <v>603</v>
      </c>
      <c r="H10" s="241">
        <v>105986083.48999999</v>
      </c>
      <c r="I10" s="242">
        <v>0</v>
      </c>
      <c r="J10" s="23"/>
      <c r="K10" s="236"/>
      <c r="L10" s="237"/>
      <c r="M10" s="22"/>
    </row>
    <row r="11" spans="1:13" x14ac:dyDescent="0.45">
      <c r="A11" s="23"/>
      <c r="B11" s="287"/>
      <c r="C11" s="255" t="s">
        <v>66</v>
      </c>
      <c r="D11" s="23"/>
      <c r="E11" s="241">
        <v>16</v>
      </c>
      <c r="F11" s="241">
        <v>11311.21</v>
      </c>
      <c r="G11" s="241">
        <v>1</v>
      </c>
      <c r="H11" s="241">
        <v>11397.31</v>
      </c>
      <c r="I11" s="242">
        <v>-86.100000000000364</v>
      </c>
      <c r="J11" s="23"/>
      <c r="K11" s="243"/>
      <c r="L11" s="244"/>
      <c r="M11" s="22"/>
    </row>
    <row r="12" spans="1:13" ht="4.05" customHeight="1" x14ac:dyDescent="0.45">
      <c r="A12" s="23"/>
      <c r="B12" s="23"/>
      <c r="C12" s="131"/>
      <c r="D12" s="23"/>
      <c r="E12" s="29"/>
      <c r="F12" s="29"/>
      <c r="G12" s="29"/>
      <c r="H12" s="29"/>
      <c r="I12" s="29"/>
      <c r="J12" s="23"/>
      <c r="K12" s="29"/>
      <c r="L12" s="29"/>
      <c r="M12" s="22"/>
    </row>
    <row r="13" spans="1:13" x14ac:dyDescent="0.45">
      <c r="A13" s="23"/>
      <c r="B13" s="195" t="s">
        <v>61</v>
      </c>
      <c r="C13" s="249" t="s">
        <v>207</v>
      </c>
      <c r="D13" s="23"/>
      <c r="E13" s="203"/>
      <c r="F13" s="203"/>
      <c r="G13" s="241">
        <v>327</v>
      </c>
      <c r="H13" s="241">
        <v>0</v>
      </c>
      <c r="I13" s="242">
        <v>0</v>
      </c>
      <c r="J13" s="23"/>
      <c r="K13" s="236"/>
      <c r="L13" s="237"/>
      <c r="M13" s="22"/>
    </row>
    <row r="14" spans="1:13" ht="4.95" customHeight="1" x14ac:dyDescent="0.45">
      <c r="A14" s="23"/>
      <c r="B14" s="23"/>
      <c r="C14" s="131"/>
      <c r="D14" s="23"/>
      <c r="E14" s="29"/>
      <c r="F14" s="29"/>
      <c r="G14" s="29"/>
      <c r="H14" s="29"/>
      <c r="I14" s="29"/>
      <c r="J14" s="23"/>
      <c r="K14" s="29"/>
      <c r="L14" s="29"/>
      <c r="M14" s="22"/>
    </row>
    <row r="15" spans="1:13" x14ac:dyDescent="0.45">
      <c r="A15" s="23"/>
      <c r="B15" s="195" t="s">
        <v>79</v>
      </c>
      <c r="C15" s="255" t="s">
        <v>66</v>
      </c>
      <c r="D15" s="23"/>
      <c r="E15" s="203"/>
      <c r="F15" s="203"/>
      <c r="G15" s="203"/>
      <c r="H15" s="203"/>
      <c r="I15" s="203"/>
      <c r="J15" s="23"/>
      <c r="K15" s="236"/>
      <c r="L15" s="237"/>
      <c r="M15" s="22"/>
    </row>
    <row r="16" spans="1:13" x14ac:dyDescent="0.4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7" x14ac:dyDescent="0.45">
      <c r="A17" s="23"/>
      <c r="B17" s="166"/>
      <c r="C17" s="205" t="s">
        <v>59</v>
      </c>
      <c r="D17" s="23"/>
      <c r="E17" s="207">
        <v>11174</v>
      </c>
      <c r="F17" s="207">
        <v>105997394.69999999</v>
      </c>
      <c r="G17" s="207">
        <v>931</v>
      </c>
      <c r="H17" s="207">
        <v>105997480.8</v>
      </c>
      <c r="I17" s="207">
        <v>-86.100000000000364</v>
      </c>
      <c r="J17" s="23"/>
      <c r="M17" s="22"/>
    </row>
    <row r="18" spans="1:17" x14ac:dyDescent="0.45">
      <c r="A18" s="23"/>
      <c r="F18" s="23"/>
      <c r="J18" s="23"/>
      <c r="M18" s="22"/>
    </row>
    <row r="19" spans="1:17" ht="4.95" customHeight="1" x14ac:dyDescent="0.4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7" x14ac:dyDescent="0.4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7" x14ac:dyDescent="0.45">
      <c r="B21" s="50" t="s">
        <v>46</v>
      </c>
      <c r="D21" s="229"/>
    </row>
    <row r="22" spans="1:17" x14ac:dyDescent="0.45">
      <c r="B22" s="65" t="s">
        <v>86</v>
      </c>
      <c r="D22" s="189"/>
    </row>
    <row r="23" spans="1:17" x14ac:dyDescent="0.45">
      <c r="B23" s="73" t="s">
        <v>85</v>
      </c>
      <c r="D23" s="189"/>
    </row>
    <row r="24" spans="1:17" s="22" customFormat="1" x14ac:dyDescent="0.45">
      <c r="B24" s="75" t="s">
        <v>84</v>
      </c>
      <c r="M24" s="163"/>
      <c r="N24" s="23"/>
      <c r="O24" s="23"/>
      <c r="P24" s="23"/>
      <c r="Q24" s="23"/>
    </row>
    <row r="25" spans="1:17" s="22" customFormat="1" x14ac:dyDescent="0.45">
      <c r="B25" s="77" t="s">
        <v>83</v>
      </c>
      <c r="M25" s="163"/>
      <c r="N25" s="23"/>
      <c r="O25" s="23"/>
      <c r="P25" s="23"/>
      <c r="Q25" s="23"/>
    </row>
    <row r="26" spans="1:17" s="22" customFormat="1" x14ac:dyDescent="0.45">
      <c r="B26" s="67" t="s">
        <v>50</v>
      </c>
      <c r="M26" s="163"/>
      <c r="N26" s="23"/>
      <c r="O26" s="23"/>
      <c r="P26" s="23"/>
      <c r="Q26" s="23"/>
    </row>
  </sheetData>
  <mergeCells count="2">
    <mergeCell ref="E7:I7"/>
    <mergeCell ref="B10:B1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9B47-685D-433E-AC33-C88E55BA7F96}">
  <sheetPr>
    <tabColor rgb="FFC00000"/>
    <pageSetUpPr autoPageBreaks="0"/>
  </sheetPr>
  <dimension ref="A1:V220"/>
  <sheetViews>
    <sheetView showGridLines="0" zoomScaleNormal="100" workbookViewId="0">
      <selection activeCell="F13" sqref="A1:XFD1048576"/>
    </sheetView>
  </sheetViews>
  <sheetFormatPr defaultColWidth="8.88671875" defaultRowHeight="17.399999999999999" x14ac:dyDescent="0.45"/>
  <cols>
    <col min="1" max="2" width="3.6640625" style="23" customWidth="1"/>
    <col min="3" max="3" width="35.44140625" style="23" customWidth="1"/>
    <col min="4" max="4" width="33.44140625" style="23" customWidth="1"/>
    <col min="5" max="5" width="20.6640625" style="23" customWidth="1"/>
    <col min="6" max="6" width="22.6640625" style="23" bestFit="1" customWidth="1"/>
    <col min="7" max="7" width="1.77734375" style="23" customWidth="1"/>
    <col min="8" max="11" width="20.77734375" style="23" customWidth="1"/>
    <col min="12" max="12" width="20" style="23" customWidth="1"/>
    <col min="13" max="13" width="22.44140625" style="23" customWidth="1"/>
    <col min="14" max="14" width="27.109375" style="23" customWidth="1"/>
    <col min="15" max="15" width="17.21875" style="23" bestFit="1" customWidth="1"/>
    <col min="16" max="16" width="15.21875" style="23" customWidth="1"/>
    <col min="17" max="17" width="17.21875" style="23" bestFit="1" customWidth="1"/>
    <col min="18" max="18" width="22.6640625" style="23" bestFit="1" customWidth="1"/>
    <col min="19" max="19" width="9.88671875" style="23" bestFit="1" customWidth="1"/>
    <col min="20" max="20" width="22.6640625" style="23" bestFit="1" customWidth="1"/>
    <col min="21" max="21" width="8.88671875" style="23"/>
    <col min="22" max="22" width="17.5546875" style="23" bestFit="1" customWidth="1"/>
    <col min="23" max="16384" width="8.88671875" style="23"/>
  </cols>
  <sheetData>
    <row r="1" spans="1:22" ht="15" customHeight="1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2" ht="34.5" customHeight="1" x14ac:dyDescent="0.4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22" ht="2.25" customHeight="1" x14ac:dyDescent="0.4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22" ht="15" customHeight="1" x14ac:dyDescent="0.4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22" ht="15" customHeight="1" x14ac:dyDescent="0.45">
      <c r="A5" s="22"/>
      <c r="B5" s="25" t="s">
        <v>3</v>
      </c>
      <c r="C5" s="25"/>
      <c r="D5" s="25"/>
      <c r="E5" s="25"/>
      <c r="F5" s="26"/>
      <c r="G5" s="26"/>
      <c r="H5" s="26"/>
      <c r="I5" s="26"/>
      <c r="J5" s="26"/>
      <c r="K5" s="26"/>
    </row>
    <row r="6" spans="1:22" ht="15" customHeight="1" x14ac:dyDescent="0.4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22" ht="15" customHeight="1" x14ac:dyDescent="0.45">
      <c r="A7" s="22"/>
      <c r="C7" s="27" t="s">
        <v>4</v>
      </c>
      <c r="D7" s="28">
        <v>44985</v>
      </c>
      <c r="E7" s="22"/>
      <c r="F7" s="22"/>
      <c r="G7" s="22"/>
      <c r="H7" s="22"/>
      <c r="I7" s="22"/>
      <c r="J7" s="22"/>
      <c r="K7" s="22"/>
    </row>
    <row r="8" spans="1:22" ht="15" customHeight="1" x14ac:dyDescent="0.45">
      <c r="A8" s="22"/>
      <c r="C8" s="27" t="s">
        <v>5</v>
      </c>
      <c r="D8" s="28">
        <v>45032</v>
      </c>
      <c r="E8" s="22"/>
      <c r="F8" s="22"/>
      <c r="G8" s="22"/>
      <c r="H8" s="22"/>
      <c r="I8" s="22"/>
      <c r="J8" s="22"/>
      <c r="K8" s="22"/>
    </row>
    <row r="9" spans="1:22" ht="15" customHeight="1" x14ac:dyDescent="0.4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22" ht="15" customHeight="1" x14ac:dyDescent="0.45">
      <c r="C10" s="29"/>
      <c r="D10" s="29"/>
    </row>
    <row r="11" spans="1:22" ht="15" customHeight="1" x14ac:dyDescent="0.45">
      <c r="B11" s="30" t="s">
        <v>215</v>
      </c>
      <c r="J11" s="155" t="s">
        <v>216</v>
      </c>
      <c r="K11" s="104"/>
    </row>
    <row r="12" spans="1:22" ht="4.95" customHeight="1" x14ac:dyDescent="0.45">
      <c r="B12" s="30"/>
    </row>
    <row r="13" spans="1:22" ht="15" customHeight="1" x14ac:dyDescent="0.45">
      <c r="C13" s="31" t="s">
        <v>6</v>
      </c>
      <c r="D13" s="31" t="s">
        <v>7</v>
      </c>
      <c r="E13" s="31" t="s">
        <v>99</v>
      </c>
      <c r="F13" s="31" t="s">
        <v>8</v>
      </c>
      <c r="H13" s="31" t="s">
        <v>9</v>
      </c>
      <c r="J13" s="30"/>
      <c r="K13" s="30"/>
      <c r="L13" s="30"/>
      <c r="M13" s="30"/>
      <c r="N13" s="30"/>
      <c r="P13" s="30"/>
    </row>
    <row r="14" spans="1:22" ht="15" customHeight="1" x14ac:dyDescent="0.45">
      <c r="C14" s="32" t="s">
        <v>10</v>
      </c>
      <c r="D14" s="32" t="s">
        <v>11</v>
      </c>
      <c r="E14" s="32">
        <v>2</v>
      </c>
      <c r="F14" s="33">
        <v>2224</v>
      </c>
      <c r="H14" s="33">
        <v>105296145.19</v>
      </c>
      <c r="J14" s="33">
        <v>2224</v>
      </c>
      <c r="K14" s="33">
        <v>105296145.19</v>
      </c>
      <c r="L14" s="34"/>
      <c r="M14" s="34">
        <v>0</v>
      </c>
      <c r="N14" s="34">
        <v>0</v>
      </c>
      <c r="V14" s="34"/>
    </row>
    <row r="15" spans="1:22" ht="15" customHeight="1" x14ac:dyDescent="0.45">
      <c r="C15" s="32" t="s">
        <v>10</v>
      </c>
      <c r="D15" s="32" t="s">
        <v>12</v>
      </c>
      <c r="E15" s="32">
        <v>2</v>
      </c>
      <c r="F15" s="33">
        <v>2023</v>
      </c>
      <c r="H15" s="33">
        <v>202597026.99000001</v>
      </c>
      <c r="J15" s="33">
        <v>2023</v>
      </c>
      <c r="K15" s="33">
        <v>202597026.99000001</v>
      </c>
      <c r="L15" s="34"/>
      <c r="M15" s="34">
        <v>0</v>
      </c>
      <c r="N15" s="34">
        <v>0</v>
      </c>
      <c r="V15" s="34"/>
    </row>
    <row r="16" spans="1:22" ht="15" customHeight="1" x14ac:dyDescent="0.45">
      <c r="C16" s="32" t="s">
        <v>10</v>
      </c>
      <c r="D16" s="32" t="s">
        <v>13</v>
      </c>
      <c r="E16" s="32">
        <v>2</v>
      </c>
      <c r="F16" s="33">
        <v>1970</v>
      </c>
      <c r="H16" s="33">
        <v>225361194.09999999</v>
      </c>
      <c r="J16" s="33">
        <v>1970</v>
      </c>
      <c r="K16" s="33">
        <v>225361194.09999999</v>
      </c>
      <c r="L16" s="34"/>
      <c r="M16" s="34">
        <v>0</v>
      </c>
      <c r="N16" s="34">
        <v>0</v>
      </c>
      <c r="V16" s="34"/>
    </row>
    <row r="17" spans="2:22" ht="15" customHeight="1" x14ac:dyDescent="0.45">
      <c r="C17" s="32" t="s">
        <v>10</v>
      </c>
      <c r="D17" s="32" t="s">
        <v>14</v>
      </c>
      <c r="E17" s="32">
        <v>2</v>
      </c>
      <c r="F17" s="33">
        <v>1158</v>
      </c>
      <c r="H17" s="33">
        <v>91656002.819999993</v>
      </c>
      <c r="J17" s="33">
        <v>1158</v>
      </c>
      <c r="K17" s="33">
        <v>91656002.819999993</v>
      </c>
      <c r="L17" s="34"/>
      <c r="M17" s="34">
        <v>0</v>
      </c>
      <c r="N17" s="34">
        <v>0</v>
      </c>
      <c r="V17" s="34"/>
    </row>
    <row r="18" spans="2:22" ht="15" customHeight="1" x14ac:dyDescent="0.45">
      <c r="C18" s="32" t="s">
        <v>10</v>
      </c>
      <c r="D18" s="32" t="s">
        <v>15</v>
      </c>
      <c r="E18" s="32">
        <v>2</v>
      </c>
      <c r="F18" s="33">
        <v>59</v>
      </c>
      <c r="H18" s="33">
        <v>59255534.009999998</v>
      </c>
      <c r="J18" s="33">
        <v>59</v>
      </c>
      <c r="K18" s="33">
        <v>59255534.009999998</v>
      </c>
      <c r="L18" s="34"/>
      <c r="M18" s="34">
        <v>0</v>
      </c>
      <c r="N18" s="34">
        <v>0</v>
      </c>
      <c r="V18" s="34"/>
    </row>
    <row r="19" spans="2:22" ht="15" customHeight="1" x14ac:dyDescent="0.45">
      <c r="C19" s="32" t="s">
        <v>16</v>
      </c>
      <c r="D19" s="32" t="s">
        <v>16</v>
      </c>
      <c r="E19" s="32">
        <v>1</v>
      </c>
      <c r="F19" s="33">
        <v>908</v>
      </c>
      <c r="H19" s="33">
        <v>89756471.260000005</v>
      </c>
      <c r="J19" s="33">
        <v>908</v>
      </c>
      <c r="K19" s="33">
        <v>89756471.260000005</v>
      </c>
      <c r="L19" s="34"/>
      <c r="M19" s="34">
        <v>0</v>
      </c>
      <c r="N19" s="34">
        <v>0</v>
      </c>
      <c r="V19" s="34"/>
    </row>
    <row r="20" spans="2:22" ht="15" customHeight="1" x14ac:dyDescent="0.45">
      <c r="C20" s="32" t="s">
        <v>17</v>
      </c>
      <c r="D20" s="32" t="s">
        <v>18</v>
      </c>
      <c r="E20" s="32">
        <v>2</v>
      </c>
      <c r="F20" s="33">
        <v>1544</v>
      </c>
      <c r="H20" s="33">
        <v>4183591200.8099999</v>
      </c>
      <c r="J20" s="33">
        <v>1544</v>
      </c>
      <c r="K20" s="33">
        <v>4183591200.8099999</v>
      </c>
      <c r="L20" s="34"/>
      <c r="M20" s="34">
        <v>0</v>
      </c>
      <c r="N20" s="34">
        <v>0</v>
      </c>
      <c r="V20" s="34"/>
    </row>
    <row r="21" spans="2:22" ht="15" customHeight="1" x14ac:dyDescent="0.45">
      <c r="C21" s="32" t="s">
        <v>17</v>
      </c>
      <c r="D21" s="32" t="s">
        <v>19</v>
      </c>
      <c r="E21" s="32">
        <v>2</v>
      </c>
      <c r="F21" s="33">
        <v>367686</v>
      </c>
      <c r="H21" s="33">
        <v>53741240756.669998</v>
      </c>
      <c r="J21" s="33">
        <v>367686</v>
      </c>
      <c r="K21" s="33">
        <v>53741240756.669998</v>
      </c>
      <c r="L21" s="34"/>
      <c r="M21" s="34">
        <v>0</v>
      </c>
      <c r="N21" s="34">
        <v>0</v>
      </c>
      <c r="V21" s="34"/>
    </row>
    <row r="22" spans="2:22" ht="15" customHeight="1" x14ac:dyDescent="0.45">
      <c r="C22" s="32" t="s">
        <v>20</v>
      </c>
      <c r="D22" s="32" t="s">
        <v>20</v>
      </c>
      <c r="E22" s="32">
        <v>1</v>
      </c>
      <c r="F22" s="33">
        <v>21585</v>
      </c>
      <c r="G22" s="34"/>
      <c r="H22" s="33">
        <v>1670926407.47</v>
      </c>
      <c r="J22" s="33">
        <v>21585</v>
      </c>
      <c r="K22" s="33">
        <v>1670926407.47</v>
      </c>
      <c r="L22" s="34"/>
      <c r="M22" s="34">
        <v>0</v>
      </c>
      <c r="N22" s="34">
        <v>0</v>
      </c>
      <c r="V22" s="34"/>
    </row>
    <row r="23" spans="2:22" ht="15" customHeight="1" x14ac:dyDescent="0.45">
      <c r="C23" s="32" t="s">
        <v>20</v>
      </c>
      <c r="D23" s="32" t="s">
        <v>20</v>
      </c>
      <c r="E23" s="23">
        <v>2</v>
      </c>
      <c r="F23" s="33">
        <v>5224</v>
      </c>
      <c r="G23" s="34"/>
      <c r="H23" s="33">
        <v>1527943327.3099999</v>
      </c>
      <c r="J23" s="33">
        <v>5224</v>
      </c>
      <c r="K23" s="33">
        <v>1527943327.3099999</v>
      </c>
      <c r="L23" s="34"/>
      <c r="M23" s="34">
        <v>0</v>
      </c>
      <c r="N23" s="34">
        <v>0</v>
      </c>
      <c r="V23" s="34"/>
    </row>
    <row r="24" spans="2:22" ht="15" customHeight="1" x14ac:dyDescent="0.45">
      <c r="C24" s="32" t="s">
        <v>21</v>
      </c>
      <c r="D24" s="32" t="s">
        <v>22</v>
      </c>
      <c r="E24" s="32">
        <v>1</v>
      </c>
      <c r="F24" s="33">
        <v>92235</v>
      </c>
      <c r="H24" s="33">
        <v>8853972309.7900009</v>
      </c>
      <c r="J24" s="33">
        <v>92235</v>
      </c>
      <c r="K24" s="33">
        <v>8853972309.7900009</v>
      </c>
      <c r="L24" s="34"/>
      <c r="M24" s="34">
        <v>0</v>
      </c>
      <c r="N24" s="34">
        <v>0</v>
      </c>
      <c r="V24" s="34"/>
    </row>
    <row r="25" spans="2:22" ht="15" customHeight="1" x14ac:dyDescent="0.45">
      <c r="C25" s="32" t="s">
        <v>21</v>
      </c>
      <c r="D25" s="32" t="s">
        <v>18</v>
      </c>
      <c r="E25" s="32">
        <v>1</v>
      </c>
      <c r="F25" s="33">
        <v>36189</v>
      </c>
      <c r="H25" s="33">
        <v>4353676249.2700005</v>
      </c>
      <c r="J25" s="33">
        <v>36189</v>
      </c>
      <c r="K25" s="33">
        <v>4323721728.8999996</v>
      </c>
      <c r="L25" s="34"/>
      <c r="M25" s="34">
        <v>0</v>
      </c>
      <c r="N25" s="34">
        <v>-29954520.370000839</v>
      </c>
      <c r="V25" s="34"/>
    </row>
    <row r="26" spans="2:22" ht="15" customHeight="1" x14ac:dyDescent="0.45">
      <c r="C26" s="32" t="s">
        <v>21</v>
      </c>
      <c r="D26" s="32" t="s">
        <v>23</v>
      </c>
      <c r="E26" s="32">
        <v>1</v>
      </c>
      <c r="F26" s="33">
        <v>125138</v>
      </c>
      <c r="H26" s="33">
        <v>21921033962.080002</v>
      </c>
      <c r="J26" s="33">
        <v>125138</v>
      </c>
      <c r="K26" s="33">
        <v>21111659093.32</v>
      </c>
      <c r="L26" s="34"/>
      <c r="M26" s="34">
        <v>0</v>
      </c>
      <c r="N26" s="34">
        <v>-809374868.76000214</v>
      </c>
      <c r="V26" s="34"/>
    </row>
    <row r="27" spans="2:22" ht="15" customHeight="1" x14ac:dyDescent="0.45">
      <c r="C27" s="32" t="s">
        <v>24</v>
      </c>
      <c r="D27" s="32" t="s">
        <v>18</v>
      </c>
      <c r="E27" s="32">
        <v>2</v>
      </c>
      <c r="F27" s="33">
        <v>394</v>
      </c>
      <c r="H27" s="33">
        <v>539713421.82000005</v>
      </c>
      <c r="J27" s="33">
        <v>394</v>
      </c>
      <c r="K27" s="33">
        <v>539713421.82000005</v>
      </c>
      <c r="L27" s="34"/>
      <c r="M27" s="34">
        <v>0</v>
      </c>
      <c r="N27" s="34">
        <v>0</v>
      </c>
      <c r="V27" s="34"/>
    </row>
    <row r="28" spans="2:22" ht="15" customHeight="1" x14ac:dyDescent="0.45">
      <c r="D28" s="29"/>
      <c r="E28" s="29"/>
    </row>
    <row r="29" spans="2:22" ht="15" customHeight="1" x14ac:dyDescent="0.45">
      <c r="B29" s="30" t="s">
        <v>25</v>
      </c>
      <c r="D29" s="29"/>
      <c r="E29" s="35"/>
      <c r="H29" s="30"/>
      <c r="L29" s="30"/>
      <c r="P29" s="30"/>
    </row>
    <row r="30" spans="2:22" ht="4.95" customHeight="1" x14ac:dyDescent="0.45">
      <c r="B30" s="30"/>
    </row>
    <row r="31" spans="2:22" ht="15" customHeight="1" x14ac:dyDescent="0.45">
      <c r="C31" s="31" t="s">
        <v>6</v>
      </c>
      <c r="D31" s="31" t="s">
        <v>26</v>
      </c>
      <c r="E31" s="31" t="s">
        <v>8</v>
      </c>
      <c r="F31" s="31" t="s">
        <v>27</v>
      </c>
      <c r="H31" s="155" t="s">
        <v>208</v>
      </c>
      <c r="I31" s="104"/>
      <c r="K31" s="34"/>
      <c r="L31" s="34"/>
      <c r="M31" s="34"/>
      <c r="N31" s="34"/>
    </row>
    <row r="32" spans="2:22" ht="15" customHeight="1" x14ac:dyDescent="0.45">
      <c r="C32" s="32" t="s">
        <v>10</v>
      </c>
      <c r="D32" s="32" t="s">
        <v>28</v>
      </c>
      <c r="E32" s="33">
        <v>7797</v>
      </c>
      <c r="F32" s="33">
        <v>689000109.30999994</v>
      </c>
      <c r="H32" s="34">
        <v>-128</v>
      </c>
      <c r="I32" s="34">
        <v>-23263880.110000014</v>
      </c>
      <c r="J32" s="34"/>
      <c r="K32" s="34"/>
      <c r="L32" s="34"/>
      <c r="M32" s="34"/>
      <c r="N32" s="34"/>
    </row>
    <row r="33" spans="3:18" ht="15" customHeight="1" x14ac:dyDescent="0.45">
      <c r="C33" s="32" t="s">
        <v>17</v>
      </c>
      <c r="D33" s="32" t="s">
        <v>28</v>
      </c>
      <c r="E33" s="33">
        <v>997</v>
      </c>
      <c r="F33" s="33">
        <v>3657836243.8899999</v>
      </c>
      <c r="H33" s="34">
        <v>-6</v>
      </c>
      <c r="I33" s="34">
        <v>32819881.869999886</v>
      </c>
      <c r="J33" s="34"/>
      <c r="K33" s="34"/>
      <c r="L33" s="34"/>
      <c r="M33" s="34"/>
      <c r="N33" s="34"/>
    </row>
    <row r="34" spans="3:18" ht="15" customHeight="1" x14ac:dyDescent="0.45">
      <c r="C34" s="32" t="s">
        <v>17</v>
      </c>
      <c r="D34" s="32" t="s">
        <v>30</v>
      </c>
      <c r="E34" s="33">
        <v>403837</v>
      </c>
      <c r="F34" s="33">
        <v>53632895571.239998</v>
      </c>
      <c r="H34" s="34">
        <v>-572</v>
      </c>
      <c r="I34" s="34">
        <v>-193255227.31999969</v>
      </c>
      <c r="J34" s="34"/>
      <c r="K34" s="34"/>
      <c r="L34" s="34"/>
      <c r="M34" s="34"/>
      <c r="N34" s="34"/>
    </row>
    <row r="35" spans="3:18" ht="15" customHeight="1" x14ac:dyDescent="0.45">
      <c r="C35" s="32" t="s">
        <v>17</v>
      </c>
      <c r="D35" s="32" t="s">
        <v>20</v>
      </c>
      <c r="E35" s="33">
        <v>5005</v>
      </c>
      <c r="F35" s="33">
        <v>1503824682.21</v>
      </c>
      <c r="H35" s="34">
        <v>-36</v>
      </c>
      <c r="I35" s="34">
        <v>-25110207.75999999</v>
      </c>
      <c r="J35" s="34"/>
      <c r="K35" s="34"/>
      <c r="L35" s="34"/>
      <c r="M35" s="34"/>
      <c r="N35" s="34"/>
    </row>
    <row r="36" spans="3:18" ht="15" customHeight="1" x14ac:dyDescent="0.45">
      <c r="C36" s="32" t="s">
        <v>21</v>
      </c>
      <c r="D36" s="32" t="s">
        <v>28</v>
      </c>
      <c r="E36" s="33">
        <v>109155</v>
      </c>
      <c r="F36" s="33">
        <v>14072080023.440001</v>
      </c>
      <c r="H36" s="34">
        <v>-57</v>
      </c>
      <c r="I36" s="34">
        <v>-98348613.159999847</v>
      </c>
      <c r="J36" s="34"/>
      <c r="K36" s="34"/>
      <c r="L36" s="34"/>
      <c r="M36" s="34"/>
      <c r="N36" s="34"/>
    </row>
    <row r="37" spans="3:18" ht="15" customHeight="1" x14ac:dyDescent="0.45">
      <c r="C37" s="32" t="s">
        <v>21</v>
      </c>
      <c r="D37" s="32" t="s">
        <v>16</v>
      </c>
      <c r="E37" s="33">
        <v>9041</v>
      </c>
      <c r="F37" s="33">
        <v>89757971.260000005</v>
      </c>
      <c r="H37" s="34">
        <v>567</v>
      </c>
      <c r="I37" s="34">
        <v>10499981.640000001</v>
      </c>
      <c r="J37" s="34"/>
      <c r="K37" s="34"/>
      <c r="L37" s="34"/>
      <c r="M37" s="34"/>
      <c r="N37" s="34"/>
    </row>
    <row r="38" spans="3:18" ht="15" customHeight="1" x14ac:dyDescent="0.45">
      <c r="C38" s="32" t="s">
        <v>21</v>
      </c>
      <c r="D38" s="32" t="s">
        <v>30</v>
      </c>
      <c r="E38" s="33">
        <v>100557</v>
      </c>
      <c r="F38" s="33">
        <v>8683628253.1900005</v>
      </c>
      <c r="H38" s="34">
        <v>-378</v>
      </c>
      <c r="I38" s="34">
        <v>-100632960.92000008</v>
      </c>
      <c r="J38" s="34"/>
      <c r="K38" s="34"/>
      <c r="L38" s="34"/>
      <c r="M38" s="34"/>
      <c r="N38" s="34"/>
    </row>
    <row r="39" spans="3:18" ht="15" customHeight="1" x14ac:dyDescent="0.45">
      <c r="C39" s="32" t="s">
        <v>21</v>
      </c>
      <c r="D39" s="32" t="s">
        <v>20</v>
      </c>
      <c r="E39" s="33">
        <v>17463</v>
      </c>
      <c r="F39" s="33">
        <v>1589008761.21</v>
      </c>
      <c r="H39" s="34">
        <v>-38</v>
      </c>
      <c r="I39" s="34">
        <v>1428461463.77</v>
      </c>
      <c r="J39" s="34"/>
    </row>
    <row r="40" spans="3:18" ht="15" customHeight="1" x14ac:dyDescent="0.45">
      <c r="E40" s="34">
        <v>653852</v>
      </c>
    </row>
    <row r="41" spans="3:18" ht="15" customHeight="1" x14ac:dyDescent="0.45">
      <c r="E41" s="34"/>
    </row>
    <row r="42" spans="3:18" ht="15" customHeight="1" x14ac:dyDescent="0.45">
      <c r="D42" s="29"/>
      <c r="E42" s="29"/>
    </row>
    <row r="43" spans="3:18" ht="15" customHeight="1" x14ac:dyDescent="0.45">
      <c r="C43" s="36" t="s">
        <v>140</v>
      </c>
      <c r="D43" s="37"/>
      <c r="E43" s="37"/>
      <c r="F43" s="38"/>
      <c r="G43" s="38"/>
      <c r="H43" s="38"/>
      <c r="I43" s="38"/>
      <c r="J43" s="38"/>
    </row>
    <row r="44" spans="3:18" ht="15" customHeight="1" x14ac:dyDescent="0.45">
      <c r="H44" s="39"/>
      <c r="J44" s="39"/>
      <c r="K44" s="39"/>
    </row>
    <row r="45" spans="3:18" ht="15" customHeight="1" x14ac:dyDescent="0.45">
      <c r="D45" s="40" t="s">
        <v>31</v>
      </c>
      <c r="E45" s="40"/>
      <c r="F45" s="40" t="s">
        <v>49</v>
      </c>
      <c r="G45" s="40"/>
      <c r="H45" s="40"/>
    </row>
    <row r="46" spans="3:18" ht="32.4" x14ac:dyDescent="0.45">
      <c r="C46" s="41" t="s">
        <v>32</v>
      </c>
      <c r="D46" s="42" t="s">
        <v>33</v>
      </c>
      <c r="E46" s="41" t="s">
        <v>34</v>
      </c>
      <c r="F46" s="43" t="s">
        <v>33</v>
      </c>
      <c r="G46" s="44"/>
      <c r="H46" s="41" t="s">
        <v>34</v>
      </c>
      <c r="I46" s="45" t="s">
        <v>138</v>
      </c>
      <c r="J46" s="45" t="s">
        <v>139</v>
      </c>
      <c r="K46" s="39"/>
    </row>
    <row r="47" spans="3:18" ht="15" customHeight="1" x14ac:dyDescent="0.45">
      <c r="C47" s="46" t="s">
        <v>35</v>
      </c>
      <c r="D47" s="59">
        <v>908</v>
      </c>
      <c r="E47" s="59">
        <v>89756471.260000005</v>
      </c>
      <c r="F47" s="124">
        <v>9041</v>
      </c>
      <c r="G47" s="125"/>
      <c r="H47" s="59">
        <v>89757971.260000005</v>
      </c>
      <c r="I47" s="59">
        <v>8133</v>
      </c>
      <c r="J47" s="59">
        <v>1500</v>
      </c>
      <c r="K47" s="39"/>
      <c r="O47" s="34"/>
      <c r="P47" s="34"/>
      <c r="Q47" s="34"/>
      <c r="R47" s="34"/>
    </row>
    <row r="48" spans="3:18" ht="15" customHeight="1" x14ac:dyDescent="0.45">
      <c r="C48" s="46" t="s">
        <v>36</v>
      </c>
      <c r="D48" s="59">
        <v>253562</v>
      </c>
      <c r="E48" s="59">
        <v>35128682521.139999</v>
      </c>
      <c r="F48" s="124">
        <v>209712</v>
      </c>
      <c r="G48" s="125"/>
      <c r="H48" s="59">
        <v>22755708276.630001</v>
      </c>
      <c r="I48" s="59">
        <v>-43850</v>
      </c>
      <c r="J48" s="59">
        <v>-12372974244.509998</v>
      </c>
      <c r="K48" s="39"/>
      <c r="O48" s="34"/>
      <c r="P48" s="34"/>
      <c r="Q48" s="34"/>
      <c r="R48" s="34"/>
    </row>
    <row r="49" spans="2:18" ht="15" customHeight="1" x14ac:dyDescent="0.45">
      <c r="C49" s="46" t="s">
        <v>37</v>
      </c>
      <c r="D49" s="59">
        <v>7828</v>
      </c>
      <c r="E49" s="59">
        <v>1223879324.9299998</v>
      </c>
      <c r="F49" s="124">
        <v>7797</v>
      </c>
      <c r="G49" s="125"/>
      <c r="H49" s="59">
        <v>689000109.30999994</v>
      </c>
      <c r="I49" s="59">
        <v>-31</v>
      </c>
      <c r="J49" s="59">
        <v>-534879215.61999989</v>
      </c>
      <c r="K49" s="39"/>
    </row>
    <row r="50" spans="2:18" ht="15" customHeight="1" x14ac:dyDescent="0.45">
      <c r="C50" s="46" t="s">
        <v>38</v>
      </c>
      <c r="D50" s="59">
        <v>369230</v>
      </c>
      <c r="E50" s="59">
        <v>57924831957.479996</v>
      </c>
      <c r="F50" s="124">
        <v>404834</v>
      </c>
      <c r="G50" s="125"/>
      <c r="H50" s="59">
        <v>57290731815.129997</v>
      </c>
      <c r="I50" s="59">
        <v>35604</v>
      </c>
      <c r="J50" s="59">
        <v>-634100142.34999847</v>
      </c>
      <c r="K50" s="48"/>
    </row>
    <row r="51" spans="2:18" ht="15" customHeight="1" x14ac:dyDescent="0.45">
      <c r="C51" s="46" t="s">
        <v>98</v>
      </c>
      <c r="D51" s="59">
        <v>5224</v>
      </c>
      <c r="E51" s="59">
        <v>1527943327.3099999</v>
      </c>
      <c r="F51" s="124">
        <v>5005</v>
      </c>
      <c r="G51" s="125"/>
      <c r="H51" s="59">
        <v>1503824682.21</v>
      </c>
      <c r="I51" s="59">
        <v>-219</v>
      </c>
      <c r="J51" s="59">
        <v>-24118645.099999905</v>
      </c>
      <c r="K51" s="39"/>
    </row>
    <row r="52" spans="2:18" ht="15" customHeight="1" x14ac:dyDescent="0.45">
      <c r="C52" s="46" t="s">
        <v>106</v>
      </c>
      <c r="D52" s="59">
        <v>21585</v>
      </c>
      <c r="E52" s="59">
        <v>1670926407.47</v>
      </c>
      <c r="F52" s="124">
        <v>17463</v>
      </c>
      <c r="G52" s="125"/>
      <c r="H52" s="59">
        <v>1589008761.21</v>
      </c>
      <c r="I52" s="59">
        <v>-4122</v>
      </c>
      <c r="J52" s="59">
        <v>-81917646.25999999</v>
      </c>
      <c r="K52" s="39"/>
      <c r="O52" s="34"/>
      <c r="P52" s="34"/>
      <c r="Q52" s="34"/>
      <c r="R52" s="34"/>
    </row>
    <row r="53" spans="2:18" ht="15" customHeight="1" x14ac:dyDescent="0.45">
      <c r="C53" s="49" t="s">
        <v>59</v>
      </c>
      <c r="D53" s="126">
        <v>658337</v>
      </c>
      <c r="E53" s="126">
        <v>97566020009.589996</v>
      </c>
      <c r="F53" s="126">
        <v>653852</v>
      </c>
      <c r="G53" s="126"/>
      <c r="H53" s="126">
        <v>83918031615.750015</v>
      </c>
      <c r="I53" s="126">
        <v>-4485</v>
      </c>
      <c r="J53" s="126">
        <v>-13647988393.839996</v>
      </c>
    </row>
    <row r="54" spans="2:18" ht="15" customHeight="1" x14ac:dyDescent="0.45"/>
    <row r="55" spans="2:18" ht="15" customHeight="1" x14ac:dyDescent="0.45">
      <c r="B55" s="30"/>
      <c r="C55" s="36" t="s">
        <v>107</v>
      </c>
      <c r="D55" s="38"/>
      <c r="E55" s="38"/>
      <c r="F55" s="38"/>
      <c r="G55" s="38"/>
      <c r="H55" s="38"/>
      <c r="I55" s="38"/>
      <c r="J55" s="38"/>
    </row>
    <row r="56" spans="2:18" ht="15" customHeight="1" x14ac:dyDescent="0.45">
      <c r="B56" s="30"/>
      <c r="C56" s="50"/>
    </row>
    <row r="57" spans="2:18" ht="15" customHeight="1" x14ac:dyDescent="0.45">
      <c r="D57" s="40" t="s">
        <v>142</v>
      </c>
      <c r="E57" s="40"/>
      <c r="F57" s="40" t="s">
        <v>143</v>
      </c>
      <c r="G57" s="40"/>
      <c r="H57" s="40"/>
    </row>
    <row r="58" spans="2:18" ht="32.4" x14ac:dyDescent="0.45">
      <c r="C58" s="41" t="s">
        <v>32</v>
      </c>
      <c r="D58" s="42" t="s">
        <v>33</v>
      </c>
      <c r="E58" s="41" t="s">
        <v>34</v>
      </c>
      <c r="F58" s="43" t="s">
        <v>33</v>
      </c>
      <c r="G58" s="44"/>
      <c r="H58" s="41" t="s">
        <v>34</v>
      </c>
      <c r="I58" s="45" t="s">
        <v>138</v>
      </c>
      <c r="J58" s="45" t="s">
        <v>139</v>
      </c>
      <c r="K58" s="39"/>
    </row>
    <row r="59" spans="2:18" ht="15" customHeight="1" x14ac:dyDescent="0.45">
      <c r="C59" s="46" t="s">
        <v>168</v>
      </c>
      <c r="D59" s="59">
        <v>908</v>
      </c>
      <c r="E59" s="59">
        <v>89756471.260000005</v>
      </c>
      <c r="F59" s="124">
        <v>9041</v>
      </c>
      <c r="G59" s="125"/>
      <c r="H59" s="59">
        <v>89757971.260000005</v>
      </c>
      <c r="I59" s="59">
        <v>8133</v>
      </c>
      <c r="J59" s="59">
        <v>1500</v>
      </c>
      <c r="K59" s="29"/>
      <c r="O59" s="34"/>
      <c r="P59" s="34"/>
      <c r="Q59" s="34"/>
      <c r="R59" s="34"/>
    </row>
    <row r="60" spans="2:18" ht="15" customHeight="1" x14ac:dyDescent="0.45">
      <c r="C60" s="46" t="s">
        <v>104</v>
      </c>
      <c r="D60" s="123">
        <v>401166</v>
      </c>
      <c r="E60" s="59">
        <v>35128682521.139999</v>
      </c>
      <c r="F60" s="121">
        <v>365599</v>
      </c>
      <c r="G60" s="122"/>
      <c r="H60" s="59">
        <v>22755708276.630001</v>
      </c>
      <c r="I60" s="59">
        <v>-35567</v>
      </c>
      <c r="J60" s="59">
        <v>-12372974244.509998</v>
      </c>
      <c r="K60" s="29"/>
      <c r="O60" s="34"/>
      <c r="P60" s="34"/>
      <c r="Q60" s="34"/>
      <c r="R60" s="34"/>
    </row>
    <row r="61" spans="2:18" ht="15" customHeight="1" x14ac:dyDescent="0.45">
      <c r="C61" s="46" t="s">
        <v>37</v>
      </c>
      <c r="D61" s="59">
        <v>7828</v>
      </c>
      <c r="E61" s="59">
        <v>1223879324.9299998</v>
      </c>
      <c r="F61" s="124">
        <v>7797</v>
      </c>
      <c r="G61" s="125"/>
      <c r="H61" s="59">
        <v>689000109.30999994</v>
      </c>
      <c r="I61" s="59">
        <v>-31</v>
      </c>
      <c r="J61" s="59">
        <v>-534879215.61999989</v>
      </c>
      <c r="K61" s="29"/>
    </row>
    <row r="62" spans="2:18" ht="15" customHeight="1" x14ac:dyDescent="0.45">
      <c r="C62" s="46" t="s">
        <v>38</v>
      </c>
      <c r="D62" s="59">
        <v>369230</v>
      </c>
      <c r="E62" s="59">
        <v>57924831957.479996</v>
      </c>
      <c r="F62" s="124">
        <v>404834</v>
      </c>
      <c r="G62" s="125"/>
      <c r="H62" s="59">
        <v>57290731815.129997</v>
      </c>
      <c r="I62" s="59">
        <v>35604</v>
      </c>
      <c r="J62" s="59">
        <v>-634100142.34999847</v>
      </c>
      <c r="K62" s="29"/>
    </row>
    <row r="63" spans="2:18" ht="15" customHeight="1" x14ac:dyDescent="0.45">
      <c r="C63" s="46" t="s">
        <v>105</v>
      </c>
      <c r="D63" s="123">
        <v>38217</v>
      </c>
      <c r="E63" s="59">
        <v>1670926407.47</v>
      </c>
      <c r="F63" s="121">
        <v>33731</v>
      </c>
      <c r="G63" s="122"/>
      <c r="H63" s="59">
        <v>1589008761.21</v>
      </c>
      <c r="I63" s="59">
        <v>-4486</v>
      </c>
      <c r="J63" s="59">
        <v>-81917646.25999999</v>
      </c>
      <c r="K63" s="29"/>
      <c r="O63" s="34"/>
      <c r="P63" s="34"/>
      <c r="Q63" s="34"/>
      <c r="R63" s="34"/>
    </row>
    <row r="64" spans="2:18" ht="15" customHeight="1" x14ac:dyDescent="0.45">
      <c r="C64" s="46" t="s">
        <v>98</v>
      </c>
      <c r="D64" s="59">
        <v>5224</v>
      </c>
      <c r="E64" s="59">
        <v>1527943327.3099999</v>
      </c>
      <c r="F64" s="124">
        <v>5005</v>
      </c>
      <c r="G64" s="125"/>
      <c r="H64" s="59">
        <v>1503824682.21</v>
      </c>
      <c r="I64" s="59">
        <v>-219</v>
      </c>
      <c r="J64" s="59">
        <v>-24118645.099999905</v>
      </c>
      <c r="K64" s="29"/>
    </row>
    <row r="65" spans="1:13" ht="15" customHeight="1" x14ac:dyDescent="0.45">
      <c r="C65" s="49" t="s">
        <v>59</v>
      </c>
      <c r="D65" s="126">
        <v>822573</v>
      </c>
      <c r="E65" s="126">
        <v>97566020009.589996</v>
      </c>
      <c r="F65" s="127">
        <v>826007</v>
      </c>
      <c r="G65" s="128"/>
      <c r="H65" s="126">
        <v>83918031615.750015</v>
      </c>
      <c r="I65" s="126">
        <v>3434</v>
      </c>
      <c r="J65" s="126">
        <v>-13647988393.839996</v>
      </c>
    </row>
    <row r="66" spans="1:13" ht="15" customHeight="1" x14ac:dyDescent="0.45">
      <c r="C66" s="51" t="s">
        <v>102</v>
      </c>
      <c r="D66" s="29"/>
      <c r="E66" s="29"/>
      <c r="F66" s="29"/>
      <c r="G66" s="29"/>
      <c r="H66" s="29"/>
      <c r="I66" s="29"/>
      <c r="J66" s="29"/>
    </row>
    <row r="67" spans="1:13" ht="15" customHeight="1" x14ac:dyDescent="0.45">
      <c r="C67" s="52"/>
      <c r="F67" s="34"/>
    </row>
    <row r="68" spans="1:13" ht="15" customHeight="1" x14ac:dyDescent="0.45">
      <c r="C68" s="50" t="s">
        <v>39</v>
      </c>
      <c r="F68" s="34"/>
    </row>
    <row r="69" spans="1:13" ht="15" customHeight="1" x14ac:dyDescent="0.45">
      <c r="K69" s="53"/>
    </row>
    <row r="70" spans="1:13" ht="15" customHeight="1" x14ac:dyDescent="0.45">
      <c r="C70" s="54" t="s">
        <v>40</v>
      </c>
      <c r="D70" s="282" t="s">
        <v>41</v>
      </c>
      <c r="E70" s="283"/>
      <c r="F70" s="283"/>
      <c r="G70" s="283"/>
      <c r="H70" s="283"/>
      <c r="I70" s="284"/>
      <c r="J70" s="311" t="s">
        <v>178</v>
      </c>
      <c r="K70" s="312"/>
      <c r="L70" s="311" t="s">
        <v>96</v>
      </c>
      <c r="M70" s="312"/>
    </row>
    <row r="71" spans="1:13" ht="30" customHeight="1" x14ac:dyDescent="0.45">
      <c r="A71" s="55"/>
      <c r="C71" s="56">
        <v>1</v>
      </c>
      <c r="D71" s="279" t="s">
        <v>184</v>
      </c>
      <c r="E71" s="280"/>
      <c r="F71" s="280"/>
      <c r="G71" s="280"/>
      <c r="H71" s="280"/>
      <c r="I71" s="281"/>
      <c r="J71" s="158">
        <v>2506</v>
      </c>
      <c r="K71" s="152"/>
      <c r="L71" s="158">
        <v>-886937307.86000013</v>
      </c>
      <c r="M71" s="152"/>
    </row>
    <row r="72" spans="1:13" ht="30" customHeight="1" x14ac:dyDescent="0.45">
      <c r="C72" s="56">
        <v>2</v>
      </c>
      <c r="D72" s="279" t="s">
        <v>42</v>
      </c>
      <c r="E72" s="280"/>
      <c r="F72" s="280"/>
      <c r="G72" s="280"/>
      <c r="H72" s="280"/>
      <c r="I72" s="281"/>
      <c r="J72" s="158">
        <v>65461</v>
      </c>
      <c r="K72" s="152"/>
      <c r="L72" s="158">
        <v>-4683472502.5600004</v>
      </c>
      <c r="M72" s="152"/>
    </row>
    <row r="73" spans="1:13" ht="30" customHeight="1" x14ac:dyDescent="0.45">
      <c r="C73" s="56">
        <v>3</v>
      </c>
      <c r="D73" s="279" t="s">
        <v>43</v>
      </c>
      <c r="E73" s="280"/>
      <c r="F73" s="280"/>
      <c r="G73" s="280"/>
      <c r="H73" s="280"/>
      <c r="I73" s="281"/>
      <c r="J73" s="158">
        <v>188298</v>
      </c>
      <c r="K73" s="152"/>
      <c r="L73" s="158">
        <v>21626229.620000385</v>
      </c>
      <c r="M73" s="153"/>
    </row>
    <row r="74" spans="1:13" ht="30" customHeight="1" x14ac:dyDescent="0.45">
      <c r="C74" s="56">
        <v>4</v>
      </c>
      <c r="D74" s="279" t="s">
        <v>180</v>
      </c>
      <c r="E74" s="280"/>
      <c r="F74" s="280"/>
      <c r="G74" s="280"/>
      <c r="H74" s="280"/>
      <c r="I74" s="281"/>
      <c r="J74" s="158">
        <v>233</v>
      </c>
      <c r="K74" s="152"/>
      <c r="L74" s="158">
        <v>47114505.860000014</v>
      </c>
      <c r="M74" s="153"/>
    </row>
    <row r="75" spans="1:13" ht="30" customHeight="1" x14ac:dyDescent="0.45">
      <c r="C75" s="56">
        <v>5</v>
      </c>
      <c r="D75" s="279" t="s">
        <v>44</v>
      </c>
      <c r="E75" s="280"/>
      <c r="F75" s="280"/>
      <c r="G75" s="280"/>
      <c r="H75" s="280"/>
      <c r="I75" s="281"/>
      <c r="J75" s="158">
        <v>149237</v>
      </c>
      <c r="K75" s="152"/>
      <c r="L75" s="158">
        <v>-6376406164.8299999</v>
      </c>
      <c r="M75" s="153"/>
    </row>
    <row r="76" spans="1:13" ht="30" customHeight="1" x14ac:dyDescent="0.45">
      <c r="A76" s="55"/>
      <c r="C76" s="56">
        <v>6</v>
      </c>
      <c r="D76" s="279" t="s">
        <v>183</v>
      </c>
      <c r="E76" s="280"/>
      <c r="F76" s="280"/>
      <c r="G76" s="280"/>
      <c r="H76" s="280"/>
      <c r="I76" s="281"/>
      <c r="J76" s="154" t="s">
        <v>108</v>
      </c>
      <c r="K76" s="152"/>
      <c r="L76" s="154" t="s">
        <v>108</v>
      </c>
      <c r="M76" s="153"/>
    </row>
    <row r="77" spans="1:13" ht="30" customHeight="1" x14ac:dyDescent="0.45">
      <c r="A77" s="55"/>
      <c r="C77" s="56">
        <v>7</v>
      </c>
      <c r="D77" s="279" t="s">
        <v>182</v>
      </c>
      <c r="E77" s="280"/>
      <c r="F77" s="280"/>
      <c r="G77" s="280"/>
      <c r="H77" s="280"/>
      <c r="I77" s="281"/>
      <c r="J77" s="158">
        <v>329</v>
      </c>
      <c r="K77" s="152"/>
      <c r="L77" s="158">
        <v>-90881144.940000013</v>
      </c>
      <c r="M77" s="153"/>
    </row>
    <row r="78" spans="1:13" ht="30" customHeight="1" x14ac:dyDescent="0.45">
      <c r="A78" s="55"/>
      <c r="C78" s="56">
        <v>8</v>
      </c>
      <c r="D78" s="279" t="s">
        <v>136</v>
      </c>
      <c r="E78" s="280"/>
      <c r="F78" s="280"/>
      <c r="G78" s="280"/>
      <c r="H78" s="280"/>
      <c r="I78" s="281"/>
      <c r="J78" s="158">
        <v>10</v>
      </c>
      <c r="K78" s="152"/>
      <c r="L78" s="158">
        <v>-159517353.99000001</v>
      </c>
      <c r="M78" s="153"/>
    </row>
    <row r="79" spans="1:13" ht="30" customHeight="1" x14ac:dyDescent="0.45">
      <c r="A79" s="55"/>
      <c r="B79" s="98"/>
      <c r="C79" s="56">
        <v>9</v>
      </c>
      <c r="D79" s="279" t="s">
        <v>181</v>
      </c>
      <c r="E79" s="280"/>
      <c r="F79" s="280"/>
      <c r="G79" s="280"/>
      <c r="H79" s="280"/>
      <c r="I79" s="281"/>
      <c r="J79" s="158">
        <v>279</v>
      </c>
      <c r="K79" s="152"/>
      <c r="L79" s="158">
        <v>-189418865.95000002</v>
      </c>
      <c r="M79" s="153"/>
    </row>
    <row r="80" spans="1:13" ht="30" customHeight="1" x14ac:dyDescent="0.45">
      <c r="A80" s="55"/>
      <c r="C80" s="56">
        <v>10</v>
      </c>
      <c r="D80" s="279" t="s">
        <v>135</v>
      </c>
      <c r="E80" s="280"/>
      <c r="F80" s="280"/>
      <c r="G80" s="280"/>
      <c r="H80" s="280"/>
      <c r="I80" s="281"/>
      <c r="J80" s="158">
        <v>3079</v>
      </c>
      <c r="K80" s="152"/>
      <c r="L80" s="158">
        <v>1081238.5900000166</v>
      </c>
      <c r="M80" s="153"/>
    </row>
    <row r="81" spans="1:13" ht="30" customHeight="1" x14ac:dyDescent="0.45">
      <c r="A81" s="55"/>
      <c r="C81" s="56">
        <v>11</v>
      </c>
      <c r="D81" s="279" t="s">
        <v>137</v>
      </c>
      <c r="E81" s="280"/>
      <c r="F81" s="280"/>
      <c r="G81" s="280"/>
      <c r="H81" s="280"/>
      <c r="I81" s="281"/>
      <c r="J81" s="158">
        <v>3</v>
      </c>
      <c r="K81" s="152"/>
      <c r="L81" s="158">
        <v>118763.26999999999</v>
      </c>
      <c r="M81" s="153"/>
    </row>
    <row r="82" spans="1:13" ht="30" customHeight="1" x14ac:dyDescent="0.45">
      <c r="A82" s="55"/>
      <c r="C82" s="56">
        <v>12</v>
      </c>
      <c r="D82" s="279" t="s">
        <v>167</v>
      </c>
      <c r="E82" s="280"/>
      <c r="F82" s="280"/>
      <c r="G82" s="280"/>
      <c r="H82" s="280"/>
      <c r="I82" s="281"/>
      <c r="J82" s="158">
        <v>73</v>
      </c>
      <c r="K82" s="152"/>
      <c r="L82" s="158">
        <v>-198447881.5</v>
      </c>
      <c r="M82" s="153"/>
    </row>
    <row r="83" spans="1:13" ht="30" customHeight="1" x14ac:dyDescent="0.45">
      <c r="A83" s="55"/>
      <c r="C83" s="56">
        <v>13</v>
      </c>
      <c r="D83" s="279" t="s">
        <v>185</v>
      </c>
      <c r="E83" s="280"/>
      <c r="F83" s="280"/>
      <c r="G83" s="280"/>
      <c r="H83" s="280"/>
      <c r="I83" s="281"/>
      <c r="J83" s="158">
        <v>149237</v>
      </c>
      <c r="K83" s="152"/>
      <c r="L83" s="158">
        <v>-953149144.83000004</v>
      </c>
      <c r="M83" s="153"/>
    </row>
    <row r="84" spans="1:13" ht="30" customHeight="1" x14ac:dyDescent="0.45">
      <c r="A84" s="55"/>
      <c r="B84" s="55"/>
      <c r="C84" s="56">
        <v>14</v>
      </c>
      <c r="D84" s="279" t="s">
        <v>179</v>
      </c>
      <c r="E84" s="280"/>
      <c r="F84" s="280"/>
      <c r="G84" s="280"/>
      <c r="H84" s="280"/>
      <c r="I84" s="281"/>
      <c r="J84" s="158">
        <v>55</v>
      </c>
      <c r="K84" s="153"/>
      <c r="L84" s="158">
        <v>-16258322.520000009</v>
      </c>
      <c r="M84" s="153"/>
    </row>
    <row r="85" spans="1:13" ht="30" customHeight="1" x14ac:dyDescent="0.45">
      <c r="A85" s="55"/>
      <c r="B85" s="55" t="s">
        <v>111</v>
      </c>
      <c r="C85" s="56">
        <v>15</v>
      </c>
      <c r="D85" s="279" t="s">
        <v>240</v>
      </c>
      <c r="E85" s="280"/>
      <c r="F85" s="280"/>
      <c r="G85" s="280"/>
      <c r="H85" s="280"/>
      <c r="I85" s="281"/>
      <c r="J85" s="158">
        <v>3</v>
      </c>
      <c r="K85" s="153"/>
      <c r="L85" s="158">
        <v>-1621716.15</v>
      </c>
      <c r="M85" s="153"/>
    </row>
    <row r="86" spans="1:13" ht="30" customHeight="1" x14ac:dyDescent="0.45">
      <c r="A86" s="55"/>
      <c r="B86" s="55" t="s">
        <v>111</v>
      </c>
      <c r="C86" s="56">
        <v>16</v>
      </c>
      <c r="D86" s="279" t="s">
        <v>241</v>
      </c>
      <c r="E86" s="280"/>
      <c r="F86" s="280"/>
      <c r="G86" s="280"/>
      <c r="H86" s="280"/>
      <c r="I86" s="281"/>
      <c r="J86" s="158">
        <v>73</v>
      </c>
      <c r="K86" s="153"/>
      <c r="L86" s="158">
        <v>25968612.829999998</v>
      </c>
      <c r="M86" s="153"/>
    </row>
    <row r="87" spans="1:13" ht="30" customHeight="1" x14ac:dyDescent="0.45">
      <c r="A87" s="55"/>
      <c r="B87" s="55"/>
      <c r="C87" s="157">
        <v>17</v>
      </c>
      <c r="D87" s="308" t="s">
        <v>169</v>
      </c>
      <c r="E87" s="309"/>
      <c r="F87" s="309"/>
      <c r="G87" s="309"/>
      <c r="H87" s="309"/>
      <c r="I87" s="310"/>
      <c r="J87" s="154" t="s">
        <v>108</v>
      </c>
      <c r="K87" s="153"/>
      <c r="L87" s="154" t="s">
        <v>108</v>
      </c>
      <c r="M87" s="153"/>
    </row>
    <row r="88" spans="1:13" ht="30" customHeight="1" x14ac:dyDescent="0.45">
      <c r="A88" s="55"/>
      <c r="C88" s="94"/>
      <c r="D88" s="95"/>
      <c r="E88" s="95"/>
      <c r="F88" s="95"/>
      <c r="G88" s="95"/>
      <c r="H88" s="95"/>
      <c r="I88" s="95"/>
      <c r="J88" s="96"/>
      <c r="K88" s="97"/>
      <c r="L88" s="96"/>
      <c r="M88" s="97"/>
    </row>
    <row r="89" spans="1:13" ht="15" customHeight="1" x14ac:dyDescent="0.45"/>
    <row r="90" spans="1:13" ht="15" customHeight="1" x14ac:dyDescent="0.45">
      <c r="A90" s="22"/>
      <c r="B90" s="25" t="s">
        <v>45</v>
      </c>
      <c r="C90" s="25"/>
      <c r="D90" s="25"/>
      <c r="E90" s="25"/>
      <c r="F90" s="26"/>
      <c r="G90" s="26"/>
      <c r="H90" s="26"/>
      <c r="I90" s="26"/>
      <c r="J90" s="26"/>
      <c r="K90" s="26"/>
    </row>
    <row r="91" spans="1:13" ht="4.95" customHeight="1" x14ac:dyDescent="0.45"/>
    <row r="92" spans="1:13" ht="15" customHeight="1" x14ac:dyDescent="0.45"/>
    <row r="93" spans="1:13" s="57" customFormat="1" ht="15" customHeight="1" x14ac:dyDescent="0.4">
      <c r="B93" s="58" t="s">
        <v>173</v>
      </c>
    </row>
    <row r="94" spans="1:13" ht="15" customHeight="1" x14ac:dyDescent="0.45">
      <c r="L94" s="57"/>
      <c r="M94" s="57"/>
    </row>
    <row r="95" spans="1:13" ht="32.4" x14ac:dyDescent="0.45">
      <c r="C95" s="41" t="s">
        <v>47</v>
      </c>
      <c r="D95" s="42" t="s">
        <v>48</v>
      </c>
      <c r="E95" s="41" t="s">
        <v>34</v>
      </c>
      <c r="L95" s="57"/>
      <c r="M95" s="57"/>
    </row>
    <row r="96" spans="1:13" ht="15" customHeight="1" x14ac:dyDescent="0.45">
      <c r="C96" s="27" t="s">
        <v>49</v>
      </c>
      <c r="D96" s="59">
        <v>365599</v>
      </c>
      <c r="E96" s="59">
        <v>22755708276.630009</v>
      </c>
      <c r="L96" s="57"/>
      <c r="M96" s="57"/>
    </row>
    <row r="97" spans="3:16" ht="15" customHeight="1" x14ac:dyDescent="0.45">
      <c r="C97" s="27" t="s">
        <v>31</v>
      </c>
      <c r="D97" s="59">
        <v>401166</v>
      </c>
      <c r="E97" s="59">
        <v>35128682521.139999</v>
      </c>
      <c r="F97" s="34"/>
      <c r="G97" s="34"/>
      <c r="L97" s="57"/>
      <c r="M97" s="57"/>
    </row>
    <row r="98" spans="3:16" ht="15" customHeight="1" x14ac:dyDescent="0.45">
      <c r="L98" s="57"/>
      <c r="M98" s="57"/>
    </row>
    <row r="99" spans="3:16" ht="15" customHeight="1" x14ac:dyDescent="0.45"/>
    <row r="100" spans="3:16" s="60" customFormat="1" ht="32.4" x14ac:dyDescent="0.45">
      <c r="C100" s="61" t="s">
        <v>51</v>
      </c>
      <c r="D100" s="42" t="s">
        <v>52</v>
      </c>
      <c r="E100" s="42" t="s">
        <v>48</v>
      </c>
      <c r="F100" s="45" t="s">
        <v>82</v>
      </c>
      <c r="H100" s="42" t="s">
        <v>54</v>
      </c>
      <c r="I100" s="42" t="s">
        <v>55</v>
      </c>
      <c r="J100" s="42" t="s">
        <v>56</v>
      </c>
      <c r="L100" s="23"/>
      <c r="M100" s="23"/>
      <c r="N100" s="23"/>
    </row>
    <row r="101" spans="3:16" ht="15" customHeight="1" x14ac:dyDescent="0.45">
      <c r="C101" s="273" t="s">
        <v>57</v>
      </c>
      <c r="D101" s="129" t="s">
        <v>58</v>
      </c>
      <c r="E101" s="143">
        <v>26962</v>
      </c>
      <c r="F101" s="130"/>
      <c r="G101" s="131"/>
      <c r="H101" s="143">
        <v>1978657022.98</v>
      </c>
      <c r="I101" s="143">
        <v>1978657022.98</v>
      </c>
      <c r="J101" s="47">
        <v>0</v>
      </c>
      <c r="L101" s="29"/>
    </row>
    <row r="102" spans="3:16" ht="15" customHeight="1" x14ac:dyDescent="0.45">
      <c r="C102" s="274"/>
      <c r="D102" s="135" t="s">
        <v>86</v>
      </c>
      <c r="E102" s="136">
        <v>337535</v>
      </c>
      <c r="F102" s="130"/>
      <c r="G102" s="131"/>
      <c r="H102" s="136">
        <v>20501400928.070004</v>
      </c>
      <c r="I102" s="136">
        <v>27809330008.110001</v>
      </c>
      <c r="J102" s="142">
        <v>-7307929080.0399971</v>
      </c>
    </row>
    <row r="103" spans="3:16" ht="15" customHeight="1" x14ac:dyDescent="0.45">
      <c r="C103" s="274"/>
      <c r="D103" s="137" t="s">
        <v>84</v>
      </c>
      <c r="E103" s="138">
        <v>18</v>
      </c>
      <c r="F103" s="130"/>
      <c r="G103" s="131"/>
      <c r="H103" s="138">
        <v>1037387.08</v>
      </c>
      <c r="I103" s="138">
        <v>877638.1</v>
      </c>
      <c r="J103" s="138">
        <v>159748.97999999998</v>
      </c>
    </row>
    <row r="104" spans="3:16" ht="15" customHeight="1" x14ac:dyDescent="0.45">
      <c r="C104" s="274"/>
      <c r="D104" s="132" t="s">
        <v>50</v>
      </c>
      <c r="E104" s="133">
        <v>9</v>
      </c>
      <c r="F104" s="130"/>
      <c r="G104" s="131"/>
      <c r="H104" s="133">
        <v>15662210.640000001</v>
      </c>
      <c r="I104" s="133">
        <v>15657244</v>
      </c>
      <c r="J104" s="141">
        <v>4966.640000000596</v>
      </c>
    </row>
    <row r="105" spans="3:16" ht="15" customHeight="1" x14ac:dyDescent="0.45">
      <c r="C105" s="275"/>
      <c r="D105" s="69" t="s">
        <v>59</v>
      </c>
      <c r="E105" s="70">
        <v>364524</v>
      </c>
      <c r="F105" s="70"/>
      <c r="H105" s="70">
        <v>22496757548.770004</v>
      </c>
      <c r="I105" s="70">
        <v>29804521913.189999</v>
      </c>
      <c r="J105" s="71">
        <v>-7307764364.4199972</v>
      </c>
    </row>
    <row r="106" spans="3:16" ht="15" customHeight="1" x14ac:dyDescent="0.45">
      <c r="C106" s="278" t="s">
        <v>60</v>
      </c>
      <c r="D106" s="135" t="s">
        <v>86</v>
      </c>
      <c r="E106" s="136">
        <v>33</v>
      </c>
      <c r="F106" s="130"/>
      <c r="G106" s="131"/>
      <c r="H106" s="136">
        <v>159334780.00999999</v>
      </c>
      <c r="I106" s="134"/>
      <c r="J106" s="136">
        <v>159334780.00999999</v>
      </c>
    </row>
    <row r="107" spans="3:16" ht="15" customHeight="1" x14ac:dyDescent="0.45">
      <c r="C107" s="276"/>
      <c r="D107" s="137" t="s">
        <v>84</v>
      </c>
      <c r="E107" s="138">
        <v>197</v>
      </c>
      <c r="F107" s="130"/>
      <c r="G107" s="131"/>
      <c r="H107" s="138">
        <v>26759366.489999998</v>
      </c>
      <c r="I107" s="134"/>
      <c r="J107" s="138">
        <v>26759366.489999998</v>
      </c>
    </row>
    <row r="108" spans="3:16" ht="15" customHeight="1" x14ac:dyDescent="0.45">
      <c r="C108" s="276"/>
      <c r="D108" s="139" t="s">
        <v>83</v>
      </c>
      <c r="E108" s="140">
        <v>261</v>
      </c>
      <c r="F108" s="130"/>
      <c r="G108" s="131"/>
      <c r="H108" s="140">
        <v>51894748.149999999</v>
      </c>
      <c r="I108" s="134"/>
      <c r="J108" s="140">
        <v>51894748.149999999</v>
      </c>
    </row>
    <row r="109" spans="3:16" ht="15" customHeight="1" x14ac:dyDescent="0.45">
      <c r="C109" s="276"/>
      <c r="D109" s="132" t="s">
        <v>50</v>
      </c>
      <c r="E109" s="133">
        <v>584</v>
      </c>
      <c r="F109" s="130"/>
      <c r="G109" s="131"/>
      <c r="H109" s="133">
        <v>20961833.210000001</v>
      </c>
      <c r="I109" s="134"/>
      <c r="J109" s="133">
        <v>20961833.210000001</v>
      </c>
    </row>
    <row r="110" spans="3:16" ht="15" customHeight="1" x14ac:dyDescent="0.45">
      <c r="C110" s="277"/>
      <c r="D110" s="69" t="s">
        <v>59</v>
      </c>
      <c r="E110" s="70">
        <v>1075</v>
      </c>
      <c r="F110" s="70"/>
      <c r="H110" s="70">
        <v>258950727.86000001</v>
      </c>
      <c r="I110" s="72"/>
      <c r="J110" s="70">
        <v>258950727.86000001</v>
      </c>
    </row>
    <row r="111" spans="3:16" ht="15" customHeight="1" x14ac:dyDescent="0.45">
      <c r="C111" s="273" t="s">
        <v>61</v>
      </c>
      <c r="D111" s="135" t="s">
        <v>86</v>
      </c>
      <c r="E111" s="136">
        <v>62346</v>
      </c>
      <c r="F111" s="130"/>
      <c r="G111" s="131"/>
      <c r="H111" s="134"/>
      <c r="I111" s="136">
        <v>5085273874.7300005</v>
      </c>
      <c r="J111" s="136">
        <v>-5085273874.7300005</v>
      </c>
      <c r="P111" s="23" t="s">
        <v>67</v>
      </c>
    </row>
    <row r="112" spans="3:16" ht="15" customHeight="1" x14ac:dyDescent="0.45">
      <c r="C112" s="274"/>
      <c r="D112" s="137" t="s">
        <v>84</v>
      </c>
      <c r="E112" s="138">
        <v>2465</v>
      </c>
      <c r="F112" s="130"/>
      <c r="G112" s="131"/>
      <c r="H112" s="134"/>
      <c r="I112" s="138">
        <v>182294039.16999999</v>
      </c>
      <c r="J112" s="138">
        <v>-182294039.16999999</v>
      </c>
    </row>
    <row r="113" spans="2:16" ht="15" customHeight="1" x14ac:dyDescent="0.45">
      <c r="C113" s="274"/>
      <c r="D113" s="139" t="s">
        <v>83</v>
      </c>
      <c r="E113" s="140">
        <v>503</v>
      </c>
      <c r="F113" s="130"/>
      <c r="G113" s="131"/>
      <c r="H113" s="134"/>
      <c r="I113" s="140">
        <v>48504637.170000002</v>
      </c>
      <c r="J113" s="140">
        <v>-48504637.170000002</v>
      </c>
      <c r="P113" s="34"/>
    </row>
    <row r="114" spans="2:16" ht="15" customHeight="1" x14ac:dyDescent="0.45">
      <c r="C114" s="274"/>
      <c r="D114" s="132" t="s">
        <v>50</v>
      </c>
      <c r="E114" s="133">
        <v>33</v>
      </c>
      <c r="F114" s="130"/>
      <c r="G114" s="131"/>
      <c r="H114" s="134"/>
      <c r="I114" s="133">
        <v>8088056.8799999999</v>
      </c>
      <c r="J114" s="133">
        <v>-8088056.8799999999</v>
      </c>
      <c r="P114" s="34"/>
    </row>
    <row r="115" spans="2:16" ht="15" customHeight="1" x14ac:dyDescent="0.45">
      <c r="C115" s="275"/>
      <c r="D115" s="69" t="s">
        <v>59</v>
      </c>
      <c r="E115" s="70">
        <v>65347</v>
      </c>
      <c r="F115" s="70"/>
      <c r="H115" s="72"/>
      <c r="I115" s="70">
        <v>5324160607.9500008</v>
      </c>
      <c r="J115" s="70">
        <v>-5324160607.9500008</v>
      </c>
      <c r="P115" s="34"/>
    </row>
    <row r="116" spans="2:16" ht="15" customHeight="1" x14ac:dyDescent="0.45">
      <c r="E116" s="29">
        <v>365599</v>
      </c>
      <c r="F116" s="79">
        <v>0</v>
      </c>
      <c r="H116" s="29">
        <v>22755708276.630005</v>
      </c>
      <c r="I116" s="29">
        <v>35128682521.139999</v>
      </c>
    </row>
    <row r="117" spans="2:16" ht="15" customHeight="1" x14ac:dyDescent="0.45">
      <c r="E117" s="29"/>
      <c r="F117" s="29"/>
      <c r="H117" s="29">
        <v>0</v>
      </c>
      <c r="I117" s="29">
        <v>0</v>
      </c>
    </row>
    <row r="118" spans="2:16" ht="15" customHeight="1" x14ac:dyDescent="0.45">
      <c r="B118" s="58" t="s">
        <v>65</v>
      </c>
      <c r="E118" s="29"/>
      <c r="F118" s="29"/>
      <c r="H118" s="34"/>
    </row>
    <row r="119" spans="2:16" ht="15" customHeight="1" x14ac:dyDescent="0.45"/>
    <row r="120" spans="2:16" ht="32.4" x14ac:dyDescent="0.45">
      <c r="C120" s="61" t="s">
        <v>51</v>
      </c>
      <c r="D120" s="42" t="s">
        <v>52</v>
      </c>
      <c r="E120" s="42" t="s">
        <v>53</v>
      </c>
      <c r="F120" s="80" t="s">
        <v>82</v>
      </c>
      <c r="H120" s="42" t="s">
        <v>54</v>
      </c>
      <c r="I120" s="42" t="s">
        <v>55</v>
      </c>
      <c r="J120" s="42" t="s">
        <v>56</v>
      </c>
    </row>
    <row r="121" spans="2:16" ht="15" customHeight="1" x14ac:dyDescent="0.45">
      <c r="C121" s="273" t="s">
        <v>57</v>
      </c>
      <c r="D121" s="129" t="s">
        <v>58</v>
      </c>
      <c r="E121" s="143">
        <v>4421</v>
      </c>
      <c r="F121" s="130"/>
      <c r="G121" s="131"/>
      <c r="H121" s="47">
        <v>399888684.27999997</v>
      </c>
      <c r="I121" s="47">
        <v>399888684.27999997</v>
      </c>
      <c r="J121" s="47">
        <v>0</v>
      </c>
      <c r="N121" s="34"/>
      <c r="O121" s="34"/>
      <c r="P121" s="34"/>
    </row>
    <row r="122" spans="2:16" ht="15" customHeight="1" x14ac:dyDescent="0.45">
      <c r="C122" s="274"/>
      <c r="D122" s="135" t="s">
        <v>86</v>
      </c>
      <c r="E122" s="136">
        <v>3149</v>
      </c>
      <c r="F122" s="130"/>
      <c r="G122" s="131"/>
      <c r="H122" s="136">
        <v>262774327.70999998</v>
      </c>
      <c r="I122" s="136">
        <v>261574325.84999999</v>
      </c>
      <c r="J122" s="136">
        <v>1200001.8599999845</v>
      </c>
      <c r="N122" s="34"/>
      <c r="O122" s="34"/>
      <c r="P122" s="34"/>
    </row>
    <row r="123" spans="2:16" ht="15" customHeight="1" x14ac:dyDescent="0.45">
      <c r="C123" s="274"/>
      <c r="D123" s="137" t="s">
        <v>84</v>
      </c>
      <c r="E123" s="144">
        <v>42</v>
      </c>
      <c r="F123" s="130"/>
      <c r="G123" s="131"/>
      <c r="H123" s="145">
        <v>8360586.2400000002</v>
      </c>
      <c r="I123" s="145">
        <v>8360925.4400000004</v>
      </c>
      <c r="J123" s="145">
        <v>-339.20000000018626</v>
      </c>
      <c r="N123" s="34"/>
      <c r="O123" s="34"/>
      <c r="P123" s="34"/>
    </row>
    <row r="124" spans="2:16" ht="15" customHeight="1" x14ac:dyDescent="0.45">
      <c r="C124" s="274"/>
      <c r="D124" s="132" t="s">
        <v>50</v>
      </c>
      <c r="E124" s="146">
        <v>152</v>
      </c>
      <c r="F124" s="130"/>
      <c r="G124" s="131"/>
      <c r="H124" s="147">
        <v>16743636.27</v>
      </c>
      <c r="I124" s="147">
        <v>14338634.24</v>
      </c>
      <c r="J124" s="147">
        <v>2405002.0299999993</v>
      </c>
      <c r="N124" s="34"/>
      <c r="O124" s="34"/>
      <c r="P124" s="34"/>
    </row>
    <row r="125" spans="2:16" ht="15" customHeight="1" x14ac:dyDescent="0.45">
      <c r="C125" s="275"/>
      <c r="D125" s="69" t="s">
        <v>59</v>
      </c>
      <c r="E125" s="71">
        <v>7764</v>
      </c>
      <c r="F125" s="70"/>
      <c r="H125" s="71">
        <v>687767234.5</v>
      </c>
      <c r="I125" s="71">
        <v>684162569.81000006</v>
      </c>
      <c r="J125" s="71">
        <v>3604664.6899999836</v>
      </c>
      <c r="N125" s="34"/>
      <c r="O125" s="34"/>
      <c r="P125" s="34"/>
    </row>
    <row r="126" spans="2:16" ht="14.55" hidden="1" customHeight="1" x14ac:dyDescent="0.45">
      <c r="C126" s="278" t="s">
        <v>60</v>
      </c>
      <c r="D126" s="65" t="s">
        <v>86</v>
      </c>
      <c r="E126" s="81">
        <v>0</v>
      </c>
      <c r="F126" s="63"/>
      <c r="H126" s="81" t="s">
        <v>67</v>
      </c>
      <c r="I126" s="82"/>
      <c r="J126" s="72"/>
    </row>
    <row r="127" spans="2:16" ht="14.55" hidden="1" customHeight="1" x14ac:dyDescent="0.45">
      <c r="C127" s="276"/>
      <c r="D127" s="73" t="s">
        <v>85</v>
      </c>
      <c r="E127" s="74">
        <v>0</v>
      </c>
      <c r="F127" s="63"/>
      <c r="H127" s="74" t="s">
        <v>67</v>
      </c>
      <c r="I127" s="82"/>
      <c r="J127" s="72"/>
    </row>
    <row r="128" spans="2:16" ht="14.55" hidden="1" customHeight="1" x14ac:dyDescent="0.45">
      <c r="C128" s="276"/>
      <c r="D128" s="75" t="s">
        <v>84</v>
      </c>
      <c r="E128" s="83">
        <v>0</v>
      </c>
      <c r="F128" s="63"/>
      <c r="H128" s="83" t="s">
        <v>67</v>
      </c>
      <c r="I128" s="82"/>
      <c r="J128" s="72"/>
    </row>
    <row r="129" spans="2:11" ht="14.55" hidden="1" customHeight="1" x14ac:dyDescent="0.45">
      <c r="C129" s="276"/>
      <c r="D129" s="77" t="s">
        <v>83</v>
      </c>
      <c r="E129" s="84" t="e">
        <v>#REF!</v>
      </c>
      <c r="F129" s="63"/>
      <c r="H129" s="84" t="e">
        <v>#REF!</v>
      </c>
      <c r="I129" s="82"/>
      <c r="J129" s="84" t="e">
        <v>#REF!</v>
      </c>
    </row>
    <row r="130" spans="2:11" ht="15" customHeight="1" x14ac:dyDescent="0.45">
      <c r="C130" s="276"/>
      <c r="D130" s="132" t="s">
        <v>50</v>
      </c>
      <c r="E130" s="141">
        <v>33</v>
      </c>
      <c r="F130" s="130"/>
      <c r="G130" s="131"/>
      <c r="H130" s="141">
        <v>1232874.81</v>
      </c>
      <c r="I130" s="148"/>
      <c r="J130" s="141">
        <v>1232874.81</v>
      </c>
    </row>
    <row r="131" spans="2:11" ht="15" customHeight="1" x14ac:dyDescent="0.45">
      <c r="C131" s="277"/>
      <c r="D131" s="69" t="s">
        <v>59</v>
      </c>
      <c r="E131" s="71">
        <v>33</v>
      </c>
      <c r="F131" s="70"/>
      <c r="H131" s="71">
        <v>1232874.81</v>
      </c>
      <c r="I131" s="72"/>
      <c r="J131" s="71">
        <v>1232874.81</v>
      </c>
    </row>
    <row r="132" spans="2:11" ht="15" customHeight="1" x14ac:dyDescent="0.45">
      <c r="C132" s="273" t="s">
        <v>61</v>
      </c>
      <c r="D132" s="135" t="s">
        <v>86</v>
      </c>
      <c r="E132" s="136">
        <v>394</v>
      </c>
      <c r="F132" s="130"/>
      <c r="G132" s="131"/>
      <c r="H132" s="134"/>
      <c r="I132" s="136">
        <v>539713421.82000005</v>
      </c>
      <c r="J132" s="136">
        <v>-539713421.82000005</v>
      </c>
    </row>
    <row r="133" spans="2:11" ht="14.4" hidden="1" customHeight="1" x14ac:dyDescent="0.45">
      <c r="C133" s="274"/>
      <c r="D133" s="149" t="s">
        <v>85</v>
      </c>
      <c r="E133" s="150">
        <v>0</v>
      </c>
      <c r="F133" s="130"/>
      <c r="G133" s="131"/>
      <c r="H133" s="134"/>
      <c r="I133" s="150" t="s">
        <v>67</v>
      </c>
      <c r="J133" s="150" t="e">
        <v>#VALUE!</v>
      </c>
    </row>
    <row r="134" spans="2:11" hidden="1" x14ac:dyDescent="0.45">
      <c r="C134" s="274"/>
      <c r="D134" s="137" t="s">
        <v>84</v>
      </c>
      <c r="E134" s="118" t="e">
        <v>#REF!</v>
      </c>
      <c r="F134" s="130"/>
      <c r="G134" s="131"/>
      <c r="H134" s="134"/>
      <c r="I134" s="151" t="e">
        <v>#REF!</v>
      </c>
      <c r="J134" s="151" t="e">
        <v>#REF!</v>
      </c>
    </row>
    <row r="135" spans="2:11" ht="14.4" hidden="1" customHeight="1" x14ac:dyDescent="0.45">
      <c r="C135" s="274"/>
      <c r="D135" s="139" t="s">
        <v>83</v>
      </c>
      <c r="E135" s="140">
        <v>0</v>
      </c>
      <c r="F135" s="130"/>
      <c r="G135" s="131"/>
      <c r="H135" s="134"/>
      <c r="I135" s="140" t="s">
        <v>67</v>
      </c>
      <c r="J135" s="140" t="e">
        <v>#VALUE!</v>
      </c>
    </row>
    <row r="136" spans="2:11" ht="15" customHeight="1" x14ac:dyDescent="0.45">
      <c r="C136" s="274"/>
      <c r="D136" s="132" t="s">
        <v>50</v>
      </c>
      <c r="E136" s="141">
        <v>2</v>
      </c>
      <c r="F136" s="130"/>
      <c r="G136" s="131"/>
      <c r="H136" s="134"/>
      <c r="I136" s="141">
        <v>3333.3</v>
      </c>
      <c r="J136" s="141">
        <v>-3333.3</v>
      </c>
    </row>
    <row r="137" spans="2:11" ht="15" customHeight="1" x14ac:dyDescent="0.45">
      <c r="C137" s="275"/>
      <c r="D137" s="69" t="s">
        <v>59</v>
      </c>
      <c r="E137" s="71">
        <v>396</v>
      </c>
      <c r="F137" s="70"/>
      <c r="H137" s="82"/>
      <c r="I137" s="71">
        <v>539716755.12</v>
      </c>
      <c r="J137" s="71">
        <v>-539716755.12</v>
      </c>
    </row>
    <row r="138" spans="2:11" ht="15" customHeight="1" x14ac:dyDescent="0.45">
      <c r="E138" s="29">
        <v>7797</v>
      </c>
      <c r="F138" s="156">
        <v>0</v>
      </c>
      <c r="H138" s="29">
        <v>689000109.30999994</v>
      </c>
      <c r="I138" s="29">
        <v>1223879324.9300001</v>
      </c>
    </row>
    <row r="139" spans="2:11" ht="15" customHeight="1" x14ac:dyDescent="0.45">
      <c r="B139" s="57" t="s">
        <v>174</v>
      </c>
      <c r="E139" s="29"/>
      <c r="F139" s="29"/>
      <c r="H139" s="29">
        <v>0</v>
      </c>
      <c r="I139" s="29">
        <v>0</v>
      </c>
    </row>
    <row r="140" spans="2:11" ht="15" customHeight="1" x14ac:dyDescent="0.45">
      <c r="B140" s="30"/>
    </row>
    <row r="141" spans="2:11" s="60" customFormat="1" ht="32.4" x14ac:dyDescent="0.45">
      <c r="C141" s="61" t="s">
        <v>51</v>
      </c>
      <c r="D141" s="42" t="s">
        <v>52</v>
      </c>
      <c r="E141" s="42" t="s">
        <v>53</v>
      </c>
      <c r="F141" s="80" t="s">
        <v>82</v>
      </c>
      <c r="H141" s="42" t="s">
        <v>54</v>
      </c>
      <c r="I141" s="42" t="s">
        <v>55</v>
      </c>
      <c r="J141" s="42" t="s">
        <v>56</v>
      </c>
      <c r="K141" s="23"/>
    </row>
    <row r="142" spans="2:11" ht="15" customHeight="1" x14ac:dyDescent="0.45">
      <c r="C142" s="273" t="s">
        <v>57</v>
      </c>
      <c r="D142" s="129" t="s">
        <v>58</v>
      </c>
      <c r="E142" s="47">
        <v>249864</v>
      </c>
      <c r="F142" s="130"/>
      <c r="G142" s="131"/>
      <c r="H142" s="47">
        <v>43265584690.059998</v>
      </c>
      <c r="I142" s="47">
        <v>43265584690.059998</v>
      </c>
      <c r="J142" s="47">
        <v>0</v>
      </c>
      <c r="K142" s="29"/>
    </row>
    <row r="143" spans="2:11" ht="15" customHeight="1" x14ac:dyDescent="0.45">
      <c r="C143" s="274"/>
      <c r="D143" s="135" t="s">
        <v>86</v>
      </c>
      <c r="E143" s="136">
        <v>132607</v>
      </c>
      <c r="F143" s="130"/>
      <c r="G143" s="131"/>
      <c r="H143" s="136">
        <v>12912284035.17</v>
      </c>
      <c r="I143" s="136">
        <v>13227714323.359999</v>
      </c>
      <c r="J143" s="136">
        <v>-315430288.19000047</v>
      </c>
      <c r="K143" s="29"/>
    </row>
    <row r="144" spans="2:11" x14ac:dyDescent="0.45">
      <c r="C144" s="274"/>
      <c r="D144" s="137" t="s">
        <v>84</v>
      </c>
      <c r="E144" s="138">
        <v>22232</v>
      </c>
      <c r="F144" s="130"/>
      <c r="G144" s="131"/>
      <c r="H144" s="138">
        <v>1099716635.1800001</v>
      </c>
      <c r="I144" s="138">
        <v>1099697582.24</v>
      </c>
      <c r="J144" s="138">
        <v>19052.939999837894</v>
      </c>
      <c r="K144" s="29"/>
    </row>
    <row r="145" spans="2:13" x14ac:dyDescent="0.45">
      <c r="C145" s="274"/>
      <c r="D145" s="139" t="s">
        <v>83</v>
      </c>
      <c r="E145" s="140">
        <v>8</v>
      </c>
      <c r="F145" s="130"/>
      <c r="G145" s="131"/>
      <c r="H145" s="140">
        <v>11559125.98</v>
      </c>
      <c r="I145" s="140">
        <v>11567373.02</v>
      </c>
      <c r="J145" s="140">
        <v>-8247.0399999991059</v>
      </c>
      <c r="K145" s="29"/>
      <c r="L145" s="85"/>
    </row>
    <row r="146" spans="2:13" ht="15" customHeight="1" x14ac:dyDescent="0.45">
      <c r="C146" s="274"/>
      <c r="D146" s="132" t="s">
        <v>50</v>
      </c>
      <c r="E146" s="133">
        <v>15</v>
      </c>
      <c r="F146" s="130"/>
      <c r="G146" s="131"/>
      <c r="H146" s="133">
        <v>1013107.9099946022</v>
      </c>
      <c r="I146" s="133">
        <v>1294776.6900014877</v>
      </c>
      <c r="J146" s="133">
        <v>-281668.78000700474</v>
      </c>
      <c r="K146" s="86"/>
      <c r="L146" s="29"/>
      <c r="M146" s="29"/>
    </row>
    <row r="147" spans="2:13" ht="15" customHeight="1" x14ac:dyDescent="0.45">
      <c r="C147" s="275"/>
      <c r="D147" s="69" t="s">
        <v>59</v>
      </c>
      <c r="E147" s="71">
        <v>404726</v>
      </c>
      <c r="F147" s="70"/>
      <c r="H147" s="71">
        <v>57290157594.299995</v>
      </c>
      <c r="I147" s="71">
        <v>57605858745.369995</v>
      </c>
      <c r="J147" s="71">
        <v>-315701151.07000768</v>
      </c>
      <c r="K147" s="29"/>
    </row>
    <row r="148" spans="2:13" ht="15" customHeight="1" x14ac:dyDescent="0.45">
      <c r="C148" s="276" t="s">
        <v>60</v>
      </c>
      <c r="D148" s="132" t="s">
        <v>50</v>
      </c>
      <c r="E148" s="133">
        <v>108</v>
      </c>
      <c r="F148" s="130"/>
      <c r="G148" s="131"/>
      <c r="H148" s="133">
        <v>574220.82999999996</v>
      </c>
      <c r="I148" s="134"/>
      <c r="J148" s="133">
        <v>574220.82999999996</v>
      </c>
      <c r="K148" s="29"/>
      <c r="M148" s="29"/>
    </row>
    <row r="149" spans="2:13" ht="15" customHeight="1" x14ac:dyDescent="0.45">
      <c r="C149" s="277"/>
      <c r="D149" s="69" t="s">
        <v>59</v>
      </c>
      <c r="E149" s="71">
        <v>108</v>
      </c>
      <c r="F149" s="70"/>
      <c r="H149" s="71">
        <v>574220.82999999996</v>
      </c>
      <c r="I149" s="72"/>
      <c r="J149" s="71">
        <v>574220.82999999996</v>
      </c>
      <c r="K149" s="29"/>
    </row>
    <row r="150" spans="2:13" ht="15" customHeight="1" x14ac:dyDescent="0.45">
      <c r="C150" s="273" t="s">
        <v>61</v>
      </c>
      <c r="D150" s="135" t="s">
        <v>86</v>
      </c>
      <c r="E150" s="136">
        <v>1262</v>
      </c>
      <c r="F150" s="130"/>
      <c r="G150" s="131"/>
      <c r="H150" s="134"/>
      <c r="I150" s="136">
        <v>318973212.10999995</v>
      </c>
      <c r="J150" s="136">
        <v>-318973212.10999995</v>
      </c>
      <c r="K150" s="29"/>
    </row>
    <row r="151" spans="2:13" ht="15" hidden="1" customHeight="1" x14ac:dyDescent="0.45">
      <c r="C151" s="274"/>
      <c r="D151" s="137" t="s">
        <v>84</v>
      </c>
      <c r="E151" s="138">
        <v>0</v>
      </c>
      <c r="F151" s="130"/>
      <c r="G151" s="131"/>
      <c r="H151" s="134"/>
      <c r="I151" s="138">
        <v>0</v>
      </c>
      <c r="J151" s="138">
        <v>0</v>
      </c>
      <c r="K151" s="29"/>
    </row>
    <row r="152" spans="2:13" hidden="1" x14ac:dyDescent="0.45">
      <c r="C152" s="274"/>
      <c r="D152" s="139" t="s">
        <v>83</v>
      </c>
      <c r="E152" s="140" t="s">
        <v>67</v>
      </c>
      <c r="F152" s="130"/>
      <c r="G152" s="131"/>
      <c r="H152" s="134"/>
      <c r="I152" s="140" t="s">
        <v>67</v>
      </c>
      <c r="J152" s="140" t="s">
        <v>67</v>
      </c>
      <c r="K152" s="29"/>
    </row>
    <row r="153" spans="2:13" ht="15" hidden="1" customHeight="1" x14ac:dyDescent="0.45">
      <c r="C153" s="274"/>
      <c r="D153" s="132" t="s">
        <v>50</v>
      </c>
      <c r="E153" s="133"/>
      <c r="F153" s="130"/>
      <c r="G153" s="131"/>
      <c r="H153" s="134"/>
      <c r="I153" s="133"/>
      <c r="J153" s="133"/>
      <c r="K153" s="29"/>
    </row>
    <row r="154" spans="2:13" ht="15" customHeight="1" x14ac:dyDescent="0.45">
      <c r="C154" s="275"/>
      <c r="D154" s="69" t="s">
        <v>59</v>
      </c>
      <c r="E154" s="71">
        <v>1262</v>
      </c>
      <c r="F154" s="70"/>
      <c r="H154" s="82"/>
      <c r="I154" s="71">
        <v>318973212.10999995</v>
      </c>
      <c r="J154" s="71">
        <v>-318973212.10999995</v>
      </c>
      <c r="K154" s="29"/>
    </row>
    <row r="155" spans="2:13" ht="15" customHeight="1" x14ac:dyDescent="0.45">
      <c r="E155" s="29">
        <v>404834</v>
      </c>
      <c r="F155" s="29">
        <v>0</v>
      </c>
      <c r="H155" s="29">
        <v>0</v>
      </c>
      <c r="I155" s="29">
        <v>0</v>
      </c>
    </row>
    <row r="156" spans="2:13" ht="15" customHeight="1" x14ac:dyDescent="0.45">
      <c r="B156" s="57" t="s">
        <v>175</v>
      </c>
      <c r="E156" s="29"/>
      <c r="F156" s="29"/>
    </row>
    <row r="157" spans="2:13" ht="15" customHeight="1" x14ac:dyDescent="0.45">
      <c r="B157" s="30"/>
    </row>
    <row r="158" spans="2:13" s="60" customFormat="1" ht="32.4" x14ac:dyDescent="0.45">
      <c r="C158" s="61" t="s">
        <v>51</v>
      </c>
      <c r="D158" s="42" t="s">
        <v>52</v>
      </c>
      <c r="E158" s="42" t="s">
        <v>53</v>
      </c>
      <c r="F158" s="80" t="s">
        <v>82</v>
      </c>
      <c r="H158" s="42" t="s">
        <v>54</v>
      </c>
      <c r="I158" s="42" t="s">
        <v>55</v>
      </c>
      <c r="J158" s="42" t="s">
        <v>56</v>
      </c>
    </row>
    <row r="159" spans="2:13" ht="15" customHeight="1" x14ac:dyDescent="0.45">
      <c r="C159" s="273" t="s">
        <v>57</v>
      </c>
      <c r="D159" s="129" t="s">
        <v>58</v>
      </c>
      <c r="E159" s="47">
        <v>4991</v>
      </c>
      <c r="F159" s="130"/>
      <c r="G159" s="131"/>
      <c r="H159" s="47">
        <v>1502274186.4100001</v>
      </c>
      <c r="I159" s="47">
        <v>1502274186.4100001</v>
      </c>
      <c r="J159" s="47">
        <v>0</v>
      </c>
    </row>
    <row r="160" spans="2:13" ht="15" customHeight="1" x14ac:dyDescent="0.45">
      <c r="C160" s="274"/>
      <c r="D160" s="132" t="s">
        <v>50</v>
      </c>
      <c r="E160" s="133">
        <v>14</v>
      </c>
      <c r="F160" s="130"/>
      <c r="G160" s="131"/>
      <c r="H160" s="133">
        <v>1550495.7999999523</v>
      </c>
      <c r="I160" s="133">
        <v>70000</v>
      </c>
      <c r="J160" s="133">
        <v>1480495.7999999523</v>
      </c>
    </row>
    <row r="161" spans="2:11" ht="15" customHeight="1" x14ac:dyDescent="0.45">
      <c r="C161" s="275"/>
      <c r="D161" s="69" t="s">
        <v>59</v>
      </c>
      <c r="E161" s="71">
        <v>5005</v>
      </c>
      <c r="F161" s="70"/>
      <c r="H161" s="71">
        <v>1503824682.21</v>
      </c>
      <c r="I161" s="71">
        <v>1502344186.4100001</v>
      </c>
      <c r="J161" s="71">
        <v>1480495.7999999523</v>
      </c>
    </row>
    <row r="162" spans="2:11" ht="14.4" hidden="1" customHeight="1" x14ac:dyDescent="0.45">
      <c r="C162" s="278" t="s">
        <v>60</v>
      </c>
      <c r="D162" s="67" t="s">
        <v>50</v>
      </c>
      <c r="E162" s="68">
        <v>0</v>
      </c>
      <c r="F162" s="63"/>
      <c r="H162" s="68">
        <v>0</v>
      </c>
      <c r="I162" s="72"/>
      <c r="J162" s="72"/>
    </row>
    <row r="163" spans="2:11" hidden="1" x14ac:dyDescent="0.45">
      <c r="C163" s="277"/>
      <c r="D163" s="69" t="s">
        <v>59</v>
      </c>
      <c r="E163" s="71">
        <v>0</v>
      </c>
      <c r="F163" s="70"/>
      <c r="H163" s="71">
        <v>0</v>
      </c>
      <c r="I163" s="72"/>
      <c r="J163" s="72"/>
    </row>
    <row r="164" spans="2:11" ht="15" customHeight="1" x14ac:dyDescent="0.45">
      <c r="C164" s="273" t="s">
        <v>61</v>
      </c>
      <c r="D164" s="137" t="s">
        <v>84</v>
      </c>
      <c r="E164" s="138">
        <v>194</v>
      </c>
      <c r="F164" s="130"/>
      <c r="G164" s="131"/>
      <c r="H164" s="134"/>
      <c r="I164" s="138">
        <v>23403005.77</v>
      </c>
      <c r="J164" s="138">
        <v>-23403005.77</v>
      </c>
    </row>
    <row r="165" spans="2:11" ht="15" customHeight="1" x14ac:dyDescent="0.45">
      <c r="C165" s="274"/>
      <c r="D165" s="139" t="s">
        <v>83</v>
      </c>
      <c r="E165" s="140">
        <v>25</v>
      </c>
      <c r="F165" s="130"/>
      <c r="G165" s="131"/>
      <c r="H165" s="134"/>
      <c r="I165" s="140">
        <v>2196135.13</v>
      </c>
      <c r="J165" s="140">
        <v>-2196135.13</v>
      </c>
    </row>
    <row r="166" spans="2:11" ht="15" hidden="1" customHeight="1" x14ac:dyDescent="0.45">
      <c r="C166" s="274"/>
      <c r="D166" s="132" t="s">
        <v>50</v>
      </c>
      <c r="E166" s="133">
        <v>0</v>
      </c>
      <c r="F166" s="130"/>
      <c r="G166" s="131"/>
      <c r="H166" s="134"/>
      <c r="I166" s="133">
        <v>0</v>
      </c>
      <c r="J166" s="133">
        <v>0</v>
      </c>
    </row>
    <row r="167" spans="2:11" ht="15" customHeight="1" x14ac:dyDescent="0.45">
      <c r="C167" s="275"/>
      <c r="D167" s="69" t="s">
        <v>59</v>
      </c>
      <c r="E167" s="71">
        <v>219</v>
      </c>
      <c r="F167" s="70"/>
      <c r="H167" s="82"/>
      <c r="I167" s="71">
        <v>25599140.899999999</v>
      </c>
      <c r="J167" s="71">
        <v>-25599140.899999999</v>
      </c>
    </row>
    <row r="168" spans="2:11" ht="15" customHeight="1" x14ac:dyDescent="0.45">
      <c r="E168" s="29">
        <v>5005</v>
      </c>
      <c r="F168" s="29">
        <v>0</v>
      </c>
      <c r="H168" s="29">
        <v>0</v>
      </c>
      <c r="I168" s="29">
        <v>0</v>
      </c>
    </row>
    <row r="169" spans="2:11" ht="15" customHeight="1" x14ac:dyDescent="0.45">
      <c r="B169" s="57" t="s">
        <v>176</v>
      </c>
      <c r="E169" s="29"/>
      <c r="F169" s="29"/>
    </row>
    <row r="170" spans="2:11" ht="15" customHeight="1" x14ac:dyDescent="0.45">
      <c r="B170" s="30"/>
    </row>
    <row r="171" spans="2:11" s="60" customFormat="1" ht="32.4" x14ac:dyDescent="0.45">
      <c r="C171" s="61" t="s">
        <v>51</v>
      </c>
      <c r="D171" s="42" t="s">
        <v>52</v>
      </c>
      <c r="E171" s="42" t="s">
        <v>48</v>
      </c>
      <c r="F171" s="80" t="s">
        <v>82</v>
      </c>
      <c r="H171" s="42" t="s">
        <v>54</v>
      </c>
      <c r="I171" s="42" t="s">
        <v>55</v>
      </c>
      <c r="J171" s="42" t="s">
        <v>56</v>
      </c>
    </row>
    <row r="172" spans="2:11" ht="15" customHeight="1" x14ac:dyDescent="0.45">
      <c r="C172" s="273" t="s">
        <v>57</v>
      </c>
      <c r="D172" s="129" t="s">
        <v>58</v>
      </c>
      <c r="E172" s="47">
        <v>2413</v>
      </c>
      <c r="F172" s="130"/>
      <c r="G172" s="131"/>
      <c r="H172" s="47">
        <v>22657022.75</v>
      </c>
      <c r="I172" s="47">
        <v>22657022.75</v>
      </c>
      <c r="J172" s="47">
        <v>0</v>
      </c>
      <c r="K172" s="23">
        <v>0</v>
      </c>
    </row>
    <row r="173" spans="2:11" ht="15" customHeight="1" x14ac:dyDescent="0.45">
      <c r="C173" s="274"/>
      <c r="D173" s="135" t="s">
        <v>86</v>
      </c>
      <c r="E173" s="136">
        <v>30142</v>
      </c>
      <c r="F173" s="130"/>
      <c r="G173" s="131"/>
      <c r="H173" s="136">
        <v>1442913681.7</v>
      </c>
      <c r="I173" s="136">
        <v>1439712188.9100001</v>
      </c>
      <c r="J173" s="136">
        <v>3201492.7899999619</v>
      </c>
    </row>
    <row r="174" spans="2:11" ht="15" customHeight="1" x14ac:dyDescent="0.45">
      <c r="C174" s="274"/>
      <c r="D174" s="132" t="s">
        <v>50</v>
      </c>
      <c r="E174" s="133">
        <v>1175</v>
      </c>
      <c r="F174" s="130"/>
      <c r="G174" s="131"/>
      <c r="H174" s="133">
        <v>123437780.38</v>
      </c>
      <c r="I174" s="133">
        <v>113344027.43000001</v>
      </c>
      <c r="J174" s="133">
        <v>10093752.949999988</v>
      </c>
    </row>
    <row r="175" spans="2:11" ht="15" customHeight="1" x14ac:dyDescent="0.45">
      <c r="C175" s="275"/>
      <c r="D175" s="69" t="s">
        <v>59</v>
      </c>
      <c r="E175" s="71">
        <v>33730</v>
      </c>
      <c r="F175" s="70"/>
      <c r="H175" s="71">
        <v>1589008484.8299999</v>
      </c>
      <c r="I175" s="71">
        <v>1575713239.0900002</v>
      </c>
      <c r="J175" s="71">
        <v>13295245.73999995</v>
      </c>
      <c r="K175" s="23">
        <v>32533</v>
      </c>
    </row>
    <row r="176" spans="2:11" ht="15" customHeight="1" x14ac:dyDescent="0.45">
      <c r="C176" s="276" t="s">
        <v>60</v>
      </c>
      <c r="D176" s="132" t="s">
        <v>50</v>
      </c>
      <c r="E176" s="133">
        <v>1</v>
      </c>
      <c r="F176" s="130"/>
      <c r="G176" s="131"/>
      <c r="H176" s="133">
        <v>276.38</v>
      </c>
      <c r="I176" s="134"/>
      <c r="J176" s="133">
        <v>276.38</v>
      </c>
    </row>
    <row r="177" spans="2:13" ht="15" customHeight="1" x14ac:dyDescent="0.45">
      <c r="C177" s="277"/>
      <c r="D177" s="69" t="s">
        <v>59</v>
      </c>
      <c r="E177" s="71">
        <v>1</v>
      </c>
      <c r="F177" s="70"/>
      <c r="H177" s="71">
        <v>276.38</v>
      </c>
      <c r="I177" s="72"/>
      <c r="J177" s="71">
        <v>276.38</v>
      </c>
      <c r="K177" s="23">
        <v>1</v>
      </c>
    </row>
    <row r="178" spans="2:13" ht="15" customHeight="1" x14ac:dyDescent="0.45">
      <c r="C178" s="273" t="s">
        <v>61</v>
      </c>
      <c r="D178" s="135" t="s">
        <v>86</v>
      </c>
      <c r="E178" s="136">
        <v>4455</v>
      </c>
      <c r="F178" s="130"/>
      <c r="G178" s="131"/>
      <c r="H178" s="134"/>
      <c r="I178" s="136">
        <v>95212268.25999999</v>
      </c>
      <c r="J178" s="136">
        <v>-95212268.25999999</v>
      </c>
      <c r="K178" s="23">
        <v>6226</v>
      </c>
    </row>
    <row r="179" spans="2:13" ht="15" customHeight="1" x14ac:dyDescent="0.45">
      <c r="C179" s="274"/>
      <c r="D179" s="139" t="s">
        <v>83</v>
      </c>
      <c r="E179" s="140">
        <v>32</v>
      </c>
      <c r="F179" s="130"/>
      <c r="G179" s="131"/>
      <c r="H179" s="134"/>
      <c r="I179" s="140">
        <v>900.12</v>
      </c>
      <c r="J179" s="140">
        <v>-900.12</v>
      </c>
    </row>
    <row r="180" spans="2:13" ht="15" customHeight="1" x14ac:dyDescent="0.45">
      <c r="C180" s="275"/>
      <c r="D180" s="69" t="s">
        <v>59</v>
      </c>
      <c r="E180" s="71">
        <v>4487</v>
      </c>
      <c r="F180" s="70"/>
      <c r="H180" s="82"/>
      <c r="I180" s="71">
        <v>95213168.379999995</v>
      </c>
      <c r="J180" s="71">
        <v>-95213168.379999995</v>
      </c>
      <c r="K180" s="23">
        <v>6226</v>
      </c>
    </row>
    <row r="181" spans="2:13" ht="15" customHeight="1" x14ac:dyDescent="0.45">
      <c r="E181" s="29"/>
      <c r="F181" s="29"/>
      <c r="H181" s="29">
        <v>1589008761.21</v>
      </c>
      <c r="I181" s="29">
        <v>1670926407.4700003</v>
      </c>
    </row>
    <row r="182" spans="2:13" ht="15" customHeight="1" x14ac:dyDescent="0.45">
      <c r="E182" s="29"/>
      <c r="F182" s="29"/>
      <c r="H182" s="79">
        <v>0</v>
      </c>
      <c r="I182" s="79">
        <v>0</v>
      </c>
    </row>
    <row r="183" spans="2:13" ht="15" customHeight="1" x14ac:dyDescent="0.45">
      <c r="B183" s="57" t="s">
        <v>177</v>
      </c>
      <c r="E183" s="29"/>
      <c r="F183" s="29"/>
      <c r="I183" s="34"/>
    </row>
    <row r="184" spans="2:13" ht="15" customHeight="1" x14ac:dyDescent="0.45">
      <c r="B184" s="30"/>
    </row>
    <row r="185" spans="2:13" s="60" customFormat="1" ht="15" customHeight="1" x14ac:dyDescent="0.45">
      <c r="C185" s="61" t="s">
        <v>51</v>
      </c>
      <c r="D185" s="42" t="s">
        <v>52</v>
      </c>
      <c r="E185" s="42" t="s">
        <v>48</v>
      </c>
      <c r="F185" s="80" t="s">
        <v>82</v>
      </c>
      <c r="H185" s="42" t="s">
        <v>54</v>
      </c>
      <c r="I185" s="42" t="s">
        <v>55</v>
      </c>
      <c r="J185" s="42" t="s">
        <v>56</v>
      </c>
    </row>
    <row r="186" spans="2:13" ht="15" customHeight="1" x14ac:dyDescent="0.45">
      <c r="C186" s="273" t="s">
        <v>57</v>
      </c>
      <c r="D186" s="129" t="s">
        <v>58</v>
      </c>
      <c r="E186" s="47">
        <v>9039</v>
      </c>
      <c r="F186" s="130"/>
      <c r="G186" s="131"/>
      <c r="H186" s="47">
        <v>89756471.260000005</v>
      </c>
      <c r="I186" s="47">
        <v>89756471.260000005</v>
      </c>
      <c r="J186" s="47">
        <v>0</v>
      </c>
    </row>
    <row r="187" spans="2:13" ht="15" customHeight="1" x14ac:dyDescent="0.45">
      <c r="C187" s="275"/>
      <c r="D187" s="69" t="s">
        <v>59</v>
      </c>
      <c r="E187" s="71">
        <v>9039</v>
      </c>
      <c r="F187" s="70"/>
      <c r="H187" s="71">
        <v>89756471.260000005</v>
      </c>
      <c r="I187" s="71">
        <v>89756471.260000005</v>
      </c>
      <c r="J187" s="71">
        <v>0</v>
      </c>
    </row>
    <row r="188" spans="2:13" ht="15" customHeight="1" x14ac:dyDescent="0.45">
      <c r="C188" s="276" t="s">
        <v>60</v>
      </c>
      <c r="D188" s="132" t="s">
        <v>50</v>
      </c>
      <c r="E188" s="133">
        <v>2</v>
      </c>
      <c r="F188" s="130"/>
      <c r="G188" s="131"/>
      <c r="H188" s="133">
        <v>1500</v>
      </c>
      <c r="I188" s="134"/>
      <c r="J188" s="133">
        <v>1500</v>
      </c>
      <c r="K188" s="29"/>
      <c r="M188" s="29"/>
    </row>
    <row r="189" spans="2:13" ht="15" customHeight="1" x14ac:dyDescent="0.45">
      <c r="C189" s="277"/>
      <c r="D189" s="69" t="s">
        <v>59</v>
      </c>
      <c r="E189" s="71">
        <v>2</v>
      </c>
      <c r="F189" s="70"/>
      <c r="H189" s="71">
        <v>1500</v>
      </c>
      <c r="I189" s="72"/>
      <c r="J189" s="71">
        <v>1500</v>
      </c>
      <c r="K189" s="29"/>
    </row>
    <row r="190" spans="2:13" ht="15" customHeight="1" x14ac:dyDescent="0.45">
      <c r="C190" s="273" t="s">
        <v>61</v>
      </c>
      <c r="D190" s="135" t="s">
        <v>86</v>
      </c>
      <c r="E190" s="136">
        <v>318</v>
      </c>
      <c r="F190" s="130"/>
      <c r="G190" s="131"/>
      <c r="H190" s="134"/>
      <c r="I190" s="136">
        <v>0</v>
      </c>
      <c r="J190" s="136">
        <v>0</v>
      </c>
    </row>
    <row r="191" spans="2:13" ht="15" customHeight="1" x14ac:dyDescent="0.45">
      <c r="C191" s="275"/>
      <c r="D191" s="69" t="s">
        <v>59</v>
      </c>
      <c r="E191" s="71">
        <v>318</v>
      </c>
      <c r="F191" s="70"/>
      <c r="H191" s="82"/>
      <c r="I191" s="71">
        <v>0</v>
      </c>
      <c r="J191" s="71">
        <v>0</v>
      </c>
    </row>
    <row r="192" spans="2:13" ht="15" customHeight="1" x14ac:dyDescent="0.45">
      <c r="E192" s="29">
        <v>9041</v>
      </c>
      <c r="F192" s="79">
        <v>0</v>
      </c>
      <c r="H192" s="29">
        <v>89757971.260000005</v>
      </c>
      <c r="I192" s="29">
        <v>89756471.260000005</v>
      </c>
    </row>
    <row r="193" spans="2:9" ht="15" customHeight="1" x14ac:dyDescent="0.45">
      <c r="E193" s="29"/>
      <c r="F193" s="29"/>
      <c r="H193" s="79">
        <v>0</v>
      </c>
      <c r="I193" s="79">
        <v>0</v>
      </c>
    </row>
    <row r="194" spans="2:9" ht="15" customHeight="1" x14ac:dyDescent="0.45">
      <c r="B194" s="58" t="s">
        <v>121</v>
      </c>
      <c r="E194" s="29"/>
      <c r="F194" s="29"/>
    </row>
    <row r="195" spans="2:9" ht="15" customHeight="1" x14ac:dyDescent="0.45">
      <c r="E195" s="29"/>
      <c r="F195" s="29"/>
    </row>
    <row r="196" spans="2:9" ht="32.4" x14ac:dyDescent="0.45">
      <c r="C196" s="61" t="s">
        <v>51</v>
      </c>
      <c r="D196" s="42" t="s">
        <v>125</v>
      </c>
      <c r="E196" s="42" t="s">
        <v>122</v>
      </c>
      <c r="F196" s="42" t="s">
        <v>124</v>
      </c>
      <c r="H196" s="42" t="s">
        <v>123</v>
      </c>
      <c r="I196" s="42" t="s">
        <v>56</v>
      </c>
    </row>
    <row r="197" spans="2:9" ht="15" customHeight="1" x14ac:dyDescent="0.45">
      <c r="C197" s="301" t="s">
        <v>126</v>
      </c>
      <c r="D197" s="62" t="s">
        <v>128</v>
      </c>
      <c r="E197" s="64">
        <v>1387569</v>
      </c>
      <c r="F197" s="64">
        <v>223975020.62189499</v>
      </c>
      <c r="H197" s="64">
        <v>223975020.62189499</v>
      </c>
      <c r="I197" s="64">
        <v>0</v>
      </c>
    </row>
    <row r="198" spans="2:9" ht="15" customHeight="1" x14ac:dyDescent="0.45">
      <c r="C198" s="302"/>
      <c r="D198" s="62" t="s">
        <v>129</v>
      </c>
      <c r="E198" s="64">
        <v>234834</v>
      </c>
      <c r="F198" s="64">
        <v>522880602.10270101</v>
      </c>
      <c r="H198" s="64">
        <v>522880602.10270101</v>
      </c>
      <c r="I198" s="64">
        <v>0</v>
      </c>
    </row>
    <row r="199" spans="2:9" ht="15" customHeight="1" x14ac:dyDescent="0.45">
      <c r="C199" s="302"/>
      <c r="D199" s="62" t="s">
        <v>130</v>
      </c>
      <c r="E199" s="64">
        <v>199987</v>
      </c>
      <c r="F199" s="64">
        <v>128643465.504401</v>
      </c>
      <c r="H199" s="64">
        <v>128643465.504401</v>
      </c>
      <c r="I199" s="64">
        <v>0</v>
      </c>
    </row>
    <row r="200" spans="2:9" ht="15" customHeight="1" x14ac:dyDescent="0.45">
      <c r="C200" s="302"/>
      <c r="D200" s="62" t="s">
        <v>131</v>
      </c>
      <c r="E200" s="64">
        <v>172621</v>
      </c>
      <c r="F200" s="64">
        <v>91833880.519741997</v>
      </c>
      <c r="H200" s="64">
        <v>91833880.519741997</v>
      </c>
      <c r="I200" s="64">
        <v>0</v>
      </c>
    </row>
    <row r="201" spans="2:9" ht="15" customHeight="1" x14ac:dyDescent="0.45">
      <c r="C201" s="87"/>
      <c r="D201" s="69" t="s">
        <v>59</v>
      </c>
      <c r="E201" s="71">
        <v>1995011</v>
      </c>
      <c r="F201" s="71">
        <v>967332968.748739</v>
      </c>
      <c r="H201" s="71">
        <v>967332968.748739</v>
      </c>
      <c r="I201" s="71">
        <v>0</v>
      </c>
    </row>
    <row r="202" spans="2:9" ht="15" customHeight="1" x14ac:dyDescent="0.45">
      <c r="C202" s="303" t="s">
        <v>127</v>
      </c>
      <c r="D202" s="88" t="s">
        <v>86</v>
      </c>
      <c r="E202" s="66">
        <v>1659</v>
      </c>
      <c r="F202" s="66">
        <v>2861059.2970350003</v>
      </c>
      <c r="H202" s="66">
        <v>3045286.7292939997</v>
      </c>
      <c r="I202" s="66">
        <v>-184227.43225899996</v>
      </c>
    </row>
    <row r="203" spans="2:9" ht="15" customHeight="1" x14ac:dyDescent="0.45">
      <c r="C203" s="303"/>
      <c r="D203" s="89" t="s">
        <v>84</v>
      </c>
      <c r="E203" s="76">
        <v>16</v>
      </c>
      <c r="F203" s="76">
        <v>9193.9742850000002</v>
      </c>
      <c r="H203" s="76">
        <v>22358.007335999999</v>
      </c>
      <c r="I203" s="76">
        <v>-13164.033051</v>
      </c>
    </row>
    <row r="204" spans="2:9" ht="15" customHeight="1" x14ac:dyDescent="0.45">
      <c r="C204" s="303"/>
      <c r="D204" s="90" t="s">
        <v>83</v>
      </c>
      <c r="E204" s="78">
        <v>395</v>
      </c>
      <c r="F204" s="78">
        <v>883608.11867099989</v>
      </c>
      <c r="H204" s="78">
        <v>862826.26441099995</v>
      </c>
      <c r="I204" s="78">
        <v>20781.854259999996</v>
      </c>
    </row>
    <row r="205" spans="2:9" ht="15" customHeight="1" x14ac:dyDescent="0.45">
      <c r="C205" s="303"/>
      <c r="D205" s="91" t="s">
        <v>132</v>
      </c>
      <c r="E205" s="68">
        <v>2089</v>
      </c>
      <c r="F205" s="68">
        <v>2471658.5797469998</v>
      </c>
      <c r="H205" s="68">
        <v>2362073.9194519999</v>
      </c>
      <c r="I205" s="68">
        <v>109584.66029500008</v>
      </c>
    </row>
    <row r="206" spans="2:9" ht="15" customHeight="1" x14ac:dyDescent="0.45">
      <c r="C206" s="303"/>
      <c r="D206" s="92" t="s">
        <v>134</v>
      </c>
      <c r="E206" s="64">
        <v>1</v>
      </c>
      <c r="F206" s="64">
        <v>98.112009999999998</v>
      </c>
      <c r="H206" s="64">
        <v>24.574749000000001</v>
      </c>
      <c r="I206" s="64">
        <v>73.537261000000001</v>
      </c>
    </row>
    <row r="207" spans="2:9" ht="15" customHeight="1" x14ac:dyDescent="0.45">
      <c r="C207" s="303"/>
      <c r="D207" s="93" t="s">
        <v>59</v>
      </c>
      <c r="E207" s="71">
        <v>4160</v>
      </c>
      <c r="F207" s="71">
        <v>6225618.0817480003</v>
      </c>
      <c r="H207" s="71">
        <v>6292569.4952419996</v>
      </c>
      <c r="I207" s="71">
        <v>-66951.413493999891</v>
      </c>
    </row>
    <row r="208" spans="2:9" ht="15" customHeight="1" x14ac:dyDescent="0.45">
      <c r="E208" s="29"/>
      <c r="F208" s="29"/>
    </row>
    <row r="209" spans="2:9" ht="15" customHeight="1" x14ac:dyDescent="0.45">
      <c r="C209" s="23" t="s">
        <v>133</v>
      </c>
      <c r="E209" s="29"/>
      <c r="F209" s="29"/>
    </row>
    <row r="210" spans="2:9" ht="15" customHeight="1" x14ac:dyDescent="0.45">
      <c r="E210" s="29"/>
      <c r="F210" s="29"/>
    </row>
    <row r="211" spans="2:9" ht="15" customHeight="1" x14ac:dyDescent="0.45">
      <c r="E211" s="29"/>
      <c r="F211" s="29"/>
    </row>
    <row r="212" spans="2:9" ht="15" customHeight="1" thickBot="1" x14ac:dyDescent="0.5">
      <c r="E212" s="29"/>
      <c r="F212" s="29"/>
    </row>
    <row r="213" spans="2:9" ht="15" customHeight="1" thickBot="1" x14ac:dyDescent="0.5">
      <c r="B213" s="99" t="s">
        <v>40</v>
      </c>
      <c r="C213" s="304" t="s">
        <v>41</v>
      </c>
      <c r="D213" s="305"/>
      <c r="E213" s="99" t="s">
        <v>186</v>
      </c>
      <c r="F213" s="99" t="s">
        <v>187</v>
      </c>
      <c r="H213" s="100" t="s">
        <v>188</v>
      </c>
      <c r="I213" s="99" t="s">
        <v>34</v>
      </c>
    </row>
    <row r="214" spans="2:9" ht="16.2" customHeight="1" x14ac:dyDescent="0.45">
      <c r="B214" s="101">
        <v>1</v>
      </c>
      <c r="C214" s="306" t="s">
        <v>189</v>
      </c>
      <c r="D214" s="307"/>
      <c r="E214" s="102" t="s">
        <v>190</v>
      </c>
      <c r="F214" s="103" t="s">
        <v>191</v>
      </c>
      <c r="G214" s="104"/>
      <c r="H214" s="105" t="s">
        <v>97</v>
      </c>
      <c r="I214" s="106"/>
    </row>
    <row r="215" spans="2:9" ht="30" customHeight="1" x14ac:dyDescent="0.45">
      <c r="B215" s="107">
        <v>2</v>
      </c>
      <c r="C215" s="299" t="s">
        <v>192</v>
      </c>
      <c r="D215" s="300"/>
      <c r="E215" s="108" t="s">
        <v>193</v>
      </c>
      <c r="F215" s="109" t="s">
        <v>194</v>
      </c>
      <c r="G215" s="110"/>
      <c r="H215" s="119">
        <v>123</v>
      </c>
      <c r="I215" s="119">
        <v>292552.04999299522</v>
      </c>
    </row>
    <row r="216" spans="2:9" ht="30" customHeight="1" x14ac:dyDescent="0.45">
      <c r="B216" s="107">
        <v>3</v>
      </c>
      <c r="C216" s="299" t="s">
        <v>195</v>
      </c>
      <c r="D216" s="300"/>
      <c r="E216" s="108" t="s">
        <v>193</v>
      </c>
      <c r="F216" s="109" t="s">
        <v>196</v>
      </c>
      <c r="G216" s="110"/>
      <c r="H216" s="119">
        <v>219</v>
      </c>
      <c r="I216" s="119">
        <v>-25599140.899999999</v>
      </c>
    </row>
    <row r="217" spans="2:9" ht="30" customHeight="1" x14ac:dyDescent="0.45">
      <c r="B217" s="107">
        <v>4</v>
      </c>
      <c r="C217" s="299" t="s">
        <v>197</v>
      </c>
      <c r="D217" s="300"/>
      <c r="E217" s="108" t="s">
        <v>193</v>
      </c>
      <c r="F217" s="109" t="s">
        <v>194</v>
      </c>
      <c r="G217" s="110"/>
      <c r="H217" s="119">
        <v>629</v>
      </c>
      <c r="I217" s="119">
        <v>23745300.879999999</v>
      </c>
    </row>
    <row r="218" spans="2:9" ht="30" customHeight="1" x14ac:dyDescent="0.45">
      <c r="B218" s="107">
        <v>5</v>
      </c>
      <c r="C218" s="299" t="s">
        <v>198</v>
      </c>
      <c r="D218" s="300"/>
      <c r="E218" s="111" t="s">
        <v>190</v>
      </c>
      <c r="F218" s="109" t="s">
        <v>199</v>
      </c>
      <c r="G218" s="110"/>
      <c r="H218" s="120">
        <v>0</v>
      </c>
      <c r="I218" s="120">
        <v>0</v>
      </c>
    </row>
    <row r="219" spans="2:9" ht="30" customHeight="1" x14ac:dyDescent="0.45">
      <c r="B219" s="107">
        <v>6</v>
      </c>
      <c r="C219" s="299" t="s">
        <v>200</v>
      </c>
      <c r="D219" s="300"/>
      <c r="E219" s="108" t="s">
        <v>193</v>
      </c>
      <c r="F219" s="109" t="s">
        <v>199</v>
      </c>
      <c r="G219" s="110"/>
      <c r="H219" s="120">
        <v>73</v>
      </c>
      <c r="I219" s="119">
        <v>-1214434</v>
      </c>
    </row>
    <row r="220" spans="2:9" ht="33" customHeight="1" x14ac:dyDescent="0.45">
      <c r="B220" s="116">
        <v>7</v>
      </c>
      <c r="C220" s="299" t="s">
        <v>201</v>
      </c>
      <c r="D220" s="300"/>
      <c r="E220" s="117" t="s">
        <v>193</v>
      </c>
      <c r="F220" s="112" t="s">
        <v>202</v>
      </c>
      <c r="G220" s="113"/>
      <c r="H220" s="114" t="s">
        <v>97</v>
      </c>
      <c r="I220" s="115"/>
    </row>
  </sheetData>
  <mergeCells count="48">
    <mergeCell ref="D79:I79"/>
    <mergeCell ref="D70:I70"/>
    <mergeCell ref="J70:K70"/>
    <mergeCell ref="L70:M70"/>
    <mergeCell ref="D71:I71"/>
    <mergeCell ref="D72:I72"/>
    <mergeCell ref="D73:I73"/>
    <mergeCell ref="D74:I74"/>
    <mergeCell ref="D75:I75"/>
    <mergeCell ref="D76:I76"/>
    <mergeCell ref="D77:I77"/>
    <mergeCell ref="D78:I78"/>
    <mergeCell ref="C121:C125"/>
    <mergeCell ref="D80:I80"/>
    <mergeCell ref="D81:I81"/>
    <mergeCell ref="D82:I82"/>
    <mergeCell ref="D83:I83"/>
    <mergeCell ref="D84:I84"/>
    <mergeCell ref="D85:I85"/>
    <mergeCell ref="D86:I86"/>
    <mergeCell ref="D87:I87"/>
    <mergeCell ref="C101:C105"/>
    <mergeCell ref="C106:C110"/>
    <mergeCell ref="C111:C115"/>
    <mergeCell ref="C186:C187"/>
    <mergeCell ref="C126:C131"/>
    <mergeCell ref="C132:C137"/>
    <mergeCell ref="C142:C147"/>
    <mergeCell ref="C148:C149"/>
    <mergeCell ref="C150:C154"/>
    <mergeCell ref="C159:C161"/>
    <mergeCell ref="C162:C163"/>
    <mergeCell ref="C164:C167"/>
    <mergeCell ref="C172:C175"/>
    <mergeCell ref="C176:C177"/>
    <mergeCell ref="C178:C180"/>
    <mergeCell ref="C220:D220"/>
    <mergeCell ref="C188:C189"/>
    <mergeCell ref="C190:C191"/>
    <mergeCell ref="C197:C200"/>
    <mergeCell ref="C202:C207"/>
    <mergeCell ref="C213:D213"/>
    <mergeCell ref="C214:D214"/>
    <mergeCell ref="C215:D215"/>
    <mergeCell ref="C216:D216"/>
    <mergeCell ref="C217:D217"/>
    <mergeCell ref="C218:D218"/>
    <mergeCell ref="C219:D219"/>
  </mergeCells>
  <conditionalFormatting sqref="H155:I155">
    <cfRule type="cellIs" dxfId="5" priority="6" operator="equal">
      <formula>0</formula>
    </cfRule>
  </conditionalFormatting>
  <conditionalFormatting sqref="F155">
    <cfRule type="cellIs" dxfId="4" priority="5" operator="equal">
      <formula>0</formula>
    </cfRule>
  </conditionalFormatting>
  <conditionalFormatting sqref="F155:I155">
    <cfRule type="cellIs" dxfId="3" priority="4" operator="notEqual">
      <formula>0</formula>
    </cfRule>
  </conditionalFormatting>
  <conditionalFormatting sqref="H168:I168">
    <cfRule type="cellIs" dxfId="2" priority="3" operator="equal">
      <formula>0</formula>
    </cfRule>
  </conditionalFormatting>
  <conditionalFormatting sqref="F168">
    <cfRule type="cellIs" dxfId="1" priority="2" operator="equal">
      <formula>0</formula>
    </cfRule>
  </conditionalFormatting>
  <conditionalFormatting sqref="F168:I168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6" ma:contentTypeDescription="Criar um novo documento." ma:contentTypeScope="" ma:versionID="53033b5f3dce2b94a9d1d5f094049497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d232ce5aaa59e03285d5e6aa9334f8ce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FAD2D1-0AC1-4D61-8265-A3C7A8A5148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7b1ec8e5-5652-48eb-8550-a56a35f5f817"/>
    <ds:schemaRef ds:uri="a9b50dc7-8f72-473c-8b7e-4a8c46ecad3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83A6224-5C1C-426E-998D-513DD1C526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8841D4-F93B-47D0-9A37-E1DFE5D60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1. Resumo Universo</vt:lpstr>
      <vt:lpstr>1.1.Pessoais</vt:lpstr>
      <vt:lpstr>1.2.Imóveis</vt:lpstr>
      <vt:lpstr>1.3.Financeiras</vt:lpstr>
      <vt:lpstr>1.4.Imóveis - LEA</vt:lpstr>
      <vt:lpstr>1.5.Pessoais - LEA</vt:lpstr>
      <vt:lpstr>1.6.Factoring</vt:lpstr>
      <vt:lpstr>Dados Fevereiro | 16-04-23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Ahmad, Nadia Genebra</dc:creator>
  <cp:keywords/>
  <dc:description/>
  <cp:lastModifiedBy>Nádia Genebra Ahmad</cp:lastModifiedBy>
  <cp:revision/>
  <dcterms:created xsi:type="dcterms:W3CDTF">2021-06-15T11:01:50Z</dcterms:created>
  <dcterms:modified xsi:type="dcterms:W3CDTF">2023-05-22T16:07:57Z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41b88ec2-a72b-4523-9e84-0458a1764731_Enabled">
    <vt:lpwstr>true</vt:lpwstr>
  </property>
  <property fmtid="{D5CDD505-2E9C-101B-9397-08002B2CF9AE}" pid="6" name="MSIP_Label_41b88ec2-a72b-4523-9e84-0458a1764731_SetDate">
    <vt:lpwstr>2022-09-26T13:40:22Z</vt:lpwstr>
  </property>
  <property fmtid="{D5CDD505-2E9C-101B-9397-08002B2CF9AE}" pid="7" name="MSIP_Label_41b88ec2-a72b-4523-9e84-0458a1764731_Method">
    <vt:lpwstr>Privileged</vt:lpwstr>
  </property>
  <property fmtid="{D5CDD505-2E9C-101B-9397-08002B2CF9AE}" pid="8" name="MSIP_Label_41b88ec2-a72b-4523-9e84-0458a1764731_Name">
    <vt:lpwstr>Public O365</vt:lpwstr>
  </property>
  <property fmtid="{D5CDD505-2E9C-101B-9397-08002B2CF9AE}" pid="9" name="MSIP_Label_41b88ec2-a72b-4523-9e84-0458a1764731_SiteId">
    <vt:lpwstr>35595a02-4d6d-44ac-99e1-f9ab4cd872db</vt:lpwstr>
  </property>
  <property fmtid="{D5CDD505-2E9C-101B-9397-08002B2CF9AE}" pid="10" name="MSIP_Label_41b88ec2-a72b-4523-9e84-0458a1764731_ActionId">
    <vt:lpwstr>9ec135ed-58ad-41d6-b11a-1d0c79a2407c</vt:lpwstr>
  </property>
  <property fmtid="{D5CDD505-2E9C-101B-9397-08002B2CF9AE}" pid="11" name="MSIP_Label_41b88ec2-a72b-4523-9e84-0458a1764731_ContentBits">
    <vt:lpwstr>0</vt:lpwstr>
  </property>
  <property fmtid="{D5CDD505-2E9C-101B-9397-08002B2CF9AE}" pid="12" name="MediaServiceImageTags">
    <vt:lpwstr/>
  </property>
</Properties>
</file>