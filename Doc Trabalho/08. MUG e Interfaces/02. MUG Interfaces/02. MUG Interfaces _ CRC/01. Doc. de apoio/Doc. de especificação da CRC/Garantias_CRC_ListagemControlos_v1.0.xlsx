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GarantiasCRCBDR/Shared Documents/General/11. Emails/02. Documentação/"/>
    </mc:Choice>
  </mc:AlternateContent>
  <xr:revisionPtr revIDLastSave="0" documentId="8_{815EB958-EDB3-4867-8CEB-56CC95BFF04E}" xr6:coauthVersionLast="47" xr6:coauthVersionMax="47" xr10:uidLastSave="{00000000-0000-0000-0000-000000000000}"/>
  <bookViews>
    <workbookView xWindow="-120" yWindow="-120" windowWidth="29040" windowHeight="15840" xr2:uid="{5E12363E-CA1B-4604-BF86-53A476BD083A}"/>
  </bookViews>
  <sheets>
    <sheet name="Status Controlos" sheetId="1" r:id="rId1"/>
  </sheets>
  <definedNames>
    <definedName name="_xlnm._FilterDatabase" localSheetId="0" hidden="1">'Status Controlos'!$B$18:$G$86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C11" i="1"/>
  <c r="F10" i="1"/>
  <c r="C10" i="1"/>
  <c r="F9" i="1"/>
  <c r="C9" i="1"/>
  <c r="F15" i="1" l="1"/>
  <c r="C12" i="1"/>
</calcChain>
</file>

<file path=xl/sharedStrings.xml><?xml version="1.0" encoding="utf-8"?>
<sst xmlns="http://schemas.openxmlformats.org/spreadsheetml/2006/main" count="362" uniqueCount="218">
  <si>
    <t>1. Resumo da implementação dos controlos</t>
  </si>
  <si>
    <t>Status</t>
  </si>
  <si>
    <t># Controlos</t>
  </si>
  <si>
    <t>Tipologia de Controlos</t>
  </si>
  <si>
    <t>Done</t>
  </si>
  <si>
    <t>Integridade entre tabelas</t>
  </si>
  <si>
    <t>WIP</t>
  </si>
  <si>
    <t>Duplicados</t>
  </si>
  <si>
    <t>To Start</t>
  </si>
  <si>
    <t>Validação de chaves</t>
  </si>
  <si>
    <t>Total</t>
  </si>
  <si>
    <t>Universo</t>
  </si>
  <si>
    <t>Preenchimento de campos</t>
  </si>
  <si>
    <t>Variações mensais</t>
  </si>
  <si>
    <t>ID</t>
  </si>
  <si>
    <t>Tipologia</t>
  </si>
  <si>
    <t>Âmbito</t>
  </si>
  <si>
    <t>Descritivo Teste</t>
  </si>
  <si>
    <t>cod_kpi</t>
  </si>
  <si>
    <t>Integridade GT022 vs GT023</t>
  </si>
  <si>
    <t>Validar que todos os IDPROT da tabela GT022 existem na GT023, e vice-versa.</t>
  </si>
  <si>
    <t>GAR_KPI_233</t>
  </si>
  <si>
    <t>Coerência GT022 vs GT023</t>
  </si>
  <si>
    <t>Validar que o valor atual da proteção reportado na GT022 corresponde ao somatório do valor da GT023.</t>
  </si>
  <si>
    <t>GAR_KPI_234</t>
  </si>
  <si>
    <t>Duplicados GT022</t>
  </si>
  <si>
    <t>Validar que não existem registos duplicados na GT022.</t>
  </si>
  <si>
    <t>GAR_KPI_235</t>
  </si>
  <si>
    <t>Duplicados GT023</t>
  </si>
  <si>
    <t>Validar que não existem registos duplicados na GT023.</t>
  </si>
  <si>
    <t>GAR_KPI_236</t>
  </si>
  <si>
    <t>Duplicados KT_CHAVES_INTRF_GRTS_CRC</t>
  </si>
  <si>
    <t>Validar que não existem registos duplicados no tradutor (KT_CHAVES_INTRF_GRTS_CRC).</t>
  </si>
  <si>
    <t>GAR_KPI_237</t>
  </si>
  <si>
    <t>Duplicados GT703</t>
  </si>
  <si>
    <t>Validar que não existem registos duplicados na GT703.</t>
  </si>
  <si>
    <t>GAR_KPI_238</t>
  </si>
  <si>
    <t>GT022 - SISTEMAFONTE</t>
  </si>
  <si>
    <t>Validar que o campo SISTEMAFONTE está preenchido para todos os registos com "RC".</t>
  </si>
  <si>
    <t>GAR_KPI_239</t>
  </si>
  <si>
    <t>GT022 - HIERQPROT</t>
  </si>
  <si>
    <t>Validar que o campo HIERQPROT está preenchido para todas as tipologias de garantias com "1".</t>
  </si>
  <si>
    <t>GAR_KPI_240</t>
  </si>
  <si>
    <t>GT022 - DTREF</t>
  </si>
  <si>
    <t>Validar que o campo DTREF está igual ao campo REF_DATE.</t>
  </si>
  <si>
    <t>GAR_KPI_241</t>
  </si>
  <si>
    <t>GT022 - DTULTAVAL</t>
  </si>
  <si>
    <t xml:space="preserve">Validar que o campo DTULTAVAL está preenchido para todas as tipologias de garantias a partir do campo "DTRCAVAL" da gt018 </t>
  </si>
  <si>
    <t>GAR_KPI_242</t>
  </si>
  <si>
    <t>GT022 - TPPROT</t>
  </si>
  <si>
    <t>Validar que o campo TPPROT está preenchido para todas as tipologias de garantias.</t>
  </si>
  <si>
    <t>GAR_KPI_243</t>
  </si>
  <si>
    <t>GT022 - PRECOAQUISIMOVEL</t>
  </si>
  <si>
    <t xml:space="preserve">Validar que o campo PRECOAQUISIMOVEL está preenchido para garantias imoveis com o campo "preco_aquisicao" da gt018 </t>
  </si>
  <si>
    <t>GAR_KPI_244</t>
  </si>
  <si>
    <t>GT022 - TPVALPROT</t>
  </si>
  <si>
    <t>Validar que o campo TPVALPROT está preenchido para todas as tipologias de garantias.</t>
  </si>
  <si>
    <t>GAR_KPI_245</t>
  </si>
  <si>
    <t>GT022 - TPAVAL</t>
  </si>
  <si>
    <t>Validar que o campo TPAVAL está preenchido para todas as tipologias de garantias.</t>
  </si>
  <si>
    <t>GAR_KPI_246</t>
  </si>
  <si>
    <t>GT022 - VALPROT</t>
  </si>
  <si>
    <t>Validar que o campo VALPROT está preenchido com o somatório do campo VALALOCPROT da GT023.</t>
  </si>
  <si>
    <t>GAR_KPI_247</t>
  </si>
  <si>
    <t>GT022 - DTMATPROT</t>
  </si>
  <si>
    <t xml:space="preserve">Validar que o campo DTMATPROT está corretamente preenchido para todas as tipologias de garantias </t>
  </si>
  <si>
    <t>GAR_KPI_248</t>
  </si>
  <si>
    <t>GT022 - PAISLOCPROT</t>
  </si>
  <si>
    <t>Validar que o campo PAISLOCPROT está corretamente preenchido para garantias imoveis.</t>
  </si>
  <si>
    <t>GAR_KPI_249</t>
  </si>
  <si>
    <t>GT022 - REGLOCPROT</t>
  </si>
  <si>
    <t>Validar que o campo REGLOCPROT está corretamente preenchido para garantias imoveis</t>
  </si>
  <si>
    <t>GAR_KPI_250</t>
  </si>
  <si>
    <t>GT022 - NUMREGPROT</t>
  </si>
  <si>
    <t>Validar que o campo NUMREGPROT está corretamente preenchido para garantias imoveis.</t>
  </si>
  <si>
    <t>GAR_KPI_251</t>
  </si>
  <si>
    <t>GT022 - ESTEXECPROT</t>
  </si>
  <si>
    <t>Validar que o campo ESTEXECPROT está corretamente preenchido para todas as tipologias de garantias.</t>
  </si>
  <si>
    <t>GAR_KPI_252</t>
  </si>
  <si>
    <t>GT022 - DTEXECPROT</t>
  </si>
  <si>
    <t>Validar que o campo DTEXECPROT está corretamente preenchido para todas as tipologias de garantias.</t>
  </si>
  <si>
    <t>GAR_KPI_253</t>
  </si>
  <si>
    <t>GT022 - VALACUMEXECPROT</t>
  </si>
  <si>
    <t>Validar que o campo VALACUMEXECPROT está corretamente preenchido para todas as tipologias de garantias.</t>
  </si>
  <si>
    <t>GAR_KPI_254</t>
  </si>
  <si>
    <t>GT023 - SISTEMAFONTE</t>
  </si>
  <si>
    <t>Validar que o campo SISTEMAFONTE está preenchidos para todos os registos com "RC".</t>
  </si>
  <si>
    <t>GAR_KPI_255</t>
  </si>
  <si>
    <t>GT023 - CREDPRIOR</t>
  </si>
  <si>
    <t xml:space="preserve">Validar que o campo CREDPRIOR está preenchido com "0" para todos os registos </t>
  </si>
  <si>
    <t>GAR_KPI_256</t>
  </si>
  <si>
    <t>GT023 - ESTEXECPROTINST</t>
  </si>
  <si>
    <t>Validar que o campo ESTEXECPROTINST está corretamente preenchido para todas as tipologias de garantias.</t>
  </si>
  <si>
    <t>GAR_KPI_257</t>
  </si>
  <si>
    <t>GT023 - VALEXECPROTINST</t>
  </si>
  <si>
    <t>Validar que o campo VALEXECPROTINST está corretamente preenchido para todas as tipologias de garantias.</t>
  </si>
  <si>
    <t>GAR_KPI_258</t>
  </si>
  <si>
    <t>GT022 - NIFNIPC</t>
  </si>
  <si>
    <t>Validar que o campo NIFNIPC está preenchido para os registos que apresentam código de NIF válido.</t>
  </si>
  <si>
    <t>GAR_KPI_259</t>
  </si>
  <si>
    <t>GT022 - ZCLIENTE</t>
  </si>
  <si>
    <t>Validar que o campo ZCLIENTE está preenchido para todos os registos.</t>
  </si>
  <si>
    <t>GAR_KPI_260</t>
  </si>
  <si>
    <t>GT023 - IDCONT</t>
  </si>
  <si>
    <t>Validar que os idconts que estão na gt023 correspondem aos idconts que estão no tradutor e vice-versa</t>
  </si>
  <si>
    <t>GAR_KPI_261</t>
  </si>
  <si>
    <t>GT023 - IDINST</t>
  </si>
  <si>
    <t>Validar que os idinst que estão na gt023 correspondem aos idinst que estão no tradutor e vice-versa</t>
  </si>
  <si>
    <t>GAR_KPI_262</t>
  </si>
  <si>
    <t>GT022 - DTREFREG</t>
  </si>
  <si>
    <t>Validar que o campo DTREFREG está igual ao campo DTREF.</t>
  </si>
  <si>
    <t>GAR_KPI_263</t>
  </si>
  <si>
    <t>KT_CHAVES_INTRF_GRTS_CRC - Preenchimento IDCONT</t>
  </si>
  <si>
    <t xml:space="preserve">Validar que o idcont do tradutor corresponde à concatenação do ckbalres, ckctares da gt018 </t>
  </si>
  <si>
    <t>GAR_KPI_264</t>
  </si>
  <si>
    <t>KT_CHAVES_INTRF_GRTS_CRC - Preenchimento IDINST</t>
  </si>
  <si>
    <t xml:space="preserve">Validar que o idinst do tradutor corresponde ao ckrefresp da gt018 </t>
  </si>
  <si>
    <t>GAR_KPI_265</t>
  </si>
  <si>
    <t>KT_CHAVES_INTRF_GRTS_CRC - Preenchimento IDPROT</t>
  </si>
  <si>
    <t>Validar que a construção do IDPROT na KT_CHAVES_INTRF_GRTS_CRC se encontra correta.</t>
  </si>
  <si>
    <t>GAR_KPI_266</t>
  </si>
  <si>
    <t>Universo KT_CHAVES_INTRF_GRTS_CRC</t>
  </si>
  <si>
    <t>Garantir que o universo de responsabilidades-bem do KT_CHAVES_INTRF_GRTS_CRC encontra-se correto de acordo com o que deve ser selecionado a partir da GT018.</t>
  </si>
  <si>
    <t>GAR_KPI_267</t>
  </si>
  <si>
    <t>GT703 - Sequenciadores duplicados</t>
  </si>
  <si>
    <t>Garantir que para o mesmo par IDCONT+ZCLIENTE_CED cada sequenciador é único. (apenas aplicável para as garantias pessoais)</t>
  </si>
  <si>
    <t>GAR_KPI_268</t>
  </si>
  <si>
    <t>GT073 - SEQ</t>
  </si>
  <si>
    <t>Garantir que, para as garantias pessoais, para a mesma combinação IDCONT+ZCLIENTE_CED, o IDINST encontra-se corretamente ordenado (refletido no campo SEQ).</t>
  </si>
  <si>
    <t>GAR_KPI_269</t>
  </si>
  <si>
    <t>GT023 - VALALOCPROT</t>
  </si>
  <si>
    <t>Validar que o campo VALALOCPROT é a soma do campo MAVALIAA por idcont+idinst+idprot+dtref</t>
  </si>
  <si>
    <t>GAR_KPI_270</t>
  </si>
  <si>
    <t>GT023 - DTREF</t>
  </si>
  <si>
    <t>GAR_KPI_271</t>
  </si>
  <si>
    <t>GT022 - VALORIPROT</t>
  </si>
  <si>
    <t>Validar que o campo VALORIPROT está preenchido para todos os registos.</t>
  </si>
  <si>
    <t>GAR_KPI_272</t>
  </si>
  <si>
    <t>GT022 - DTVALORIPROT</t>
  </si>
  <si>
    <t>Validar que o campo DTVALORIPROT está preenchido para todos os registos.</t>
  </si>
  <si>
    <t>GAR_KPI_273</t>
  </si>
  <si>
    <t>GT023 - IDPROT</t>
  </si>
  <si>
    <t>Validar que os idprots que estão na gt023 correspondem aos idprots que estão no tradutor e vice-versa</t>
  </si>
  <si>
    <t>GAR_KPI_274</t>
  </si>
  <si>
    <t>GT022 - IDPROT</t>
  </si>
  <si>
    <t>Validar que os idprots que estão na gt022 correspondem aos idprots que estão no tradutor e vice-versa</t>
  </si>
  <si>
    <t>GAR_KPI_275</t>
  </si>
  <si>
    <t>GT022 - CDGPOSTAL</t>
  </si>
  <si>
    <t>Validar que o campo CDGPOSTAL está corretamente preenchido para as garantias imóveis.</t>
  </si>
  <si>
    <t>GAR_KPI_276</t>
  </si>
  <si>
    <t>GT004 - DETENTOR_BEM</t>
  </si>
  <si>
    <t>Validar que o campo DETENTOR_BEM da GT004 está corretamente preenchido pelo campo zcliente da cl001</t>
  </si>
  <si>
    <t>GAR_KPI_277</t>
  </si>
  <si>
    <t>GT009 - DETENTOR_BEM</t>
  </si>
  <si>
    <t>Validar que o campo DETENTOR_BEM da GT009 está corretamente preenchido pelo campo zcliente da cl001</t>
  </si>
  <si>
    <t>GAR_KPI_278</t>
  </si>
  <si>
    <t>GT018 - PRECO_AQUISICAO (IMO-GP)</t>
  </si>
  <si>
    <t>Validar que o campo PRECO_AQUISICAO da GT018 está corretamente preenchido para garantias imóveis de origem GP.</t>
  </si>
  <si>
    <t>GAR_KPI_279</t>
  </si>
  <si>
    <t>GT018 - DATA_AQUISICAO (IMO-GP)</t>
  </si>
  <si>
    <t>Validar que o campo DATA_AQUISICAO da GT018 está corretamente preenchido para garantias imóveis de origem GP.</t>
  </si>
  <si>
    <t>GAR_KPI_280</t>
  </si>
  <si>
    <t>GT022 - REFEXTPROT</t>
  </si>
  <si>
    <t xml:space="preserve">Validar que o campo REFEXTPROT está preenchido para todas as tipologias de garantias a partir do  CONCAT(GT022.IDPROT,"-",GROUP_CONCAT(DISTINCT CONCAT(GT018.TIPOLOGIA,"-",GT018.ORIGEM))) </t>
  </si>
  <si>
    <t>GAR_KPI_281</t>
  </si>
  <si>
    <t>GT022 - Variação Mensal VALORIPROT</t>
  </si>
  <si>
    <t>Validar a variação entre T e T-1 para o campo VALORIPROT de forma a garantir que não variou.</t>
  </si>
  <si>
    <t>GAR_KPI_282</t>
  </si>
  <si>
    <t>GT022 - Variação Mensal DTVALORIPROT</t>
  </si>
  <si>
    <t>Validar a variação entre T e T-1 para o campo DTVALORIRPOT de forma a garantir que não variou.</t>
  </si>
  <si>
    <t>GAR_KPI_283</t>
  </si>
  <si>
    <t>GT022 - Variação Mensal PRECOAQUISIMOVEL</t>
  </si>
  <si>
    <t>Validar a variação entre T e T-1 para o campo PRECOAQUISIMOVEL de forma a garantir que não variou.</t>
  </si>
  <si>
    <t>GAR_KPI_284</t>
  </si>
  <si>
    <t xml:space="preserve">GT018  - MAVALIAI_PROC </t>
  </si>
  <si>
    <t>Campo MAVALIAI_PROC tem de estar preenchido na GT018</t>
  </si>
  <si>
    <t>GAR_KPI_285</t>
  </si>
  <si>
    <t>GT018 - MAVALIAI_BEM</t>
  </si>
  <si>
    <t>Campo MAVALIAI_BEM tem de estar preenchido na GT018</t>
  </si>
  <si>
    <t>GAR_KPI_286</t>
  </si>
  <si>
    <t>GT018 - MAVALIAI_RESP_BEM</t>
  </si>
  <si>
    <t>Campo MAVALIAI_RESP_BEM tem de estar preenchido na GT018</t>
  </si>
  <si>
    <t>GAR_KPI_287</t>
  </si>
  <si>
    <t>GT018 - DTVALIAI_PROC</t>
  </si>
  <si>
    <t>Campo DTVALIAI_PROC tem de estar preenchido na GT018</t>
  </si>
  <si>
    <t>GAR_KPI_288</t>
  </si>
  <si>
    <t>GT018 - DTVALIAI_BEM</t>
  </si>
  <si>
    <t>Campo DTVALIAI_BEM tem de estar preenchido na GT018</t>
  </si>
  <si>
    <t>GAR_KPI_289</t>
  </si>
  <si>
    <t>GT018 - DTVALIAI_RESP_BEM</t>
  </si>
  <si>
    <t>Campo DTVALIAI_RESP_BEM tem de estar preenchido na GT018</t>
  </si>
  <si>
    <t>GAR_KPI_290</t>
  </si>
  <si>
    <t>Dados das execuções mensais</t>
  </si>
  <si>
    <t>Validar que nos ultimos 3 meses existiram execuções na GT024</t>
  </si>
  <si>
    <t>GAR_KPI_291</t>
  </si>
  <si>
    <t>GT018 vs GT701 - MAVALIAI_PROC</t>
  </si>
  <si>
    <t xml:space="preserve">Validar que os campos de datas e valores iniciais da GT018 estão corretamente preenchidos a partir da GT701 </t>
  </si>
  <si>
    <t>GAR_KPI_292</t>
  </si>
  <si>
    <t>GT018 vs GT701 - MAVALIAI_RESP_BEM</t>
  </si>
  <si>
    <t>GAR_KPI_293</t>
  </si>
  <si>
    <t>GT018 vs GT701 - MAVALIAI_BEM</t>
  </si>
  <si>
    <t>GAR_KPI_294</t>
  </si>
  <si>
    <t>GT018 vs GT701 - DTVALIAI_PROC</t>
  </si>
  <si>
    <t>GAR_KPI_295</t>
  </si>
  <si>
    <t>GT018 vs GT701 - DTVALIAI_RESP_BEM</t>
  </si>
  <si>
    <t>GAR_KPI_296</t>
  </si>
  <si>
    <t>GT018 vs GT701 - DTVALIAI_BEM</t>
  </si>
  <si>
    <t>GAR_KPI_297</t>
  </si>
  <si>
    <t xml:space="preserve">GT018 - Garantias Leasing IMO </t>
  </si>
  <si>
    <t xml:space="preserve">Validar que na GT018 para garantias LEA IMO,  os bens têm apenas 1 contrato associado </t>
  </si>
  <si>
    <t>GAR_KPI_298</t>
  </si>
  <si>
    <t>GT018 - PRECO_AQUISICAO (IMO-LEA)</t>
  </si>
  <si>
    <t>Validar que o campo PRECO_AQUISICAO da GT018 está corretamente preenchido para garantias imóveis de origem LEA.</t>
  </si>
  <si>
    <t>GAR_KPI_299</t>
  </si>
  <si>
    <t>GT018 - DATA_AQUISICAO (IMO-LEA)</t>
  </si>
  <si>
    <t>Validar que o campo DATA_AQUISICAO da GT018 está corretamente preenchido para garantias imóveis de origem LEA.</t>
  </si>
  <si>
    <t>GAR_KPI_300</t>
  </si>
  <si>
    <r>
      <rPr>
        <b/>
        <i/>
        <sz val="11"/>
        <color theme="0" tint="-4.9989318521683403E-2"/>
        <rFont val="Calibri"/>
        <family val="2"/>
      </rPr>
      <t>Status</t>
    </r>
    <r>
      <rPr>
        <b/>
        <sz val="11"/>
        <color theme="0" tint="-4.9989318521683403E-2"/>
        <rFont val="Calibri"/>
        <family val="2"/>
      </rPr>
      <t xml:space="preserve"> - Produção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</si>
</sst>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C000"/>
      <name val="Calibri"/>
      <family val="2"/>
    </font>
    <font>
      <sz val="11"/>
      <color rgb="FFFF0000"/>
      <name val="Calibri"/>
      <family val="2"/>
    </font>
    <font>
      <b/>
      <i/>
      <sz val="11"/>
      <color theme="0" tint="-4.9989318521683403E-2"/>
      <name val="Calibri"/>
      <family val="2"/>
    </font>
    <font>
      <b/>
      <sz val="11"/>
      <color theme="0" tint="-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3" fontId="8" fillId="2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3"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FDDDD"/>
        </patternFill>
      </fill>
    </dxf>
    <dxf>
      <font>
        <b/>
        <i val="0"/>
        <color rgb="FFFFC0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4611" y="84666"/>
    <xdr:ext cx="1514258" cy="307280"/>
    <xdr:pic>
      <xdr:nvPicPr>
        <xdr:cNvPr id="2" name="Gráfico 8">
          <a:extLst>
            <a:ext uri="{FF2B5EF4-FFF2-40B4-BE49-F238E27FC236}">
              <a16:creationId xmlns:a16="http://schemas.microsoft.com/office/drawing/2014/main" id="{E348AD28-9F6F-476A-A01D-9BB0DF9FCDE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611" y="84666"/>
          <a:ext cx="1514258" cy="30728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E8D0-822A-44FA-B461-2D637043C3A7}">
  <sheetPr>
    <tabColor rgb="FFFF0000"/>
  </sheetPr>
  <dimension ref="A1:L95"/>
  <sheetViews>
    <sheetView showGridLines="0" tabSelected="1" zoomScale="80" zoomScaleNormal="80" workbookViewId="0">
      <selection activeCell="B1" sqref="B1"/>
    </sheetView>
  </sheetViews>
  <sheetFormatPr defaultColWidth="0" defaultRowHeight="15" customHeight="1" zeroHeight="1" x14ac:dyDescent="0.25"/>
  <cols>
    <col min="1" max="1" width="3.85546875" style="1" customWidth="1"/>
    <col min="2" max="2" width="11.85546875" style="1" customWidth="1"/>
    <col min="3" max="3" width="24.7109375" style="1" customWidth="1"/>
    <col min="4" max="4" width="34.140625" style="1" customWidth="1"/>
    <col min="5" max="5" width="48" style="1" customWidth="1"/>
    <col min="6" max="6" width="18.7109375" style="1" customWidth="1"/>
    <col min="7" max="7" width="23" style="1" bestFit="1" customWidth="1"/>
    <col min="8" max="8" width="3.85546875" style="1" customWidth="1"/>
    <col min="9" max="12" width="0" style="1" hidden="1"/>
    <col min="13" max="16384" width="8.85546875" style="1" hidden="1"/>
  </cols>
  <sheetData>
    <row r="1" spans="1:8" x14ac:dyDescent="0.25"/>
    <row r="2" spans="1:8" x14ac:dyDescent="0.25"/>
    <row r="3" spans="1:8" x14ac:dyDescent="0.25"/>
    <row r="4" spans="1:8" ht="3" customHeight="1" x14ac:dyDescent="0.25">
      <c r="A4" s="2"/>
      <c r="B4" s="2"/>
      <c r="C4" s="2"/>
      <c r="D4" s="2"/>
      <c r="E4" s="2"/>
      <c r="F4" s="2"/>
      <c r="G4" s="2"/>
      <c r="H4" s="2"/>
    </row>
    <row r="5" spans="1:8" x14ac:dyDescent="0.25"/>
    <row r="6" spans="1:8" x14ac:dyDescent="0.25">
      <c r="B6" s="3" t="s">
        <v>0</v>
      </c>
      <c r="C6" s="3"/>
      <c r="D6" s="4"/>
      <c r="E6" s="4"/>
      <c r="F6" s="4"/>
      <c r="G6" s="4"/>
    </row>
    <row r="7" spans="1:8" x14ac:dyDescent="0.25"/>
    <row r="8" spans="1:8" x14ac:dyDescent="0.25">
      <c r="B8" s="5" t="s">
        <v>1</v>
      </c>
      <c r="C8" s="6" t="s">
        <v>2</v>
      </c>
      <c r="E8" s="7" t="s">
        <v>3</v>
      </c>
      <c r="F8" s="7" t="s">
        <v>2</v>
      </c>
    </row>
    <row r="9" spans="1:8" x14ac:dyDescent="0.25">
      <c r="B9" s="8" t="s">
        <v>4</v>
      </c>
      <c r="C9" s="9">
        <f>COUNTIFS($G$19:$G$86,B9)</f>
        <v>66</v>
      </c>
      <c r="E9" s="9" t="s">
        <v>5</v>
      </c>
      <c r="F9" s="9">
        <f t="shared" ref="F9:F14" si="0">COUNTIFS($C$19:$C$86,E9)</f>
        <v>2</v>
      </c>
    </row>
    <row r="10" spans="1:8" x14ac:dyDescent="0.25">
      <c r="B10" s="10" t="s">
        <v>6</v>
      </c>
      <c r="C10" s="9">
        <f>COUNTIFS($G$19:$G$86,B10)</f>
        <v>0</v>
      </c>
      <c r="E10" s="9" t="s">
        <v>7</v>
      </c>
      <c r="F10" s="9">
        <f t="shared" si="0"/>
        <v>5</v>
      </c>
    </row>
    <row r="11" spans="1:8" x14ac:dyDescent="0.25">
      <c r="B11" s="11" t="s">
        <v>8</v>
      </c>
      <c r="C11" s="9">
        <f>COUNTIFS($G$19:$G$86,B11)</f>
        <v>2</v>
      </c>
      <c r="E11" s="9" t="s">
        <v>9</v>
      </c>
      <c r="F11" s="9">
        <f t="shared" si="0"/>
        <v>3</v>
      </c>
    </row>
    <row r="12" spans="1:8" x14ac:dyDescent="0.25">
      <c r="B12" s="12" t="s">
        <v>10</v>
      </c>
      <c r="C12" s="12">
        <f>SUM(C9:C11)</f>
        <v>68</v>
      </c>
      <c r="E12" s="9" t="s">
        <v>11</v>
      </c>
      <c r="F12" s="9">
        <f t="shared" si="0"/>
        <v>6</v>
      </c>
    </row>
    <row r="13" spans="1:8" x14ac:dyDescent="0.25">
      <c r="E13" s="9" t="s">
        <v>12</v>
      </c>
      <c r="F13" s="9">
        <f t="shared" si="0"/>
        <v>48</v>
      </c>
    </row>
    <row r="14" spans="1:8" x14ac:dyDescent="0.25">
      <c r="E14" s="9" t="s">
        <v>13</v>
      </c>
      <c r="F14" s="9">
        <f t="shared" si="0"/>
        <v>4</v>
      </c>
    </row>
    <row r="15" spans="1:8" x14ac:dyDescent="0.25">
      <c r="E15" s="12" t="s">
        <v>10</v>
      </c>
      <c r="F15" s="12">
        <f>SUM(F9:F14)</f>
        <v>68</v>
      </c>
    </row>
    <row r="16" spans="1:8" x14ac:dyDescent="0.25"/>
    <row r="17" spans="2:7" x14ac:dyDescent="0.25">
      <c r="B17" s="14"/>
    </row>
    <row r="18" spans="2:7" s="13" customFormat="1" ht="18" customHeight="1" x14ac:dyDescent="0.25">
      <c r="B18" s="15" t="s">
        <v>14</v>
      </c>
      <c r="C18" s="15" t="s">
        <v>15</v>
      </c>
      <c r="D18" s="15" t="s">
        <v>16</v>
      </c>
      <c r="E18" s="15" t="s">
        <v>17</v>
      </c>
      <c r="F18" s="15" t="s">
        <v>18</v>
      </c>
      <c r="G18" s="15" t="s">
        <v>217</v>
      </c>
    </row>
    <row r="19" spans="2:7" ht="30" x14ac:dyDescent="0.25">
      <c r="B19" s="16">
        <v>1</v>
      </c>
      <c r="C19" s="17" t="s">
        <v>5</v>
      </c>
      <c r="D19" s="17" t="s">
        <v>19</v>
      </c>
      <c r="E19" s="18" t="s">
        <v>20</v>
      </c>
      <c r="F19" s="18" t="s">
        <v>21</v>
      </c>
      <c r="G19" s="19" t="s">
        <v>4</v>
      </c>
    </row>
    <row r="20" spans="2:7" ht="30" x14ac:dyDescent="0.25">
      <c r="B20" s="16">
        <v>2</v>
      </c>
      <c r="C20" s="17" t="s">
        <v>5</v>
      </c>
      <c r="D20" s="17" t="s">
        <v>22</v>
      </c>
      <c r="E20" s="18" t="s">
        <v>23</v>
      </c>
      <c r="F20" s="18" t="s">
        <v>24</v>
      </c>
      <c r="G20" s="19" t="s">
        <v>4</v>
      </c>
    </row>
    <row r="21" spans="2:7" ht="30" x14ac:dyDescent="0.25">
      <c r="B21" s="16">
        <v>3</v>
      </c>
      <c r="C21" s="17" t="s">
        <v>7</v>
      </c>
      <c r="D21" s="17" t="s">
        <v>25</v>
      </c>
      <c r="E21" s="18" t="s">
        <v>26</v>
      </c>
      <c r="F21" s="18" t="s">
        <v>27</v>
      </c>
      <c r="G21" s="19" t="s">
        <v>4</v>
      </c>
    </row>
    <row r="22" spans="2:7" ht="30" x14ac:dyDescent="0.25">
      <c r="B22" s="16">
        <v>4</v>
      </c>
      <c r="C22" s="17" t="s">
        <v>7</v>
      </c>
      <c r="D22" s="17" t="s">
        <v>28</v>
      </c>
      <c r="E22" s="18" t="s">
        <v>29</v>
      </c>
      <c r="F22" s="18" t="s">
        <v>30</v>
      </c>
      <c r="G22" s="19" t="s">
        <v>4</v>
      </c>
    </row>
    <row r="23" spans="2:7" ht="30" x14ac:dyDescent="0.25">
      <c r="B23" s="16">
        <v>5</v>
      </c>
      <c r="C23" s="17" t="s">
        <v>7</v>
      </c>
      <c r="D23" s="17" t="s">
        <v>31</v>
      </c>
      <c r="E23" s="18" t="s">
        <v>32</v>
      </c>
      <c r="F23" s="18" t="s">
        <v>33</v>
      </c>
      <c r="G23" s="19" t="s">
        <v>4</v>
      </c>
    </row>
    <row r="24" spans="2:7" ht="30" x14ac:dyDescent="0.25">
      <c r="B24" s="16">
        <v>6</v>
      </c>
      <c r="C24" s="17" t="s">
        <v>7</v>
      </c>
      <c r="D24" s="17" t="s">
        <v>34</v>
      </c>
      <c r="E24" s="18" t="s">
        <v>35</v>
      </c>
      <c r="F24" s="18" t="s">
        <v>36</v>
      </c>
      <c r="G24" s="19" t="s">
        <v>4</v>
      </c>
    </row>
    <row r="25" spans="2:7" ht="30" x14ac:dyDescent="0.25">
      <c r="B25" s="16">
        <v>7</v>
      </c>
      <c r="C25" s="17" t="s">
        <v>12</v>
      </c>
      <c r="D25" s="17" t="s">
        <v>37</v>
      </c>
      <c r="E25" s="18" t="s">
        <v>38</v>
      </c>
      <c r="F25" s="18" t="s">
        <v>39</v>
      </c>
      <c r="G25" s="19" t="s">
        <v>4</v>
      </c>
    </row>
    <row r="26" spans="2:7" ht="30" x14ac:dyDescent="0.25">
      <c r="B26" s="16">
        <v>8</v>
      </c>
      <c r="C26" s="17" t="s">
        <v>12</v>
      </c>
      <c r="D26" s="17" t="s">
        <v>40</v>
      </c>
      <c r="E26" s="18" t="s">
        <v>41</v>
      </c>
      <c r="F26" s="18" t="s">
        <v>42</v>
      </c>
      <c r="G26" s="19" t="s">
        <v>4</v>
      </c>
    </row>
    <row r="27" spans="2:7" ht="30" x14ac:dyDescent="0.25">
      <c r="B27" s="16">
        <v>9</v>
      </c>
      <c r="C27" s="17" t="s">
        <v>12</v>
      </c>
      <c r="D27" s="17" t="s">
        <v>43</v>
      </c>
      <c r="E27" s="18" t="s">
        <v>44</v>
      </c>
      <c r="F27" s="18" t="s">
        <v>45</v>
      </c>
      <c r="G27" s="19" t="s">
        <v>4</v>
      </c>
    </row>
    <row r="28" spans="2:7" ht="45" x14ac:dyDescent="0.25">
      <c r="B28" s="16">
        <v>10</v>
      </c>
      <c r="C28" s="17" t="s">
        <v>12</v>
      </c>
      <c r="D28" s="17" t="s">
        <v>46</v>
      </c>
      <c r="E28" s="18" t="s">
        <v>47</v>
      </c>
      <c r="F28" s="18" t="s">
        <v>48</v>
      </c>
      <c r="G28" s="19" t="s">
        <v>4</v>
      </c>
    </row>
    <row r="29" spans="2:7" ht="30" x14ac:dyDescent="0.25">
      <c r="B29" s="16">
        <v>11</v>
      </c>
      <c r="C29" s="17" t="s">
        <v>12</v>
      </c>
      <c r="D29" s="17" t="s">
        <v>49</v>
      </c>
      <c r="E29" s="18" t="s">
        <v>50</v>
      </c>
      <c r="F29" s="18" t="s">
        <v>51</v>
      </c>
      <c r="G29" s="19" t="s">
        <v>4</v>
      </c>
    </row>
    <row r="30" spans="2:7" ht="45" x14ac:dyDescent="0.25">
      <c r="B30" s="16">
        <v>12</v>
      </c>
      <c r="C30" s="17" t="s">
        <v>12</v>
      </c>
      <c r="D30" s="17" t="s">
        <v>52</v>
      </c>
      <c r="E30" s="18" t="s">
        <v>53</v>
      </c>
      <c r="F30" s="18" t="s">
        <v>54</v>
      </c>
      <c r="G30" s="19" t="s">
        <v>4</v>
      </c>
    </row>
    <row r="31" spans="2:7" ht="30" x14ac:dyDescent="0.25">
      <c r="B31" s="16">
        <v>13</v>
      </c>
      <c r="C31" s="17" t="s">
        <v>12</v>
      </c>
      <c r="D31" s="17" t="s">
        <v>55</v>
      </c>
      <c r="E31" s="18" t="s">
        <v>56</v>
      </c>
      <c r="F31" s="18" t="s">
        <v>57</v>
      </c>
      <c r="G31" s="19" t="s">
        <v>4</v>
      </c>
    </row>
    <row r="32" spans="2:7" ht="30" x14ac:dyDescent="0.25">
      <c r="B32" s="16">
        <v>14</v>
      </c>
      <c r="C32" s="17" t="s">
        <v>12</v>
      </c>
      <c r="D32" s="17" t="s">
        <v>58</v>
      </c>
      <c r="E32" s="18" t="s">
        <v>59</v>
      </c>
      <c r="F32" s="18" t="s">
        <v>60</v>
      </c>
      <c r="G32" s="19" t="s">
        <v>4</v>
      </c>
    </row>
    <row r="33" spans="2:7" ht="30" x14ac:dyDescent="0.25">
      <c r="B33" s="16">
        <v>15</v>
      </c>
      <c r="C33" s="17" t="s">
        <v>12</v>
      </c>
      <c r="D33" s="17" t="s">
        <v>61</v>
      </c>
      <c r="E33" s="18" t="s">
        <v>62</v>
      </c>
      <c r="F33" s="18" t="s">
        <v>63</v>
      </c>
      <c r="G33" s="19" t="s">
        <v>4</v>
      </c>
    </row>
    <row r="34" spans="2:7" ht="45" x14ac:dyDescent="0.25">
      <c r="B34" s="16">
        <v>16</v>
      </c>
      <c r="C34" s="17" t="s">
        <v>12</v>
      </c>
      <c r="D34" s="17" t="s">
        <v>64</v>
      </c>
      <c r="E34" s="18" t="s">
        <v>65</v>
      </c>
      <c r="F34" s="18" t="s">
        <v>66</v>
      </c>
      <c r="G34" s="19" t="s">
        <v>4</v>
      </c>
    </row>
    <row r="35" spans="2:7" ht="30" x14ac:dyDescent="0.25">
      <c r="B35" s="16">
        <v>17</v>
      </c>
      <c r="C35" s="17" t="s">
        <v>12</v>
      </c>
      <c r="D35" s="17" t="s">
        <v>67</v>
      </c>
      <c r="E35" s="18" t="s">
        <v>68</v>
      </c>
      <c r="F35" s="18" t="s">
        <v>69</v>
      </c>
      <c r="G35" s="19" t="s">
        <v>4</v>
      </c>
    </row>
    <row r="36" spans="2:7" ht="30" x14ac:dyDescent="0.25">
      <c r="B36" s="16">
        <v>18</v>
      </c>
      <c r="C36" s="17" t="s">
        <v>12</v>
      </c>
      <c r="D36" s="17" t="s">
        <v>70</v>
      </c>
      <c r="E36" s="18" t="s">
        <v>71</v>
      </c>
      <c r="F36" s="18" t="s">
        <v>72</v>
      </c>
      <c r="G36" s="19" t="s">
        <v>4</v>
      </c>
    </row>
    <row r="37" spans="2:7" ht="30" x14ac:dyDescent="0.25">
      <c r="B37" s="16">
        <v>19</v>
      </c>
      <c r="C37" s="17" t="s">
        <v>12</v>
      </c>
      <c r="D37" s="17" t="s">
        <v>73</v>
      </c>
      <c r="E37" s="18" t="s">
        <v>74</v>
      </c>
      <c r="F37" s="18" t="s">
        <v>75</v>
      </c>
      <c r="G37" s="19" t="s">
        <v>4</v>
      </c>
    </row>
    <row r="38" spans="2:7" ht="45" x14ac:dyDescent="0.25">
      <c r="B38" s="16">
        <v>20</v>
      </c>
      <c r="C38" s="17" t="s">
        <v>12</v>
      </c>
      <c r="D38" s="17" t="s">
        <v>76</v>
      </c>
      <c r="E38" s="18" t="s">
        <v>77</v>
      </c>
      <c r="F38" s="18" t="s">
        <v>78</v>
      </c>
      <c r="G38" s="19" t="s">
        <v>4</v>
      </c>
    </row>
    <row r="39" spans="2:7" ht="45" x14ac:dyDescent="0.25">
      <c r="B39" s="16">
        <v>21</v>
      </c>
      <c r="C39" s="17" t="s">
        <v>12</v>
      </c>
      <c r="D39" s="17" t="s">
        <v>79</v>
      </c>
      <c r="E39" s="18" t="s">
        <v>80</v>
      </c>
      <c r="F39" s="18" t="s">
        <v>81</v>
      </c>
      <c r="G39" s="19" t="s">
        <v>4</v>
      </c>
    </row>
    <row r="40" spans="2:7" ht="45" x14ac:dyDescent="0.25">
      <c r="B40" s="16">
        <v>22</v>
      </c>
      <c r="C40" s="17" t="s">
        <v>12</v>
      </c>
      <c r="D40" s="17" t="s">
        <v>82</v>
      </c>
      <c r="E40" s="18" t="s">
        <v>83</v>
      </c>
      <c r="F40" s="18" t="s">
        <v>84</v>
      </c>
      <c r="G40" s="19" t="s">
        <v>4</v>
      </c>
    </row>
    <row r="41" spans="2:7" ht="30" x14ac:dyDescent="0.25">
      <c r="B41" s="16">
        <v>23</v>
      </c>
      <c r="C41" s="17" t="s">
        <v>12</v>
      </c>
      <c r="D41" s="17" t="s">
        <v>85</v>
      </c>
      <c r="E41" s="18" t="s">
        <v>86</v>
      </c>
      <c r="F41" s="18" t="s">
        <v>87</v>
      </c>
      <c r="G41" s="19" t="s">
        <v>4</v>
      </c>
    </row>
    <row r="42" spans="2:7" ht="30" x14ac:dyDescent="0.25">
      <c r="B42" s="16">
        <v>24</v>
      </c>
      <c r="C42" s="17" t="s">
        <v>12</v>
      </c>
      <c r="D42" s="17" t="s">
        <v>88</v>
      </c>
      <c r="E42" s="18" t="s">
        <v>89</v>
      </c>
      <c r="F42" s="18" t="s">
        <v>90</v>
      </c>
      <c r="G42" s="19" t="s">
        <v>4</v>
      </c>
    </row>
    <row r="43" spans="2:7" ht="45" x14ac:dyDescent="0.25">
      <c r="B43" s="16">
        <v>25</v>
      </c>
      <c r="C43" s="17" t="s">
        <v>12</v>
      </c>
      <c r="D43" s="17" t="s">
        <v>91</v>
      </c>
      <c r="E43" s="18" t="s">
        <v>92</v>
      </c>
      <c r="F43" s="18" t="s">
        <v>93</v>
      </c>
      <c r="G43" s="19" t="s">
        <v>4</v>
      </c>
    </row>
    <row r="44" spans="2:7" ht="45" x14ac:dyDescent="0.25">
      <c r="B44" s="16">
        <v>26</v>
      </c>
      <c r="C44" s="17" t="s">
        <v>12</v>
      </c>
      <c r="D44" s="17" t="s">
        <v>94</v>
      </c>
      <c r="E44" s="18" t="s">
        <v>95</v>
      </c>
      <c r="F44" s="18" t="s">
        <v>96</v>
      </c>
      <c r="G44" s="19" t="s">
        <v>4</v>
      </c>
    </row>
    <row r="45" spans="2:7" ht="30" x14ac:dyDescent="0.25">
      <c r="B45" s="16">
        <v>27</v>
      </c>
      <c r="C45" s="17" t="s">
        <v>12</v>
      </c>
      <c r="D45" s="17" t="s">
        <v>97</v>
      </c>
      <c r="E45" s="18" t="s">
        <v>98</v>
      </c>
      <c r="F45" s="18" t="s">
        <v>99</v>
      </c>
      <c r="G45" s="19" t="s">
        <v>4</v>
      </c>
    </row>
    <row r="46" spans="2:7" ht="30" x14ac:dyDescent="0.25">
      <c r="B46" s="16">
        <v>28</v>
      </c>
      <c r="C46" s="17" t="s">
        <v>12</v>
      </c>
      <c r="D46" s="17" t="s">
        <v>100</v>
      </c>
      <c r="E46" s="18" t="s">
        <v>101</v>
      </c>
      <c r="F46" s="18" t="s">
        <v>102</v>
      </c>
      <c r="G46" s="19" t="s">
        <v>4</v>
      </c>
    </row>
    <row r="47" spans="2:7" ht="45" x14ac:dyDescent="0.25">
      <c r="B47" s="16">
        <v>29</v>
      </c>
      <c r="C47" s="17" t="s">
        <v>11</v>
      </c>
      <c r="D47" s="17" t="s">
        <v>103</v>
      </c>
      <c r="E47" s="18" t="s">
        <v>104</v>
      </c>
      <c r="F47" s="18" t="s">
        <v>105</v>
      </c>
      <c r="G47" s="19" t="s">
        <v>4</v>
      </c>
    </row>
    <row r="48" spans="2:7" ht="45" x14ac:dyDescent="0.25">
      <c r="B48" s="16">
        <v>30</v>
      </c>
      <c r="C48" s="17" t="s">
        <v>11</v>
      </c>
      <c r="D48" s="17" t="s">
        <v>106</v>
      </c>
      <c r="E48" s="18" t="s">
        <v>107</v>
      </c>
      <c r="F48" s="18" t="s">
        <v>108</v>
      </c>
      <c r="G48" s="19" t="s">
        <v>4</v>
      </c>
    </row>
    <row r="49" spans="2:7" ht="30" x14ac:dyDescent="0.25">
      <c r="B49" s="16">
        <v>31</v>
      </c>
      <c r="C49" s="17" t="s">
        <v>12</v>
      </c>
      <c r="D49" s="17" t="s">
        <v>109</v>
      </c>
      <c r="E49" s="18" t="s">
        <v>110</v>
      </c>
      <c r="F49" s="18" t="s">
        <v>111</v>
      </c>
      <c r="G49" s="19" t="s">
        <v>4</v>
      </c>
    </row>
    <row r="50" spans="2:7" ht="30" x14ac:dyDescent="0.25">
      <c r="B50" s="16">
        <v>32</v>
      </c>
      <c r="C50" s="17" t="s">
        <v>9</v>
      </c>
      <c r="D50" s="17" t="s">
        <v>112</v>
      </c>
      <c r="E50" s="18" t="s">
        <v>113</v>
      </c>
      <c r="F50" s="18" t="s">
        <v>114</v>
      </c>
      <c r="G50" s="19" t="s">
        <v>4</v>
      </c>
    </row>
    <row r="51" spans="2:7" ht="30" x14ac:dyDescent="0.25">
      <c r="B51" s="16">
        <v>33</v>
      </c>
      <c r="C51" s="17" t="s">
        <v>9</v>
      </c>
      <c r="D51" s="17" t="s">
        <v>115</v>
      </c>
      <c r="E51" s="18" t="s">
        <v>116</v>
      </c>
      <c r="F51" s="18" t="s">
        <v>117</v>
      </c>
      <c r="G51" s="19" t="s">
        <v>4</v>
      </c>
    </row>
    <row r="52" spans="2:7" ht="30" x14ac:dyDescent="0.25">
      <c r="B52" s="16">
        <v>34</v>
      </c>
      <c r="C52" s="17" t="s">
        <v>9</v>
      </c>
      <c r="D52" s="17" t="s">
        <v>118</v>
      </c>
      <c r="E52" s="18" t="s">
        <v>119</v>
      </c>
      <c r="F52" s="18" t="s">
        <v>120</v>
      </c>
      <c r="G52" s="19" t="s">
        <v>4</v>
      </c>
    </row>
    <row r="53" spans="2:7" ht="60" x14ac:dyDescent="0.25">
      <c r="B53" s="16">
        <v>35</v>
      </c>
      <c r="C53" s="17" t="s">
        <v>11</v>
      </c>
      <c r="D53" s="17" t="s">
        <v>121</v>
      </c>
      <c r="E53" s="18" t="s">
        <v>122</v>
      </c>
      <c r="F53" s="18" t="s">
        <v>123</v>
      </c>
      <c r="G53" s="19" t="s">
        <v>4</v>
      </c>
    </row>
    <row r="54" spans="2:7" ht="45" x14ac:dyDescent="0.25">
      <c r="B54" s="16">
        <v>36</v>
      </c>
      <c r="C54" s="17" t="s">
        <v>7</v>
      </c>
      <c r="D54" s="17" t="s">
        <v>124</v>
      </c>
      <c r="E54" s="18" t="s">
        <v>125</v>
      </c>
      <c r="F54" s="18" t="s">
        <v>126</v>
      </c>
      <c r="G54" s="19" t="s">
        <v>4</v>
      </c>
    </row>
    <row r="55" spans="2:7" ht="60" x14ac:dyDescent="0.25">
      <c r="B55" s="16">
        <v>37</v>
      </c>
      <c r="C55" s="17" t="s">
        <v>12</v>
      </c>
      <c r="D55" s="17" t="s">
        <v>127</v>
      </c>
      <c r="E55" s="18" t="s">
        <v>128</v>
      </c>
      <c r="F55" s="18" t="s">
        <v>129</v>
      </c>
      <c r="G55" s="19" t="s">
        <v>4</v>
      </c>
    </row>
    <row r="56" spans="2:7" ht="30" x14ac:dyDescent="0.25">
      <c r="B56" s="16">
        <v>38</v>
      </c>
      <c r="C56" s="17" t="s">
        <v>12</v>
      </c>
      <c r="D56" s="17" t="s">
        <v>130</v>
      </c>
      <c r="E56" s="18" t="s">
        <v>131</v>
      </c>
      <c r="F56" s="18" t="s">
        <v>132</v>
      </c>
      <c r="G56" s="19" t="s">
        <v>4</v>
      </c>
    </row>
    <row r="57" spans="2:7" ht="30" x14ac:dyDescent="0.25">
      <c r="B57" s="16">
        <v>39</v>
      </c>
      <c r="C57" s="17" t="s">
        <v>12</v>
      </c>
      <c r="D57" s="17" t="s">
        <v>133</v>
      </c>
      <c r="E57" s="18" t="s">
        <v>44</v>
      </c>
      <c r="F57" s="18" t="s">
        <v>134</v>
      </c>
      <c r="G57" s="19" t="s">
        <v>4</v>
      </c>
    </row>
    <row r="58" spans="2:7" ht="30" x14ac:dyDescent="0.25">
      <c r="B58" s="16">
        <v>40</v>
      </c>
      <c r="C58" s="17" t="s">
        <v>12</v>
      </c>
      <c r="D58" s="17" t="s">
        <v>135</v>
      </c>
      <c r="E58" s="18" t="s">
        <v>136</v>
      </c>
      <c r="F58" s="18" t="s">
        <v>137</v>
      </c>
      <c r="G58" s="19" t="s">
        <v>4</v>
      </c>
    </row>
    <row r="59" spans="2:7" ht="30" x14ac:dyDescent="0.25">
      <c r="B59" s="16">
        <v>41</v>
      </c>
      <c r="C59" s="17" t="s">
        <v>12</v>
      </c>
      <c r="D59" s="17" t="s">
        <v>138</v>
      </c>
      <c r="E59" s="18" t="s">
        <v>139</v>
      </c>
      <c r="F59" s="18" t="s">
        <v>140</v>
      </c>
      <c r="G59" s="19" t="s">
        <v>4</v>
      </c>
    </row>
    <row r="60" spans="2:7" ht="45" x14ac:dyDescent="0.25">
      <c r="B60" s="16">
        <v>42</v>
      </c>
      <c r="C60" s="17" t="s">
        <v>11</v>
      </c>
      <c r="D60" s="17" t="s">
        <v>141</v>
      </c>
      <c r="E60" s="18" t="s">
        <v>142</v>
      </c>
      <c r="F60" s="18" t="s">
        <v>143</v>
      </c>
      <c r="G60" s="19" t="s">
        <v>4</v>
      </c>
    </row>
    <row r="61" spans="2:7" ht="45" x14ac:dyDescent="0.25">
      <c r="B61" s="16">
        <v>43</v>
      </c>
      <c r="C61" s="17" t="s">
        <v>11</v>
      </c>
      <c r="D61" s="17" t="s">
        <v>144</v>
      </c>
      <c r="E61" s="18" t="s">
        <v>145</v>
      </c>
      <c r="F61" s="18" t="s">
        <v>146</v>
      </c>
      <c r="G61" s="19" t="s">
        <v>4</v>
      </c>
    </row>
    <row r="62" spans="2:7" ht="30" x14ac:dyDescent="0.25">
      <c r="B62" s="16">
        <v>44</v>
      </c>
      <c r="C62" s="17" t="s">
        <v>12</v>
      </c>
      <c r="D62" s="17" t="s">
        <v>147</v>
      </c>
      <c r="E62" s="18" t="s">
        <v>148</v>
      </c>
      <c r="F62" s="18" t="s">
        <v>149</v>
      </c>
      <c r="G62" s="19" t="s">
        <v>4</v>
      </c>
    </row>
    <row r="63" spans="2:7" ht="45" x14ac:dyDescent="0.25">
      <c r="B63" s="16">
        <v>45</v>
      </c>
      <c r="C63" s="17" t="s">
        <v>12</v>
      </c>
      <c r="D63" s="17" t="s">
        <v>150</v>
      </c>
      <c r="E63" s="18" t="s">
        <v>151</v>
      </c>
      <c r="F63" s="18" t="s">
        <v>152</v>
      </c>
      <c r="G63" s="19" t="s">
        <v>4</v>
      </c>
    </row>
    <row r="64" spans="2:7" ht="45" x14ac:dyDescent="0.25">
      <c r="B64" s="16">
        <v>46</v>
      </c>
      <c r="C64" s="17" t="s">
        <v>12</v>
      </c>
      <c r="D64" s="17" t="s">
        <v>153</v>
      </c>
      <c r="E64" s="18" t="s">
        <v>154</v>
      </c>
      <c r="F64" s="18" t="s">
        <v>155</v>
      </c>
      <c r="G64" s="19" t="s">
        <v>4</v>
      </c>
    </row>
    <row r="65" spans="2:7" ht="45" x14ac:dyDescent="0.25">
      <c r="B65" s="16">
        <v>47</v>
      </c>
      <c r="C65" s="17" t="s">
        <v>12</v>
      </c>
      <c r="D65" s="17" t="s">
        <v>156</v>
      </c>
      <c r="E65" s="18" t="s">
        <v>157</v>
      </c>
      <c r="F65" s="18" t="s">
        <v>158</v>
      </c>
      <c r="G65" s="19" t="s">
        <v>4</v>
      </c>
    </row>
    <row r="66" spans="2:7" ht="45" x14ac:dyDescent="0.25">
      <c r="B66" s="16">
        <v>48</v>
      </c>
      <c r="C66" s="17" t="s">
        <v>12</v>
      </c>
      <c r="D66" s="17" t="s">
        <v>159</v>
      </c>
      <c r="E66" s="18" t="s">
        <v>160</v>
      </c>
      <c r="F66" s="18" t="s">
        <v>161</v>
      </c>
      <c r="G66" s="19" t="s">
        <v>4</v>
      </c>
    </row>
    <row r="67" spans="2:7" ht="75" x14ac:dyDescent="0.25">
      <c r="B67" s="16">
        <v>49</v>
      </c>
      <c r="C67" s="17" t="s">
        <v>12</v>
      </c>
      <c r="D67" s="17" t="s">
        <v>162</v>
      </c>
      <c r="E67" s="18" t="s">
        <v>163</v>
      </c>
      <c r="F67" s="18" t="s">
        <v>164</v>
      </c>
      <c r="G67" s="19" t="s">
        <v>4</v>
      </c>
    </row>
    <row r="68" spans="2:7" ht="30" x14ac:dyDescent="0.25">
      <c r="B68" s="16">
        <v>50</v>
      </c>
      <c r="C68" s="17" t="s">
        <v>13</v>
      </c>
      <c r="D68" s="17" t="s">
        <v>165</v>
      </c>
      <c r="E68" s="20" t="s">
        <v>166</v>
      </c>
      <c r="F68" s="20" t="s">
        <v>167</v>
      </c>
      <c r="G68" s="19" t="s">
        <v>4</v>
      </c>
    </row>
    <row r="69" spans="2:7" ht="50.25" customHeight="1" x14ac:dyDescent="0.25">
      <c r="B69" s="16">
        <v>51</v>
      </c>
      <c r="C69" s="17" t="s">
        <v>13</v>
      </c>
      <c r="D69" s="17" t="s">
        <v>168</v>
      </c>
      <c r="E69" s="20" t="s">
        <v>169</v>
      </c>
      <c r="F69" s="20" t="s">
        <v>170</v>
      </c>
      <c r="G69" s="19" t="s">
        <v>4</v>
      </c>
    </row>
    <row r="70" spans="2:7" ht="45" x14ac:dyDescent="0.25">
      <c r="B70" s="16">
        <v>52</v>
      </c>
      <c r="C70" s="17" t="s">
        <v>13</v>
      </c>
      <c r="D70" s="17" t="s">
        <v>171</v>
      </c>
      <c r="E70" s="20" t="s">
        <v>172</v>
      </c>
      <c r="F70" s="20" t="s">
        <v>173</v>
      </c>
      <c r="G70" s="19" t="s">
        <v>4</v>
      </c>
    </row>
    <row r="71" spans="2:7" ht="30" x14ac:dyDescent="0.25">
      <c r="B71" s="16">
        <v>53</v>
      </c>
      <c r="C71" s="17" t="s">
        <v>12</v>
      </c>
      <c r="D71" s="17" t="s">
        <v>174</v>
      </c>
      <c r="E71" s="20" t="s">
        <v>175</v>
      </c>
      <c r="F71" s="20" t="s">
        <v>176</v>
      </c>
      <c r="G71" s="19" t="s">
        <v>4</v>
      </c>
    </row>
    <row r="72" spans="2:7" ht="30" x14ac:dyDescent="0.25">
      <c r="B72" s="16">
        <v>54</v>
      </c>
      <c r="C72" s="17" t="s">
        <v>12</v>
      </c>
      <c r="D72" s="17" t="s">
        <v>177</v>
      </c>
      <c r="E72" s="20" t="s">
        <v>178</v>
      </c>
      <c r="F72" s="20" t="s">
        <v>179</v>
      </c>
      <c r="G72" s="19" t="s">
        <v>4</v>
      </c>
    </row>
    <row r="73" spans="2:7" ht="30" x14ac:dyDescent="0.25">
      <c r="B73" s="16">
        <v>55</v>
      </c>
      <c r="C73" s="17" t="s">
        <v>12</v>
      </c>
      <c r="D73" s="17" t="s">
        <v>180</v>
      </c>
      <c r="E73" s="20" t="s">
        <v>181</v>
      </c>
      <c r="F73" s="20" t="s">
        <v>182</v>
      </c>
      <c r="G73" s="19" t="s">
        <v>4</v>
      </c>
    </row>
    <row r="74" spans="2:7" ht="30" x14ac:dyDescent="0.25">
      <c r="B74" s="16">
        <v>56</v>
      </c>
      <c r="C74" s="17" t="s">
        <v>12</v>
      </c>
      <c r="D74" s="17" t="s">
        <v>183</v>
      </c>
      <c r="E74" s="20" t="s">
        <v>184</v>
      </c>
      <c r="F74" s="20" t="s">
        <v>185</v>
      </c>
      <c r="G74" s="19" t="s">
        <v>4</v>
      </c>
    </row>
    <row r="75" spans="2:7" ht="30" x14ac:dyDescent="0.25">
      <c r="B75" s="16">
        <v>57</v>
      </c>
      <c r="C75" s="17" t="s">
        <v>12</v>
      </c>
      <c r="D75" s="17" t="s">
        <v>186</v>
      </c>
      <c r="E75" s="20" t="s">
        <v>187</v>
      </c>
      <c r="F75" s="20" t="s">
        <v>188</v>
      </c>
      <c r="G75" s="19" t="s">
        <v>4</v>
      </c>
    </row>
    <row r="76" spans="2:7" ht="30" x14ac:dyDescent="0.25">
      <c r="B76" s="16">
        <v>58</v>
      </c>
      <c r="C76" s="17" t="s">
        <v>12</v>
      </c>
      <c r="D76" s="17" t="s">
        <v>189</v>
      </c>
      <c r="E76" s="20" t="s">
        <v>190</v>
      </c>
      <c r="F76" s="20" t="s">
        <v>191</v>
      </c>
      <c r="G76" s="19" t="s">
        <v>4</v>
      </c>
    </row>
    <row r="77" spans="2:7" ht="30" x14ac:dyDescent="0.25">
      <c r="B77" s="16">
        <v>59</v>
      </c>
      <c r="C77" s="17" t="s">
        <v>13</v>
      </c>
      <c r="D77" s="17" t="s">
        <v>192</v>
      </c>
      <c r="E77" s="20" t="s">
        <v>193</v>
      </c>
      <c r="F77" s="20" t="s">
        <v>194</v>
      </c>
      <c r="G77" s="19" t="s">
        <v>4</v>
      </c>
    </row>
    <row r="78" spans="2:7" ht="45" x14ac:dyDescent="0.25">
      <c r="B78" s="16">
        <v>60</v>
      </c>
      <c r="C78" s="17" t="s">
        <v>12</v>
      </c>
      <c r="D78" s="17" t="s">
        <v>195</v>
      </c>
      <c r="E78" s="18" t="s">
        <v>196</v>
      </c>
      <c r="F78" s="18" t="s">
        <v>197</v>
      </c>
      <c r="G78" s="19" t="s">
        <v>4</v>
      </c>
    </row>
    <row r="79" spans="2:7" ht="45" x14ac:dyDescent="0.25">
      <c r="B79" s="16">
        <v>61</v>
      </c>
      <c r="C79" s="17" t="s">
        <v>12</v>
      </c>
      <c r="D79" s="17" t="s">
        <v>198</v>
      </c>
      <c r="E79" s="18" t="s">
        <v>196</v>
      </c>
      <c r="F79" s="18" t="s">
        <v>199</v>
      </c>
      <c r="G79" s="19" t="s">
        <v>4</v>
      </c>
    </row>
    <row r="80" spans="2:7" ht="45" x14ac:dyDescent="0.25">
      <c r="B80" s="16">
        <v>62</v>
      </c>
      <c r="C80" s="17" t="s">
        <v>12</v>
      </c>
      <c r="D80" s="17" t="s">
        <v>200</v>
      </c>
      <c r="E80" s="18" t="s">
        <v>196</v>
      </c>
      <c r="F80" s="18" t="s">
        <v>201</v>
      </c>
      <c r="G80" s="19" t="s">
        <v>4</v>
      </c>
    </row>
    <row r="81" spans="2:7" ht="45" x14ac:dyDescent="0.25">
      <c r="B81" s="16">
        <v>63</v>
      </c>
      <c r="C81" s="17" t="s">
        <v>12</v>
      </c>
      <c r="D81" s="17" t="s">
        <v>202</v>
      </c>
      <c r="E81" s="18" t="s">
        <v>196</v>
      </c>
      <c r="F81" s="18" t="s">
        <v>203</v>
      </c>
      <c r="G81" s="19" t="s">
        <v>4</v>
      </c>
    </row>
    <row r="82" spans="2:7" ht="45" x14ac:dyDescent="0.25">
      <c r="B82" s="16">
        <v>64</v>
      </c>
      <c r="C82" s="17" t="s">
        <v>12</v>
      </c>
      <c r="D82" s="17" t="s">
        <v>204</v>
      </c>
      <c r="E82" s="18" t="s">
        <v>196</v>
      </c>
      <c r="F82" s="18" t="s">
        <v>205</v>
      </c>
      <c r="G82" s="19" t="s">
        <v>4</v>
      </c>
    </row>
    <row r="83" spans="2:7" ht="45" x14ac:dyDescent="0.25">
      <c r="B83" s="16">
        <v>65</v>
      </c>
      <c r="C83" s="17" t="s">
        <v>12</v>
      </c>
      <c r="D83" s="17" t="s">
        <v>206</v>
      </c>
      <c r="E83" s="18" t="s">
        <v>196</v>
      </c>
      <c r="F83" s="18" t="s">
        <v>207</v>
      </c>
      <c r="G83" s="19" t="s">
        <v>4</v>
      </c>
    </row>
    <row r="84" spans="2:7" ht="30" x14ac:dyDescent="0.25">
      <c r="B84" s="16">
        <v>66</v>
      </c>
      <c r="C84" s="17" t="s">
        <v>11</v>
      </c>
      <c r="D84" s="17" t="s">
        <v>208</v>
      </c>
      <c r="E84" s="21" t="s">
        <v>209</v>
      </c>
      <c r="F84" s="21" t="s">
        <v>210</v>
      </c>
      <c r="G84" s="19" t="s">
        <v>4</v>
      </c>
    </row>
    <row r="85" spans="2:7" ht="45" x14ac:dyDescent="0.25">
      <c r="B85" s="16">
        <v>67</v>
      </c>
      <c r="C85" s="17" t="s">
        <v>12</v>
      </c>
      <c r="D85" s="17" t="s">
        <v>211</v>
      </c>
      <c r="E85" s="22" t="s">
        <v>212</v>
      </c>
      <c r="F85" s="21" t="s">
        <v>213</v>
      </c>
      <c r="G85" s="19" t="s">
        <v>8</v>
      </c>
    </row>
    <row r="86" spans="2:7" ht="45" x14ac:dyDescent="0.25">
      <c r="B86" s="16">
        <v>68</v>
      </c>
      <c r="C86" s="17" t="s">
        <v>12</v>
      </c>
      <c r="D86" s="17" t="s">
        <v>214</v>
      </c>
      <c r="E86" s="22" t="s">
        <v>215</v>
      </c>
      <c r="F86" s="21" t="s">
        <v>216</v>
      </c>
      <c r="G86" s="19" t="s">
        <v>8</v>
      </c>
    </row>
    <row r="87" spans="2:7" x14ac:dyDescent="0.25"/>
    <row r="88" spans="2:7" ht="15" customHeight="1" x14ac:dyDescent="0.25"/>
    <row r="89" spans="2:7" ht="15" customHeight="1" x14ac:dyDescent="0.25"/>
    <row r="90" spans="2:7" ht="15" customHeight="1" x14ac:dyDescent="0.25"/>
    <row r="91" spans="2:7" ht="15" customHeight="1" x14ac:dyDescent="0.25"/>
    <row r="92" spans="2:7" ht="15" customHeight="1" x14ac:dyDescent="0.25"/>
    <row r="93" spans="2:7" ht="15" customHeight="1" x14ac:dyDescent="0.25"/>
    <row r="94" spans="2:7" ht="15" customHeight="1" x14ac:dyDescent="0.25"/>
    <row r="95" spans="2:7" ht="15" customHeight="1" x14ac:dyDescent="0.25"/>
  </sheetData>
  <autoFilter ref="B18:G86" xr:uid="{44B06A99-06E8-4754-8F43-8951E2E863C0}">
    <sortState xmlns:xlrd2="http://schemas.microsoft.com/office/spreadsheetml/2017/richdata2" ref="B19:G86">
      <sortCondition ref="F18:F86"/>
    </sortState>
  </autoFilter>
  <conditionalFormatting sqref="G19:G86">
    <cfRule type="cellIs" dxfId="2" priority="1" operator="equal">
      <formula>"WIP"</formula>
    </cfRule>
    <cfRule type="cellIs" dxfId="1" priority="2" operator="equal">
      <formula>"To Start"</formula>
    </cfRule>
    <cfRule type="cellIs" dxfId="0" priority="3" operator="equal">
      <formula>"Done"</formula>
    </cfRule>
  </conditionalFormatting>
  <dataValidations count="1">
    <dataValidation type="list" allowBlank="1" showInputMessage="1" showErrorMessage="1" sqref="G19:G86" xr:uid="{2113CFD6-BD9A-4C3A-B6A6-C950D43D9385}">
      <formula1>"Done, WIP, To Start"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Props1.xml><?xml version="1.0" encoding="utf-8"?>
<ds:datastoreItem xmlns:ds="http://schemas.openxmlformats.org/officeDocument/2006/customXml" ds:itemID="{B2F4F968-1B63-4D34-97B8-08772D4EAF81}"/>
</file>

<file path=customXml/itemProps2.xml><?xml version="1.0" encoding="utf-8"?>
<ds:datastoreItem xmlns:ds="http://schemas.openxmlformats.org/officeDocument/2006/customXml" ds:itemID="{CF475FDC-068E-4DC9-99B2-BE2EB5610845}"/>
</file>

<file path=customXml/itemProps3.xml><?xml version="1.0" encoding="utf-8"?>
<ds:datastoreItem xmlns:ds="http://schemas.openxmlformats.org/officeDocument/2006/customXml" ds:itemID="{EF3600F0-4837-4794-B6ED-9881A2CE0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Controlos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2024-08-14T13:50:41Z</dcterms:created>
  <dcterms:modified xsi:type="dcterms:W3CDTF">2024-08-14T13:52:13Z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2024-08-14T13:52:13Z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037f4ac7-76a0-45af-b8c8-7ea8bfeb44c5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0x0101006FB028680511B146A6B7EDC2D053315C</vt:lpwstr>
  </property>
</Properties>
</file>