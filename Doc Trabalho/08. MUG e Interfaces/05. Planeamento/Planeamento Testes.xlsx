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8119\Santander Office 365\BS Loan Tape BCE - General\07.Modelo de Garantias\MUG e Interfaces\Planeamento\"/>
    </mc:Choice>
  </mc:AlternateContent>
  <bookViews>
    <workbookView xWindow="0" yWindow="0" windowWidth="23040" windowHeight="9192" firstSheet="1" activeTab="14"/>
  </bookViews>
  <sheets>
    <sheet name="Planeamento " sheetId="5" r:id="rId1"/>
    <sheet name="Testes 2" sheetId="1" r:id="rId2"/>
    <sheet name="I e J" sheetId="2" r:id="rId3"/>
    <sheet name="L" sheetId="3" r:id="rId4"/>
    <sheet name="M" sheetId="4" r:id="rId5"/>
    <sheet name="Testes 3" sheetId="6" r:id="rId6"/>
    <sheet name="A" sheetId="7" r:id="rId7"/>
    <sheet name="C" sheetId="8" r:id="rId8"/>
    <sheet name="F.1" sheetId="9" r:id="rId9"/>
    <sheet name="F.3" sheetId="10" r:id="rId10"/>
    <sheet name="Testes 4 " sheetId="12" r:id="rId11"/>
    <sheet name="ID.330" sheetId="19" r:id="rId12"/>
    <sheet name="ID 325.1" sheetId="26" r:id="rId13"/>
    <sheet name="B" sheetId="22" r:id="rId14"/>
    <sheet name="Testes 5 " sheetId="29" r:id="rId15"/>
  </sheets>
  <definedNames>
    <definedName name="_xlnm._FilterDatabase" localSheetId="6" hidden="1">A!$B$21:$R$95</definedName>
    <definedName name="_xlnm._FilterDatabase" localSheetId="4" hidden="1">M!$B$9:$M$180</definedName>
    <definedName name="_xlnm._FilterDatabase" localSheetId="1" hidden="1">'Testes 2'!$A$20:$G$32</definedName>
    <definedName name="_xlnm._FilterDatabase" localSheetId="5" hidden="1">'Testes 3'!$A$17:$H$37</definedName>
    <definedName name="_xlnm._FilterDatabase" localSheetId="10" hidden="1">'Testes 4 '!$B$20:$I$51</definedName>
    <definedName name="_xlnm._FilterDatabase" localSheetId="14" hidden="1">'Testes 5 '!$B$6:$F$6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4" l="1"/>
</calcChain>
</file>

<file path=xl/sharedStrings.xml><?xml version="1.0" encoding="utf-8"?>
<sst xmlns="http://schemas.openxmlformats.org/spreadsheetml/2006/main" count="6138" uniqueCount="1724">
  <si>
    <t xml:space="preserve">Casuística 1 </t>
  </si>
  <si>
    <t>Face ao reportado pelo BP, houve necessidade de fazer um novo recálculo e, por isso, alterar a metodologia em alguns registos.</t>
  </si>
  <si>
    <t xml:space="preserve">Assim vamos ter registos na cd. Com metodologia BDR e em produção bu. Com metolodiga ORIGENS. </t>
  </si>
  <si>
    <t>Casuística 2</t>
  </si>
  <si>
    <t>Na cd. Estamos a considerar a data de avaliação mais recente, para responsabilidades/bem com processos diferentes.</t>
  </si>
  <si>
    <t>Na bu. Estamos a considerar a data de avaliação mais antiga.</t>
  </si>
  <si>
    <t>Assim o nosso registo pode ser diferente da cd. Para a bu.</t>
  </si>
  <si>
    <t>Casuística 3</t>
  </si>
  <si>
    <t xml:space="preserve">Para registos com a mesma responsabilidade/bem, a mesma metodologia e a mesma data de avaliação, mas com processos diferentes: </t>
  </si>
  <si>
    <t>Na cd. Estávamos a reportar o valor a nivel de responsabilidade/processo/bem (mavaliai_bem_rep)</t>
  </si>
  <si>
    <t>Na bu. Passamos a reportar o valor apenas a nível da responsabilidade/bem, independentemente do processo (mavaliai_resp_bem)</t>
  </si>
  <si>
    <t>ID</t>
  </si>
  <si>
    <t>Teste</t>
  </si>
  <si>
    <t>Tabelas</t>
  </si>
  <si>
    <t>Resultado esperado</t>
  </si>
  <si>
    <t>Ok / Not Ok</t>
  </si>
  <si>
    <t>Resultado Obtido</t>
  </si>
  <si>
    <t>Conclusões</t>
  </si>
  <si>
    <t xml:space="preserve">Query </t>
  </si>
  <si>
    <t>A</t>
  </si>
  <si>
    <t xml:space="preserve">Teste ao Universo GT019 </t>
  </si>
  <si>
    <t>bu_captools_work.gt019_report_biyr9500
cd_garantias.gt019_report_biyr9500</t>
  </si>
  <si>
    <t xml:space="preserve">Universo em Produção = Universo em Desenvolvimento </t>
  </si>
  <si>
    <t>Ok</t>
  </si>
  <si>
    <r>
      <t xml:space="preserve">Verificamos que o Universo é </t>
    </r>
    <r>
      <rPr>
        <b/>
        <sz val="11"/>
        <color theme="1"/>
        <rFont val="Calibri"/>
        <family val="2"/>
        <scheme val="minor"/>
      </rPr>
      <t xml:space="preserve">comum </t>
    </r>
    <r>
      <rPr>
        <sz val="11"/>
        <color theme="1"/>
        <rFont val="Calibri"/>
        <family val="2"/>
        <scheme val="minor"/>
      </rPr>
      <t xml:space="preserve">entre as tabelas.
</t>
    </r>
  </si>
  <si>
    <r>
      <rPr>
        <b/>
        <sz val="11"/>
        <color rgb="FF92D050"/>
        <rFont val="Calibri"/>
        <family val="2"/>
        <scheme val="minor"/>
      </rPr>
      <t>Ok</t>
    </r>
    <r>
      <rPr>
        <b/>
        <sz val="11"/>
        <color theme="1"/>
        <rFont val="Calibri"/>
        <family val="2"/>
        <scheme val="minor"/>
      </rPr>
      <t xml:space="preserve">
Verificamos que os exclusivos existentes trata-se de:
</t>
    </r>
    <r>
      <rPr>
        <sz val="11"/>
        <color theme="1"/>
        <rFont val="Calibri"/>
        <family val="2"/>
        <scheme val="minor"/>
      </rPr>
      <t>- IFRUS/ABATIDOS
- Utilização de interfaces distintas na bu e na cd ( dwt001/interface)
- Garantias PES</t>
    </r>
  </si>
  <si>
    <t xml:space="preserve">select 
-- *,
count(*),
case when cd.ckctabem is null and bu.ckctabem is not null then 'exclusivo bu'
    when cd.ckctabem is not null and bu.ckctabem is null then 'exclusivo cd'
    when cd.ckctabem is not null and bu.ckctabem is not null then 'comum'
else 'avaliar'
end as validacao_univ
from 
    (Select *
    from cd_garantias.gt019_report_biyr9500
    where ref_date = '2024-05-31')cd
left join 
    (select *
    from bu_captools_work.gt019_report_biyr9500
    where ref_date = '2024-05-31')bu
on 
    cd.ckbalcao = bu.ckbalcao 
and cd.cknumcta = bu.cknumcta
and cd.zdeposit = bu.zdeposit
and  cd.ckbalbem = bu.ckbalbem
and  cd.ckctabem = bu.ckctabem 
and  cd.ckrefbem = bu.ckrefbem
-- where bu.tipologia &lt;&gt; 'PES'
-- where bu.tipologia = 'FIN'    
-- and bu.tipologia &lt;&gt; 'FIN'
-- and bu.origem = 'GP'
-- where cd.tipologia &lt;&gt; 'PES'
group by validacao_univ
-- having validacao_univ &lt;&gt; 'comum'
-- having validacao_univ =  'exclusivo bu'
-- having validacao_univ =  'exclusivo cd'
-- limit 4
;
</t>
  </si>
  <si>
    <t>B</t>
  </si>
  <si>
    <t>Teste ao Universo GT020</t>
  </si>
  <si>
    <t>bu_garantias_work.gt020_report_biyr9510
cd_garantias.gt020_report_biyr9510</t>
  </si>
  <si>
    <r>
      <t xml:space="preserve">Verificamos que o Universo é </t>
    </r>
    <r>
      <rPr>
        <b/>
        <sz val="11"/>
        <color theme="1"/>
        <rFont val="Calibri"/>
        <family val="2"/>
        <scheme val="minor"/>
      </rPr>
      <t xml:space="preserve">comum </t>
    </r>
    <r>
      <rPr>
        <sz val="11"/>
        <color theme="1"/>
        <rFont val="Calibri"/>
        <family val="2"/>
        <scheme val="minor"/>
      </rPr>
      <t xml:space="preserve">entre as tabelas. 
</t>
    </r>
  </si>
  <si>
    <t>select 
-- *,
count(*),
case when cd.ckctabem is null and bu.ckctabem is not null then 'exclusivo bu'
    when cd.ckctabem is not null and bu.ckctabem is null then 'exclusivo cd'
    when cd.ckctabem is not null and bu.ckctabem is not null then 'comum'
else 'avaliar'
end as validacao_univ
from 
    (Select *
    from cd_garantias.gt020_report_biyr9510
    where ref_date = '2024-05-31')cd
full join 
    (select *
    from bu_garantias_work.gt020_report_biyr9510
    where ref_date = '2024-05-31')bu
on cd.ckbalbem = bu.ckbalbem
and  cd.ckctabem = bu.ckctabem 
and  cd.ckrefbem = bu.ckrefbem
-- where cd.tipologia &lt;&gt; 'PES'
group by validacao_univ
-- having validacao_univ = 'exclusivo bu'
;</t>
  </si>
  <si>
    <t>C</t>
  </si>
  <si>
    <t>Teste ao Universo GT021</t>
  </si>
  <si>
    <t xml:space="preserve">select 
-- *,
count(*),
case when cd.ckctabem is null and bu.ckctabem is not null then 'exclusivo bu'
    when cd.ckctabem is not null and bu.ckctabem is null then 'exclusivo cd'
    when cd.ckctabem is not null and bu.ckctabem is not null then 'comum'
else 'avaliar'
end as validacao_univ
from 
    (Select *
    from cd_garantias.gt021_report_biyr9520
    where ref_date = '2024-05-31')cd
full join 
    (select *
    from bu_garantias_work.gt021_report_biyr9520
    where ref_date = '2024-05-31')bu
on cd.ckbalbem = bu.ckbalbem
and  cd.ckctabem = bu.ckctabem 
and  cd.ckrefbem = bu.ckrefbem
where cd.tipologia &lt;&gt; 'PES'
group by validacao_univ
;
</t>
  </si>
  <si>
    <t>D</t>
  </si>
  <si>
    <t>Teste ao Universo GT018</t>
  </si>
  <si>
    <t>bu_garantias_work.gt018_rateio_aval
cd_garantias.gt018_rateio_aval</t>
  </si>
  <si>
    <r>
      <t xml:space="preserve">Verificamos que o Universo é </t>
    </r>
    <r>
      <rPr>
        <b/>
        <sz val="11"/>
        <color theme="1"/>
        <rFont val="Calibri"/>
        <family val="2"/>
        <scheme val="minor"/>
      </rPr>
      <t xml:space="preserve">comum </t>
    </r>
    <r>
      <rPr>
        <sz val="11"/>
        <color theme="1"/>
        <rFont val="Calibri"/>
        <family val="2"/>
        <scheme val="minor"/>
      </rPr>
      <t xml:space="preserve">entre as tabelas. </t>
    </r>
  </si>
  <si>
    <t xml:space="preserve">select 
-- *,
count(*),
case when cd.cknumcta is null and bu.cknumcta is not null then 'exclusivo bu'
    when cd.cknumcta is not null and bu.cknumcta is null then 'exclusivo cd'
    when cd.cknumcta is not null and bu.cknumcta is not null then 'comum'
else 'avaliar'
end as validacao_univ
from 
    (Select *
    from cd_garantias.gt018_rateio_aval
    where ref_date = '2024-05-31')cd
left join 
    (select *
    from bu_garantias_work.gt018_rateio_aval
    where ref_date = '2024-05-31')bu
on 
    cd.ckbalres = bu.ckbalres
and cd.ckctares =bu.ckctares
and cd.ckrefresp = bu.ckrefresp
and cd.ckbalcao = bu.ckbalcao 
and cd.cknumcta = bu.cknumcta
and cd.comp_id_gar = bu.comp_id_gar
and  cd.ckbalbem = bu.ckbalbem
and  cd.ckctabem = bu.ckctabem 
and  cd.ckrefbem = bu.ckrefbem
where bu.tipologia &lt;&gt; 'PES'    
-- and bu.tipologia &lt;&gt; 'FIN'
-- and bu.origem = 'GP'
-- where cd.tipologia &lt;&gt; 'PES'
group by validacao_univ
-- having validacao_univ &lt;&gt; 'comum'
-- having validacao_univ =  'exclusivo bu'
-- having validacao_univ =  'exclusivo cd'
-- limit 4
;
</t>
  </si>
  <si>
    <t>E</t>
  </si>
  <si>
    <t xml:space="preserve">Traçabilidade das tabelas do modelo </t>
  </si>
  <si>
    <t>gt001/gt002/gt003/gt007/gt008</t>
  </si>
  <si>
    <t>Tudo o que está na gt001 = gt002 = (gt003/gt007/gt008)</t>
  </si>
  <si>
    <r>
      <t xml:space="preserve">Verificamos que existe </t>
    </r>
    <r>
      <rPr>
        <b/>
        <sz val="11"/>
        <color theme="1"/>
        <rFont val="Calibri"/>
        <family val="2"/>
        <scheme val="minor"/>
      </rPr>
      <t xml:space="preserve">traçabilidade completa </t>
    </r>
  </si>
  <si>
    <r>
      <rPr>
        <b/>
        <sz val="11"/>
        <color theme="1"/>
        <rFont val="Calibri"/>
        <family val="2"/>
        <scheme val="minor"/>
      </rPr>
      <t xml:space="preserve">Incidência  - </t>
    </r>
    <r>
      <rPr>
        <b/>
        <sz val="11"/>
        <color rgb="FF92D050"/>
        <rFont val="Calibri"/>
        <family val="2"/>
        <scheme val="minor"/>
      </rPr>
      <t>RESOLVIDA</t>
    </r>
    <r>
      <rPr>
        <sz val="11"/>
        <color theme="1"/>
        <rFont val="Calibri"/>
        <family val="2"/>
        <scheme val="minor"/>
      </rPr>
      <t xml:space="preserve">
O Consolidador está a apanhar este 6 casos, pelo que deve ser um problema de execução.
Estes 6 casos não deveriam aparecer, uma vez que não têm as chaves completas </t>
    </r>
  </si>
  <si>
    <t xml:space="preserve">
Select 
*,
-- count(*),
case when  b.cknumcta is null and a.cknumcta is not null and c.cknumcta is null then 'Exclusivo_gt001'
when  b.cknumcta is not null and a.cknumcta is  null  and c.cknumcta is not null then 'Exlusivo_gt002_bem'
when  b.cknumcta is not null and a.cknumcta is  null  and c.cknumcta is null then 'Exlusivo_gt002'
when  b.cknumcta is  null and a.cknumcta is  null  and c.cknumcta is not null then 'Exlusivo_bem'
when  b.cknumcta is not null and a.cknumcta is not null  and c.cknumcta is null then 'Exlusivo_gt001_gt002'
when b.cknumcta is not null and a.cknumcta is not null and c.cknumcta is not null then 'comum'
else 'analisar'
end as val_universo
FROM 
    (select*
    from bu_garantias_work.gt001_trz_rsp_gt
    where ref_date = '2024-05-31')a
full join 
    (select*
    from bu_garantias_work.gt002_grnt_prc
    where ref_date = '2024-05-31')b
on concat(a.cempresa, a.ckbalcao, a.cknumcta, a.comp_id_gar) = concat(b.cempresa, b.ckbalcao, b.cknumcta, b.comp_id_gar)
full join 
    (select DISTINCT ckbalcao, cknumcta, comp_id_gar, ckbalbem, ckrefbem, ckctabem
    from bu_garantias_work.gt003_trz_gt_fin
    where ref_date = '2024-05-31'
    union all 
    select distinct ckbalcao, cknumcta, comp_id_gar, ckbalbem, ckrefbem, ckctabem
    from bu_garantias_work.gt007_trz_gt_pes
    where ref_date = '2024-05-31'
    union all
    select distinct ckbalcao, cknumcta, comp_id_gar, ckbalbem, ckrefbem, ckctabem
    from bu_garantias_work.gt008_trz_gt_imv
    where ref_date = '2024-05-31')c
on  concat(c.ckbalcao, c.cknumcta, c.comp_id_gar) = concat( b.ckbalcao, b.cknumcta, b.comp_id_gar)
having val_universo &lt;&gt; 'comum'
-- group by 2
;
Select 
*,
-- count(*),
case when  b.cknumcta is null and a.cknumcta is not null and c.cknumcta is null then 'Exclusivo_gt001'
when  b.cknumcta is not null and a.cknumcta is  null  and c.cknumcta is not null then 'Exlusivo_gt002_bem'
when  b.cknumcta is not null and a.cknumcta is  null  and c.cknumcta is null then 'Exlusivo_gt002'
when  b.cknumcta is  null and a.cknumcta is  null  and c.cknumcta is not null then 'Exlusivo_bem'
when  b.cknumcta is not null and a.cknumcta is not null  and c.cknumcta is null then 'Exlusivo_gt001_gt002'
when b.cknumcta is not null and a.cknumcta is not null and c.cknumcta is not null then 'comum'
else 'analisar'
end as val_universo
FROM 
    (select*
    from cd_garantias.gt001_trz_rsp_gt
    where ref_date = '2024-05-31')a
full join 
    (select*
    from cd_garantias.gt002_grnt_prc
    where ref_date = '2024-05-31')b
on concat(a.cempresa, a.ckbalcao, a.cknumcta, a.comp_id_gar) = concat(b.cempresa, b.ckbalcao, b.cknumcta, b.comp_id_gar)
full join 
    (select DISTINCT ckbalcao, cknumcta, comp_id_gar, ckbalbem, ckrefbem, ckctabem
    from cd_garantias.gt003_trz_gt_fin
    where ref_date = '2024-05-31'
    union all 
    select distinct ckbalcao, cknumcta, comp_id_gar, ckbalbem, ckrefbem, ckctabem
    from cd_garantias.gt007_trz_gt_pes
    where ref_date = '2024-05-31'
    union all
    select distinct ckbalcao, cknumcta, comp_id_gar, ckbalbem, ckrefbem, ckctabem
    from cd_garantias.gt008_trz_gt_imv
    where ref_date = '2024-05-31')c
on  concat(c.ckbalcao, c.cknumcta, c.comp_id_gar) = concat( b.ckbalcao, b.cknumcta, b.comp_id_gar)
having val_universo &lt;&gt; 'comum'
-- group by 2</t>
  </si>
  <si>
    <t>F</t>
  </si>
  <si>
    <t>Traçabilidade gt018/gt019</t>
  </si>
  <si>
    <t xml:space="preserve">bu_captools_work.gt019_report_biyr9500
bu_garantias_work.gt018_rateio_aval
</t>
  </si>
  <si>
    <t>Em bu:
Tudo o que está na gt0018 = gt019</t>
  </si>
  <si>
    <t>select count(*),
case when gt018.ckbalres is not null and gt019.cknumcta is null then 'exclusivo gt018'
when gt018.ckbalres is null and gt019.cknumcta is not null then 'exclusivo gt019'
when  gt018.ckbalres is not null and gt019.cknumcta is not null then 'comum'
else 'analisar'
end as validacao
from 
    (select * 
    from cd_garantias.gt018_rateio_aval
    where  ref_date= '2024-05-31') gt018
left join
    (select *
    from cd_garantias.kt_chaves_intrf_grts_biyr_bem
    where ref_date ='2024-05-31')kt
on concat(gt018.cempresp, gt018.ckbalres, gt018.ckctares, gt018.ckrefresp) = concat(kt.cempresp_orig, kt.ckbalres_orig, kt.ckctares_orig, kt.ckrefresp_orig)
and concat(gt018.cempresa, gt018.ckbalcao, gt018.cknumcta, gt018.comp_id_gar) = concat(kt.cempresa_orig, kt.ckbalcao_orig, kt.cknumcta_orig,kt.comp_id_gar_orig) 
and concat (gt018.cempbem, gt018.ckbalbem, gt018.ckctabem, gt018.ckrefbem) = concat(kt.cempbem_orig, kt.ckbalbem_orig, kt.ckctabem_orig, kt.ckrefbem_orig)
full join 
    (select *
    from cd_garantias.gt019_report_biyr9500
    where ref_date = '2024-05-31') gt019
on concat(kt.cempresa_dest, kt.ckbalcao_dest, kt.cknumcta_dest, kt.zdeposit_dest) = concat(gt019.cempresa, gt019.ckbalcao, gt019.cknumcta, gt019.zdeposit)
and concat(kt.ckbalbem_dest, kt.ckctabem_dest, kt.ckrefbem_dest) =  concat(gt019.ckbalbem, gt019.ckctabem, gt019.ckrefbem)
group by validacao;
select count(*),
case when gt018.ckbalres is not null and gt019.cknumcta is null then 'exclusivo gt018'
when gt018.ckbalres is null and gt019.cknumcta is not null then 'exclusivo gt019'
when  gt018.ckbalres is not null and gt019.cknumcta is not null then 'comum'
else 'analisar'
end as validacao
from
    (select *
    from bu_captools_work.gt019_report_biyr9500_jg
    where ref_date = '2024-05-31') gt019
left join
    (select *
    from cd_garantias.kt_chaves_intrf_grts_biyr_bem
    where ref_date ='2024-05-31')kt
on concat(kt.cempresa_dest, kt.ckbalcao_dest, kt.cknumcta_dest, kt.zdeposit_dest) = concat(gt019.cempresa, gt019.ckbalcao, gt019.cknumcta, gt019.zdeposit)
and concat(kt.ckbalbem_dest, kt.ckctabem_dest, kt.ckrefbem_dest) =  concat(gt019.ckbalbem, gt019.ckctabem, gt019.ckrefbem)
full join 
    (select * 
    from cd_garantias.gt018_rateio_aval
    where  ref_date= '2024-05-31') gt018
on concat(gt018.cempresp, gt018.ckbalres, gt018.ckctares, gt018.ckrefresp) = concat(kt.cempresp_orig, kt.ckbalres_orig, kt.ckctares_orig, kt.ckrefresp_orig)
and concat(gt018.cempresa, gt018.ckbalcao, gt018.cknumcta, gt018.comp_id_gar) = concat(kt.cempresa_orig, kt.ckbalcao_orig, kt.cknumcta_orig,kt.comp_id_gar_orig) 
and concat (gt018.cempbem, gt018.ckbalbem, gt018.ckctabem, gt018.ckrefbem) = concat(kt.cempbem_orig, kt.ckbalbem_orig, kt.ckctabem_orig, kt.ckrefbem_orig)
group by validacao;</t>
  </si>
  <si>
    <t>G</t>
  </si>
  <si>
    <t>Testar existência de duplicados</t>
  </si>
  <si>
    <t>bu_captools_work.gt018_rateio_aval_jg
cd_garantias.gt018_rateio_aval</t>
  </si>
  <si>
    <r>
      <t>Universo</t>
    </r>
    <r>
      <rPr>
        <b/>
        <sz val="11"/>
        <color theme="1"/>
        <rFont val="Calibri"/>
        <family val="2"/>
        <scheme val="minor"/>
      </rPr>
      <t xml:space="preserve"> comum </t>
    </r>
  </si>
  <si>
    <t>select 
b.count_registos, a.*
-- count(*)
from    
    (select* 
    from bu_captools_work.gt018_rateio_aval_jg
    where ref_date='2024-05-31')a
left join
    (select cempresp, ckbalres, ckctares, ckrefresp, cempresa, ckbalcao, cknumcta, comp_id_gar, ckbalbem, ckctabem, ckrefbem,  count(*) as count_registos 
    from bu_captools_work.gt018_rateio_aval_jg
    where ref_date='2024-05-31' 
    group by cempresp, ckbalres, ckctares, ckrefresp, cempresa, ckbalcao, cknumcta, comp_id_gar, ckbalbem, ckctabem, ckrefbem
    )b
on a.cempresp = b.cempresp
and a.ckbalres = b.ckbalres
and a.ckctares = b.ckctares
and a.ckrefresp = b.ckrefresp
and a. cempresa = b. cempresa
and a. ckbalcao = b. ckbalcao
and a. cknumcta = b. cknumcta
and a. comp_id_gar = b.comp_id_gar
and a.ckbalbem = b.ckbalbem
and a.ckctabem = b.ckctabem
and a.ckrefbem = b.ckrefbem
where count_registos&gt;1
;</t>
  </si>
  <si>
    <t>H</t>
  </si>
  <si>
    <t xml:space="preserve">bu_captools_work.gt701_hist_mavaliai_jg
cd_garantias.gt701_hist_mavaliai
</t>
  </si>
  <si>
    <t>Universo em Produção = Universo em Desenvolvimento 
(Cruzamento chave completa + ref_date_entrada)</t>
  </si>
  <si>
    <t>select 
-- b.count_registos, a.*
count(*)
from    
    (select* 
    from bu_captools_work.gt701_hist_mavaliai_jg
    )a
left join
    (select cempresp, ckbalres, ckctares, ckrefresp, cempresa, ckbalcao, cknumcta, comp_id_gar, ckbalbem, ckctabem, ckrefbem, ref_date_entrada,
    count(*) as count_registos 
    from bu_captools_work.gt701_hist_mavaliai_jg
    group by cempresp, ckbalres, ckctares, ckrefresp, cempresa, ckbalcao, cknumcta, comp_id_gar, ckbalbem, ckctabem, ckrefbem, ref_date_entrada
    )b
on a.cempresp = b.cempresp
and a.ckbalres = b.ckbalres
and a.ckctares = b.ckctares
and a.ckrefresp = b.ckrefresp
and a. cempresa = b. cempresa
and a. ckbalcao = b. ckbalcao
and a. cknumcta = b. cknumcta
and a. comp_id_gar = b.comp_id_gar
and a.ckbalbem = b.ckbalbem
and a.ckctabem = b.ckctabem
and a.ckrefbem = b.ckrefbem
and a.ref_date_entrada = b.ref_date_entrada
where count_registos&gt;1
-- and a.id_contrato = '31000318588721097'
;</t>
  </si>
  <si>
    <t>i</t>
  </si>
  <si>
    <t xml:space="preserve">Teste à duplicação de registos </t>
  </si>
  <si>
    <t>Não existem registos duplicados nem em bu nem em cd</t>
  </si>
  <si>
    <t>NOK</t>
  </si>
  <si>
    <r>
      <rPr>
        <b/>
        <i/>
        <sz val="11"/>
        <color theme="1"/>
        <rFont val="Calibri"/>
        <family val="2"/>
        <scheme val="minor"/>
      </rPr>
      <t>Universo cd:</t>
    </r>
    <r>
      <rPr>
        <sz val="11"/>
        <color theme="1"/>
        <rFont val="Calibri"/>
        <family val="2"/>
        <scheme val="minor"/>
      </rPr>
      <t xml:space="preserve"> Não existem duplicados 
</t>
    </r>
    <r>
      <rPr>
        <b/>
        <i/>
        <sz val="11"/>
        <color theme="1"/>
        <rFont val="Calibri"/>
        <family val="2"/>
        <scheme val="minor"/>
      </rPr>
      <t>Universo bu:</t>
    </r>
    <r>
      <rPr>
        <sz val="11"/>
        <color theme="1"/>
        <rFont val="Calibri"/>
        <family val="2"/>
        <scheme val="minor"/>
      </rPr>
      <t xml:space="preserve"> Existem</t>
    </r>
    <r>
      <rPr>
        <b/>
        <sz val="11"/>
        <color theme="1"/>
        <rFont val="Calibri"/>
        <family val="2"/>
        <scheme val="minor"/>
      </rPr>
      <t xml:space="preserve"> 2</t>
    </r>
    <r>
      <rPr>
        <sz val="11"/>
        <color theme="1"/>
        <rFont val="Calibri"/>
        <family val="2"/>
        <scheme val="minor"/>
      </rPr>
      <t xml:space="preserve"> duplicados </t>
    </r>
  </si>
  <si>
    <r>
      <rPr>
        <b/>
        <i/>
        <sz val="11"/>
        <color theme="1"/>
        <rFont val="Calibri"/>
        <family val="2"/>
        <scheme val="minor"/>
      </rPr>
      <t>Incidência:</t>
    </r>
    <r>
      <rPr>
        <sz val="11"/>
        <color theme="1"/>
        <rFont val="Calibri"/>
        <family val="2"/>
        <scheme val="minor"/>
      </rPr>
      <t xml:space="preserve">
Verificamos que os registos duplicados correspondem a bens IMO de origem CS e GP. 
O mesmo bem está associado ao mesmo esmpréstimo, tanto para origem GP como CS, o que duplica o registo. 
Resolvido operacionalmente (não tecnológicamente) para data posterior a 31-05-2024</t>
    </r>
  </si>
  <si>
    <t xml:space="preserve">select 
b.count_registos, a.*
-- count(*)
from    
    (select* 
    from bu_captools_work.gt019_report_biyr9500_jg
    where ref_date='2024-05-31')a
left join
    (select cempresa, ckbalcao, cknumcta, zdeposit, ckbalbem, ckctabem, ckrefbem,  count(*) as count_registos 
    from bu_captools_work.gt019_report_biyr9500_jg
    where ref_date='2024-05-31' 
    group by cempresa, ckbalcao, cknumcta, zdeposit, ckbalbem, ckctabem, ckrefbem )b
on a. cempresa = b. cempresa
and a. ckbalcao = b. ckbalcao
and a. cknumcta = b. cknumcta
and a. zdeposit = b.zdeposit
and a.ckbalbem = b.ckbalbem
and a.ckctabem = b.ckctabem
and a.ckrefbem = b.ckrefbem
where count_registos&gt;1
; 
-- casos duplicados 
select *
from bu_garantias_work.gt019_report_biyr9500
 where ref_date='2024-05-31'
 and concat(ckbalcao, cknumcta, zdeposit, ckbalbem, ckctabem, ckrefbem) = '000319557288096000000000000000003218757780000000000000000000';
-- gt019 cd  sem duplicados
select  b.count_registos, a.*
from    
    (select* 
    from cd_garantias.gt019_report_biyr9500
    where ref_date='2024-05-31')a
left join
    (select cempresa, ckbalcao, cknumcta, zdeposit, ckbalbem, ckctabem, ckrefbem,  count(*) as count_registos 
    from cd_garantias.gt019_report_biyr9500
    where ref_date='2024-03-31' 
    group by cempresa, ckbalcao, cknumcta, zdeposit, ckbalbem, ckctabem, ckrefbem )b
on a. cempresa = b. cempresa
and a. ckbalcao = b. ckbalcao
and a. cknumcta = b. cknumcta
and a. zdeposit = b.zdeposit
and a.ckbalbem = b.ckbalbem
and a.ckctabem = b.ckctabem
and a.ckrefbem = b.ckrefbem
where count_registos&gt;1; 
</t>
  </si>
  <si>
    <t>J</t>
  </si>
  <si>
    <t>Verificar se o mavaliai_resp_bem bu.gt018 é igual ao mavaliai bu.gt019</t>
  </si>
  <si>
    <t>bu_captools_work.gt019_report_biyr9500
bu_captools_work.gt018_rateio_aval_jg</t>
  </si>
  <si>
    <t>mavaliai_resp_bem = mavaliai</t>
  </si>
  <si>
    <r>
      <t xml:space="preserve">Verificamos que existem </t>
    </r>
    <r>
      <rPr>
        <b/>
        <sz val="11"/>
        <color theme="1"/>
        <rFont val="Calibri"/>
        <family val="2"/>
        <scheme val="minor"/>
      </rPr>
      <t>2</t>
    </r>
    <r>
      <rPr>
        <sz val="11"/>
        <color theme="1"/>
        <rFont val="Calibri"/>
        <family val="2"/>
        <scheme val="minor"/>
      </rPr>
      <t xml:space="preserve"> registos em que o campo</t>
    </r>
    <r>
      <rPr>
        <b/>
        <sz val="11"/>
        <color theme="1"/>
        <rFont val="Calibri"/>
        <family val="2"/>
        <scheme val="minor"/>
      </rPr>
      <t xml:space="preserve"> não é igual. </t>
    </r>
    <r>
      <rPr>
        <sz val="11"/>
        <color theme="1"/>
        <rFont val="Calibri"/>
        <family val="2"/>
        <scheme val="minor"/>
      </rPr>
      <t xml:space="preserve">
Validamos que os regitos correspondem aos duplicados na gt019.</t>
    </r>
  </si>
  <si>
    <t xml:space="preserve">select 
gt019.* , a.mavaliai_resp_bem, 
-- count(*),
Case when  a.mavaliai_resp_bem = gt019.mavaliai then 'ok'
    when  a.mavaliai_resp_bem &lt;&gt; gt019.mavaliai then 'nok'
    else 'analisar'
end as validacao
from 
    (
    select cempresa_dest, ckbalcao_dest,cknumcta_dest, zdeposit_dest, ckbalbem_dest, ckctabem_dest, ckrefbem_dest,dtvaliai_resp_bem,  sum(mavaliai_resp_bem) as mavaliai_resp_bem
    from
        (Select kt.cempresa_dest, kt.ckbalcao_dest,kt.cknumcta_dest, kt.zdeposit_dest, kt.ckbalbem_dest, kt.ckctabem_dest, kt.ckrefbem_dest,mavaliai_resp_bem,dtvaliai_resp_bem,
        rank() over (partition by kt.cempresa_dest, kt.ckbalcao_dest,kt.cknumcta_dest, kt.zdeposit_dest, kt.ckbalbem_dest, kt.ckctabem_dest, kt.ckrefbem_dest order by dtvaliai_resp_bem asc) as ranking
        from 
            (select distinct cempresp, ckbalres, ckctares, ckrefresp, cempbem, ckbalbem, ckctabem, ckrefbem, mavaliai_resp_bem, dtvaliai_resp_bem
            from bu_captools_work.gt018_rateio_aval_jg
            where  ref_date= '2024-05-31') gt018
        left join
            (select distinct cempresp_orig, ckbalres_orig, ckctares_orig, ckrefresp_orig, 
                            cempbem_orig, ckbalbem_orig, ckctabem_orig, ckrefbem_orig, 
                            cempresa_dest, ckbalcao_dest, cknumcta_dest, zdeposit_dest, 
                            ckbalbem_dest, ckctabem_dest, ckrefbem_dest
            from bu_garantias_work.kt_chaves_intrf_grts_biyr_bem
            where ref_date ='2024-05-31')kt
        on concat(gt018.cempresp, gt018.ckbalres, gt018.ckctares, gt018.ckrefresp) = concat(kt.cempresp_orig, kt.ckbalres_orig, kt.ckctares_orig, kt.ckrefresp_orig)
        -- and concat(gt018.cempresa, gt018.ckbalcao, gt018.cknumcta, gt018.comp_id_gar) = concat(kt.cempresa_orig, kt.ckbalcao_orig, kt.cknumcta_orig,kt.comp_id_gar_orig) 
        and concat (gt018.cempbem, gt018.ckbalbem, gt018.ckctabem, gt018.ckrefbem) = concat(kt.cempbem_orig, kt.ckbalbem_orig, kt.ckctabem_orig, kt.ckrefbem_orig)
        )a
    where ranking = 1
    group by 1, 2, 3, 4, 5, 6, 7, 8 ) a
full join
    (select *
    from bu_garantias_work.gt019_report_biyr9500
    where ref_date = '2024-05-31') gt019
on concat(a.cempresa_dest, a.ckbalcao_dest, a.cknumcta_dest, a.zdeposit_dest) = concat(gt019.cempresa, gt019.ckbalcao, gt019.cknumcta, gt019.zdeposit)
and concat(a.ckbalbem_dest, a.ckctabem_dest, a.ckrefbem_dest) =  concat(gt019.ckbalbem, gt019.ckctabem, gt019.ckrefbem)
-- group  by validacao
having validacao = 'nok'
-- and origem = 'FAC'
-- limit 2
;
-- select sum(mavaliai_resp_bem)
-- from 
select distinct ckbalres, ckctares, ckrefresp, ckbalbem, ckctabem, ckrefbem, mavaliai_resp_bem, dtvaliai_resp_bem
from bu_garantias_work.gt018_rateio_aval
where  ref_date= '2024-05-31'
and concat(ckbalres, ckctares, ckrefresp) = '211100139177097001391770970000'
-- and concat(cempresa, ckbalcao, cknumcta, comp_id_gar) in ('89000020200000118000005100659087')
and concat( ckbalbem, ckctabem, ckrefbem) = '000302185376080000000000100002'
-- group by ckctares, ckbalres
;
select *
from bu_garantias_work.gt701_hist_mavaliai
-- where  ref_date_entrada = '2024-05-31'
where concat(cempresp, ckbalres, ckctares) = '31211100139177097'
-- and concat(cempresa, ckbalcao, cknumcta, comp_id_gar) in ('89000020200000118000005100659087')
and concat(cempbem, ckbalbem, ckctabem, ckrefbem) = '31000302185376080000000000100002'
;
select *
from bu_garantias_work.gt019_report_biyr9500
where ref_date ='2024-05-31'
and concat(cempresa, ckbalcao, cknumcta, zdeposit) in ('31000319557288096000000000000000')
and concat(ckbalbem, ckctabem, ckrefbem)  in ('003218757780000000000000000000')
;
select *
from bu_garantias_work.kt_chaves_intrf_grts_biyr_bem
where ref_date ='2024-05-31'
-- and concat(cempbem_orig, ckbalbem_orig, ckctabem_orig, ckrefbem_orig) = 
and concat( ckbalcao_dest, cknumcta_dest, zdeposit_dest) in ('000319557288096000000000000000')
and concat(ckbalbem_dest, ckctabem_dest, ckrefbem_dest)in ('003218757780000000000000000000')
</t>
  </si>
  <si>
    <t>L</t>
  </si>
  <si>
    <t>Verificar se o mavaliai_resp_bem da bu.gt701 é igual ao mavaliai na bu.gt019</t>
  </si>
  <si>
    <t xml:space="preserve">bu_captools_work.gt019_report_biyr9500_jg
bu_captools_work.gt701_hist_mavaliai
</t>
  </si>
  <si>
    <r>
      <t>Verificamos que existem 3 registos em que o campo</t>
    </r>
    <r>
      <rPr>
        <b/>
        <sz val="11"/>
        <color theme="1"/>
        <rFont val="Calibri"/>
        <family val="2"/>
        <scheme val="minor"/>
      </rPr>
      <t xml:space="preserve"> não é igual. </t>
    </r>
    <r>
      <rPr>
        <sz val="11"/>
        <color theme="1"/>
        <rFont val="Calibri"/>
        <family val="2"/>
        <scheme val="minor"/>
      </rPr>
      <t xml:space="preserve">
</t>
    </r>
  </si>
  <si>
    <r>
      <rPr>
        <b/>
        <sz val="11"/>
        <color theme="1"/>
        <rFont val="Calibri"/>
        <family val="2"/>
        <scheme val="minor"/>
      </rPr>
      <t xml:space="preserve">Incidência :
- </t>
    </r>
    <r>
      <rPr>
        <sz val="11"/>
        <color theme="1"/>
        <rFont val="Calibri"/>
        <family val="2"/>
        <scheme val="minor"/>
      </rPr>
      <t>Verificamos que</t>
    </r>
    <r>
      <rPr>
        <b/>
        <sz val="11"/>
        <color theme="1"/>
        <rFont val="Calibri"/>
        <family val="2"/>
        <scheme val="minor"/>
      </rPr>
      <t xml:space="preserve"> 1 </t>
    </r>
    <r>
      <rPr>
        <sz val="11"/>
        <color theme="1"/>
        <rFont val="Calibri"/>
        <family val="2"/>
        <scheme val="minor"/>
      </rPr>
      <t xml:space="preserve">registo tem 2 processos distinos para a mesma responsabilidade/bem, com datas de avaliação distintas - </t>
    </r>
    <r>
      <rPr>
        <b/>
        <i/>
        <sz val="11"/>
        <color rgb="FF92D050"/>
        <rFont val="Calibri"/>
        <family val="2"/>
        <scheme val="minor"/>
      </rPr>
      <t>Casuística 2.</t>
    </r>
    <r>
      <rPr>
        <sz val="11"/>
        <color theme="1"/>
        <rFont val="Calibri"/>
        <family val="2"/>
        <scheme val="minor"/>
      </rPr>
      <t xml:space="preserve"> 
- Verificamos que</t>
    </r>
    <r>
      <rPr>
        <b/>
        <sz val="11"/>
        <color theme="1"/>
        <rFont val="Calibri"/>
        <family val="2"/>
        <scheme val="minor"/>
      </rPr>
      <t xml:space="preserve"> 2</t>
    </r>
    <r>
      <rPr>
        <sz val="11"/>
        <color theme="1"/>
        <rFont val="Calibri"/>
        <family val="2"/>
        <scheme val="minor"/>
      </rPr>
      <t xml:space="preserve"> registos correspondem aos duplicados da tabela GT019 (Teste B) </t>
    </r>
  </si>
  <si>
    <t>select 
gt019.* , a.mavaliai_resp_bem, a.metodologia_resp_bem,
-- count(*),
Case when  a.mavaliai_resp_bem = gt019.mavaliai then 'ok'
    when  a.mavaliai_resp_bem &lt;&gt; gt019.mavaliai then 'nok'
    else 'analisar'
end as validacao
from 
    (
    select cempresa_dest, ckbalcao_dest,cknumcta_dest, zdeposit_dest, ckbalbem_dest, ckctabem_dest, ckrefbem_dest,dtvaliai_resp_bem,  
    metodologia_resp_bem, metodologia_resp_proc, metodologia_resp_proc_bem, sum(mavaliai_resp_bem) as mavaliai_resp_bem
    from
        (Select kt.cempresa_dest, kt.ckbalcao_dest,kt.cknumcta_dest, kt.zdeposit_dest, kt.ckbalbem_dest, kt.ckctabem_dest, kt.ckrefbem_dest,mavaliai_resp_bem,dtvaliai_resp_bem,
        metodologia_resp_bem, metodologia_resp_proc, metodologia_resp_proc_bem,
        rank() over (partition by kt.cempresa_dest, kt.ckbalcao_dest,kt.cknumcta_dest, kt.zdeposit_dest, kt.ckbalbem_dest, kt.ckctabem_dest, kt.ckrefbem_dest order by dtvaliai_resp_bem asc) as ranking
        from 
            (select distinct cempresp, ckbalres, ckctares, ckrefresp, cempbem, ckbalbem, ckctabem, ckrefbem, mavaliai_resp_bem, dtvaliai_resp_bem,
            metodologia_resp_bem, metodologia_resp_proc, metodologia_resp_proc_bem
            from bu_garantias_work.gt701_hist_mavaliai
            where flag_ativo &lt;&gt; 0 
           ) gt701
        left join
            (select distinct cempresp_orig, ckbalres_orig, ckctares_orig, ckrefresp_orig, 
                            cempbem_orig, ckbalbem_orig, ckctabem_orig, ckrefbem_orig, 
                            cempresa_dest, ckbalcao_dest, cknumcta_dest, zdeposit_dest, 
                            ckbalbem_dest, ckctabem_dest, ckrefbem_dest
            from bu_garantias_work.kt_chaves_intrf_grts_biyr_bem
            where ref_date ='2024-05-31')kt
        on concat(gt701.cempresp, gt701.ckbalres, gt701.ckctares, gt701.ckrefresp) = concat(kt.cempresp_orig, kt.ckbalres_orig, kt.ckctares_orig, kt.ckrefresp_orig)
        -- and concat(gt018.cempresa, gt018.ckbalcao, gt018.cknumcta, gt018.comp_id_gar) = concat(kt.cempresa_orig, kt.ckbalcao_orig, kt.cknumcta_orig,kt.comp_id_gar_orig) 
        and concat (gt701.cempbem, gt701.ckbalbem, gt701.ckctabem, gt701.ckrefbem) = concat(kt.cempbem_orig, kt.ckbalbem_orig, kt.ckctabem_orig, kt.ckrefbem_orig)
        )a
    where ranking = 1
    group by 1, 2, 3, 4, 5, 6, 7, 8, 9, 10, 11) a
full join
    (select *
    from bu_garantias_work.gt019_report_biyr9500
    where ref_date = '2024-05-31') gt019
on concat(a.cempresa_dest, a.ckbalcao_dest, a.cknumcta_dest, a.zdeposit_dest) = concat(gt019.cempresa, gt019.ckbalcao, gt019.cknumcta, gt019.zdeposit)
and concat(a.ckbalbem_dest, a.ckctabem_dest, a.ckrefbem_dest) =  concat(gt019.ckbalbem, gt019.ckctabem, gt019.ckrefbem)
-- group  by validacao
having validacao = 'nok'
-- and origem = 'FAC'
-- limit 2
;
select *
from bu_garantias_work.gt701_hist_mavaliai
where concat(cempresp, ckbalres, ckctares, ckrefresp) in ('31000348998967020489989670200000', '31237401447377020014473770200010')
and concat(cempbem, ckbalbem, ckctabem, ckrefbem) in ('31000000000000000000007401204737', '31000017043670000000000000000000')
;
select *
from bu_garantias_work.kt_chaves_intrf_grts_biyr_bem
where ref_date = '2024-05-31'
and concat(cempresa_dest, ckbalcao_dest, cknumcta_dest, zdeposit_dest) in ('31237401447377020000000000000000', '31000348998967020000000000000000')
and concat(ckbalbem_dest, ckctabem_dest, ckrefbem_dest) in ('000017043670000000000000000000',  '000000000000000000007401204737')
;</t>
  </si>
  <si>
    <t>M</t>
  </si>
  <si>
    <t>Verificar se o mavaliai da cd.gt019 é igual ao mavaliai da bu.gt019</t>
  </si>
  <si>
    <t xml:space="preserve">bu_captools_work.gt019_report_biyr9500_jg
cd_garantias.gt019_report_biyr9500
</t>
  </si>
  <si>
    <t>cd.mavaliai=bu.mavaliai</t>
  </si>
  <si>
    <r>
      <t>Verificamos que existem 171 registos em que o campo</t>
    </r>
    <r>
      <rPr>
        <b/>
        <sz val="11"/>
        <color theme="1"/>
        <rFont val="Calibri"/>
        <family val="2"/>
        <scheme val="minor"/>
      </rPr>
      <t xml:space="preserve"> não é igual. </t>
    </r>
    <r>
      <rPr>
        <sz val="11"/>
        <color theme="1"/>
        <rFont val="Calibri"/>
        <family val="2"/>
        <scheme val="minor"/>
      </rPr>
      <t xml:space="preserve">
</t>
    </r>
  </si>
  <si>
    <r>
      <rPr>
        <b/>
        <sz val="11"/>
        <color theme="1"/>
        <rFont val="Calibri"/>
        <family val="2"/>
        <scheme val="minor"/>
      </rPr>
      <t xml:space="preserve">Incidência </t>
    </r>
    <r>
      <rPr>
        <sz val="11"/>
        <color theme="1"/>
        <rFont val="Calibri"/>
        <family val="2"/>
        <scheme val="minor"/>
      </rPr>
      <t xml:space="preserve">
</t>
    </r>
    <r>
      <rPr>
        <b/>
        <sz val="11"/>
        <color theme="1"/>
        <rFont val="Calibri"/>
        <family val="2"/>
        <scheme val="minor"/>
      </rPr>
      <t xml:space="preserve">F.1. </t>
    </r>
    <r>
      <rPr>
        <sz val="11"/>
        <color theme="1"/>
        <rFont val="Calibri"/>
        <family val="2"/>
        <scheme val="minor"/>
      </rPr>
      <t xml:space="preserve">Verificamos que 123 casos são justificados pelo facto de terem alterado a metodologia do registo. 
</t>
    </r>
    <r>
      <rPr>
        <b/>
        <sz val="11"/>
        <color theme="1"/>
        <rFont val="Calibri"/>
        <family val="2"/>
        <scheme val="minor"/>
      </rPr>
      <t>F.2.</t>
    </r>
    <r>
      <rPr>
        <sz val="11"/>
        <color theme="1"/>
        <rFont val="Calibri"/>
        <family val="2"/>
        <scheme val="minor"/>
      </rPr>
      <t xml:space="preserve"> Verificamos que 39 casos são justificados pelo facto de na bu estarmos a utilizar a data mais antiga e na cd a data mais recente
</t>
    </r>
    <r>
      <rPr>
        <b/>
        <sz val="11"/>
        <color theme="1"/>
        <rFont val="Calibri"/>
        <family val="2"/>
        <scheme val="minor"/>
      </rPr>
      <t>F.3</t>
    </r>
    <r>
      <rPr>
        <sz val="11"/>
        <color theme="1"/>
        <rFont val="Calibri"/>
        <family val="2"/>
        <scheme val="minor"/>
      </rPr>
      <t>. Verificamos que 9 casos são justificados pelo facto de na cd termos processos diferentes e o mavaliai_bem fazia essa distinção, agora temos só resp_bem</t>
    </r>
  </si>
  <si>
    <t>select 
tipologia, 
origem, mavaliai, bu_mavaliai, ckbalcao, cknumcta, zdeposit, ckbalbem, ckctabem, ckrefbem, abs(cd.mavaliai - bu.bu_mavaliai) as diferenca,
-- count(*),
case when abs(cd.mavaliai - bu.bu_mavaliai) &gt; 0.5 then 'nok'
when abs(cd.mavaliai - bu.bu_mavaliai) &lt;= 0.5 then 'ok'
else 'analisar'
end as validacao
from
    (select tipologia, ckbalcao, cknumcta, zdeposit, ckbalbem, ckctabem, ckrefbem, mavaliai, origem
    from cd_garantias.gt019_report_biyr9500
    where ref_date ='2024-05-31')cd
    inner join 
    (select 
     tipologia as bu_tipologia,
        ckbalcao as bu_ckbalcao, 
        cknumcta as bu_cknumcta, 
        zdeposit as bu_zdeposit, 
        ckbalbem as bu_ckbalbem, 
        ckctabem as bu_ckctabem, 
        ckrefbem as bu_ckrefbem,
        mavaliai as bu_mavaliai
    from bu_garantias_work.gt019_report_biyr9500
    where ref_date ='2024-05-31')bu
    on cd.ckbalcao = bu.bu_ckbalcao
    and cd.cknumcta = bu.bu_cknumcta
    and cd.zdeposit = bu.bu_zdeposit
    and cd.ckbalbem = bu.bu_ckbalbem 
    and cd.ckctabem = bu.bu_ckctabem
    and cd.ckrefbem = bu.bu_ckrefbem
-- and concat(ckbalcao, cknumcta, zdeposit) = '000300194406096000000000000000'
-- and concat(ckbalbem, ckctabem, ckrefbem) = '003011287810001000000000000000'
-- and origem = 'GP'
where tipologia &lt;&gt; 'PES'
-- group by validacao, tipologia
having validacao = 'nok'
-- and tipologia &lt;&gt; 'FIN'
-- order by abs(cd.mavaliai - bu.bu_mavaliai) desc
;
select *
from cd_garantias.gt019_report_biyr9500
where ref_date ='2024-05-31'
and concat(ckbalcao, cknumcta, zdeposit) = '000300194406096000000000000000'
and concat(ckbalbem, ckctabem, ckrefbem) = '003011287810001000000000000000'
;
select *
from bu_captools_work.gt019_report_biyr9500_jg
where ref_date ='2024-05-31'
and concat(ckbalcao, cknumcta, zdeposit) = '000300194406096000000000000000'
and concat(ckbalbem, ckctabem, ckrefbem) = '003011287810001000000000000000'
;
select *
from bu_garantias_work.kt_chaves_intrf_grts_biyr_bem
where ref_date ='2024-05-31'
and concat(ckbalcao_dest, cknumcta_dest, zdeposit_dest) = '000300194406096000000000000000'
and concat(ckbalbem_dest, ckctabem_dest, ckrefbem_dest) ='003011287810001000000000000000'
;
select *
from cd_garantias.kt_chaves_intrf_grts_biyr_bem
where ref_date ='2024-05-31'
and concat(ckbalcao_dest, cknumcta_dest, zdeposit_dest) = '000300194406096000000000000000'
and concat(ckbalbem_dest, ckctabem_dest, ckrefbem_dest) ='003011287810001000000000000000'
;
select *
from bu_garantias_work.gt018_rateio_aval
where ref_date ='2024-05-31'
and concat(cempresp, ckbalres, ckctares, ckrefresp) = '31000300194406096000000000000000'
-- and concat(cempresa, ckbalcao, cknumcta, comp_id_gar) = '31000302226329080000000000000001'
and concat(cempbem, ckbalbem, ckctabem, ckrefbem) = '31003011287810001000000000000000'
;
select *
from cd_garantias.gt018_rateio_aval
where ref_date ='2024-05-31'
and concat(cempresp, ckbalres, ckctares, ckrefresp) = '31000300194406096000000000000000'
-- and concat(cempresa, ckbalcao, cknumcta, comp_id_gar) = '31000302226329080000000000000001'
and concat(cempbem, ckbalbem, ckctabem, ckrefbem) = '31003011287810001000000000000000';
select *
from bu_garantias_work.gt701_hist_mavaliai
where concat(cempresp, ckbalres, ckctares, ckrefresp) = '31000300194406096000000000000000'
-- and concat(cempresa, ckbalcao, cknumcta, comp_id_gar) = '31000302226329080000000000000001'
and concat(cempbem, ckbalbem, ckctabem, ckrefbem) =  '31003011287810001000000000000000'
;
select *
from cd_garantias.gt701_hist_mavaliai
where concat(cempresp, ckbalres, ckctares, ckrefresp) = '31000300194406096000000000000000'
-- and concat(cempresa, ckbalcao, cknumcta, comp_id_gar) = '31000302226329080000000000000001'
and concat(cempbem, ckbalbem, ckctabem, ckrefbem) =  '31003011287810001000000000000000'
;</t>
  </si>
  <si>
    <t>M.1.</t>
  </si>
  <si>
    <r>
      <rPr>
        <b/>
        <sz val="11"/>
        <color theme="1"/>
        <rFont val="Calibri"/>
        <family val="2"/>
        <scheme val="minor"/>
      </rPr>
      <t>Análise aos registos NOK -</t>
    </r>
    <r>
      <rPr>
        <sz val="11"/>
        <color theme="1"/>
        <rFont val="Calibri"/>
        <family val="2"/>
        <scheme val="minor"/>
      </rPr>
      <t xml:space="preserve"> Verificamos se os mesmos encaixam na</t>
    </r>
    <r>
      <rPr>
        <b/>
        <sz val="11"/>
        <color theme="1"/>
        <rFont val="Calibri"/>
        <family val="2"/>
        <scheme val="minor"/>
      </rPr>
      <t xml:space="preserve"> Casuística1</t>
    </r>
  </si>
  <si>
    <t xml:space="preserve">Drop table bu_garantias_work.gt019_report_biyr9500_MN2;
create table bu_garantias_work.gt019_report_biyr9500_MN2 as ;
select 
-- count(*),
gt019.*, 
mavaliai_resp_bem, dtvaliai_resp_bem, metodologia_resp_bem,
metodologia_bem_cd, metodologia_proc_cd,
case when metodologia_bem_cd &lt;&gt; metodologia_resp_bem then 'casuistica1'
when metodologia_bem_cd = metodologia_resp_bem then 'ok'
else 'analisar'
end as validacao2
from 
    (select  *
    from bu_garantias_work.gt019_report_biyr9500_MN
    )gt019
left join
    (select cempresa_dest, ckbalcao_dest,cknumcta_dest, zdeposit_dest, ckbalbem_dest, ckctabem_dest, ckrefbem_dest,dtvaliai_resp_bem,  
    metodologia_resp_bem, metodologia_resp_proc, metodologia_resp_proc_bem, 
    metodologia_bem_cd, metodologia_proc_cd,
    sum(mavaliai_resp_bem) as mavaliai_resp_bem,
    sum(mavaliai_bem_cd) as mavaliai_bem_cd
    from
        (select  a.cempresa_dest, a.ckbalcao_dest,a.cknumcta_dest, a.zdeposit_dest, a.ckbalbem_dest, a.ckctabem_dest, a.ckrefbem_dest,mavaliai_resp_bem,dtvaliai_resp_bem,
        metodologia_resp_bem, metodologia_resp_proc, metodologia_resp_proc_bem,mavaliai_bem_cd,
        cd.metodologia_bem_cd, cd.metodologia_proc_cd,
        rank() over (partition by a.cempresa_dest, a.ckbalcao_dest,a.cknumcta_dest, a.zdeposit_dest, a.ckbalbem_dest, a.ckctabem_dest, a.ckrefbem_dest order by dtvaliai_resp_bem asc) as ranking
        from 
            (select  cempresp_orig, ckbalres_orig, ckctares_orig, ckrefresp_orig, 
            cempresa_orig, ckbalcao_orig, cknumcta_orig, comp_id_gar_orig,
            cempbem_orig, ckbalbem_orig, ckctabem_orig, ckrefbem_orig, 
            cempresa_dest, ckbalcao_dest, cknumcta_dest, zdeposit_dest, 
            ckbalbem_dest, ckctabem_dest, ckrefbem_dest
            from bu_garantias_work.kt_chaves_intrf_grts_biyr_bem
            where ref_date ='2024-05-31')a
        -- on concat(a.cempresa_dest, a.ckbalcao_dest, a.cknumcta_dest, a.zdeposit_dest) = concat(gt019.cempresa, gt019.ckbalcao, gt019.cknumcta, gt019.zdeposit)
        -- and concat(a.ckbalbem_dest, a.ckctabem_dest, a.ckrefbem_dest) =  concat(gt019.ckbalbem, gt019.ckctabem, gt019.ckrefbem)   
        left join 
            (select distinct cempresp, ckbalres, ckctares, ckrefresp, cempbem, ckbalbem, ckctabem, ckrefbem, mavaliai_resp_bem, dtvaliai_resp_bem,
            cempresa, ckbalcao, cknumcta, comp_id_gar,
             metodologia_resp_bem, metodologia_resp_proc, metodologia_resp_proc_bem
             from bu_garantias_work.gt701_hist_mavaliai
             )bu
        on concat(bu.cempresp, bu.ckbalres, bu.ckctares, bu.ckrefresp) = concat(a.cempresp_orig, a.ckbalres_orig, a.ckctares_orig, a.ckrefresp_orig)
        and concat (bu.cempresa, bu.ckbalcao, bu.cknumcta, bu.comp_id_gar) = concat (a.cempresa_orig, a.ckbalcao_orig, a.cknumcta_orig, a.comp_id_gar_orig)
        and concat (bu.cempbem, bu.ckbalbem, bu.ckctabem, bu.ckrefbem) = concat(a.cempbem_orig, a.ckbalbem_orig, a.ckctabem_orig, a.ckrefbem_orig)
        left join 
            (select distinct cempresp, ckbalres, ckctares, ckrefresp, cempbem, ckbalbem, ckctabem, ckrefbem,
            cempresa, ckbalcao, cknumcta, comp_id_gar,
            mavaliai_bem as mavaliai_bem_cd, 
             metodologia_bem as metodologia_bem_cd,
             metodologia_proc as metodologia_proc_cd
             from cd_garantias.gt701_hist_mavaliai_20240729
             )cd
        on concat(cd.cempresp, cd.ckbalres, cd.ckctares, cd.ckrefresp) = concat(a.cempresp_orig, a.ckbalres_orig, a.ckctares_orig, a.ckrefresp_orig)
        and concat (cd.cempresa, cd.ckbalcao, cd.cknumcta, cd.comp_id_gar) = concat (a.cempresa_orig, a.ckbalcao_orig, a.cknumcta_orig, a.comp_id_gar_orig)
        and concat (cd.cempbem, cd.ckbalbem, cd.ckctabem, cd.ckrefbem) = concat(a.cempbem_orig, a.ckbalbem_orig, a.ckctabem_orig, a.ckrefbem_orig)
      )b
    where ranking = 1
    group by 1, 2, 3, 4, 5, 6, 7, 8, 9, 10, 11,12 ,13) c
on concat(c.cempresa_dest, c.ckbalcao_dest, c.cknumcta_dest, c.zdeposit_dest) = concat(gt019.cempresa, gt019.ckbalcao, gt019.cknumcta, gt019.zdeposit)
and concat(c.ckbalbem_dest, c.ckctabem_dest, c.ckrefbem_dest) =  concat(gt019.ckbalbem, gt019.ckctabem, gt019.ckrefbem)   
-- having validacao2 = 'ok'
-- where metodologia_resp_bem &lt;&gt; 'ORIGENS'
-- group by validacao2
    ;
    </t>
  </si>
  <si>
    <t>M.2.</t>
  </si>
  <si>
    <r>
      <rPr>
        <b/>
        <sz val="11"/>
        <color theme="1"/>
        <rFont val="Calibri"/>
        <family val="2"/>
        <scheme val="minor"/>
      </rPr>
      <t>Análise aos registos NOK -</t>
    </r>
    <r>
      <rPr>
        <sz val="11"/>
        <color theme="1"/>
        <rFont val="Calibri"/>
        <family val="2"/>
        <scheme val="minor"/>
      </rPr>
      <t xml:space="preserve"> Verificamos se os mesmos encaixam na</t>
    </r>
    <r>
      <rPr>
        <b/>
        <sz val="11"/>
        <color theme="1"/>
        <rFont val="Calibri"/>
        <family val="2"/>
        <scheme val="minor"/>
      </rPr>
      <t xml:space="preserve"> Casuística2 </t>
    </r>
    <r>
      <rPr>
        <sz val="11"/>
        <color theme="1"/>
        <rFont val="Calibri"/>
        <family val="2"/>
        <scheme val="minor"/>
      </rPr>
      <t>e</t>
    </r>
    <r>
      <rPr>
        <b/>
        <sz val="11"/>
        <color theme="1"/>
        <rFont val="Calibri"/>
        <family val="2"/>
        <scheme val="minor"/>
      </rPr>
      <t xml:space="preserve"> Casuística3</t>
    </r>
  </si>
  <si>
    <t xml:space="preserve">select
-- count(*),
-- distinct
 gt019.cempresa, gt019.ckbalcao, gt019.cknumcta, gt019.zdeposit, gt019.ckbalbem, gt019.ckctabem, gt019.ckrefbem,
c.mavaliai_resp_bem, c.dtvaliai_resp_bem, davaliai_bem_cd, mavaliai_bem_cd_1,
case when c.dtvaliai_resp_bem &lt;&gt; davaliai_bem_cd then 'casuistica2'
when c.dtvaliai_resp_bem = davaliai_bem_cd then 'ok'
else 'analisar'
end as validacao3
from 
    (select *
    from bu_garantias_work.gt019_report_biyr9500_MN2
    )gt019
left join
    (select cempresa_dest, ckbalcao_dest,cknumcta_dest, zdeposit_dest, ckbalbem_dest, ckctabem_dest, ckrefbem_dest,dtvaliai_resp_bem,  
    metodologia_resp_bem, metodologia_resp_proc, metodologia_resp_proc_bem, 
     davaliai_bem_cd, mavaliai_bem_cd,
    sum(mavaliai_resp_bem) as mavaliai_resp_bem,
    sum(mavaliai_bem_cd) as mavaliai_bem_cd_1
    from
        (select  a.cempresa_dest, a.ckbalcao_dest,a.cknumcta_dest, a.zdeposit_dest, a.ckbalbem_dest, a.ckctabem_dest, a.ckrefbem_dest,mavaliai_resp_bem,dtvaliai_resp_bem,
        metodologia_resp_bem, metodologia_resp_proc, metodologia_resp_proc_bem,
        davaliai_bem_cd, mavaliai_bem_cd,
        rank() over (partition by a.cempresa_dest, a.ckbalcao_dest,a.cknumcta_dest, a.zdeposit_dest, a.ckbalbem_dest, a.ckctabem_dest, a.ckrefbem_dest order by dtvaliai_resp_bem asc) as ranking
        from 
            (select  cempresp_orig, ckbalres_orig, ckctares_orig, ckrefresp_orig, 
            cempresa_orig, ckbalcao_orig, cknumcta_orig, comp_id_gar_orig,
            cempbem_orig, ckbalbem_orig, ckctabem_orig, ckrefbem_orig, 
            cempresa_dest, ckbalcao_dest, cknumcta_dest, zdeposit_dest, 
            ckbalbem_dest, ckctabem_dest, ckrefbem_dest
            from bu_garantias_work.kt_chaves_intrf_grts_biyr_bem
            where ref_date ='2024-05-31')a
        -- on concat(a.cempresa_dest, a.ckbalcao_dest, a.cknumcta_dest, a.zdeposit_dest) = concat(gt019.cempresa, gt019.ckbalcao, gt019.cknumcta, gt019.zdeposit)
        -- and concat(a.ckbalbem_dest, a.ckctabem_dest, a.ckrefbem_dest) =  concat(gt019.ckbalbem, gt019.ckctabem, gt019.ckrefbem)   
        left join 
            (select distinct cempresp, ckbalres, ckctares, ckrefresp, cempbem, ckbalbem, ckctabem, ckrefbem, mavaliai_resp_bem, dtvaliai_resp_bem,
            cempresa, ckbalcao, cknumcta, comp_id_gar,
             metodologia_resp_bem, metodologia_resp_proc, metodologia_resp_proc_bem
             from bu_garantias_work.gt701_hist_mavaliai
             )bu
        on concat(bu.cempresp, bu.ckbalres, bu.ckctares, bu.ckrefresp) = concat(a.cempresp_orig, a.ckbalres_orig, a.ckctares_orig, a.ckrefresp_orig)
        and concat (bu.cempresa, bu.ckbalcao, bu.cknumcta, bu.comp_id_gar) = concat (a.cempresa_orig, a.ckbalcao_orig, a.cknumcta_orig, a.comp_id_gar_orig)
        and concat (bu.cempbem, bu.ckbalbem, bu.ckctabem, bu.ckrefbem) = concat(a.cempbem_orig, a.ckbalbem_orig, a.ckctabem_orig, a.ckrefbem_orig)
        left join 
            (select  cempresp, ckbalres, ckctares, ckrefresp, cempbem, ckbalbem, ckctabem, ckrefbem,
            cempresa, ckbalcao, cknumcta, comp_id_gar,
             mavaliai_bem_rep as mavaliai_bem_cd,
             davaliai_bem as davaliai_bem_cd,
        rank() over (partition by cempresp, ckbalres, ckctares, ckrefresp,cempbem,  ckbalbem, ckctabem, ckrefbem order by davaliai_bem desc) as ranking2
             from cd_garantias.gt701_hist_mavaliai_20240729
             )cd
        on concat(cd.cempresp, cd.ckbalres, cd.ckctares, cd.ckrefresp) = concat(a.cempresp_orig, a.ckbalres_orig, a.ckctares_orig, a.ckrefresp_orig)
        and concat (cd.cempresa, cd.ckbalcao, cd.cknumcta, cd.comp_id_gar) = concat (a.cempresa_orig, a.ckbalcao_orig, a.cknumcta_orig, a.comp_id_gar_orig)
        and concat (cd.cempbem, cd.ckbalbem, cd.ckctabem, cd.ckrefbem) = concat(a.cempbem_orig, a.ckbalbem_orig, a.ckctabem_orig, a.ckrefbem_orig)
      )b
    where ranking = 1
    group by 1, 2, 3, 4, 5, 6, 7, 8, 9, 10, 11,12 ,13) c
on concat(c.cempresa_dest, c.ckbalcao_dest, c.cknumcta_dest, c.zdeposit_dest) = concat(gt019.cempresa, gt019.ckbalcao, gt019.cknumcta, gt019.zdeposit)
and concat(c.ckbalbem_dest, c.ckctabem_dest, c.ckrefbem_dest) =  concat(gt019.ckbalbem, gt019.ckctabem, gt019.ckrefbem)   
-- having validacao3 = 'ok'
-- where metodologia_resp_bem &lt;&gt; 'ORIGENS'
-- group by validacao3
    ;
    </t>
  </si>
  <si>
    <t>N</t>
  </si>
  <si>
    <t>Teste ao Universo GT701</t>
  </si>
  <si>
    <t>bu_garantias_work.gt701_hist_mavaliai
cd_garantias.gt701_hist_mavaliai</t>
  </si>
  <si>
    <r>
      <t>Verificamos que existem:</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6151 exclusivos da cd</t>
    </r>
  </si>
  <si>
    <r>
      <t xml:space="preserve">Verificamos que os exclusivos existentes trata-se de:
</t>
    </r>
    <r>
      <rPr>
        <sz val="11"/>
        <color theme="1"/>
        <rFont val="Calibri"/>
        <family val="2"/>
        <scheme val="minor"/>
      </rPr>
      <t>- IFRUS/ABATIDOS
- Utilização de interfaces distintas na bu e na cd ( dwt001/interface)</t>
    </r>
  </si>
  <si>
    <t xml:space="preserve">select 
-- *,
count(*),
case when cd.ckrefresp is null and bu.ckrefresp is not null then 'exclusivo bu'
    when cd.ckrefresp is not null and bu.ckrefresp is null then 'exclusivo cd'
    when cd.ckrefresp is not null and bu.ckrefresp is not null then 'comum'
else 'avaliar'
end as validacao_univ
from 
    (Select *
    from cd_garantias.gt701_hist_mavaliai
    where flag_ativo in (1,2))cd
left join 
    (select *
    from bu_garantias_work.gt701_hist_mavaliai
    where flag_ativo in (1,2))bu
on 
    cd.ckbalres = bu.ckbalres
and cd.ckctares =bu.ckctares
and cd.ckrefresp = bu.ckrefresp
and  cd.ckbalbem = bu.ckbalbem
and  cd.ckctabem = bu.ckctabem 
and  cd.ckrefbem = bu.ckrefbem
-- where cd.tipologia &lt;&gt; 'PES'    
group by validacao_univ
-- having validacao_univ &lt;&gt; 'comum'
-- having validacao_univ =  'exclusivo bu'
-- having validacao_univ =  'exclusivo cd'
-- limit 4
;
</t>
  </si>
  <si>
    <t>O</t>
  </si>
  <si>
    <t>Teste ao Universo GT001</t>
  </si>
  <si>
    <t>bu_garantias_work.gt001_trz_rsp_gt
cd_garantias.gt001_trz_rsp_gt</t>
  </si>
  <si>
    <r>
      <t>Verificamos que existem:</t>
    </r>
    <r>
      <rPr>
        <b/>
        <sz val="11"/>
        <color theme="1"/>
        <rFont val="Calibri"/>
        <family val="2"/>
        <scheme val="minor"/>
      </rPr>
      <t xml:space="preserve"> 
55 casos exclusivos da bu -</t>
    </r>
    <r>
      <rPr>
        <sz val="11"/>
        <color theme="1"/>
        <rFont val="Calibri"/>
        <family val="2"/>
        <scheme val="minor"/>
      </rPr>
      <t xml:space="preserve"> PES
</t>
    </r>
    <r>
      <rPr>
        <b/>
        <sz val="11"/>
        <color theme="1"/>
        <rFont val="Calibri"/>
        <family val="2"/>
        <scheme val="minor"/>
      </rPr>
      <t>21 exclusivos da cd</t>
    </r>
    <r>
      <rPr>
        <sz val="11"/>
        <color theme="1"/>
        <rFont val="Calibri"/>
        <family val="2"/>
        <scheme val="minor"/>
      </rPr>
      <t xml:space="preserve"> -PES</t>
    </r>
  </si>
  <si>
    <t xml:space="preserve">select 
-- bu.*,
count(*),
case when cd.ckrefresp is null and bu.ckrefresp is not null then 'exclusivo bu'
    when cd.ckrefresp is not null and bu.ckrefresp is null then 'exclusivo cd'
    when cd.ckrefresp is not null and bu.ckrefresp is not null then 'comum'
else 'avaliar'
end as validacao_univ
from 
    (Select  *
    from cd_garantias.gt001_trz_rsp_gt
    where ref_date = '2024-05-31')cd
full join 
    (select  *
    from bu_garantias_work.gt001_trz_rsp_gt
    where ref_date = '2024-05-31')bu
on 
    cd.ckbalres = bu.ckbalres
and cd.ckctares =bu.ckctares
and cd.ckrefresp = bu.ckrefresp
and cd.ckbalcao = bu.ckbalcao 
and cd.cknumcta = bu.cknumcta
and cd.comp_id_gar = bu.comp_id_gar
group by validacao_univ
-- having validacao_univ =  'exclusivo bu'
;
</t>
  </si>
  <si>
    <t>P</t>
  </si>
  <si>
    <t>Teste ao Universo GT002</t>
  </si>
  <si>
    <t>bu_garantias_work.gt002_grnt_prc
cd_garantias.gt002_grnt_prc</t>
  </si>
  <si>
    <r>
      <t>Verificamos que existem:</t>
    </r>
    <r>
      <rPr>
        <b/>
        <sz val="11"/>
        <color theme="1"/>
        <rFont val="Calibri"/>
        <family val="2"/>
        <scheme val="minor"/>
      </rPr>
      <t xml:space="preserve"> 
55 casos exclusivos da bu 
</t>
    </r>
    <r>
      <rPr>
        <sz val="11"/>
        <color theme="1"/>
        <rFont val="Calibri"/>
        <family val="2"/>
        <scheme val="minor"/>
      </rPr>
      <t xml:space="preserve"> </t>
    </r>
    <r>
      <rPr>
        <b/>
        <sz val="11"/>
        <color theme="1"/>
        <rFont val="Calibri"/>
        <family val="2"/>
        <scheme val="minor"/>
      </rPr>
      <t>21 exclusivos da cd</t>
    </r>
  </si>
  <si>
    <t xml:space="preserve">select 
-- *,
count(*),
case when cd.cknumcta is null and bu.cknumcta is not null then 'exclusivo bu'
    when cd.cknumcta is not null and bu.cknumcta is null then 'exclusivo cd'
    when cd.cknumcta is not null and bu.cknumcta is not null then 'comum'
else 'avaliar'
end as validacao_univ
from 
    (Select *
    from cd_garantias.gt002_grnt_prc
    where ref_date = '2024-05-31')cd
full join 
    (select *
    from bu_garantias_work.gt002_grnt_prc
    where ref_date = '2024-05-31')bu
on  cd.ckbalcao = bu.ckbalcao 
and cd.cknumcta = bu.cknumcta
and cd.comp_id_gar = bu.comp_id_gar
group by validacao_univ
-- having validacao_univ &lt;&gt; 'comum'
-- having validacao_univ =  'exclusivo bu'
-- having validacao_univ =  'exclusivo cd'
-- limit 4
;
</t>
  </si>
  <si>
    <t>Q</t>
  </si>
  <si>
    <t>Teste ao Universo GT003</t>
  </si>
  <si>
    <t>bu_garantias_work.gt003_trz_gt_fin
cd_garantias.gt003_trz_gt_fin</t>
  </si>
  <si>
    <r>
      <rPr>
        <u/>
        <sz val="11"/>
        <color theme="1"/>
        <rFont val="Calibri"/>
        <family val="2"/>
        <scheme val="minor"/>
      </rPr>
      <t>Garantias Financeiras</t>
    </r>
    <r>
      <rPr>
        <sz val="11"/>
        <color theme="1"/>
        <rFont val="Calibri"/>
        <family val="2"/>
        <scheme val="minor"/>
      </rPr>
      <t xml:space="preserve">
Verificamos que o Universo em produção é igual ao Universo em Desenvolvimento. 
Testamos ainda que o Nº de registos é o mesmo.</t>
    </r>
  </si>
  <si>
    <t xml:space="preserve">select 
-- *,
count(*),
case when cd.cknumcta is null and bu.cknumcta is not null then 'exclusivo bu'
    when cd.cknumcta is not null and bu.cknumcta is null then 'exclusivo cd'
    when cd.cknumcta is not null and bu.cknumcta is not null then 'comum'
else 'avaliar'
end as validacao_univ
from 
    (Select *
    from cd_garantias.gt003_trz_gt_fin
    where ref_date = '2024-05-31')cd
full join 
    (select *
    from bu_garantias_work.gt003_trz_gt_fin
    where ref_date = '2024-05-31')bu
on  cd.ckbalcao = bu.ckbalcao 
and cd.cknumcta = bu.cknumcta
and cd.comp_id_gar = bu.comp_id_gar
and  cd.ckbalbem = bu.ckbalbem
and  cd.ckctabem = bu.ckctabem 
and  cd.ckrefbem = bu.ckrefbem
group by validacao_univ
-- having validacao_univ &lt;&gt; 'comum'
-- having validacao_univ =  'exclusivo bu'
-- having validacao_univ =  'exclusivo cd'
-- limit 4
;
</t>
  </si>
  <si>
    <t>R</t>
  </si>
  <si>
    <t>Teste ao Universo GT007</t>
  </si>
  <si>
    <t>bu_garantias_work.gt007_trz_gt_pes
cd_garantias.gt007_trz_gt_pes</t>
  </si>
  <si>
    <r>
      <rPr>
        <u/>
        <sz val="11"/>
        <color theme="1"/>
        <rFont val="Calibri"/>
        <family val="2"/>
        <scheme val="minor"/>
      </rPr>
      <t>Garantias Pessoais</t>
    </r>
    <r>
      <rPr>
        <sz val="11"/>
        <color theme="1"/>
        <rFont val="Calibri"/>
        <family val="2"/>
        <scheme val="minor"/>
      </rPr>
      <t xml:space="preserve">
Verificamos que existem: 
</t>
    </r>
    <r>
      <rPr>
        <b/>
        <sz val="11"/>
        <color theme="1"/>
        <rFont val="Calibri"/>
        <family val="2"/>
        <scheme val="minor"/>
      </rPr>
      <t xml:space="preserve">135 casos exclusivos da bu 
30 exclusivos da cd </t>
    </r>
  </si>
  <si>
    <t xml:space="preserve">select 
-- *,
count(*),
case when cd.cknumcta is null and bu.cknumcta is not null then 'exclusivo bu'
    when cd.cknumcta is not null and bu.cknumcta is null then 'exclusivo cd'
    when cd.cknumcta is not null and bu.cknumcta is not null then 'comum'
else 'avaliar'
end as validacao_univ
from 
    (Select *
    from cd_garantias.gt007_trz_gt_pes
    where ref_date = '2024-05-31')cd
full join 
    (select *
    from bu_garantias_work.gt007_trz_gt_pes
    where ref_date = '2024-05-31')bu
on  cd.ckbalcao = bu.ckbalcao 
and cd.cknumcta = bu.cknumcta
and cd.comp_id_gar = bu.comp_id_gar
and  cd.ckbalbem = bu.ckbalbem
and  cd.ckctabem = bu.ckctabem 
and  cd.ckrefbem = bu.ckrefbem
group by validacao_univ
-- having validacao_univ &lt;&gt; 'comum'
-- having validacao_univ =  'exclusivo bu'
-- having validacao_univ =  'exclusivo cd'
-- limit 4
;
</t>
  </si>
  <si>
    <t>S</t>
  </si>
  <si>
    <t>Teste ao Universo GT008</t>
  </si>
  <si>
    <t>bu_garantias_work.gt008_trz_gt_imv
cd_garantias.gt008_trz_gt_imv</t>
  </si>
  <si>
    <r>
      <rPr>
        <u/>
        <sz val="11"/>
        <color theme="1"/>
        <rFont val="Calibri"/>
        <family val="2"/>
        <scheme val="minor"/>
      </rPr>
      <t>Garantias Imoveis</t>
    </r>
    <r>
      <rPr>
        <sz val="11"/>
        <color theme="1"/>
        <rFont val="Calibri"/>
        <family val="2"/>
        <scheme val="minor"/>
      </rPr>
      <t xml:space="preserve">
Verificamos que o Universo em produção é igual ao Universo em Desenvolvimento. 
Testamos ainda que o Nº de registos é o mesmo.</t>
    </r>
  </si>
  <si>
    <t>select 
-- *,
count(*),
case when cd.cknumcta is null and bu.cknumcta is not null then 'exclusivo bu'
    when cd.cknumcta is not null and bu.cknumcta is null then 'exclusivo cd'
    when cd.cknumcta is not null and bu.cknumcta is not null then 'comum'
else 'avaliar'
end as validacao_univ
from 
    (Select *
    from cd_garantias.gt008_trz_gt_imv
    where ref_date = '2024-05-31')cd
full join 
    (select *
    from bu_garantias_work.gt008_trz_gt_imv
    where ref_date = '2024-05-31')bu
on  cd.ckbalcao = bu.ckbalcao 
and cd.cknumcta = bu.cknumcta
and cd.comp_id_gar = bu.comp_id_gar
and  cd.ckbalbem = bu.ckbalbem
and  cd.ckctabem = bu.ckctabem 
and  cd.ckrefbem = bu.ckrefbem
group by validacao_univ
-- having validacao_univ &lt;&gt; 'comum'
-- having validacao_univ =  'exclusivo bu'
-- having validacao_univ =  'exclusivo cd'
-- limit 4
;</t>
  </si>
  <si>
    <t>Incidência :</t>
  </si>
  <si>
    <t xml:space="preserve">Verificamos que os registos duplicados correspondem a bens IMO de origem CS e GP. </t>
  </si>
  <si>
    <t xml:space="preserve">O mesmo bem está associado ao mesmo esmpréstimo, tanto para origem GP como CS, o que duplica o registo. </t>
  </si>
  <si>
    <t>Resolvido operacionalmente (não tecnológicamente) para data posterior a 31-05-2024</t>
  </si>
  <si>
    <t>count_registos</t>
  </si>
  <si>
    <t>tipologia</t>
  </si>
  <si>
    <t>origem</t>
  </si>
  <si>
    <t>datdados</t>
  </si>
  <si>
    <t>cempresabg</t>
  </si>
  <si>
    <t>ccontrglb</t>
  </si>
  <si>
    <t>tipgargblbg</t>
  </si>
  <si>
    <t>cgarglb</t>
  </si>
  <si>
    <t>dabertur</t>
  </si>
  <si>
    <t>dvencime</t>
  </si>
  <si>
    <t>dvencimp</t>
  </si>
  <si>
    <t>tipgarbg</t>
  </si>
  <si>
    <t>cgarantbl</t>
  </si>
  <si>
    <t>ctipoinstbl</t>
  </si>
  <si>
    <t>cpigreg</t>
  </si>
  <si>
    <t>ctipoavalbg</t>
  </si>
  <si>
    <t>ctipocsbg</t>
  </si>
  <si>
    <t>cestgarbg</t>
  </si>
  <si>
    <t>pcobact</t>
  </si>
  <si>
    <t>pcobini</t>
  </si>
  <si>
    <t>mavaliai</t>
  </si>
  <si>
    <t>mavaliaa</t>
  </si>
  <si>
    <t>ctipcfletbg</t>
  </si>
  <si>
    <t>dultmod</t>
  </si>
  <si>
    <t>cempresa</t>
  </si>
  <si>
    <t>ckbalcao</t>
  </si>
  <si>
    <t>cknumcta</t>
  </si>
  <si>
    <t>zdeposit</t>
  </si>
  <si>
    <t>cbalcao</t>
  </si>
  <si>
    <t>cnumcta</t>
  </si>
  <si>
    <t>zcaucao</t>
  </si>
  <si>
    <t>tipgargbl</t>
  </si>
  <si>
    <t>ckprodut</t>
  </si>
  <si>
    <t>cksubpro</t>
  </si>
  <si>
    <t>cproduto</t>
  </si>
  <si>
    <t>csubprod</t>
  </si>
  <si>
    <t>cgarant</t>
  </si>
  <si>
    <t>ctipoinst</t>
  </si>
  <si>
    <t>ctipoaval</t>
  </si>
  <si>
    <t>ctipocs</t>
  </si>
  <si>
    <t>cestgar</t>
  </si>
  <si>
    <t>ctipcflet</t>
  </si>
  <si>
    <t>zcliente</t>
  </si>
  <si>
    <t>centidad</t>
  </si>
  <si>
    <t>caplic</t>
  </si>
  <si>
    <t>cisin</t>
  </si>
  <si>
    <t>zcliant</t>
  </si>
  <si>
    <t>zcligrupo</t>
  </si>
  <si>
    <t>msldact</t>
  </si>
  <si>
    <t>nrsegur</t>
  </si>
  <si>
    <t>cmoeda</t>
  </si>
  <si>
    <t>idcliente</t>
  </si>
  <si>
    <t>idbloqueio</t>
  </si>
  <si>
    <t>idriesgsobe</t>
  </si>
  <si>
    <t>idcoberperf</t>
  </si>
  <si>
    <t>valasesojur</t>
  </si>
  <si>
    <t>perreparto</t>
  </si>
  <si>
    <t>ordenprelgar</t>
  </si>
  <si>
    <t>tangohipotec</t>
  </si>
  <si>
    <t>nimpago</t>
  </si>
  <si>
    <t>iact_gp</t>
  </si>
  <si>
    <t>ckbalbem</t>
  </si>
  <si>
    <t>ckctabem</t>
  </si>
  <si>
    <t>ckrefbem</t>
  </si>
  <si>
    <t>htimest</t>
  </si>
  <si>
    <t>ref_date</t>
  </si>
  <si>
    <t>2</t>
  </si>
  <si>
    <t>IMO</t>
  </si>
  <si>
    <t>CS</t>
  </si>
  <si>
    <t>2024-05-31</t>
  </si>
  <si>
    <t>00018</t>
  </si>
  <si>
    <t>0</t>
  </si>
  <si>
    <t>00002</t>
  </si>
  <si>
    <t>2024-04-22</t>
  </si>
  <si>
    <t>9999-12-31</t>
  </si>
  <si>
    <t>00087</t>
  </si>
  <si>
    <t>00398</t>
  </si>
  <si>
    <t>00000</t>
  </si>
  <si>
    <t>317.855703</t>
  </si>
  <si>
    <t>79.463900</t>
  </si>
  <si>
    <t>1192000.00</t>
  </si>
  <si>
    <t>2384000.00</t>
  </si>
  <si>
    <t>99999</t>
  </si>
  <si>
    <t>31</t>
  </si>
  <si>
    <t>0003</t>
  </si>
  <si>
    <t>19557288096</t>
  </si>
  <si>
    <t>000000000000000</t>
  </si>
  <si>
    <t>096</t>
  </si>
  <si>
    <t>JG2</t>
  </si>
  <si>
    <t>5202</t>
  </si>
  <si>
    <t>9</t>
  </si>
  <si>
    <t>00001</t>
  </si>
  <si>
    <t>99</t>
  </si>
  <si>
    <t>7402702751</t>
  </si>
  <si>
    <t>BST</t>
  </si>
  <si>
    <t>750025.87</t>
  </si>
  <si>
    <t>EUR</t>
  </si>
  <si>
    <t>100.00</t>
  </si>
  <si>
    <t>0.00000</t>
  </si>
  <si>
    <t>0032</t>
  </si>
  <si>
    <t>18757780000</t>
  </si>
  <si>
    <t>2024-07-25 11:32:32.988</t>
  </si>
  <si>
    <t>GP</t>
  </si>
  <si>
    <t>2039-04-22</t>
  </si>
  <si>
    <t xml:space="preserve">Incidência :
</t>
  </si>
  <si>
    <r>
      <t xml:space="preserve">Verificamos que </t>
    </r>
    <r>
      <rPr>
        <b/>
        <i/>
        <sz val="9"/>
        <color theme="1"/>
        <rFont val="Calibri Light"/>
        <family val="2"/>
        <scheme val="major"/>
      </rPr>
      <t xml:space="preserve">1 </t>
    </r>
    <r>
      <rPr>
        <sz val="9"/>
        <color theme="1"/>
        <rFont val="Calibri Light"/>
        <family val="2"/>
        <scheme val="major"/>
      </rPr>
      <t xml:space="preserve">registo tem 2 processos distinos para a mesma responsabilidade/bem, com datas de avaliação distintas - </t>
    </r>
    <r>
      <rPr>
        <b/>
        <i/>
        <sz val="9"/>
        <color rgb="FF92D050"/>
        <rFont val="Calibri Light"/>
        <family val="2"/>
        <scheme val="major"/>
      </rPr>
      <t>Casuística 2.</t>
    </r>
    <r>
      <rPr>
        <b/>
        <sz val="9"/>
        <color theme="1"/>
        <rFont val="Calibri Light"/>
        <family val="2"/>
        <scheme val="major"/>
      </rPr>
      <t xml:space="preserve"> </t>
    </r>
  </si>
  <si>
    <r>
      <t xml:space="preserve">Verificamos que </t>
    </r>
    <r>
      <rPr>
        <b/>
        <sz val="9"/>
        <color theme="1"/>
        <rFont val="Calibri Light"/>
        <family val="2"/>
        <scheme val="major"/>
      </rPr>
      <t>2</t>
    </r>
    <r>
      <rPr>
        <sz val="9"/>
        <color theme="1"/>
        <rFont val="Calibri Light"/>
        <family val="2"/>
        <scheme val="major"/>
      </rPr>
      <t xml:space="preserve"> registos correspondem aos duplicados da tabela GT019 (Teste B) </t>
    </r>
  </si>
  <si>
    <t>mavaliai_resp_bem</t>
  </si>
  <si>
    <t>metodologia_resp_bem</t>
  </si>
  <si>
    <t>validacao</t>
  </si>
  <si>
    <t>FIN</t>
  </si>
  <si>
    <t>1053.20</t>
  </si>
  <si>
    <t>54458609020</t>
  </si>
  <si>
    <t>10857177051</t>
  </si>
  <si>
    <t>0.00</t>
  </si>
  <si>
    <t>BDR</t>
  </si>
  <si>
    <t>nok</t>
  </si>
  <si>
    <t>596000.00</t>
  </si>
  <si>
    <t>MUG</t>
  </si>
  <si>
    <t xml:space="preserve">Casuística </t>
  </si>
  <si>
    <t xml:space="preserve">#N Registos </t>
  </si>
  <si>
    <t>Casuística1</t>
  </si>
  <si>
    <t>Casuística2</t>
  </si>
  <si>
    <t>Casuística3</t>
  </si>
  <si>
    <t xml:space="preserve">Total </t>
  </si>
  <si>
    <t>bu_mavaliai</t>
  </si>
  <si>
    <t>diferenca</t>
  </si>
  <si>
    <t>LEA</t>
  </si>
  <si>
    <t>185000.00</t>
  </si>
  <si>
    <t>0000</t>
  </si>
  <si>
    <t>00001010094</t>
  </si>
  <si>
    <t>000430000426762</t>
  </si>
  <si>
    <t>16502400000</t>
  </si>
  <si>
    <t>18084.50</t>
  </si>
  <si>
    <t>24604.57</t>
  </si>
  <si>
    <t>01799435096</t>
  </si>
  <si>
    <t>06216545051</t>
  </si>
  <si>
    <t>6520.07</t>
  </si>
  <si>
    <t>809.39</t>
  </si>
  <si>
    <t>18.72</t>
  </si>
  <si>
    <t>2374</t>
  </si>
  <si>
    <t>03566307020</t>
  </si>
  <si>
    <t>00081847061</t>
  </si>
  <si>
    <t>000001000000000</t>
  </si>
  <si>
    <t>790.67</t>
  </si>
  <si>
    <t>22458.49</t>
  </si>
  <si>
    <t>3674.10</t>
  </si>
  <si>
    <t>12525571096</t>
  </si>
  <si>
    <t>06221727051</t>
  </si>
  <si>
    <t>18784.39</t>
  </si>
  <si>
    <t>177000.00</t>
  </si>
  <si>
    <t>237100.00</t>
  </si>
  <si>
    <t>0006</t>
  </si>
  <si>
    <t>00577850096</t>
  </si>
  <si>
    <t>0630</t>
  </si>
  <si>
    <t>15879560000</t>
  </si>
  <si>
    <t>60100.00</t>
  </si>
  <si>
    <t>9360.00</t>
  </si>
  <si>
    <t>18720.00</t>
  </si>
  <si>
    <t>2111</t>
  </si>
  <si>
    <t>00139177097</t>
  </si>
  <si>
    <t>02185376080</t>
  </si>
  <si>
    <t>000000000100002</t>
  </si>
  <si>
    <t>12688.67</t>
  </si>
  <si>
    <t>14679.75</t>
  </si>
  <si>
    <t>17113902096</t>
  </si>
  <si>
    <t>0832</t>
  </si>
  <si>
    <t>15187240000</t>
  </si>
  <si>
    <t>1991.08</t>
  </si>
  <si>
    <t>213213.48</t>
  </si>
  <si>
    <t>206748.08</t>
  </si>
  <si>
    <t>15166540000</t>
  </si>
  <si>
    <t>6465.40</t>
  </si>
  <si>
    <t>317968.49</t>
  </si>
  <si>
    <t>426834.73</t>
  </si>
  <si>
    <t>15166510000</t>
  </si>
  <si>
    <t>108866.24</t>
  </si>
  <si>
    <t>15166590000</t>
  </si>
  <si>
    <t>12921.35</t>
  </si>
  <si>
    <t>11184.41</t>
  </si>
  <si>
    <t>16668039096</t>
  </si>
  <si>
    <t>00412848056</t>
  </si>
  <si>
    <t>1736.94</t>
  </si>
  <si>
    <t>36319.93</t>
  </si>
  <si>
    <t>31484.89</t>
  </si>
  <si>
    <t>00412830056</t>
  </si>
  <si>
    <t>4835.04</t>
  </si>
  <si>
    <t>69733.61</t>
  </si>
  <si>
    <t>70642.95</t>
  </si>
  <si>
    <t>00309044056</t>
  </si>
  <si>
    <t>909.34</t>
  </si>
  <si>
    <t>20151.93</t>
  </si>
  <si>
    <t>152000.00</t>
  </si>
  <si>
    <t>09774802096</t>
  </si>
  <si>
    <t>10084290001</t>
  </si>
  <si>
    <t>131848.07</t>
  </si>
  <si>
    <t>4070.79</t>
  </si>
  <si>
    <t>4247.00</t>
  </si>
  <si>
    <t>16189028096</t>
  </si>
  <si>
    <t>15203920000</t>
  </si>
  <si>
    <t>176.21</t>
  </si>
  <si>
    <t>22609.89</t>
  </si>
  <si>
    <t>22300.00</t>
  </si>
  <si>
    <t>15203810000</t>
  </si>
  <si>
    <t>309.89</t>
  </si>
  <si>
    <t>23319.62</t>
  </si>
  <si>
    <t>23000.00</t>
  </si>
  <si>
    <t>15203680000</t>
  </si>
  <si>
    <t>319.62</t>
  </si>
  <si>
    <t>73326.06</t>
  </si>
  <si>
    <t>76500.00</t>
  </si>
  <si>
    <t>15203910000</t>
  </si>
  <si>
    <t>3173.94</t>
  </si>
  <si>
    <t>171584.91</t>
  </si>
  <si>
    <t>179012.00</t>
  </si>
  <si>
    <t>15203880000</t>
  </si>
  <si>
    <t>7427.09</t>
  </si>
  <si>
    <t>600974.69</t>
  </si>
  <si>
    <t>626988.00</t>
  </si>
  <si>
    <t>15203860000</t>
  </si>
  <si>
    <t>26013.31</t>
  </si>
  <si>
    <t>761030.94</t>
  </si>
  <si>
    <t>757400.00</t>
  </si>
  <si>
    <t>15203830000</t>
  </si>
  <si>
    <t>3630.94</t>
  </si>
  <si>
    <t>198000.00</t>
  </si>
  <si>
    <t>47000.00</t>
  </si>
  <si>
    <t>0008</t>
  </si>
  <si>
    <t>00477859096</t>
  </si>
  <si>
    <t>17038080000</t>
  </si>
  <si>
    <t>151000.00</t>
  </si>
  <si>
    <t>50000.00</t>
  </si>
  <si>
    <t>25000.00</t>
  </si>
  <si>
    <t>10528502096</t>
  </si>
  <si>
    <t>37894276020</t>
  </si>
  <si>
    <t>419998.06</t>
  </si>
  <si>
    <t>135000.00</t>
  </si>
  <si>
    <t>00712834096</t>
  </si>
  <si>
    <t>0830</t>
  </si>
  <si>
    <t>15059200000</t>
  </si>
  <si>
    <t>284998.06</t>
  </si>
  <si>
    <t>32907.33</t>
  </si>
  <si>
    <t>32801.33</t>
  </si>
  <si>
    <t>08827737051</t>
  </si>
  <si>
    <t>106.00</t>
  </si>
  <si>
    <t>7480.00</t>
  </si>
  <si>
    <t>37400.00</t>
  </si>
  <si>
    <t>2381</t>
  </si>
  <si>
    <t>01879194020</t>
  </si>
  <si>
    <t>01979699080</t>
  </si>
  <si>
    <t>29920.00</t>
  </si>
  <si>
    <t>9000.00</t>
  </si>
  <si>
    <t>45000.00</t>
  </si>
  <si>
    <t>000000000100012</t>
  </si>
  <si>
    <t>36000.00</t>
  </si>
  <si>
    <t>9960.00</t>
  </si>
  <si>
    <t>49800.00</t>
  </si>
  <si>
    <t>000000000100008</t>
  </si>
  <si>
    <t>39840.00</t>
  </si>
  <si>
    <t>12000.00</t>
  </si>
  <si>
    <t>60000.00</t>
  </si>
  <si>
    <t>000000000100009</t>
  </si>
  <si>
    <t>48000.00</t>
  </si>
  <si>
    <t>1100.00</t>
  </si>
  <si>
    <t>5500.00</t>
  </si>
  <si>
    <t>01979681080</t>
  </si>
  <si>
    <t>000000000100001</t>
  </si>
  <si>
    <t>4400.00</t>
  </si>
  <si>
    <t>244252.00</t>
  </si>
  <si>
    <t>235200.00</t>
  </si>
  <si>
    <t>14791980000</t>
  </si>
  <si>
    <t>9052.00</t>
  </si>
  <si>
    <t>15166520000</t>
  </si>
  <si>
    <t>232788.91</t>
  </si>
  <si>
    <t>252000.00</t>
  </si>
  <si>
    <t>15166570000</t>
  </si>
  <si>
    <t>19211.09</t>
  </si>
  <si>
    <t>48711.81</t>
  </si>
  <si>
    <t>48941.15</t>
  </si>
  <si>
    <t>15559387096</t>
  </si>
  <si>
    <t>04398930052</t>
  </si>
  <si>
    <t>229.34</t>
  </si>
  <si>
    <t>39361.81</t>
  </si>
  <si>
    <t>38408.00</t>
  </si>
  <si>
    <t>00412780056</t>
  </si>
  <si>
    <t>953.81</t>
  </si>
  <si>
    <t>214600.00</t>
  </si>
  <si>
    <t>330300.00</t>
  </si>
  <si>
    <t>00198087096</t>
  </si>
  <si>
    <t>0640</t>
  </si>
  <si>
    <t>16033580000</t>
  </si>
  <si>
    <t>115700.00</t>
  </si>
  <si>
    <t>40979.20</t>
  </si>
  <si>
    <t>42753.00</t>
  </si>
  <si>
    <t>15203890000</t>
  </si>
  <si>
    <t>1773.80</t>
  </si>
  <si>
    <t>49363.30</t>
  </si>
  <si>
    <t>51480.00</t>
  </si>
  <si>
    <t>15203900000</t>
  </si>
  <si>
    <t>2116.70</t>
  </si>
  <si>
    <t>57510.64</t>
  </si>
  <si>
    <t>15203950000</t>
  </si>
  <si>
    <t>2489.36</t>
  </si>
  <si>
    <t>9700.96</t>
  </si>
  <si>
    <t>9568.00</t>
  </si>
  <si>
    <t>15203750000</t>
  </si>
  <si>
    <t>132.96</t>
  </si>
  <si>
    <t>12450.00</t>
  </si>
  <si>
    <t>25050.00</t>
  </si>
  <si>
    <t>17354449096</t>
  </si>
  <si>
    <t>03035009016</t>
  </si>
  <si>
    <t>912001209900000</t>
  </si>
  <si>
    <t>12600.00</t>
  </si>
  <si>
    <t>34580.83</t>
  </si>
  <si>
    <t>38309.35</t>
  </si>
  <si>
    <t>00628844096</t>
  </si>
  <si>
    <t>15979020000</t>
  </si>
  <si>
    <t>3728.52</t>
  </si>
  <si>
    <t>6300.00</t>
  </si>
  <si>
    <t>12008602096</t>
  </si>
  <si>
    <t>40928186020</t>
  </si>
  <si>
    <t>419994.80</t>
  </si>
  <si>
    <t>420000.00</t>
  </si>
  <si>
    <t>00712891096</t>
  </si>
  <si>
    <t>0840</t>
  </si>
  <si>
    <t>15113630000</t>
  </si>
  <si>
    <t>5.20</t>
  </si>
  <si>
    <t>11334.86</t>
  </si>
  <si>
    <t>11056.41</t>
  </si>
  <si>
    <t>15123940000</t>
  </si>
  <si>
    <t>278.45</t>
  </si>
  <si>
    <t>25500.00</t>
  </si>
  <si>
    <t>44180.95</t>
  </si>
  <si>
    <t>00006902510</t>
  </si>
  <si>
    <t>00K430000452899</t>
  </si>
  <si>
    <t>17822130000</t>
  </si>
  <si>
    <t>18680.95</t>
  </si>
  <si>
    <t>642000.00</t>
  </si>
  <si>
    <t>00001015415</t>
  </si>
  <si>
    <t>000430000698294</t>
  </si>
  <si>
    <t>16524120000</t>
  </si>
  <si>
    <t>100000.00</t>
  </si>
  <si>
    <t>20000.00</t>
  </si>
  <si>
    <t>15630832096</t>
  </si>
  <si>
    <t>2120</t>
  </si>
  <si>
    <t>01808575061</t>
  </si>
  <si>
    <t>80000.00</t>
  </si>
  <si>
    <t>23724.42</t>
  </si>
  <si>
    <t>22483.42</t>
  </si>
  <si>
    <t>00796725050</t>
  </si>
  <si>
    <t>1241.00</t>
  </si>
  <si>
    <t>2376000.00</t>
  </si>
  <si>
    <t>2372514.38</t>
  </si>
  <si>
    <t>11727327096</t>
  </si>
  <si>
    <t>15695340000</t>
  </si>
  <si>
    <t>3485.62</t>
  </si>
  <si>
    <t>85800.00</t>
  </si>
  <si>
    <t>00001011931</t>
  </si>
  <si>
    <t>000430000664201</t>
  </si>
  <si>
    <t>16505460000</t>
  </si>
  <si>
    <t>6000.00</t>
  </si>
  <si>
    <t>30000.00</t>
  </si>
  <si>
    <t>000000000100003</t>
  </si>
  <si>
    <t>24000.00</t>
  </si>
  <si>
    <t>8160.00</t>
  </si>
  <si>
    <t>40800.00</t>
  </si>
  <si>
    <t>000000000100006</t>
  </si>
  <si>
    <t>32640.00</t>
  </si>
  <si>
    <t>9460.00</t>
  </si>
  <si>
    <t>47300.00</t>
  </si>
  <si>
    <t>000000000100013</t>
  </si>
  <si>
    <t>37840.00</t>
  </si>
  <si>
    <t>900.00</t>
  </si>
  <si>
    <t>4500.00</t>
  </si>
  <si>
    <t>3600.00</t>
  </si>
  <si>
    <t>504000.00</t>
  </si>
  <si>
    <t>15098790096</t>
  </si>
  <si>
    <t>17422970000</t>
  </si>
  <si>
    <t>123448.66</t>
  </si>
  <si>
    <t>137200.00</t>
  </si>
  <si>
    <t>14846550000</t>
  </si>
  <si>
    <t>13751.34</t>
  </si>
  <si>
    <t>124947.68</t>
  </si>
  <si>
    <t>194521.03</t>
  </si>
  <si>
    <t>15166550000</t>
  </si>
  <si>
    <t>69573.35</t>
  </si>
  <si>
    <t>672707.05</t>
  </si>
  <si>
    <t>762900.00</t>
  </si>
  <si>
    <t>14938960000</t>
  </si>
  <si>
    <t>90192.95</t>
  </si>
  <si>
    <t>31959.86</t>
  </si>
  <si>
    <t>31302.52</t>
  </si>
  <si>
    <t>00412814056</t>
  </si>
  <si>
    <t>657.34</t>
  </si>
  <si>
    <t>52989.96</t>
  </si>
  <si>
    <t>53685.45</t>
  </si>
  <si>
    <t>00309077056</t>
  </si>
  <si>
    <t>695.49</t>
  </si>
  <si>
    <t>18250.14</t>
  </si>
  <si>
    <t>18000.00</t>
  </si>
  <si>
    <t>15203640000</t>
  </si>
  <si>
    <t>250.14</t>
  </si>
  <si>
    <t>24840.47</t>
  </si>
  <si>
    <t>24500.00</t>
  </si>
  <si>
    <t>15203850000</t>
  </si>
  <si>
    <t>340.47</t>
  </si>
  <si>
    <t>33914.84</t>
  </si>
  <si>
    <t>33450.00</t>
  </si>
  <si>
    <t>15203800000</t>
  </si>
  <si>
    <t>464.84</t>
  </si>
  <si>
    <t>91554.88</t>
  </si>
  <si>
    <t>90300.00</t>
  </si>
  <si>
    <t>15203820000</t>
  </si>
  <si>
    <t>1254.88</t>
  </si>
  <si>
    <t>53229.58</t>
  </si>
  <si>
    <t>52500.00</t>
  </si>
  <si>
    <t>15203730000</t>
  </si>
  <si>
    <t>729.58</t>
  </si>
  <si>
    <t>156140.10</t>
  </si>
  <si>
    <t>154000.00</t>
  </si>
  <si>
    <t>15203740000</t>
  </si>
  <si>
    <t>2140.10</t>
  </si>
  <si>
    <t>884676.01</t>
  </si>
  <si>
    <t>1769352.00</t>
  </si>
  <si>
    <t>12249172096</t>
  </si>
  <si>
    <t>884675.99</t>
  </si>
  <si>
    <t>14700.00</t>
  </si>
  <si>
    <t>00001013838</t>
  </si>
  <si>
    <t>000430000618645</t>
  </si>
  <si>
    <t>16518020000</t>
  </si>
  <si>
    <t>67154.76</t>
  </si>
  <si>
    <t>67000.00</t>
  </si>
  <si>
    <t>00727303096</t>
  </si>
  <si>
    <t>14993290000</t>
  </si>
  <si>
    <t>154.76</t>
  </si>
  <si>
    <t>72306.10</t>
  </si>
  <si>
    <t>36162.29</t>
  </si>
  <si>
    <t>10485048090</t>
  </si>
  <si>
    <t>069677540100000</t>
  </si>
  <si>
    <t>00241346056</t>
  </si>
  <si>
    <t>36143.81</t>
  </si>
  <si>
    <t>4984.93</t>
  </si>
  <si>
    <t>4987.30</t>
  </si>
  <si>
    <t>00203706050</t>
  </si>
  <si>
    <t>2.37</t>
  </si>
  <si>
    <t>14698.96</t>
  </si>
  <si>
    <t>14623.35</t>
  </si>
  <si>
    <t>00122520056</t>
  </si>
  <si>
    <t>75.61</t>
  </si>
  <si>
    <t>9020.00</t>
  </si>
  <si>
    <t>45100.00</t>
  </si>
  <si>
    <t>000000000100007</t>
  </si>
  <si>
    <t>36080.00</t>
  </si>
  <si>
    <t>9620.00</t>
  </si>
  <si>
    <t>48100.00</t>
  </si>
  <si>
    <t>38480.00</t>
  </si>
  <si>
    <t>28891.68</t>
  </si>
  <si>
    <t>144458.40</t>
  </si>
  <si>
    <t>115566.72</t>
  </si>
  <si>
    <t>860.00</t>
  </si>
  <si>
    <t>4300.00</t>
  </si>
  <si>
    <t>000000000100004</t>
  </si>
  <si>
    <t>3440.00</t>
  </si>
  <si>
    <t>75355.33</t>
  </si>
  <si>
    <t>51045.80</t>
  </si>
  <si>
    <t>17163550096</t>
  </si>
  <si>
    <t>46930210020</t>
  </si>
  <si>
    <t>24309.53</t>
  </si>
  <si>
    <t>119500.00</t>
  </si>
  <si>
    <t>00001015791</t>
  </si>
  <si>
    <t>000430000704931</t>
  </si>
  <si>
    <t>16524830000</t>
  </si>
  <si>
    <t>126093.99</t>
  </si>
  <si>
    <t>15190010000</t>
  </si>
  <si>
    <t>11106.01</t>
  </si>
  <si>
    <t>319438.23</t>
  </si>
  <si>
    <t>369090.91</t>
  </si>
  <si>
    <t>15166600000</t>
  </si>
  <si>
    <t>49652.68</t>
  </si>
  <si>
    <t>330004.63</t>
  </si>
  <si>
    <t>1056412.62</t>
  </si>
  <si>
    <t>14184385096</t>
  </si>
  <si>
    <t>36793288005</t>
  </si>
  <si>
    <t>726407.99</t>
  </si>
  <si>
    <t>49995.57</t>
  </si>
  <si>
    <t>49936.51</t>
  </si>
  <si>
    <t>06446855005</t>
  </si>
  <si>
    <t>59.06</t>
  </si>
  <si>
    <t>88331.25</t>
  </si>
  <si>
    <t>95468.96</t>
  </si>
  <si>
    <t>00412806056</t>
  </si>
  <si>
    <t>7137.71</t>
  </si>
  <si>
    <t>30672.34</t>
  </si>
  <si>
    <t>32000.00</t>
  </si>
  <si>
    <t>15203960000</t>
  </si>
  <si>
    <t>1327.66</t>
  </si>
  <si>
    <t>60022.69</t>
  </si>
  <si>
    <t>59200.00</t>
  </si>
  <si>
    <t>15203760000</t>
  </si>
  <si>
    <t>822.69</t>
  </si>
  <si>
    <t>62303.19</t>
  </si>
  <si>
    <t>65000.00</t>
  </si>
  <si>
    <t>15203870000</t>
  </si>
  <si>
    <t>2696.81</t>
  </si>
  <si>
    <t>176661.38</t>
  </si>
  <si>
    <t>174240.00</t>
  </si>
  <si>
    <t>15203650000</t>
  </si>
  <si>
    <t>2421.38</t>
  </si>
  <si>
    <t>2730.01</t>
  </si>
  <si>
    <t>5460.00</t>
  </si>
  <si>
    <t>2729.99</t>
  </si>
  <si>
    <t>9359.97</t>
  </si>
  <si>
    <t>9360.03</t>
  </si>
  <si>
    <t>40400.00</t>
  </si>
  <si>
    <t>16518010000</t>
  </si>
  <si>
    <t>2031000.00</t>
  </si>
  <si>
    <t>4062000.00</t>
  </si>
  <si>
    <t>15868994096</t>
  </si>
  <si>
    <t>17648450000</t>
  </si>
  <si>
    <t>15280.49</t>
  </si>
  <si>
    <t>23511.43</t>
  </si>
  <si>
    <t>00628109096</t>
  </si>
  <si>
    <t>15977940000</t>
  </si>
  <si>
    <t>8230.94</t>
  </si>
  <si>
    <t>70000.00</t>
  </si>
  <si>
    <t>142500.00</t>
  </si>
  <si>
    <t>00001003867</t>
  </si>
  <si>
    <t>000430000552288</t>
  </si>
  <si>
    <t>16566300000</t>
  </si>
  <si>
    <t>72500.00</t>
  </si>
  <si>
    <t>56310.13</t>
  </si>
  <si>
    <t>62566.84</t>
  </si>
  <si>
    <t>00538332096</t>
  </si>
  <si>
    <t>15973030000</t>
  </si>
  <si>
    <t>6256.71</t>
  </si>
  <si>
    <t>7599.99</t>
  </si>
  <si>
    <t>38000.00</t>
  </si>
  <si>
    <t>30400.01</t>
  </si>
  <si>
    <t>10900.00</t>
  </si>
  <si>
    <t>54500.00</t>
  </si>
  <si>
    <t>000000000100005</t>
  </si>
  <si>
    <t>43600.00</t>
  </si>
  <si>
    <t>660.00</t>
  </si>
  <si>
    <t>3300.00</t>
  </si>
  <si>
    <t>2640.00</t>
  </si>
  <si>
    <t>840.00</t>
  </si>
  <si>
    <t>4200.00</t>
  </si>
  <si>
    <t>3360.00</t>
  </si>
  <si>
    <t>7000.00</t>
  </si>
  <si>
    <t>16039140000</t>
  </si>
  <si>
    <t>170000.00</t>
  </si>
  <si>
    <t>25469.22</t>
  </si>
  <si>
    <t>28910.12</t>
  </si>
  <si>
    <t>15187230000</t>
  </si>
  <si>
    <t>3440.90</t>
  </si>
  <si>
    <t>15187210000</t>
  </si>
  <si>
    <t>15187260000</t>
  </si>
  <si>
    <t>15187180000</t>
  </si>
  <si>
    <t>14151.78</t>
  </si>
  <si>
    <t>13826.88</t>
  </si>
  <si>
    <t>00412798056</t>
  </si>
  <si>
    <t>324.90</t>
  </si>
  <si>
    <t>53484.89</t>
  </si>
  <si>
    <t>55800.00</t>
  </si>
  <si>
    <t>15203930000</t>
  </si>
  <si>
    <t>2315.11</t>
  </si>
  <si>
    <t>26979.96</t>
  </si>
  <si>
    <t>36854.71</t>
  </si>
  <si>
    <t>00712859096</t>
  </si>
  <si>
    <t>9874.75</t>
  </si>
  <si>
    <t>98931.27</t>
  </si>
  <si>
    <t>28689.33</t>
  </si>
  <si>
    <t>12677521096</t>
  </si>
  <si>
    <t>03761716052</t>
  </si>
  <si>
    <t>70241.94</t>
  </si>
  <si>
    <t>40000.00</t>
  </si>
  <si>
    <t>17926.12</t>
  </si>
  <si>
    <t>18335800097</t>
  </si>
  <si>
    <t>19046119020</t>
  </si>
  <si>
    <t>22073.88</t>
  </si>
  <si>
    <t>70633.00</t>
  </si>
  <si>
    <t>00001014835</t>
  </si>
  <si>
    <t>000430000683595</t>
  </si>
  <si>
    <t>16511350000</t>
  </si>
  <si>
    <t>389000.00</t>
  </si>
  <si>
    <t>315700.00</t>
  </si>
  <si>
    <t>28443469176</t>
  </si>
  <si>
    <t>17037810000</t>
  </si>
  <si>
    <t>73300.00</t>
  </si>
  <si>
    <t>100990.56</t>
  </si>
  <si>
    <t>17337989097</t>
  </si>
  <si>
    <t>12477584020</t>
  </si>
  <si>
    <t>990.56</t>
  </si>
  <si>
    <t>75974.55</t>
  </si>
  <si>
    <t>140172.00</t>
  </si>
  <si>
    <t>64197.45</t>
  </si>
  <si>
    <t>15221.32</t>
  </si>
  <si>
    <t>15317.72</t>
  </si>
  <si>
    <t>08504104051</t>
  </si>
  <si>
    <t>96.40</t>
  </si>
  <si>
    <t>880.00</t>
  </si>
  <si>
    <t>3520.00</t>
  </si>
  <si>
    <t>19315.39</t>
  </si>
  <si>
    <t>22319.00</t>
  </si>
  <si>
    <t>14846530000</t>
  </si>
  <si>
    <t>3003.61</t>
  </si>
  <si>
    <t>15166530000</t>
  </si>
  <si>
    <t>15166580000</t>
  </si>
  <si>
    <t>180600.00</t>
  </si>
  <si>
    <t>00001016059</t>
  </si>
  <si>
    <t>000430000707007</t>
  </si>
  <si>
    <t>16525370000</t>
  </si>
  <si>
    <t>22190.23</t>
  </si>
  <si>
    <t>167374.26</t>
  </si>
  <si>
    <t>14150350001</t>
  </si>
  <si>
    <t>145184.03</t>
  </si>
  <si>
    <t>38340.42</t>
  </si>
  <si>
    <t>15203940000</t>
  </si>
  <si>
    <t>1659.58</t>
  </si>
  <si>
    <t>169574.24</t>
  </si>
  <si>
    <t>167250.00</t>
  </si>
  <si>
    <t>15203770000</t>
  </si>
  <si>
    <t>2324.24</t>
  </si>
  <si>
    <t>2081834.32</t>
  </si>
  <si>
    <t>2073900.00</t>
  </si>
  <si>
    <t>15203840000</t>
  </si>
  <si>
    <t>7934.32</t>
  </si>
  <si>
    <t>59719.50</t>
  </si>
  <si>
    <t>91888.56</t>
  </si>
  <si>
    <t>00628034096</t>
  </si>
  <si>
    <t>32169.06</t>
  </si>
  <si>
    <t>33295.78</t>
  </si>
  <si>
    <t>35468.18</t>
  </si>
  <si>
    <t>10816295096</t>
  </si>
  <si>
    <t>5271</t>
  </si>
  <si>
    <t>00007344051</t>
  </si>
  <si>
    <t>2172.40</t>
  </si>
  <si>
    <t>140175.27</t>
  </si>
  <si>
    <t>15123640000</t>
  </si>
  <si>
    <t>3.27</t>
  </si>
  <si>
    <t>2607600.00</t>
  </si>
  <si>
    <t>604626.00</t>
  </si>
  <si>
    <t>17037800000</t>
  </si>
  <si>
    <t>2002974.00</t>
  </si>
  <si>
    <t>120497.16</t>
  </si>
  <si>
    <t>220000.00</t>
  </si>
  <si>
    <t>14993280000</t>
  </si>
  <si>
    <t>99502.84</t>
  </si>
  <si>
    <t>67300.00</t>
  </si>
  <si>
    <t>00001013990</t>
  </si>
  <si>
    <t>000430000684391</t>
  </si>
  <si>
    <t>16509610000</t>
  </si>
  <si>
    <t>10231.64</t>
  </si>
  <si>
    <t>10345.12</t>
  </si>
  <si>
    <t>07707104051</t>
  </si>
  <si>
    <t>113.48</t>
  </si>
  <si>
    <t>23514.41</t>
  </si>
  <si>
    <t>23476.50</t>
  </si>
  <si>
    <t>07707138051</t>
  </si>
  <si>
    <t>37.91</t>
  </si>
  <si>
    <t>15463.88</t>
  </si>
  <si>
    <t>18208891096</t>
  </si>
  <si>
    <t>45706826005</t>
  </si>
  <si>
    <t>34536.12</t>
  </si>
  <si>
    <t>1009.87</t>
  </si>
  <si>
    <t>43.33</t>
  </si>
  <si>
    <t>9900.00</t>
  </si>
  <si>
    <t>49500.00</t>
  </si>
  <si>
    <t>000000000100010</t>
  </si>
  <si>
    <t>39600.00</t>
  </si>
  <si>
    <t>10000.00</t>
  </si>
  <si>
    <t>000000000100011</t>
  </si>
  <si>
    <t>35302.18</t>
  </si>
  <si>
    <t>176510.90</t>
  </si>
  <si>
    <t>141208.72</t>
  </si>
  <si>
    <t>920.00</t>
  </si>
  <si>
    <t>4600.00</t>
  </si>
  <si>
    <t>3680.00</t>
  </si>
  <si>
    <t>369090.92</t>
  </si>
  <si>
    <t>15187250000</t>
  </si>
  <si>
    <t>49652.69</t>
  </si>
  <si>
    <t>15187220000</t>
  </si>
  <si>
    <t>15187190000</t>
  </si>
  <si>
    <t>15187200000</t>
  </si>
  <si>
    <t>51991.00</t>
  </si>
  <si>
    <t>52254.23</t>
  </si>
  <si>
    <t>04397981052</t>
  </si>
  <si>
    <t>263.23</t>
  </si>
  <si>
    <t>06446848005</t>
  </si>
  <si>
    <t>24728.65</t>
  </si>
  <si>
    <t>25037.25</t>
  </si>
  <si>
    <t>00309010056</t>
  </si>
  <si>
    <t>308.60</t>
  </si>
  <si>
    <t>31403.71</t>
  </si>
  <si>
    <t>33882.94</t>
  </si>
  <si>
    <t>00412822056</t>
  </si>
  <si>
    <t>2479.23</t>
  </si>
  <si>
    <t>13180.65</t>
  </si>
  <si>
    <t>13000.00</t>
  </si>
  <si>
    <t>15203700000</t>
  </si>
  <si>
    <t>180.65</t>
  </si>
  <si>
    <t>32444.69</t>
  </si>
  <si>
    <t>15203660000</t>
  </si>
  <si>
    <t>444.69</t>
  </si>
  <si>
    <t>6424.05</t>
  </si>
  <si>
    <t>6336.00</t>
  </si>
  <si>
    <t>15203710000</t>
  </si>
  <si>
    <t>88.05</t>
  </si>
  <si>
    <t>164505.12</t>
  </si>
  <si>
    <t>1161515.21</t>
  </si>
  <si>
    <t>12780622096</t>
  </si>
  <si>
    <t>00734829056</t>
  </si>
  <si>
    <t>997010.09</t>
  </si>
  <si>
    <t>19956.21</t>
  </si>
  <si>
    <t>21200.00</t>
  </si>
  <si>
    <t>01319534096</t>
  </si>
  <si>
    <t>0632</t>
  </si>
  <si>
    <t>16018050000</t>
  </si>
  <si>
    <t>1243.79</t>
  </si>
  <si>
    <t>71164.62</t>
  </si>
  <si>
    <t>75600.00</t>
  </si>
  <si>
    <t>16018060000</t>
  </si>
  <si>
    <t>4435.38</t>
  </si>
  <si>
    <t>78236.00</t>
  </si>
  <si>
    <t>00001013910</t>
  </si>
  <si>
    <t>000430000684463</t>
  </si>
  <si>
    <t>16518050000</t>
  </si>
  <si>
    <t>4275.60</t>
  </si>
  <si>
    <t>16518060000</t>
  </si>
  <si>
    <t>16518070000</t>
  </si>
  <si>
    <t>80419.16</t>
  </si>
  <si>
    <t>89090.64</t>
  </si>
  <si>
    <t>00628851096</t>
  </si>
  <si>
    <t>8671.48</t>
  </si>
  <si>
    <t>308570.80</t>
  </si>
  <si>
    <t>313817.27</t>
  </si>
  <si>
    <t>18170471096</t>
  </si>
  <si>
    <t>43277150005</t>
  </si>
  <si>
    <t>5246.47</t>
  </si>
  <si>
    <t>29181.25</t>
  </si>
  <si>
    <t>31000.00</t>
  </si>
  <si>
    <t>16018110000</t>
  </si>
  <si>
    <t>1818.75</t>
  </si>
  <si>
    <t>24689.86</t>
  </si>
  <si>
    <t>27433.15</t>
  </si>
  <si>
    <t>00538431096</t>
  </si>
  <si>
    <t>2743.29</t>
  </si>
  <si>
    <t>29654.33</t>
  </si>
  <si>
    <t>00006902509</t>
  </si>
  <si>
    <t>00K430000452885</t>
  </si>
  <si>
    <t>17822120000</t>
  </si>
  <si>
    <t>30345.67</t>
  </si>
  <si>
    <t>179431.75</t>
  </si>
  <si>
    <t>12522792096</t>
  </si>
  <si>
    <t>43987866020</t>
  </si>
  <si>
    <t>240568.25</t>
  </si>
  <si>
    <t>3800.00</t>
  </si>
  <si>
    <t>13678858096</t>
  </si>
  <si>
    <t>27648773020</t>
  </si>
  <si>
    <t>6200.00</t>
  </si>
  <si>
    <t>16518080000</t>
  </si>
  <si>
    <t>173000.00</t>
  </si>
  <si>
    <t>178986.71</t>
  </si>
  <si>
    <t>17822110000</t>
  </si>
  <si>
    <t>5986.71</t>
  </si>
  <si>
    <t>46000.00</t>
  </si>
  <si>
    <t>66000.00</t>
  </si>
  <si>
    <t>00277424096</t>
  </si>
  <si>
    <t>15191410000</t>
  </si>
  <si>
    <t>Testes à gt019 no âmbito das alterações gt701</t>
  </si>
  <si>
    <t>Pasta Hue</t>
  </si>
  <si>
    <t>MUG Interface » Testes alterações gt701</t>
  </si>
  <si>
    <t xml:space="preserve">Data Limite </t>
  </si>
  <si>
    <t xml:space="preserve">Status </t>
  </si>
  <si>
    <r>
      <rPr>
        <b/>
        <sz val="11"/>
        <color rgb="FF92D050"/>
        <rFont val="Calibri"/>
        <family val="2"/>
        <scheme val="minor"/>
      </rPr>
      <t xml:space="preserve">OK </t>
    </r>
    <r>
      <rPr>
        <sz val="11"/>
        <color theme="1"/>
        <rFont val="Calibri"/>
        <family val="2"/>
        <scheme val="minor"/>
      </rPr>
      <t xml:space="preserve">
Valores reportados ao LCM via Pds. 
Enviado Email 30/07</t>
    </r>
  </si>
  <si>
    <t>Observações</t>
  </si>
  <si>
    <t>Testes Bens Móveis Viaturas</t>
  </si>
  <si>
    <r>
      <rPr>
        <b/>
        <sz val="11"/>
        <color rgb="FF92D050"/>
        <rFont val="Calibri"/>
        <family val="2"/>
        <scheme val="minor"/>
      </rPr>
      <t xml:space="preserve">OK </t>
    </r>
    <r>
      <rPr>
        <sz val="11"/>
        <color theme="1"/>
        <rFont val="Calibri"/>
        <family val="2"/>
        <scheme val="minor"/>
      </rPr>
      <t xml:space="preserve">
Valores reportados ao LCM via Pds. 
Enviado Email</t>
    </r>
  </si>
  <si>
    <t xml:space="preserve">Testes Bens Móveis: Viaturas e Equipamentos </t>
  </si>
  <si>
    <t>Existência de duplicados</t>
  </si>
  <si>
    <t>Bens_Moveis » Bens_Móveis_Viaturas</t>
  </si>
  <si>
    <t>Bens_Moveis » Bens_Móveis_Viaturas e Equip.</t>
  </si>
  <si>
    <t>bu_garantias_work.gt001_trz_rsp_gt</t>
  </si>
  <si>
    <t xml:space="preserve"> select  b.count_registos, a.*
from    
    (select* from bu_garantias_work.gt001_trz_rsp_gt
    where ref_date='2024-07-31')a
left join
    (select ckbalres, ckctares, ckrefresp, cempresp, cempresa, ckbalcao, cknumcta, comp_id_gar, count(*) as count_registos from bu_garantias_work.gt001_trz_rsp_gt
    where ref_date='2024-07-31' 
    group by ckbalres, ckctares, ckrefresp, cempresp, cempresa, ckbalcao, cknumcta, comp_id_gar)b
on a. ckbalres=b. ckbalres
and a. ckctares=b. ckctares
and a. ckrefresp=b. ckrefresp
and a. cempresp=b. cempresp
and a. cempresa=b. cempresa
and a. ckbalcao=b. ckbalcao
and a. cknumcta=b. cknumcta
and a. comp_id_gar=b. comp_id_gar
where count_registos&gt;1; </t>
  </si>
  <si>
    <t>bu_garantias_work.gt012_trz_gt_mov</t>
  </si>
  <si>
    <t xml:space="preserve"> select  b.count_registos, a.*
from    
    (select* from bu_garantias_work.gt012_trz_gt_mov
    where ref_date='2024-07-31')a
left join
    (select cempbem, ckbalbem, ckctabem, ckrefbem, cempresa, ckbalcao, cknumcta, comp_id_gar, count(*) as count_registos from bu_garantias_work.gt012_trz_gt_mov
    where ref_date='2024-07-31' group by cempbem, ckbalbem, ckctabem, ckrefbem, cempresa, ckbalcao, cknumcta, comp_id_gar )b
on a.cempbem=b.cempbem
and a. ckbalbem=b. ckbalbem
and a. ckctabem=b. ckctabem
and a. ckrefbem=b. ckrefbem
and a. cempresa=b. cempresa
and a. ckbalcao=b. ckbalcao
and a. cknumcta=b. cknumcta
and a. comp_id_gar=b. comp_id_gar
where count_registos&gt;1; </t>
  </si>
  <si>
    <t>bu_garantias_work.gt013_trz_gt_mov</t>
  </si>
  <si>
    <t xml:space="preserve">select  b.count_registos, a.*
from    
    (select* from bu_garantias_work.gt013_bens_moveis
    where ref_date='2024-07-31')a
left join
    (select cempbem, ckbalbem, ckctabem, ckrefbem, count(*) as count_registos 
    from bu_garantias_work.gt013_bens_moveis
    where ref_date='2024-07-31' group by cempbem, ckbalbem, ckctabem, ckrefbem)b
on a.cempbem=b.cempbem
and a. ckbalbem=b. ckbalbem
and a. ckctabem=b. ckctabem
and a. ckrefbem=b. ckrefbem
where count_registos&gt;1; </t>
  </si>
  <si>
    <t>bu_garantias_work.gt002_grnt_prc</t>
  </si>
  <si>
    <t xml:space="preserve">select  b.count_registos, a.*
from    
    (select* from bu_garantias_work.gt002_grnt_prc
    where ref_date='2024-07-31')a
left join
    (select cempresa, ckbalcao, cknumcta, comp_id_gar, count(*) as count_registos from bu_garantias_work.gt002_grnt_prc
    where ref_date='2024-07-31' group by cempresa, ckbalcao, cknumcta, comp_id_gar )b
on  a. cempresa= b. cempresa
and a. ckbalcao= b. ckbalcao
and a. cknumcta= b. cknumcta
and a. comp_id_gar= b. comp_id_gar
where count_registos&gt;1
; </t>
  </si>
  <si>
    <t>bu_garantias_work.gt001_trz_rsp_gt
bu_garantias_work.gt002_grnt_prc</t>
  </si>
  <si>
    <t>Tudo o que está na gt001 = gt002</t>
  </si>
  <si>
    <t xml:space="preserve">Select *,
case when  b.cknumcta is null and a.cknumcta is not null then 'Exclusivo_gt001'
when  b.cknumcta is not null and a.cknumcta is  null then 'Eclusivo_gt002'
when b.cknumcta is not null and a.cknumcta is not null then 'comum'
else 'analisar'
end as val_universo
FROM 
    (select*
    from bu_garantias_work.gt001_trz_rsp_gt
    where ref_date = '2024-07-31')a
full join 
    (select*
    from bu_garantias_work.gt002_grnt_prc
    where ref_date = '2024-07-31')b
on concat(a.cempresa, a.ckbalcao, a.cknumcta, a.comp_id_gar) = concat(b.cempresa, b.ckbalcao, b.cknumcta, b.comp_id_gar)
</t>
  </si>
  <si>
    <t>Traçabilidade gt001 e gt002</t>
  </si>
  <si>
    <t xml:space="preserve">Traçabilidade entre as tabelas </t>
  </si>
  <si>
    <t>bu_garantias_work.gt013_trz_gt_mov
bu_garantias_work.gt012_trz_gt_mov</t>
  </si>
  <si>
    <t>Tudo o que está na gt012 = gt0013</t>
  </si>
  <si>
    <t>Select *,
case when concat(a.cempbem, a.ckbalbem, a.ckctabem, a.ckrefbem) is null then 'Exclusivo_gt013'
when concat(b.cempbem, b.ckbalbem, b.ckctabem, b.ckrefbem) is null then 'Eclusivo_gt012'
else 'comum'
end as 'val_universo'
FROM 
    (select*
    from bu_garantias_work.gt012_trz_gt_mov
    where ref_date = '2024-07-31')a
full join 
    (select*
    from bu_garantias_work.gt013_bens_moveis
    where ref_date = '2024-07-31')b
on concat(a.cempbem, a.ckbalbem, a.ckctabem, a.ckrefbem) = concat(b.cempbem, b.ckbalbem, b.ckctabem, b.ckrefbem)
having val_universo &lt;&gt; 'comum';</t>
  </si>
  <si>
    <t>Traçabilidade gt0012 e gt013</t>
  </si>
  <si>
    <t xml:space="preserve">
Select *,
case when concat(b.cempresa, b.ckbalcao, b.cknumcta, b.comp_id_gar) is null then 'Exclusivo_gt012'
when concat(a.cempresa, a.ckbalcao, a.cknumcta, a.comp_id_gar) is null then 'Eclusivo_gt002'
else 'comum'
end as 'val_universo'
FROM 
    (select*
    from bu_garantias_work.gt012_trz_gt_mov
    where ref_date = '2024-07-31')a
LEFT JOIN 
    (select*
    from bu_garantias_work.gt002_grnt_prc
    where ref_date = '2024-07-31')b
on concat(a.cempresa, a.ckbalcao, a.cknumcta, a.comp_id_gar) = concat(b.cempresa, b.ckbalcao, b.cknumcta, b.comp_id_gar)
having val_universo &lt;&gt; 'comum';</t>
  </si>
  <si>
    <t>bu_garantias_work.gt012_trz_gt_mov
bu_garantias_work.gt002_grnt_prc</t>
  </si>
  <si>
    <t>Traçabilidade gt0012 e gt002</t>
  </si>
  <si>
    <t>Traçabilidade gt001 e tradutor</t>
  </si>
  <si>
    <t xml:space="preserve">bu_garantias_work.gt001_trz_rsp_gt
bu_garantias_work.kt_chaves_gt </t>
  </si>
  <si>
    <t>Tudo o que está na gt001 = tradutor</t>
  </si>
  <si>
    <t>Select *,
case when gt1.cknumcta is null and kt.cknumcta_dest is not null then 'Exclusivo_kt'
when gt1.cknumcta is not null and kt.cknumcta_dest is null then 'Eclusivo_gt1'
when gt1.cknumcta is not null and kt.cknumcta_dest is not null then 'comum'
else 'analisar'
end as val_universo     
from
    (select *
    from bu_garantias_work.gt001_trz_rsp_gt
    where ref_date = '2024-07-31')gt1
full join 
    (select *
    from bu_garantias_work.kt_chaves_gt 
    where ref_date = '2024-07-31')kt
on concat(gt1.ckbalres, gt1.ckctares, gt1.ckrefresp)=concat(kt.ckbalres_dest, kt.ckctares_dest, kt.ckrefresp_dest)
and concat(gt1.ckbalcao, gt1.cknumcta, gt1.comp_id_gar) = concat(kt.ckbalcao_dest, kt.cknumcta_dest, kt.comp_id_gar_dest)
having val_universo &lt;&gt; 'comum'
;</t>
  </si>
  <si>
    <t xml:space="preserve">D. </t>
  </si>
  <si>
    <t xml:space="preserve">Criação Universo lbens e Byir </t>
  </si>
  <si>
    <t xml:space="preserve">E. </t>
  </si>
  <si>
    <t xml:space="preserve">Traçabilidade gt001 e MUG </t>
  </si>
  <si>
    <t>bu_garantias_work.gt001_trz_rsp_gt
bu_garantias_work.gt018_rateio_aval</t>
  </si>
  <si>
    <t xml:space="preserve">Traçabilidade gt012 e MUG </t>
  </si>
  <si>
    <t>bu_garantias_work.gt012_trz_gt_mov
bu_garantias_work.gt018_rateio_aval</t>
  </si>
  <si>
    <t xml:space="preserve">Traçabilidade com o Modelo </t>
  </si>
  <si>
    <t xml:space="preserve">F. </t>
  </si>
  <si>
    <t>cempresp</t>
  </si>
  <si>
    <t>ckbalres</t>
  </si>
  <si>
    <t>ckctares</t>
  </si>
  <si>
    <t>ckrefresp</t>
  </si>
  <si>
    <t>comp_id_gar</t>
  </si>
  <si>
    <t>dini_rel</t>
  </si>
  <si>
    <t>dfim_rel_efec</t>
  </si>
  <si>
    <t>dfim_rel_prev</t>
  </si>
  <si>
    <t>ckprdresp</t>
  </si>
  <si>
    <t>cksubpresp</t>
  </si>
  <si>
    <t>cfinalid</t>
  </si>
  <si>
    <t>ctipocup</t>
  </si>
  <si>
    <t>pstoploss</t>
  </si>
  <si>
    <t>pmgincall</t>
  </si>
  <si>
    <t>ckutulmo</t>
  </si>
  <si>
    <t>servdlakep</t>
  </si>
  <si>
    <t>2024-08-08 17:12:50.224</t>
  </si>
  <si>
    <t xml:space="preserve">A - Existência de Duplicados </t>
  </si>
  <si>
    <t>13758024020</t>
  </si>
  <si>
    <t>01612437081</t>
  </si>
  <si>
    <t>000000000000001</t>
  </si>
  <si>
    <t>2011-03-18</t>
  </si>
  <si>
    <t>038</t>
  </si>
  <si>
    <t>441</t>
  </si>
  <si>
    <t>2024-07-31</t>
  </si>
  <si>
    <t>13541966020</t>
  </si>
  <si>
    <t>01069695081</t>
  </si>
  <si>
    <t>000000000000008</t>
  </si>
  <si>
    <t>2011-08-18</t>
  </si>
  <si>
    <t>020</t>
  </si>
  <si>
    <t>17835612020</t>
  </si>
  <si>
    <t>01948278081</t>
  </si>
  <si>
    <t>2016-08-26</t>
  </si>
  <si>
    <t>1. bu_garantias_work.gt001_trz_rsp_gt</t>
  </si>
  <si>
    <t>dvencim</t>
  </si>
  <si>
    <t>cobserv</t>
  </si>
  <si>
    <t>89</t>
  </si>
  <si>
    <t>00000248139</t>
  </si>
  <si>
    <t>000420000474735</t>
  </si>
  <si>
    <t>000</t>
  </si>
  <si>
    <t>042</t>
  </si>
  <si>
    <t>2024-03-15</t>
  </si>
  <si>
    <t>2029-03-15</t>
  </si>
  <si>
    <t>978</t>
  </si>
  <si>
    <t>501</t>
  </si>
  <si>
    <t>2024-08-08 17:25:13.48</t>
  </si>
  <si>
    <t>298</t>
  </si>
  <si>
    <t>00000244209</t>
  </si>
  <si>
    <t>000420000673843</t>
  </si>
  <si>
    <t>2022-11-01</t>
  </si>
  <si>
    <t>2027-11-01</t>
  </si>
  <si>
    <t>00000248308</t>
  </si>
  <si>
    <t>00000244696</t>
  </si>
  <si>
    <t>000420000714346</t>
  </si>
  <si>
    <t>2022-12-01</t>
  </si>
  <si>
    <t>2027-12-01</t>
  </si>
  <si>
    <t>169</t>
  </si>
  <si>
    <t>00000244318</t>
  </si>
  <si>
    <t>000450000745135</t>
  </si>
  <si>
    <t>045</t>
  </si>
  <si>
    <t>2022-09-15</t>
  </si>
  <si>
    <t>2026-09-15</t>
  </si>
  <si>
    <t>00000244180</t>
  </si>
  <si>
    <t>000420000572694</t>
  </si>
  <si>
    <t>2022-12-15</t>
  </si>
  <si>
    <t>2027-12-15</t>
  </si>
  <si>
    <t>198</t>
  </si>
  <si>
    <t>00005112457</t>
  </si>
  <si>
    <t>000510000766773</t>
  </si>
  <si>
    <t>051</t>
  </si>
  <si>
    <t>2023-06-15</t>
  </si>
  <si>
    <t>2030-06-15</t>
  </si>
  <si>
    <t>00000244284</t>
  </si>
  <si>
    <t>000420000745024</t>
  </si>
  <si>
    <t>2027-09-15</t>
  </si>
  <si>
    <t>00000246474</t>
  </si>
  <si>
    <t>000450000768111</t>
  </si>
  <si>
    <t>2023-09-15</t>
  </si>
  <si>
    <t>2030-09-15</t>
  </si>
  <si>
    <t>00000244312</t>
  </si>
  <si>
    <t>000420000404275</t>
  </si>
  <si>
    <t>2022-10-01</t>
  </si>
  <si>
    <t>2028-10-01</t>
  </si>
  <si>
    <t>00000244918</t>
  </si>
  <si>
    <t>000420000479269</t>
  </si>
  <si>
    <t>00000248306</t>
  </si>
  <si>
    <t>00000244718</t>
  </si>
  <si>
    <t>000420000474024</t>
  </si>
  <si>
    <t>00000244396</t>
  </si>
  <si>
    <t>000420000744761</t>
  </si>
  <si>
    <t>2022-11-15</t>
  </si>
  <si>
    <t>2026-11-15</t>
  </si>
  <si>
    <t>00000244223</t>
  </si>
  <si>
    <t>00000244587</t>
  </si>
  <si>
    <t>000420000478743</t>
  </si>
  <si>
    <t>2029-12-15</t>
  </si>
  <si>
    <t>00000244257</t>
  </si>
  <si>
    <t>000420000658008</t>
  </si>
  <si>
    <t>00000244611</t>
  </si>
  <si>
    <t>000420000686926</t>
  </si>
  <si>
    <t>2026-12-15</t>
  </si>
  <si>
    <t>00000247278</t>
  </si>
  <si>
    <t>000450000770610</t>
  </si>
  <si>
    <t>2023-12-01</t>
  </si>
  <si>
    <t>2030-12-01</t>
  </si>
  <si>
    <t>00000244233</t>
  </si>
  <si>
    <t>000420000652877</t>
  </si>
  <si>
    <t>2027-10-01</t>
  </si>
  <si>
    <t>00000244647</t>
  </si>
  <si>
    <t>000450000763852</t>
  </si>
  <si>
    <t>00005110980</t>
  </si>
  <si>
    <t>000510000737375</t>
  </si>
  <si>
    <t>2022-08-01</t>
  </si>
  <si>
    <t>2026-08-01</t>
  </si>
  <si>
    <t>00000244326</t>
  </si>
  <si>
    <t>000450000727083</t>
  </si>
  <si>
    <t>00000244719</t>
  </si>
  <si>
    <t>00000244720</t>
  </si>
  <si>
    <t>00000244195</t>
  </si>
  <si>
    <t>000420000757978</t>
  </si>
  <si>
    <t>00000244586</t>
  </si>
  <si>
    <t>00000247265</t>
  </si>
  <si>
    <t>000450000655119</t>
  </si>
  <si>
    <t>2024-01-01</t>
  </si>
  <si>
    <t>2029-01-01</t>
  </si>
  <si>
    <t>00000244468</t>
  </si>
  <si>
    <t>00000244657</t>
  </si>
  <si>
    <t>000450000695871</t>
  </si>
  <si>
    <t>00000244278</t>
  </si>
  <si>
    <t>000420000737588</t>
  </si>
  <si>
    <t>00005111170</t>
  </si>
  <si>
    <t>000510000762076</t>
  </si>
  <si>
    <t>2028-09-15</t>
  </si>
  <si>
    <t>00000244734</t>
  </si>
  <si>
    <t>00000247227</t>
  </si>
  <si>
    <t>000450000761164</t>
  </si>
  <si>
    <t>2023-12-15</t>
  </si>
  <si>
    <t>2028-12-15</t>
  </si>
  <si>
    <t>00000244721</t>
  </si>
  <si>
    <t>00000244196</t>
  </si>
  <si>
    <t>2027-11-15</t>
  </si>
  <si>
    <t>00000248323</t>
  </si>
  <si>
    <t>000420000325073</t>
  </si>
  <si>
    <t>2024-06-01</t>
  </si>
  <si>
    <t>2029-06-01</t>
  </si>
  <si>
    <t>»74 registos duplicados:
cgarant diferente para o mesmo processo</t>
  </si>
  <si>
    <t xml:space="preserve">
Select 
-- *,
count(*),
case when a.ckbalcao is null then 'Exclusivo_gt018'
when b.ckbalcao is null then 'Exclusivo_gt001'
else 'comum'
end as val_universo
FROM 
        (select*
    from bu_garantias_work.gt001_trz_rsp_gt
    where ref_date = '2024-07-31')a
full join 
      (select*
    from bu_garantias_work.gt018_rateio_aval
    where ref_date = '2024-07-31')b
on concat(a.cempresp, a.ckbalres, a.ckctares, a.ckrefresp, a.cempresa, a.ckbalcao, a.cknumcta, a.comp_id_gar) = concat(b.cempresp, b.ckbalres, b.ckctares, b.ckrefresp, b.cempresa, b.ckbalcao, b.cknumcta, b.comp_id_gar)
-- having val_universo &lt;&gt; 'comum'
group by val_universo
;</t>
  </si>
  <si>
    <t>cempbem</t>
  </si>
  <si>
    <t>cgarant_rpt</t>
  </si>
  <si>
    <t>val_universo</t>
  </si>
  <si>
    <t>2024-08-08 18:18:24.584</t>
  </si>
  <si>
    <t>NULL</t>
  </si>
  <si>
    <t>Exclusivo_gt012</t>
  </si>
  <si>
    <t>00009001001</t>
  </si>
  <si>
    <t>2024-02-09</t>
  </si>
  <si>
    <t>2028-11-01</t>
  </si>
  <si>
    <t>00009001002</t>
  </si>
  <si>
    <t>2024-04-03</t>
  </si>
  <si>
    <t>2028-04-01</t>
  </si>
  <si>
    <t>00009000922</t>
  </si>
  <si>
    <t>2019-02-28</t>
  </si>
  <si>
    <t>2025-08-01</t>
  </si>
  <si>
    <t xml:space="preserve">E - Traçabilidade com o MUG </t>
  </si>
  <si>
    <t>2. bu_garantias_work.gt002_grnt_prc</t>
  </si>
  <si>
    <t xml:space="preserve">
Select 
*, 
-- count(*),
case when a.ckbalcao is null then 'Exclusivo_gt018'
when b.ckbalcao is null then 'Exclusivo_gt012'
else 'comum'
end as val_universo
FROM 
    (select*
    from bu_garantias_work.gt012_trz_gt_mov
    where ref_date = '2024-07-31')a
full join
        (select*
    from bu_garantias_work.gt018_rateio_aval
    where ref_date = '2024-07-31')b
on concat(a.cempbem, a.ckbalbem, a.ckctabem, a.ckrefbem, a.cempresa, a.ckbalcao, a.cknumcta, a.comp_id_gar) = concat(b.cempbem, b.ckbalbem, b.ckctabem, b.ckrefbem, b.cempresa, b.ckbalcao, b.cknumcta, b.comp_id_gar)
having val_universo ='Exclusivo_gt012'
-- group by val_universo
</t>
  </si>
  <si>
    <t>F - Universo gt001</t>
  </si>
  <si>
    <t>1. bu_garantias_work.gt001_trz_rsp_gt VS. cd_garantias.gt001_trz_rsp_gt</t>
  </si>
  <si>
    <t>val_universo_prod</t>
  </si>
  <si>
    <t>2024-08-01 09:16:45.195</t>
  </si>
  <si>
    <t>Exlcusivo_cd</t>
  </si>
  <si>
    <t>23534059001</t>
  </si>
  <si>
    <t>02973226081</t>
  </si>
  <si>
    <t>000000000000005</t>
  </si>
  <si>
    <t>2023-11-30</t>
  </si>
  <si>
    <t>694</t>
  </si>
  <si>
    <t>05529408020</t>
  </si>
  <si>
    <t>01869756080</t>
  </si>
  <si>
    <t>2018-05-11</t>
  </si>
  <si>
    <t>728</t>
  </si>
  <si>
    <t>33350307020</t>
  </si>
  <si>
    <t>02326557081</t>
  </si>
  <si>
    <t>000000000000003</t>
  </si>
  <si>
    <t>2023-08-24</t>
  </si>
  <si>
    <t>002</t>
  </si>
  <si>
    <t>36986045001</t>
  </si>
  <si>
    <t>01406327081</t>
  </si>
  <si>
    <t>000000000000007</t>
  </si>
  <si>
    <t>2023-01-20</t>
  </si>
  <si>
    <t xml:space="preserve">»Exclusivos cd </t>
  </si>
  <si>
    <t>00000239680</t>
  </si>
  <si>
    <t>000420000744724</t>
  </si>
  <si>
    <t>2021-08-15</t>
  </si>
  <si>
    <t>2025-08-15</t>
  </si>
  <si>
    <t>2024-08-08 17:17:50.9</t>
  </si>
  <si>
    <t>Exclusivo_bu</t>
  </si>
  <si>
    <t>00000226870</t>
  </si>
  <si>
    <t>000420000321896</t>
  </si>
  <si>
    <t>000000000000004</t>
  </si>
  <si>
    <t>2018-12-15</t>
  </si>
  <si>
    <t>2026-06-15</t>
  </si>
  <si>
    <t>00000248083</t>
  </si>
  <si>
    <t>000420000763124</t>
  </si>
  <si>
    <t>000000000000002</t>
  </si>
  <si>
    <t>2024-04-01</t>
  </si>
  <si>
    <t>2029-04-01</t>
  </si>
  <si>
    <t>00000247940</t>
  </si>
  <si>
    <t>000420000415323</t>
  </si>
  <si>
    <t xml:space="preserve">»Exclusivo bu </t>
  </si>
  <si>
    <t xml:space="preserve"> Select 
--  *, 
 count(*), a.origem, b.origem,
 case when a.cknumcta is null and b.cknumcta is not null then 'Exclusivo_bu'
 when a.cknumcta is not null and b.cknumcta is null then 'Exclusivo_cd'
 when a.cknumcta is not null and b.cknumcta is not null then 'comum'
 else 'analisar'
 end as val_Universo_prod
 from
    (select*
    from cd_garantias.gt001_trz_rsp_gt
    where ref_date ='2024-07-31'
    -- and origem='LEA'
    )a
full join 
    (select*
    from bu_garantias_work.gt001_trz_rsp_gt
    where ref_date = '2024-07-31'
    -- and origem='LEA'
    )b
on concat(a.ckbalres, a.ckctares, a.ckrefresp)= concat(b.ckbalres, b.ckctares, b.ckrefresp)
and concat(a.cempresa, a.ckbalcao, a.cknumcta, a.comp_id_gar) = concat(b.cempresa, b.ckbalcao, b.cknumcta, b.comp_id_gar) 
group by a.origem, b.origem, Val_Universo_prod
-- having val_universo_prod = 'Exclusivo_bu'
-- limit 4
;</t>
  </si>
  <si>
    <t xml:space="preserve">Traçabilidade Completa </t>
  </si>
  <si>
    <t>Tudo o que está na gt001 = gt002 = (gt003/gt007/gt008/gt012)</t>
  </si>
  <si>
    <t>B.1</t>
  </si>
  <si>
    <t>Tudo o que está na gt012 está na  gt0002</t>
  </si>
  <si>
    <t>Select
-- *, 
count(*),
case when  b.cknumcta is null and a.cknumcta is not null  and c.cknumcta is null then 'Exclusivo_a'
when  b.cknumcta is not null and a.cknumcta is  null and c.cknumcta is null  then 'Eclusivo_gt002'
when  b.cknumcta is null and a.cknumcta is  null and c.cknumcta is not null  then 'Eclusivo_gt001'
when b.cknumcta is not null and a.cknumcta is not null and c.cknumcta is not null then 'comum'
else 'analisar'
end as val_universo
FROM 
    (select distinct  cempresa, ckbalcao, cknumcta, comp_id_gar
    from bu_garantias_work.gt003_trz_gt_fin
    where ref_date = '2024-07-31'
    union all 
    select distinct cempresa, ckbalcao, cknumcta, comp_id_gar
    from bu_garantias_work.gt007_trz_gt_pes
    where ref_date = '2024-07-31'
    union all 
    select distinct cempresa, ckbalcao, cknumcta, comp_id_gar
    from bu_garantias_work.gt008_trz_gt_imv
    where ref_date = '2024-07-31'
    union all 
    select distinct cempresa, ckbalcao, cknumcta, comp_id_gar
    from bu_garantias_work.gt012_trz_gt_mov
    where ref_date = '2024-07-31')a
full join 
      (select*
       from bu_garantias_work.gt002_grnt_prc
       where ref_date = '2024-07-31')b
on concat(a.cempresa, a.ckbalcao, a.cknumcta, a.comp_id_gar) = concat(b.cempresa, b.ckbalcao, b.cknumcta, b.comp_id_gar)
full join 
    (select*
       from bu_garantias_work.gt001_trz_rsp_gt
       where ref_date = '2024-07-31')c
on concat(b.cempresa, b.ckbalcao, b.cknumcta, b.comp_id_gar) = concat(c.cempresa, c.ckbalcao, c.cknumcta, c.comp_id_gar) 
group by val_universo</t>
  </si>
  <si>
    <t>bu_garantias_work.gt001_trz_rsp_gt
bu_garantias_work.gt002_grnt_prc
bu_garantias_work.gt003_trz_gt_fin
bu_garantias_work.gt007_trz_gt_pes
bu_garantias_work.gt008_trz_gt_imv
bu_garantias_work.gt012_trz_gt_mov</t>
  </si>
  <si>
    <t>1. bu_garantias_work.gt012_trz_gt_mov VS. bu_garantias_work.gt018_rateio_aval</t>
  </si>
  <si>
    <t xml:space="preserve">Verificação de duplicados </t>
  </si>
  <si>
    <t>icyr0n00_ddiaop</t>
  </si>
  <si>
    <t>icyr0n00_nprogram</t>
  </si>
  <si>
    <t>icyr0n00_intmis</t>
  </si>
  <si>
    <t>icyr0n00_inticl</t>
  </si>
  <si>
    <t>icyr0n00_intprv</t>
  </si>
  <si>
    <t>icyr0n00_cempresa</t>
  </si>
  <si>
    <t>icyr0n00_cproduto</t>
  </si>
  <si>
    <t>icyr0n00_cbalcao</t>
  </si>
  <si>
    <t>icyr0n00_cnumecta</t>
  </si>
  <si>
    <t>icyr0n00_zdeposit</t>
  </si>
  <si>
    <t>icyr0n00_gtitulo</t>
  </si>
  <si>
    <t>icyr0n00_csubprod</t>
  </si>
  <si>
    <t>icyr0n00_cmoeda</t>
  </si>
  <si>
    <t>icyr0n00_csitcta</t>
  </si>
  <si>
    <t>icyr0n00_cbaltit</t>
  </si>
  <si>
    <t>icyr0n00_cempsup</t>
  </si>
  <si>
    <t>icyr0n00_cbalsup</t>
  </si>
  <si>
    <t>icyr0n00_cctasup</t>
  </si>
  <si>
    <t>icyr0n00_cempcli</t>
  </si>
  <si>
    <t>icyr0n00_zcliente</t>
  </si>
  <si>
    <t>icyr0n00_cnatjur</t>
  </si>
  <si>
    <t>icyr0n00_csubcart</t>
  </si>
  <si>
    <t>icyr0n00_caplic</t>
  </si>
  <si>
    <t>icyr0n00_copcao</t>
  </si>
  <si>
    <t>icyr0n00_coperac</t>
  </si>
  <si>
    <t>icyr0n00_cprazo</t>
  </si>
  <si>
    <t>icyr0n00_ccontab</t>
  </si>
  <si>
    <t>icyr0n00_cregracg</t>
  </si>
  <si>
    <t>icyr0n00_cctacg</t>
  </si>
  <si>
    <t>icyr0n00_cnaturic</t>
  </si>
  <si>
    <t>icyr0n00_cgrupoic</t>
  </si>
  <si>
    <t>icyr0n00_ctipoic</t>
  </si>
  <si>
    <t>icyr0n00_ctiphab</t>
  </si>
  <si>
    <t>icyr0n00_csitclir</t>
  </si>
  <si>
    <t>icyr0n00_codigar</t>
  </si>
  <si>
    <t>icyr0n00_dabertur</t>
  </si>
  <si>
    <t>icyr0n00_ddvencim</t>
  </si>
  <si>
    <t>icyr0n00_dinicont</t>
  </si>
  <si>
    <t>icyr0n00_dtultren</t>
  </si>
  <si>
    <t>icyr0n00_dtprxren</t>
  </si>
  <si>
    <t>icyr0n00_dtdenunc</t>
  </si>
  <si>
    <t>icyr0n00_dtultliq</t>
  </si>
  <si>
    <t>icyr0n00_dtprxliq</t>
  </si>
  <si>
    <t>icyr0n00_dinidesc</t>
  </si>
  <si>
    <t>icyr0n00_dfimdesc</t>
  </si>
  <si>
    <t>icyr0n00_datatras</t>
  </si>
  <si>
    <t>icyr0n00_tiptxcr</t>
  </si>
  <si>
    <t>icyr0n00_tiptxdb</t>
  </si>
  <si>
    <t>icyr0n00_tjurocre</t>
  </si>
  <si>
    <t>icyr0n00_tjurodeb</t>
  </si>
  <si>
    <t>icyr0n00_tsprcre</t>
  </si>
  <si>
    <t>icyr0n00_tsprdeb</t>
  </si>
  <si>
    <t>icyr0n00_ctxrefcr</t>
  </si>
  <si>
    <t>icyr0n00_ctxrefdb</t>
  </si>
  <si>
    <t>icyr0n00_qcalccr</t>
  </si>
  <si>
    <t>icyr0n00_qcalcdb</t>
  </si>
  <si>
    <t>icyr0n00_nquottot</t>
  </si>
  <si>
    <t>icyr0n00_nquotven</t>
  </si>
  <si>
    <t>icyr0n00_mquotven</t>
  </si>
  <si>
    <t>icyr0n00_periodo</t>
  </si>
  <si>
    <t>icyr0n00_msaldo</t>
  </si>
  <si>
    <t>icyr0n00_msldirr</t>
  </si>
  <si>
    <t>icyr0n00_msldviv</t>
  </si>
  <si>
    <t>icyr0n00_mdesaut</t>
  </si>
  <si>
    <t>icyr0n00_mslddisp</t>
  </si>
  <si>
    <t>icyr0n00_msldini</t>
  </si>
  <si>
    <t>icyr0n00_mcapjur</t>
  </si>
  <si>
    <t>icyr0n00_msldcat</t>
  </si>
  <si>
    <t>icyr0n00_dtcambio</t>
  </si>
  <si>
    <t>icyr0n00_montante</t>
  </si>
  <si>
    <t>icyr0n00_mavalihp</t>
  </si>
  <si>
    <t>icyr0n00_irenout</t>
  </si>
  <si>
    <t>icyr0n00_clasrisc</t>
  </si>
  <si>
    <t>icyr0n00_filler</t>
  </si>
  <si>
    <t>icyr0n00_taeg</t>
  </si>
  <si>
    <t>icyr0n00_cbalanga</t>
  </si>
  <si>
    <t>icyr0n00_cmarca</t>
  </si>
  <si>
    <t>icyr0n00_cempsede</t>
  </si>
  <si>
    <t>icyr0n00_indparten</t>
  </si>
  <si>
    <t>filler</t>
  </si>
  <si>
    <t>data_date_part</t>
  </si>
  <si>
    <t>data_timestamp_part</t>
  </si>
  <si>
    <t>LEA-JURF</t>
  </si>
  <si>
    <t>82</t>
  </si>
  <si>
    <t>000420000422144</t>
  </si>
  <si>
    <t>MARMOFELIZARDO - MARMORES TORNEADOS LDA</t>
  </si>
  <si>
    <t>1</t>
  </si>
  <si>
    <t>1026</t>
  </si>
  <si>
    <t>9002228813</t>
  </si>
  <si>
    <t>131210</t>
  </si>
  <si>
    <t>FB</t>
  </si>
  <si>
    <t>00</t>
  </si>
  <si>
    <t>JP&amp;</t>
  </si>
  <si>
    <t>JP&amp;001</t>
  </si>
  <si>
    <t>512260042</t>
  </si>
  <si>
    <t>24</t>
  </si>
  <si>
    <t>103</t>
  </si>
  <si>
    <t>3.78000</t>
  </si>
  <si>
    <t>-196.88</t>
  </si>
  <si>
    <t>5.08270</t>
  </si>
  <si>
    <t>BT</t>
  </si>
  <si>
    <t>20240801040335</t>
  </si>
  <si>
    <t>LEA-CVIN</t>
  </si>
  <si>
    <t>CA&amp;</t>
  </si>
  <si>
    <t>CA&amp;001</t>
  </si>
  <si>
    <t>2260042</t>
  </si>
  <si>
    <t>2024-08-01</t>
  </si>
  <si>
    <t>2024-07-01</t>
  </si>
  <si>
    <t>-62500.00</t>
  </si>
  <si>
    <t>000420000690302</t>
  </si>
  <si>
    <t>CELESTE ACTUAL, S.A.</t>
  </si>
  <si>
    <t>7400911145</t>
  </si>
  <si>
    <t>7.16800</t>
  </si>
  <si>
    <t>-70360.50</t>
  </si>
  <si>
    <t>8.65690</t>
  </si>
  <si>
    <t>-420.29</t>
  </si>
  <si>
    <t>LEA-CVEN</t>
  </si>
  <si>
    <t>000420000690368</t>
  </si>
  <si>
    <t>JOSE CRUZ, UNIPESSOAL LDA</t>
  </si>
  <si>
    <t>7401504613</t>
  </si>
  <si>
    <t>CV&amp;</t>
  </si>
  <si>
    <t>S36</t>
  </si>
  <si>
    <t>CVBS36</t>
  </si>
  <si>
    <t>28503120</t>
  </si>
  <si>
    <t>2024-02-01</t>
  </si>
  <si>
    <t>2021-06-01</t>
  </si>
  <si>
    <t>5.60900</t>
  </si>
  <si>
    <t>-1917.65</t>
  </si>
  <si>
    <t>3.16880</t>
  </si>
  <si>
    <t>-124088.10</t>
  </si>
  <si>
    <t>-580.01</t>
  </si>
  <si>
    <t>LEA-IVEN</t>
  </si>
  <si>
    <t>IV&amp;</t>
  </si>
  <si>
    <t>IVBM36</t>
  </si>
  <si>
    <t>285923</t>
  </si>
  <si>
    <t>-3651.68</t>
  </si>
  <si>
    <t>cd_captools.carteiras_mensal</t>
  </si>
  <si>
    <t>»6 registos duplicados: ckprdresp diferente para a mesma responsabilidade/processo</t>
  </si>
  <si>
    <t>Verificamos que, com as alterações que ocorreram nas CS, o preenchimento do campo do produto deve ter ficado mal</t>
  </si>
  <si>
    <r>
      <rPr>
        <sz val="11"/>
        <color theme="1"/>
        <rFont val="Calibri"/>
        <family val="2"/>
        <scheme val="minor"/>
      </rPr>
      <t xml:space="preserve">Existem 74 registos que estão duplicados, apresentam apenas o campo </t>
    </r>
    <r>
      <rPr>
        <b/>
        <sz val="11"/>
        <color theme="1"/>
        <rFont val="Calibri"/>
        <family val="2"/>
        <scheme val="minor"/>
      </rPr>
      <t>cgarant</t>
    </r>
    <r>
      <rPr>
        <sz val="11"/>
        <color theme="1"/>
        <rFont val="Calibri"/>
        <family val="2"/>
        <scheme val="minor"/>
      </rPr>
      <t xml:space="preserve"> diferente.</t>
    </r>
  </si>
  <si>
    <t xml:space="preserve">Verificamos que os mesmos são registos LEA, garantias pessoais. Em que o cgarant está a duplicar os registos. </t>
  </si>
  <si>
    <t xml:space="preserve">Verificamos que os apresentam cempresa = 82. Casuística </t>
  </si>
  <si>
    <t xml:space="preserve">» Exclusivos bu: Expectável, representam o novo universo dos bens móveis. </t>
  </si>
  <si>
    <t xml:space="preserve">Exclusivos cd: Alterações CS, Duplicação de titulares </t>
  </si>
  <si>
    <t xml:space="preserve">» Exclusivos gt012: 
</t>
  </si>
  <si>
    <t>bu_captools_work.universo_lbens_jul24_mn
bu_captools_work.universo_biyr1500_jul24_mn</t>
  </si>
  <si>
    <t>bu_captools_work.universo_lbens_jul24_mn
bu_captools_work.universo_biyr1500_jul24_mn
bu_garantias_work.kt_chaves_gt 
bu_garantias_work.gt018_rateio_aval</t>
  </si>
  <si>
    <t>Universo a trazer para o modelo (Union)</t>
  </si>
  <si>
    <t xml:space="preserve">Universo bens a trazer para kt_chaves </t>
  </si>
  <si>
    <t>Tudo o que etsá gt018 está na gt001</t>
  </si>
  <si>
    <t>gt012=gt018</t>
  </si>
  <si>
    <t xml:space="preserve">Teste Universo </t>
  </si>
  <si>
    <t>F.1.</t>
  </si>
  <si>
    <t>F.2.</t>
  </si>
  <si>
    <t>F.3.</t>
  </si>
  <si>
    <t>Universo a trazer para o modelo/tradutor (full join)</t>
  </si>
  <si>
    <t>Universo bens a trazer para gt018</t>
  </si>
  <si>
    <t>select count(*),
case when lbm.cknumcta_dest = gt1.cknumcta then 'ok'
when lbm.cknumcta_dest = gt1.cknumcta then 'nok'
else 'analisar'
end as validacao
from
    (select *
    from
        (select *
        from bu_captools_work.universo_lbens_jul24_mn)lb
    left join 
        (select *
        -- concat(ckbalres_orig, ckctares_orig, ckrefresp_orig) as chave_resp_mug, tabela_orig
        from bu_garantias_work.kt_chaves_gt 
        where ref_date = '2024-07-31'
        and origem = 'LEA')kt
    on strright(lb.id_respons,30) = concat(ckbalres_orig, ckctares_orig, ckrefresp_orig))lbm
left join 
    (select*
    from bu_garantias_work.gt001_trz_rsp_gt
    where ref_date = '2024-07-31'
    -- and origem='LEA'
    )gt1
on concat(lbm.ckbalres_dest, lbm.ckctares_dest, lbm.ckrefresp_dest) = concat(gt1.ckbalres, gt1.ckctares, gt1.ckrefresp)
and concat(lbm.ckbalcao_dest, lbm.cknumcta_dest, lbm.comp_id_gar_dest)= concat(gt1.ckbalcao, gt1.cknumcta, gt1.comp_id_gar)
group by validacao</t>
  </si>
  <si>
    <t>C.</t>
  </si>
  <si>
    <t>C.1</t>
  </si>
  <si>
    <t>Traçabilidade lbens gt001</t>
  </si>
  <si>
    <t>bu_garantias_work.gt001_trz_rsp_gt
bu_captools_work.universo_lbens_jul24_mn</t>
  </si>
  <si>
    <t>Tudo o que está na lbens = gt001</t>
  </si>
  <si>
    <r>
      <rPr>
        <b/>
        <sz val="11"/>
        <color rgb="FF92D050"/>
        <rFont val="Calibri"/>
        <family val="2"/>
        <scheme val="minor"/>
      </rPr>
      <t>Ok</t>
    </r>
    <r>
      <rPr>
        <b/>
        <sz val="11"/>
        <color theme="1"/>
        <rFont val="Calibri"/>
        <family val="2"/>
        <scheme val="minor"/>
      </rPr>
      <t xml:space="preserve">
»</t>
    </r>
    <r>
      <rPr>
        <sz val="11"/>
        <color theme="1"/>
        <rFont val="Calibri"/>
        <family val="2"/>
        <scheme val="minor"/>
      </rPr>
      <t xml:space="preserve"> É expectável ter exclusivos gt001
</t>
    </r>
    <r>
      <rPr>
        <b/>
        <sz val="11"/>
        <color theme="1"/>
        <rFont val="Calibri"/>
        <family val="2"/>
        <scheme val="minor"/>
      </rPr>
      <t xml:space="preserve">
</t>
    </r>
    <r>
      <rPr>
        <sz val="11"/>
        <color theme="1"/>
        <rFont val="Calibri"/>
        <family val="2"/>
        <scheme val="minor"/>
      </rPr>
      <t>769463</t>
    </r>
    <r>
      <rPr>
        <b/>
        <sz val="11"/>
        <color theme="1"/>
        <rFont val="Calibri"/>
        <family val="2"/>
        <scheme val="minor"/>
      </rPr>
      <t xml:space="preserve"> Comum
</t>
    </r>
    <r>
      <rPr>
        <sz val="11"/>
        <color theme="1"/>
        <rFont val="Calibri"/>
        <family val="2"/>
        <scheme val="minor"/>
      </rPr>
      <t>22862</t>
    </r>
    <r>
      <rPr>
        <b/>
        <sz val="11"/>
        <color theme="1"/>
        <rFont val="Calibri"/>
        <family val="2"/>
        <scheme val="minor"/>
      </rPr>
      <t xml:space="preserve"> Exclusivo gt001</t>
    </r>
  </si>
  <si>
    <r>
      <t xml:space="preserve">3 </t>
    </r>
    <r>
      <rPr>
        <b/>
        <sz val="11"/>
        <color theme="1"/>
        <rFont val="Calibri"/>
        <family val="2"/>
        <scheme val="minor"/>
      </rPr>
      <t>Exclusivo_gt012</t>
    </r>
    <r>
      <rPr>
        <sz val="11"/>
        <color theme="1"/>
        <rFont val="Calibri"/>
        <family val="2"/>
        <scheme val="minor"/>
      </rPr>
      <t xml:space="preserve">
25105 </t>
    </r>
    <r>
      <rPr>
        <b/>
        <sz val="11"/>
        <color theme="1"/>
        <rFont val="Calibri"/>
        <family val="2"/>
        <scheme val="minor"/>
      </rPr>
      <t xml:space="preserve">comum
</t>
    </r>
    <r>
      <rPr>
        <sz val="11"/>
        <color theme="1"/>
        <rFont val="Calibri"/>
        <family val="2"/>
        <scheme val="minor"/>
      </rPr>
      <t xml:space="preserve">744358 </t>
    </r>
    <r>
      <rPr>
        <b/>
        <sz val="11"/>
        <color theme="1"/>
        <rFont val="Calibri"/>
        <family val="2"/>
        <scheme val="minor"/>
      </rPr>
      <t>Exclusivo_gt018</t>
    </r>
  </si>
  <si>
    <r>
      <rPr>
        <b/>
        <sz val="11"/>
        <color rgb="FF92D050"/>
        <rFont val="Calibri"/>
        <family val="2"/>
        <scheme val="minor"/>
      </rPr>
      <t>Ok</t>
    </r>
    <r>
      <rPr>
        <sz val="11"/>
        <color rgb="FF92D050"/>
        <rFont val="Calibri"/>
        <family val="2"/>
        <scheme val="minor"/>
      </rPr>
      <t xml:space="preserve">
»</t>
    </r>
    <r>
      <rPr>
        <sz val="11"/>
        <color theme="1"/>
        <rFont val="Calibri"/>
        <family val="2"/>
        <scheme val="minor"/>
      </rPr>
      <t xml:space="preserve"> É expectável existir exclusivos gt018 (Universo que não é bens móveis). 
» Exclusivos gt012 recaem sob a</t>
    </r>
    <r>
      <rPr>
        <b/>
        <i/>
        <sz val="11"/>
        <color theme="1"/>
        <rFont val="Calibri"/>
        <family val="2"/>
        <scheme val="minor"/>
      </rPr>
      <t xml:space="preserve"> casuística</t>
    </r>
    <r>
      <rPr>
        <sz val="11"/>
        <color theme="1"/>
        <rFont val="Calibri"/>
        <family val="2"/>
        <scheme val="minor"/>
      </rPr>
      <t>: diferença justificada pela conta contabilística associada)</t>
    </r>
  </si>
  <si>
    <r>
      <t xml:space="preserve">26682 </t>
    </r>
    <r>
      <rPr>
        <b/>
        <sz val="11"/>
        <color theme="1"/>
        <rFont val="Calibri"/>
        <family val="2"/>
        <scheme val="minor"/>
      </rPr>
      <t>Exclusivos_bu</t>
    </r>
    <r>
      <rPr>
        <sz val="11"/>
        <color theme="1"/>
        <rFont val="Calibri"/>
        <family val="2"/>
        <scheme val="minor"/>
      </rPr>
      <t xml:space="preserve"> 
4668 </t>
    </r>
    <r>
      <rPr>
        <b/>
        <sz val="11"/>
        <color theme="1"/>
        <rFont val="Calibri"/>
        <family val="2"/>
        <scheme val="minor"/>
      </rPr>
      <t xml:space="preserve">Exclusivos_cd </t>
    </r>
    <r>
      <rPr>
        <sz val="11"/>
        <color theme="1"/>
        <rFont val="Calibri"/>
        <family val="2"/>
        <scheme val="minor"/>
      </rPr>
      <t xml:space="preserve">
</t>
    </r>
  </si>
  <si>
    <t xml:space="preserve">´-- DROP TABLE IF EXISTS bu_captools_work.universo_lbens_jul24_mn;
-- CREATE TABLE bu_captools_work.universo_lbens_jul24_mn
-- as
 select lb.*
 from
   (select distinct
        nvl(cl1.cbalcao, cart.icyr0n00_cbalcao) as cbalcao_novo,
        nvl(cl1.cnumecta, cart.icyr0n00_cnumecta) as cnumecta_novo,
        nvl(cl1.zdeposit, cart.icyr0n00_zdeposit) as zdeposit_novo
    from 
        (select*
        from cd_clientes.cl001_interv_cto
        where ref_date = '2024-07-31'
        and crelacao_cl_cnt = '1')cl1
    full join
        (select *
        from cd_captools.carteiras_mensal
        where data_date_part = '2024-07-31')cart
    on  concat(cl1.cbalcao, cl1.cnumecta, cl1.zdeposit) = concat(cart.icyr0n00_cbalcao, cart.icyr0n00_cnumecta, cart.icyr0n00_zdeposit))univ
inner join 
    (select * 
    from bu_garantias_work.l_bens_moveis_out)lb
on univ.cbalcao_novo = substring(lb.id_respons,3,4) 
and univ.cnumecta_novo = substring(lb.id_respons,7,11) 
and  univ.zdeposit_novo = strright(lb.id_respons,15);
</t>
  </si>
  <si>
    <t xml:space="preserve">Criamos o nosso universo de Bens moveis, cruzando com a CL001 e com a Carteiras mensal, de forma a validar as chaves. </t>
  </si>
  <si>
    <t xml:space="preserve">bu_captools_work.universo_lbens_jul24_mn
bu_garantias_work.kt_chaves_gt </t>
  </si>
  <si>
    <r>
      <t xml:space="preserve">Ok
</t>
    </r>
    <r>
      <rPr>
        <sz val="11"/>
        <color theme="1"/>
        <rFont val="Calibri"/>
        <family val="2"/>
        <scheme val="minor"/>
      </rPr>
      <t>Todos os registos de 'BENS_MOVEIS' estão Ok. 
Os exclusivos KT correspondem ao universo de bens imóvies - Biyr1500</t>
    </r>
  </si>
  <si>
    <t>select
kt.*, lb.id_respons, 
-- count(*), tabela_orig,
case when kt.chave_resp_orig= lb.id_respons then 'ok'
when kt.chave_resp_orig &lt;&gt; lb.id_respons then 'nok'
else 'analisar'
end as validacao
from 
    (select distinct *
    from bu_captools_work.universo_lbens_jul24_mn
     )lb
-- full join 
left join 
    (select distinct concat(cempresa_orig, ckbalres_orig, ckctares_orig, ckrefresp_orig) as chave_resp_orig, tabela_orig
    from bu_garantias_work.kt_chaves_gt 
    where ref_date = '2024-07-31'
    and origem = 'LEA')kt
on lb.id_respons = kt.chave_resp_orig
-- having validacao = 'analisar'
-- group by validacao, tabela_orig
;</t>
  </si>
  <si>
    <t>id_resp_mug</t>
  </si>
  <si>
    <t>id_proc_mug</t>
  </si>
  <si>
    <t>id_respons</t>
  </si>
  <si>
    <t>id_bem</t>
  </si>
  <si>
    <t>chave_resp_orig</t>
  </si>
  <si>
    <t>chave_resp_mug</t>
  </si>
  <si>
    <t>chave_proc_mug</t>
  </si>
  <si>
    <t>tabela_orig</t>
  </si>
  <si>
    <t>validacao_univ</t>
  </si>
  <si>
    <t>89000000009001002000420000690302</t>
  </si>
  <si>
    <t xml:space="preserve">1  </t>
  </si>
  <si>
    <t>000000009001002000420000690302</t>
  </si>
  <si>
    <t>89000000009001002000000000000001</t>
  </si>
  <si>
    <t>BENS_MOVEIS</t>
  </si>
  <si>
    <t>Exclusivo KT</t>
  </si>
  <si>
    <t>89000000009000922000420000690368</t>
  </si>
  <si>
    <t>000000009000922000420000690368</t>
  </si>
  <si>
    <t>89000000009000922000000000000001</t>
  </si>
  <si>
    <t>89000000009001001000420000422144</t>
  </si>
  <si>
    <t>000000009001001000420000422144</t>
  </si>
  <si>
    <t>89000000009001001000000000000001</t>
  </si>
  <si>
    <t xml:space="preserve">»Todos os casos Exclusivos do nosso Universo Lbens correspondem a registos com cempresa =82, pelo que não é suposto considerar estes registos </t>
  </si>
  <si>
    <t xml:space="preserve">F.3 - Validação do universo a trazer para o modelo </t>
  </si>
  <si>
    <r>
      <rPr>
        <b/>
        <sz val="11"/>
        <color rgb="FF92D050"/>
        <rFont val="Calibri"/>
        <family val="2"/>
        <scheme val="minor"/>
      </rPr>
      <t>Ok</t>
    </r>
    <r>
      <rPr>
        <b/>
        <sz val="11"/>
        <color theme="1"/>
        <rFont val="Calibri"/>
        <family val="2"/>
        <scheme val="minor"/>
      </rPr>
      <t xml:space="preserve">
»</t>
    </r>
    <r>
      <rPr>
        <sz val="11"/>
        <color theme="1"/>
        <rFont val="Calibri"/>
        <family val="2"/>
        <scheme val="minor"/>
      </rPr>
      <t xml:space="preserve"> 3 registos </t>
    </r>
    <r>
      <rPr>
        <b/>
        <sz val="11"/>
        <color theme="1"/>
        <rFont val="Calibri"/>
        <family val="2"/>
        <scheme val="minor"/>
      </rPr>
      <t>Exclusivos Lbens</t>
    </r>
    <r>
      <rPr>
        <sz val="11"/>
        <color theme="1"/>
        <rFont val="Calibri"/>
        <family val="2"/>
        <scheme val="minor"/>
      </rPr>
      <t xml:space="preserve">
Estes registos dizem respeito a contas com cempresa = 82, pelo que não deve ser considerado no modelo. </t>
    </r>
  </si>
  <si>
    <t xml:space="preserve">
select
-- gt18.*, bm.*,
count(*), bm.tabela_orig,
case when gt18.id_resp_mug is  null and bm.chave_resp_mug is not null then 'Exclusivo KT'
when gt18.id_resp_mug is not null and bm.chave_resp_mug is null then 'Exclusivo GT018'
when gt18.id_resp_mug is  not null and bm.chave_resp_mug is not null then 'COMUM'
else 'analisar'
end as validacao_univ
from 
       (select * 
       from 
       (select distinct id_respons, id_bem
        from bu_captools_work.universo_lbens_jul24_mn
        )lb
    left join 
        (select distinct concat(cempresa_orig, ckbalres_orig, ckctares_orig, ckrefresp_orig) as chave_resp_orig, 
        concat(ckbalres_dest, ckctares_dest, ckrefresp_dest) as chave_resp_mug, 
        concat(cempresa_dest, ckbalcao_dest, cknumcta_dest, comp_id_gar_dest) as chave_proc_mug,
        tabela_orig
        from bu_garantias_work.kt_chaves_gt 
        where ref_date = '2024-07-31'
        and origem = 'LEA')kt
    on lb.id_respons = kt.chave_resp_orig)bm
left join
    (select concat(ckbalres, ckctares, ckrefresp) as id_resp_mug,
    concat(cempresa, ckbalcao, cknumcta, comp_id_gar) as id_proc_mug
    from bu_garantias_work.gt018_rateio_aval
    where ref_date = '2024-07-31'
    ) gt18
on bm.chave_resp_mug = gt18.id_resp_mug
and bm.chave_proc_mug = gt18.id_proc_mug
group by  validacao_univ, bm.tabela_orig
-- having validacao_univ = 'Exclusivo KT'
;</t>
  </si>
  <si>
    <t xml:space="preserve">Verificamos o memso através da tabela carteiras.mensal </t>
  </si>
  <si>
    <t>Podemos verificar no HUE em 'Exemplos'</t>
  </si>
  <si>
    <t>bu_garantias_work.gt803_cgarant_bem</t>
  </si>
  <si>
    <t>Adição campo "tipologia bem imobiliário"</t>
  </si>
  <si>
    <t xml:space="preserve">Alteração mapeamento de detentor_bem </t>
  </si>
  <si>
    <t>bu_garantias_work.gt013_bens_moveis</t>
  </si>
  <si>
    <t xml:space="preserve">Alteração tipologia e origem de bens móveis (MOB, LMB) </t>
  </si>
  <si>
    <t>bu_garantias_work.gt701_hist_mavaliai</t>
  </si>
  <si>
    <t xml:space="preserve">Exlcusão bens móveis, IFRUS e Abatidos das interfaces Biyr </t>
  </si>
  <si>
    <t>bu_captools_work.gt019_report_biyr9500
bu_garantias_work.gt020_report_biyr9510
bu_garantias_work.gt021_report_biyr9520</t>
  </si>
  <si>
    <t xml:space="preserve">Alteração cruzamento para obtenção de produto da responsabilidade </t>
  </si>
  <si>
    <t>Abertura de códios CFINALID e criação de novo campo de montante - mavaliaa_altrn_1</t>
  </si>
  <si>
    <t>bu_garantias_work.gt018_rateio_aval</t>
  </si>
  <si>
    <t xml:space="preserve">Adição campos mavalia/davalia e respetivos mapeamentos </t>
  </si>
  <si>
    <t>Mapeamento chaves CS a ter em conta ICs/CL001</t>
  </si>
  <si>
    <t>Mapemanto Bens Moveis (ckbalcao_orig, cknumcta_orig, zbem_orig)</t>
  </si>
  <si>
    <t>bu_garantias_work.kt_chaves_gt
bu_garantias_work.kt_chaves_bens_gt</t>
  </si>
  <si>
    <t>Casuística 1</t>
  </si>
  <si>
    <r>
      <rPr>
        <b/>
        <sz val="11"/>
        <color theme="1"/>
        <rFont val="Calibri"/>
        <family val="2"/>
        <scheme val="minor"/>
      </rPr>
      <t xml:space="preserve">Incidência -  </t>
    </r>
    <r>
      <rPr>
        <b/>
        <sz val="11"/>
        <color rgb="FF92D050"/>
        <rFont val="Calibri"/>
        <family val="2"/>
        <scheme val="minor"/>
      </rPr>
      <t xml:space="preserve">Resolvida </t>
    </r>
    <r>
      <rPr>
        <sz val="11"/>
        <color theme="1"/>
        <rFont val="Calibri"/>
        <family val="2"/>
        <scheme val="minor"/>
      </rPr>
      <t xml:space="preserve">
Com as alterações que ocorreram no novo desenvolvimento para as CS, não foi tido em conta um pormenor</t>
    </r>
  </si>
  <si>
    <r>
      <rPr>
        <b/>
        <sz val="11"/>
        <color theme="1"/>
        <rFont val="Calibri"/>
        <family val="2"/>
        <scheme val="minor"/>
      </rPr>
      <t>Incidência:</t>
    </r>
    <r>
      <rPr>
        <sz val="11"/>
        <color theme="1"/>
        <rFont val="Calibri"/>
        <family val="2"/>
        <scheme val="minor"/>
      </rPr>
      <t xml:space="preserve">
Registos LEA, garantias pessoais. Em que o cgarant está a duplicar os registos. (</t>
    </r>
    <r>
      <rPr>
        <b/>
        <i/>
        <sz val="11"/>
        <color rgb="FF92D050"/>
        <rFont val="Calibri"/>
        <family val="2"/>
        <scheme val="minor"/>
      </rPr>
      <t>Casuística 1</t>
    </r>
    <r>
      <rPr>
        <i/>
        <sz val="11"/>
        <color theme="1"/>
        <rFont val="Calibri"/>
        <family val="2"/>
        <scheme val="minor"/>
      </rPr>
      <t>)</t>
    </r>
  </si>
  <si>
    <r>
      <t xml:space="preserve">Incidência - </t>
    </r>
    <r>
      <rPr>
        <b/>
        <i/>
        <sz val="11"/>
        <color rgb="FF92D050"/>
        <rFont val="Calibri"/>
        <family val="2"/>
        <scheme val="minor"/>
      </rPr>
      <t>(Casuística 2)</t>
    </r>
    <r>
      <rPr>
        <b/>
        <sz val="11"/>
        <color theme="1"/>
        <rFont val="Calibri"/>
        <family val="2"/>
        <scheme val="minor"/>
      </rPr>
      <t xml:space="preserve">
»</t>
    </r>
    <r>
      <rPr>
        <sz val="11"/>
        <color theme="1"/>
        <rFont val="Calibri"/>
        <family val="2"/>
        <scheme val="minor"/>
      </rPr>
      <t xml:space="preserve">Não devia existir exclusivos cd, apenas exclusivos bu que representa o novo universo (bens móveis).
</t>
    </r>
    <r>
      <rPr>
        <b/>
        <sz val="11"/>
        <color theme="1"/>
        <rFont val="Calibri"/>
        <family val="2"/>
        <scheme val="minor"/>
      </rPr>
      <t>Exclusivos_cd:</t>
    </r>
    <r>
      <rPr>
        <sz val="11"/>
        <color theme="1"/>
        <rFont val="Calibri"/>
        <family val="2"/>
        <scheme val="minor"/>
      </rPr>
      <t xml:space="preserve"> Alterações nas CS</t>
    </r>
  </si>
  <si>
    <t>tipo_eqp</t>
  </si>
  <si>
    <t xml:space="preserve">Adicionado um novo campo </t>
  </si>
  <si>
    <r>
      <t xml:space="preserve">Foi adicionado um novo campo </t>
    </r>
    <r>
      <rPr>
        <b/>
        <sz val="11"/>
        <color theme="1"/>
        <rFont val="Calibri"/>
        <family val="2"/>
        <scheme val="minor"/>
      </rPr>
      <t>"Tipologia de equipamento"</t>
    </r>
    <r>
      <rPr>
        <sz val="11"/>
        <color theme="1"/>
        <rFont val="Calibri"/>
        <family val="2"/>
        <scheme val="minor"/>
      </rPr>
      <t xml:space="preserve">, que se encontra devidamente preenchido para bens móveis </t>
    </r>
  </si>
  <si>
    <t xml:space="preserve">select distinct descritivo, tipologia_equipamento
from bu_garantias_work.gt803_cgarant_bem
where ref_date = '2024-07-31'
and tipologia_equipamento &lt;&gt; ''
;
</t>
  </si>
  <si>
    <t xml:space="preserve">Verificar que o campo "detentor_bem" se encontra devidamente preenchido </t>
  </si>
  <si>
    <r>
      <t xml:space="preserve">O campo </t>
    </r>
    <r>
      <rPr>
        <b/>
        <sz val="11"/>
        <color theme="1"/>
        <rFont val="Calibri"/>
        <family val="2"/>
        <scheme val="minor"/>
      </rPr>
      <t>"detentor_bem"</t>
    </r>
    <r>
      <rPr>
        <sz val="11"/>
        <color theme="1"/>
        <rFont val="Calibri"/>
        <family val="2"/>
        <scheme val="minor"/>
      </rPr>
      <t xml:space="preserve"> encontra-se preenchido, para todos os registos, com o número "5100011001" - correspondente ao Banco Santander. </t>
    </r>
  </si>
  <si>
    <t xml:space="preserve">Verificar que foi adicionado a origem/tipologia de bens moveis nas tabelas do modelo </t>
  </si>
  <si>
    <r>
      <rPr>
        <b/>
        <sz val="11"/>
        <color rgb="FF92D050"/>
        <rFont val="Calibri"/>
        <family val="2"/>
        <scheme val="minor"/>
      </rPr>
      <t>OK</t>
    </r>
    <r>
      <rPr>
        <sz val="11"/>
        <color theme="1"/>
        <rFont val="Calibri"/>
        <family val="2"/>
        <scheme val="minor"/>
      </rPr>
      <t xml:space="preserve"> 
GT001/GT002/GT012/GT701 - LMB 
GT018-  Origem LMB; tipologia MOB 
GT019/GT020/GT021 - Universo Bens Moveis não entra 
</t>
    </r>
  </si>
  <si>
    <t xml:space="preserve">select distinct origem  
from bu_garantias_work.gt001_trz_rsp_gt
where ref_date = '2024-07-31'
;
select distinct origem 
from bu_garantias_work.gt002_grnt_prc
where ref_date = '2024-07-31'
;
select distinct origem 
from bu_garantias_work.gt012_trz_gt_mov
where ref_date = '2024-07-31'
;
select distinct origem 
from bu_garantias_work.gt701_hist_mavaliai
where ref_date_carga = '2024-07-31'
;
select distinct origem, tipologia
from bu_garantias_work.gt019_report_biyr9500
where ref_date = '2024-07-31'
;
select distinct origem, tipologia
from bu_garantias_work.gt020_report_biyr9510
where ref_date = '2024-07-31'
;
select distinct origem, tipologia
from bu_garantias_work.gt021_report_biyr9520
where ref_date = '2024-07-31'
;
select distinct origem, tipologia
from bu_garantias_work.gt018_rateio_aval
where ref_date = '2024-07-31'
;
</t>
  </si>
  <si>
    <t xml:space="preserve">Adiconado, a todas as tabelas do modelo, a origem e tipologia relativa aos bens Móveis. </t>
  </si>
  <si>
    <t xml:space="preserve">Tabelas do modelo </t>
  </si>
  <si>
    <t>Select DISTINCT detentor_bem
from bu_garantias_work.gt013_bens_moveis
where ref_date = '2024-07-31'
;
select * 
from cd_clientes.dwt001_cliente
where data_date_part = '2024-07-31'
and ccliente = '5100011001'
;</t>
  </si>
  <si>
    <t>cgarant_bem</t>
  </si>
  <si>
    <t>detentor_bem</t>
  </si>
  <si>
    <t>cmarca</t>
  </si>
  <si>
    <t>zpropost</t>
  </si>
  <si>
    <t>cod_fornec</t>
  </si>
  <si>
    <t>nome_fornec</t>
  </si>
  <si>
    <t>nif_fornec</t>
  </si>
  <si>
    <t>valbem</t>
  </si>
  <si>
    <t>dtvalbem</t>
  </si>
  <si>
    <t>davalia</t>
  </si>
  <si>
    <t>mavalia</t>
  </si>
  <si>
    <t>preco_aquisicao</t>
  </si>
  <si>
    <t>data_aquisicao</t>
  </si>
  <si>
    <t>BJSC-H-FRIO-FABRICA��O E COM�RCIO A RETALHO C�MARAS FRIGORIFICAS, LDA</t>
  </si>
  <si>
    <t>703605.50</t>
  </si>
  <si>
    <t>2024-09-27 13:56:39.227</t>
  </si>
  <si>
    <t>exclusivo13</t>
  </si>
  <si>
    <t>AG ROBOTX, S.L.</t>
  </si>
  <si>
    <t>B-12975553</t>
  </si>
  <si>
    <t>625000.00</t>
  </si>
  <si>
    <t>768750.00</t>
  </si>
  <si>
    <t>EUROM�QUINA, S.L.</t>
  </si>
  <si>
    <t>ESB28121036</t>
  </si>
  <si>
    <t>411000.00</t>
  </si>
  <si>
    <t>505530.00</t>
  </si>
  <si>
    <t>7506</t>
  </si>
  <si>
    <t>5100011001</t>
  </si>
  <si>
    <t>40</t>
  </si>
  <si>
    <t>1000625407</t>
  </si>
  <si>
    <t>665646</t>
  </si>
  <si>
    <t>510762514</t>
  </si>
  <si>
    <t>2024-04-04</t>
  </si>
  <si>
    <t>7502</t>
  </si>
  <si>
    <t>20</t>
  </si>
  <si>
    <t>1000593105</t>
  </si>
  <si>
    <t>665676</t>
  </si>
  <si>
    <t>2024-02-23</t>
  </si>
  <si>
    <t>29</t>
  </si>
  <si>
    <t>10949785</t>
  </si>
  <si>
    <t>665168</t>
  </si>
  <si>
    <t>0000000000</t>
  </si>
  <si>
    <r>
      <rPr>
        <b/>
        <sz val="11"/>
        <color rgb="FF92D050"/>
        <rFont val="Calibri"/>
        <family val="2"/>
        <scheme val="minor"/>
      </rPr>
      <t>OK</t>
    </r>
    <r>
      <rPr>
        <sz val="11"/>
        <color theme="1"/>
        <rFont val="Calibri"/>
        <family val="2"/>
        <scheme val="minor"/>
      </rPr>
      <t xml:space="preserve"> 
Validamos que: 
- A percentagem de rateio é sempre 100% 
- A percentagem de cobertura é sempre igual para os 3 campos 
- O montante de saldo é sempre igual para os 4 campos 
- O montante de saldo é igual ao total da dívida 
- O mavaliai é igual para os 6 campos 
- A data de avaliação é igual para os 3 campos </t>
    </r>
  </si>
  <si>
    <t>330.1</t>
  </si>
  <si>
    <t>330.2</t>
  </si>
  <si>
    <t>ID. 330</t>
  </si>
  <si>
    <t>2. bu_garantias_work.gt701_hist_mavaliai VS. bu_garantias_work.gt013_bens_moveis</t>
  </si>
  <si>
    <t>» 3 registos Exclusivos gt013</t>
  </si>
  <si>
    <t>bu_garantias_work.gt013_bens_moveis
bu_garantias_work.gt701_hist_mavaliai</t>
  </si>
  <si>
    <t>bu_garantias_work.gt701_hist_mavaliai
bu_garantias_work.gt018_rateio_aval</t>
  </si>
  <si>
    <t>330.3</t>
  </si>
  <si>
    <t xml:space="preserve">Select DISTINCT perc_rateio_resp_proc, perc_rateio_resp_proc_bem
from bu_garantias_work.gt701_hist_mavaliai
where origem = 'LMB'
;
Select *,
case when per_cobert_ini_resp_proc = per_cobert_ini_resp_proc_bem
and per_cobert_ini_resp_proc_bem = per_cobert_ini_resp_bem
then 'OK'
else 'nok'
end as validacao
from bu_garantias_work.gt701_hist_mavaliai
where origem = 'LMB'
having validacao = 'nok'
;
Select *,
case when msldreal_ini_resp_proc = msldreal_ini_resp_proc_bem 
and msldreal_ini_resp_proc_bem = msldreal_ini_contr_proc
and msldreal_ini_contr_proc = msldreal_ini_contr_proc_bem
and  msldreal_ini_contr_proc_bem = total_divida_ini_resp_proc
and total_divida_ini_resp_proc = total_divida_ini_resp_proc_bem
then 'Ok'
else ' nok'
end as validacao
from bu_garantias_work.gt701_hist_mavaliai
where origem = 'LMB'
having validacao = 'nok'
;
Select *,
case when mavaliai_resp_proc_total = mavaliai_resp_proc_bem_total 
and mavaliai_resp_proc_bem_total = mavaliai_resp_bem_total 
and mavaliai_resp_bem_total = mavaliai_resp_proc
and mavaliai_resp_proc = mavaliai_resp_proc_bem 
and mavaliai_resp_proc_bem = mavaliai_resp_bem
then 'Ok'
else ' nok'
end as validacao
from bu_garantias_work.gt701_hist_mavaliai
where origem = 'LMB'
having validacao = 'nok'
;
select *,
case when dtvaliai_resp_proc = dtvaliai_resp_proc_bem 
and dtvaliai_resp_proc_bem = dtvaliai_resp_bem
then 'Ok'
else ' nok'
end as validacao
from bu_garantias_work.gt701_hist_mavaliai
where origem = 'LMB'
having validacao = 'nok'
;
</t>
  </si>
  <si>
    <t xml:space="preserve">select
-- *, 
count(*) ,
case when a.ckctabem is null and b.ckctabem is not null then 'exclusivo13'
when a.ckctabem is not null and b.ckctabem is null then 'exclusivo701'
when a.ckctabem is not null and b.ckctabem is not null then 'COMUM'
else 'analisar' 
end as validacao
from 
    (Select *
    from bu_garantias_work.gt701_hist_mavaliai
    where origem = 'LMB'
    )a
full join 
    (select * 
    from bu_garantias_work.gt013_bens_moveis
    where ref_date = '2024-07-31'
    )b
on concat(a.ckbalbem,a.ckctabem, a.ckrefbem) = concat(b.ckbalbem,b.ckctabem, b.ckrefbem)
group by validacao
-- having validacao = 'exclusivo13'
;
select
-- *, 
count(*) ,
case when a.mavaliai_resp_bem = b.preco_aquisicao then 'Ok'
-- case when a.dtvaliai_resp_bem = b.data_aquisicao then 'Ok'
else 'nok'
end as validacao2
from 
    (Select *
    from bu_garantias_work.gt701_hist_mavaliai
    where origem = 'LMB'
    )a
full join 
    (select * 
    from bu_garantias_work.gt013_bens_moveis
    where ref_date = '2024-07-31'
    )b
on concat(a.ckbalbem,a.ckctabem, a.ckrefbem) = concat(b.ckbalbem,b.ckctabem, b.ckrefbem)
group by validacao2
;
</t>
  </si>
  <si>
    <t>Não existem duplicados na gt001</t>
  </si>
  <si>
    <t xml:space="preserve">select *
from bu_garantias_work.gt001_trz_rsp_gt
where ref_date = '2024-07-31'
and origem = 'LMB'
;
 select  b.*, a.*
from    
    (select* 
    from bu_garantias_work.gt001_trz_rsp_gt
    where ref_date='2024-07-31')a
left join
    (select 
    ckbalres, ckctares, ckrefresp, cempresp, cempresa, ckbalcao, cknumcta, comp_id_gar, 
    count(*) as count_registos 
    from bu_garantias_work.gt001_trz_rsp_gt
    where ref_date='2024-07-31' 
    group by ckbalres, ckctares, ckrefresp, cempresp, cempresa, ckbalcao, cknumcta, comp_id_gar
    )b
on a. ckbalres=b. ckbalres
and a. ckctares=b. ckctares
and a. ckrefresp=b. ckrefresp
and a. cempresp=b. cempresp
and a. cempresa=b. cempresa
and a. ckbalcao=b. ckbalcao
and a. cknumcta=b. cknumcta
and a. comp_id_gar=b. comp_id_gar
where count_registos&gt;1
; </t>
  </si>
  <si>
    <t xml:space="preserve">Para o universo de bens móveis, existem campos a NULL </t>
  </si>
  <si>
    <t xml:space="preserve">Os campos (ckbalcao_orig, cknumcta_orig, zbem_orig) estão a NULL </t>
  </si>
  <si>
    <t>Select DISTINCT zcaucao_orig
from bu_garantias_work.kt_chaves_gt
where ref_date = '2024-07-31'
and origem = 'LMB'
-- limit 4
;
select distinct
ckbalbem_orig, 
ckctabem_orig
-- ckbalcao_orig,
-- cknumcta_orig,
-- zbem_orig
from bu_garantias_work.kt_chaves_bens_gt
WHERE ref_date = '2024-07-31'
and tipologia = 'MOB'
-- limit 4 
;</t>
  </si>
  <si>
    <r>
      <rPr>
        <b/>
        <sz val="11"/>
        <color rgb="FF92D050"/>
        <rFont val="Calibri"/>
        <family val="2"/>
        <scheme val="minor"/>
      </rPr>
      <t xml:space="preserve">Ok 
</t>
    </r>
    <r>
      <rPr>
        <sz val="11"/>
        <color theme="1"/>
        <rFont val="Calibri"/>
        <family val="2"/>
        <scheme val="minor"/>
      </rPr>
      <t>Validamos que:</t>
    </r>
    <r>
      <rPr>
        <sz val="11"/>
        <color rgb="FF92D050"/>
        <rFont val="Calibri"/>
        <family val="2"/>
        <scheme val="minor"/>
      </rPr>
      <t xml:space="preserve"> </t>
    </r>
    <r>
      <rPr>
        <b/>
        <sz val="11"/>
        <color rgb="FF92D050"/>
        <rFont val="Calibri"/>
        <family val="2"/>
        <scheme val="minor"/>
      </rPr>
      <t xml:space="preserve">
     - </t>
    </r>
    <r>
      <rPr>
        <sz val="11"/>
        <color theme="1"/>
        <rFont val="Calibri"/>
        <family val="2"/>
        <scheme val="minor"/>
      </rPr>
      <t xml:space="preserve">  kt_chaves_gt o campo zcaucao_orig está a NULL 
     -  kt_chaves_bens_gt os campos ckbalbem_orig, ckctabem_orig estão a NULL ( ckbalcao_orig, cknumcta_orig, zbem_orig estão preenchidos)
</t>
    </r>
  </si>
  <si>
    <t>330.4</t>
  </si>
  <si>
    <t>bu_garantias_work.gt013_bens_moveis
bu_garantias_work.gt018_rateio_aval</t>
  </si>
  <si>
    <t xml:space="preserve">Mapemaneto montante/datas inciais de avaliação bens móveis </t>
  </si>
  <si>
    <t xml:space="preserve">Campo cgarant_rpt </t>
  </si>
  <si>
    <t xml:space="preserve">Campo cgarant_rpt vem da gt012 e está a NULL </t>
  </si>
  <si>
    <t>select
-- *, 
count(*) ,
case when a.ckctabem is null and b.ckctabem is not null then 'exclusivo12'
when a.ckctabem is not null and b.ckctabem is null then 'exclusivo18'
when a.ckctabem is not null and b.ckctabem is not null then 'comum'
else 'analisar'
end as validacao_univ
from 
    (Select *
    from bu_garantias_work.gt018_rateio_aval
    where origem = 'LMB'
    )a
full join 
    (select * 
    from bu_garantias_work.gt012_trz_gt_mov
    where ref_date = '2024-07-31'
    )b
on concat(a.cempresa, a.ckbalcao, a.cknumcta, a.comp_id_gar, a.ckbalbem,a.ckctabem, a.ckrefbem) = 
concat(b.cempresa, b.ckbalcao, b.cknumcta, b.comp_id_gar,b.ckbalbem,b.ckctabem, b.ckrefbem)
group by validacao_univ
-- limit 1
;
Select distinct cgarant_rpt
from bu_garantias_work.gt018_rateio_aval
where origem = 'LMB'
;
select distinct cgarant_rpt
from bu_garantias_work.gt012_trz_gt_mov
where ref_date = '2024-07-31'
;</t>
  </si>
  <si>
    <t xml:space="preserve">Testes regressão </t>
  </si>
  <si>
    <t>335.1</t>
  </si>
  <si>
    <t>335.2</t>
  </si>
  <si>
    <t xml:space="preserve">Não  registos  duplicados nas tabelas </t>
  </si>
  <si>
    <t>count(*)</t>
  </si>
  <si>
    <t>Exclusivo_cd</t>
  </si>
  <si>
    <t>bu_garantias_work.gt002</t>
  </si>
  <si>
    <t>B.2.</t>
  </si>
  <si>
    <t>B.3.</t>
  </si>
  <si>
    <t>B.5</t>
  </si>
  <si>
    <r>
      <rPr>
        <sz val="11"/>
        <color theme="1"/>
        <rFont val="Calibri"/>
        <family val="2"/>
        <scheme val="minor"/>
      </rPr>
      <t>Verificamos que o</t>
    </r>
    <r>
      <rPr>
        <b/>
        <sz val="11"/>
        <color theme="1"/>
        <rFont val="Calibri"/>
        <family val="2"/>
        <scheme val="minor"/>
      </rPr>
      <t xml:space="preserve"> universo é comum </t>
    </r>
  </si>
  <si>
    <t xml:space="preserve"> Select 
--  *,
 count(*),a.origem, b.origem,
 case when a.cknumcta is null and b.cknumcta is not null then 'Exclusivo_bu'
 when a.cknumcta is not null and b.cknumcta is null then 'Exclusivo_cd'
 when a.cknumcta is not null and b.cknumcta is not null then 'comum'
 else 'analisar'
 end as val_Universo_prod
 from
    (select*
    from bu_garantias_work.gt012_trz_gt_mov_jul
    where ref_date ='2024-07-31'
    -- and origem='LEA'
    )a
full join 
    (select*
    from bu_garantias_work.gt012_trz_gt_mov
    where ref_date = '2024-07-31'
    -- and origem='LEA'
    )b
on concat(a.cempresa, a.ckbalcao, a.cknumcta, a.comp_id_gar) = concat(b.cempresa, b.ckbalcao, b.cknumcta, b.comp_id_gar) 
and concat(a.cempbem, a.ckbalbem, a.ckctabem, a.ckrefbem) =concat(b.cempbem, b.ckbalbem, b.ckctabem, b.ckrefbem)
group by a.origem, b.origem, Val_Universo_prod
-- having val_universo_prod &lt;&gt; 'comum'
-- limit 4
</t>
  </si>
  <si>
    <t xml:space="preserve"> Select 
--  *,
 count(*),
 case when a.ckctabem is null and b.ckctabem is not null then 'Exclusivo_bu'
 when a.ckctabem is not null and b.ckctabem is null then 'Exclusivo_cd'
 when a.ckctabem is not null and b.ckctabem is not null then 'comum'
 else 'analisar'
 end as val_Universo_prod
 from
    (select*
    from bu_garantias_work.gt013_bens_moveis_jul
    where ref_date ='2024-07-31'
    -- and origem='LEA'
    )a
full join 
    (select*
    from bu_garantias_work.gt013_bens_moveis
    where ref_date = '2024-07-31'
    -- and origem='LEA'
    )b
on concat(a.cempbem, a.ckbalbem, a.ckctabem, a.ckrefbem) =concat(b.cempbem, b.ckbalbem, b.ckctabem, b.ckrefbem)
group by  Val_Universo_prod
-- having val_universo_prod &lt;&gt; 'comum'
-- limit 4
</t>
  </si>
  <si>
    <t>PM6</t>
  </si>
  <si>
    <t>2024-08-08 17:13:26.887</t>
  </si>
  <si>
    <t>10037065563</t>
  </si>
  <si>
    <t>0040</t>
  </si>
  <si>
    <t>2001-07-17</t>
  </si>
  <si>
    <t>2031-07-17</t>
  </si>
  <si>
    <t>999</t>
  </si>
  <si>
    <t>001</t>
  </si>
  <si>
    <t>10042195563</t>
  </si>
  <si>
    <t>2002-06-13</t>
  </si>
  <si>
    <t>2033-12-13</t>
  </si>
  <si>
    <t>10032431563</t>
  </si>
  <si>
    <t>2001-06-20</t>
  </si>
  <si>
    <t>2032-12-20</t>
  </si>
  <si>
    <t xml:space="preserve">B . Testes de regressão </t>
  </si>
  <si>
    <t>3</t>
  </si>
  <si>
    <t>EP</t>
  </si>
  <si>
    <t>01384751096</t>
  </si>
  <si>
    <t>2015-10-15</t>
  </si>
  <si>
    <t>2024-08-15</t>
  </si>
  <si>
    <t>YTF</t>
  </si>
  <si>
    <t>2024-09-27 10:40:50.979</t>
  </si>
  <si>
    <t xml:space="preserve">» Registos Exclusivos </t>
  </si>
  <si>
    <t>» Registos Exclusivo_cd / origem GP</t>
  </si>
  <si>
    <t>» Registos Exclusivo_bu / origem EP</t>
  </si>
  <si>
    <t xml:space="preserve"> Select 
--  *,
 count(*),a.origem, b.origem,
 case when a.cknumcta is null and b.cknumcta is not null then 'Exclusivo_bu'
 when a.cknumcta is not null and b.cknumcta is null then 'Exclusivo_cd'
 when a.cknumcta is not null and b.cknumcta is not null then 'comum'
 else 'analisar'
 end as val_Universo_prod
 from
    (select*
    from bu_garantias_work.gt001_trz_rsp_gt_jul
    where ref_date ='2024-07-31'
    -- and origem='GP'
    )a
full join 
    (select*
    from bu_garantias_work.gt001_trz_rsp_gt
    where ref_date = '2024-07-31'
    -- and origem='EP'
    )b
on concat(a.ckbalres, a.ckctares, a.ckrefresp)= concat(b.ckbalres, b.ckctares, b.ckrefresp)
and concat(a.cempresa, a.ckbalcao, a.cknumcta, a.comp_id_gar) = concat(b.cempresa, b.ckbalcao, b.cknumcta, b.comp_id_gar) 
group by a.origem, b.origem, Val_Universo_prod
having val_universo_prod &lt;&gt; 'comum'
-- having val_universo_prod = 'Exclusivo_cd'
-- having val_universo_prod = 'Exclusivo_bu'
-- limit 4
</t>
  </si>
  <si>
    <t xml:space="preserve"> bu_garantias_work.gt001_trz_rsp_gt</t>
  </si>
  <si>
    <t>B.2</t>
  </si>
  <si>
    <t>2001-05-02</t>
  </si>
  <si>
    <t>188</t>
  </si>
  <si>
    <t>2024-08-08 17:24:22.196</t>
  </si>
  <si>
    <t>2001-08-16</t>
  </si>
  <si>
    <t>2001-02-08</t>
  </si>
  <si>
    <t>2024-09-27 10:55:36.399</t>
  </si>
  <si>
    <t xml:space="preserve"> Select 
--  *,
 count(*),a.origem, b.origem,
 case when a.cknumcta is null and b.cknumcta is not null then 'Exclusivo_bu'
 when a.cknumcta is not null and b.cknumcta is null then 'Exclusivo_cd'
 when a.cknumcta is not null and b.cknumcta is not null then 'comum'
 else 'analisar'
 end as val_Universo_prod
 from
    (select*
    from bu_garantias_work.gt002_grnt_prc_jul
    where ref_date ='2024-07-31'
    -- and origem='GP'
    )a
full join 
    (select*
    from bu_garantias_work.gt002_grnt_prc
    where ref_date = '2024-07-31'
    -- and origem='EP'
    )b
on concat(a.cempresa, a.ckbalcao, a.cknumcta, a.comp_id_gar) = concat(b.cempresa, b.ckbalcao, b.cknumcta, b.comp_id_gar) 
group by a.origem, b.origem, Val_Universo_prod
having val_universo_prod &lt;&gt; 'comum'
-- having val_universo_prod = 'Exclusivo_cd'
-- having val_universo_prod = 'Exclusivo_bu'
-- limit 4
</t>
  </si>
  <si>
    <t>35</t>
  </si>
  <si>
    <t>58</t>
  </si>
  <si>
    <t>528</t>
  </si>
  <si>
    <t>404</t>
  </si>
  <si>
    <t xml:space="preserve"> Select 
--  *,
 count(*), a.origem, b.origem,
 case when a.ckctabem is null and b.ckctabem is not null then 'Exclusivo_cd'
 when a.ckctabem is not null and b.ckctabem is null then 'Exclusivo_bu'
 when a.ckctabem is not null and b.ckctabem is not null then 'comum'
 else 'analisar'
 end as val_Universo_prod
 from
    (select*
    from bu_garantias_work.gt018_rateio_aval
    where ref_date ='2024-07-31'
    -- and origem = 'GP'
    )a
full join 
    (select*
    from bu_garantias_work.gt018_rateio_aval_jul
    where ref_date = '2024-07-31'
    -- and origem &lt;&gt; 'CS'
    )b
on concat(a.ckbalres, a.ckctares, a.ckrefresp)= concat(b.ckbalres, b.ckctares, b.ckrefresp)
and concat(a.cempresa, a.ckbalcao, a.cknumcta, a.comp_id_gar) = concat(b.cempresa, b.ckbalcao, b.cknumcta, b.comp_id_gar) 
and concat(a.cempbem, a.ckbalbem, a.ckctabem, a.ckrefbem) =concat(b.cempbem, b.ckbalbem, b.ckctabem, b.ckrefbem)
group by a.origem, b.origem,  Val_Universo_prod
having val_universo_prod &lt;&gt; 'comum'
-- limit 4
</t>
  </si>
  <si>
    <t>id_contrato</t>
  </si>
  <si>
    <t>dtvaliai_resp_bem</t>
  </si>
  <si>
    <t>per_cobert_ini_resp_bem</t>
  </si>
  <si>
    <t>zcliente_garante</t>
  </si>
  <si>
    <t>zcliente_ced</t>
  </si>
  <si>
    <t>ctratcta</t>
  </si>
  <si>
    <t>ctipbem</t>
  </si>
  <si>
    <t>cfinbem</t>
  </si>
  <si>
    <t>montante</t>
  </si>
  <si>
    <t>msldreal</t>
  </si>
  <si>
    <t>total_divida</t>
  </si>
  <si>
    <t>centidade</t>
  </si>
  <si>
    <t>centidade_sit</t>
  </si>
  <si>
    <t>perc_rateio</t>
  </si>
  <si>
    <t>mavaliai_proc</t>
  </si>
  <si>
    <t>mavaliai_bem</t>
  </si>
  <si>
    <t>dtvaliai_proc</t>
  </si>
  <si>
    <t>dtvaliai_bem</t>
  </si>
  <si>
    <t>per_cobert_ini_proc</t>
  </si>
  <si>
    <t>per_cobert_ini_bem</t>
  </si>
  <si>
    <t>mavaliaa_altrn_1</t>
  </si>
  <si>
    <t>per_cobert</t>
  </si>
  <si>
    <t>dtrcaval</t>
  </si>
  <si>
    <t>origem_precoaquis</t>
  </si>
  <si>
    <t>100.000000</t>
  </si>
  <si>
    <t>4.  bu_garantias_work.gt018_rateio_aval VS. bu_garantias_work.gt013_bens_moveis</t>
  </si>
  <si>
    <t>select
-- *, 
count(*) ,
case when a.ckctabem is null and b.ckctabem is not null then 'exclusivo13'
when a.ckctabem is not null and b.ckctabem is null then 'exclusivo18'
when a.ckctabem is not null and b.ckctabem is not null then 'comum'
else 'analisar'
end as validacao_univ
from 
    (Select *
    from bu_garantias_work.gt018_rateio_aval
    where origem = 'LMB'
    )a
full join 
    (select * 
    from bu_garantias_work.gt013_bens_moveis
    where ref_date = '2024-07-31'
    )b
on concat(a.ckbalbem,a.ckctabem, a.ckrefbem) = concat(b.ckbalbem,b.ckctabem, b.ckrefbem)
group by validacao_univ
;
select
-- *, 
count(*) ,
-- case when a. cgarant_bem = b.cgarant_bem then 'ok'
-- case when a. mavalia  = b.valbem then 'ok'
case when a.preco_aquisicao = b.preco_aquisicao then 'ok'
else 'nok'
end as validacao
from 
    (Select *
    from bu_garantias_work.gt018_rateio_aval
    where origem = 'LMB'
    )a
full join 
    (select * 
    from bu_garantias_work.gt013_bens_moveis
    where ref_date = '2024-07-31'
    )b
on concat(a.ckbalbem,a.ckctabem, a.ckrefbem) = concat(b.ckbalbem,b.ckctabem, b.ckrefbem)
group by validacao
-- limit 1
;
Select distinct zcliente_ced, zcliente_garante
from bu_garantias_work.gt018_rateio_aval
where origem = 'LMB'
;</t>
  </si>
  <si>
    <t>Validamos que o campo está a NULL nas duas tabelas</t>
  </si>
  <si>
    <r>
      <t xml:space="preserve">Ok
</t>
    </r>
    <r>
      <rPr>
        <sz val="11"/>
        <color theme="1"/>
        <rFont val="Calibri"/>
        <family val="2"/>
        <scheme val="minor"/>
      </rPr>
      <t>Validamos que existem 3 registos exclusivos da gt012, que não passam para a gt018. (Registos analisados no ID330)</t>
    </r>
  </si>
  <si>
    <t>bu_garantias_work.gt002_grnt_prc_jul</t>
  </si>
  <si>
    <t xml:space="preserve"> bu_garantias_work.gt003_trz_gt_fin</t>
  </si>
  <si>
    <t xml:space="preserve"> Select 
--  *,
 count(*),a.origem, b.origem,
 case when a.cknumcta is null and b.cknumcta is not null then 'Exclusivo_bu'
 when a.cknumcta is not null and b.cknumcta is null then 'Exclusivo_cd'
 when a.cknumcta is not null and b.cknumcta is not null then 'comum'
 else 'analisar'
 end as val_Universo_prod
 from
    (select*
    from bu_garantias_work.gt003_trz_gt_fin_jul
    where ref_date ='2024-07-31'
    -- and origem='GP'
    )a
full join 
    (select*
    from bu_garantias_work.gt003_trz_gt_fin
    where ref_date = '2024-07-31'
    -- and origem='EP'
    )b
on concat(a.cempresa, a.ckbalcao, a.cknumcta, a.comp_id_gar) = concat(b.cempresa, b.ckbalcao, b.cknumcta, b.comp_id_gar) 
and concat(a.cempbem, a.ckbalbem, a.ckctabem, a.ckrefbem) = concat(b.cempbem, b.ckbalbem, b.ckctabem, b.ckrefbem)
group by a.origem, b.origem, Val_Universo_prod
-- having val_universo_prod &lt;&gt; 'comum'
-- having val_universo_prod = 'Exclusivo_cd'
-- having val_universo_prod = 'Exclusivo_bu'
-- limit 4
</t>
  </si>
  <si>
    <t xml:space="preserve"> Select 
--  *,
 count(*),
 case when a.ckbalbem is null and b.ckbalbem is not null then 'Exclusivo_bu'
 when a.ckbalbem is not null and b.ckbalbem is null then 'Exclusivo_cd'
 when a.ckbalbem is not null and b.ckbalbem is not null then 'comum'
 else 'analisar'
 end as val_Universo_prod
 from
    (select*
    from bu_garantias_work.gt004_bens_fin_jul
    where ref_date ='2024-07-31'
    -- and origem='GP'
    )a
full join 
    (select*
    from bu_garantias_work.gt004_bens_fin
    where ref_date = '2024-07-31'
    -- and origem='EP'
    )b
on concat(a.cempbem, a.ckbalbem, a.ckctabem, a.ckrefbem) = concat(b.cempbem, b.ckbalbem, b.ckctabem, b.ckrefbem)
group by val_universo_prod 
-- having val_universo_prod = 'Exclusivo_cd'
-- having val_universo_prod = 'Exclusivo_bu'
-- limit 4
</t>
  </si>
  <si>
    <t>bu_garantias_work.gt004_bens_fin</t>
  </si>
  <si>
    <t>B.4.</t>
  </si>
  <si>
    <t>bu_garantias_work.gt007_trz_gt_pes</t>
  </si>
  <si>
    <t>B.5.</t>
  </si>
  <si>
    <t xml:space="preserve"> Select 
--  *,
 count(*), a.origem, b.origem,
 case when a.ckbalbem is null and b.ckbalbem is not null then 'Exclusivo_bu'
 when a.ckbalbem is not null and b.ckbalbem is null then 'Exclusivo_cd'
 when a.ckbalbem is not null and b.ckbalbem is not null then 'comum'
 else 'analisar'
 end as val_Universo_prod
 from
    (select*
    from bu_garantias_work.gt007_trz_gt_pes
    where ref_date ='2024-07-31'
    -- and origem='GP'
    )a
full join 
    (select*
    from bu_garantias_work.gt007_trz_gt_pes_jul
    where ref_date = '2024-07-31'
    -- and origem='EP'
    )b
on concat(a.ckbalcao, a.cknumcta, a.comp_id_gar) = concat( b.ckbalcao, b.cknumcta, b.comp_id_gar)
and concat(a.cempbem, a.ckbalbem, a.ckctabem, a.ckrefbem) = concat(b.cempbem, b.ckbalbem, b.ckctabem, b.ckrefbem)
group by val_universo_prod, a.origem, b.origem 
-- having val_universo_prod = 'Exclusivo_cd'
-- having val_universo_prod = 'Exclusivo_bu'
-- limit 4
</t>
  </si>
  <si>
    <t xml:space="preserve"> Select 
--  *,
 count(*), a.origem, b.origem,
 case when a.ckctabem is null and b.ckctabem is not null then 'Exclusivo_cd'
 when a.ckctabem is not null and b.ckctabem is null then 'Exclusivo_bu'
 when a.ckctabem is not null and b.ckctabem is not null then 'comum'
 else 'analisar'
 end as val_Universo_prod
 from
    (select*
    from bu_garantias_work.gt008_trz_gt_imv
    where ref_date ='2024-07-31'
    -- and origem = 'GP'
    )a
full join 
    (select*
    from bu_garantias_work.gt008_trz_gt_imv_jul
    where ref_date = '2024-07-31'
    -- and origem &lt;&gt; 'CS'
    )b
on concat(a.cempresa, a.ckbalcao, a.cknumcta, a.comp_id_gar) = concat(b.cempresa, b.ckbalcao, b.cknumcta, b.comp_id_gar) 
and concat(a.cempbem, a.ckbalbem, a.ckctabem, a.ckrefbem) =concat(b.cempbem, b.ckbalbem, b.ckctabem, b.ckrefbem)
group by a.origem, b.origem,  Val_Universo_prod
-- having val_universo_prod &lt;&gt; 'comum'
-- having val_universo_prod = 'Exclusivo_cd'
-- limit 4
</t>
  </si>
  <si>
    <t>B.6.</t>
  </si>
  <si>
    <t>bu_garantias_work.gt008_trz_gt_imv</t>
  </si>
  <si>
    <t>bu_garantias_work.gt009_bens_imov</t>
  </si>
  <si>
    <t>B.7.</t>
  </si>
  <si>
    <t>B.8.</t>
  </si>
  <si>
    <t>bu_garantias_work.gt011_avalc_imov</t>
  </si>
  <si>
    <t xml:space="preserve"> Select 
--  *,
 count(*),a.origem, b.origem,
 case when a.cknumcta is null and b.cknumcta is not null then 'Exclusivo_bu'
 when a.cknumcta is not null and b.cknumcta is null then 'Exclusivo_cd'
 when a.cknumcta is not null and b.cknumcta is not null then 'comum'
 else 'analisar'
 end as val_Universo_prod
 from
    (select*
    from cd_garantias.gt011_avalc_imov
    where ref_date ='2024-07-31'
    -- and origem='LEA'
    )a
full join 
    (select*
    from bu_garantias_work.gt011_avalc_imov
    where ref_date = '2024-07-31'
    -- and origem='LEA'
    )b
on concat(a.cempresa, a.ckbalcao, a.cknumcta, a.comp_id_gar) = concat(b.cempresa, b.ckbalcao, b.cknumcta, b.comp_id_gar) 
and concat(a.cempbem, a.ckbalbem, a.ckctabem, a.ckrefbem) =concat(b.cempbem, b.ckbalbem, b.ckctabem, b.ckrefbem)
group by a.origem, b.origem, Val_Universo_prod
-- having val_universo_prod &lt;&gt; 'comum'
-- limit 4
</t>
  </si>
  <si>
    <t>B.9</t>
  </si>
  <si>
    <t>B.10</t>
  </si>
  <si>
    <t>B.11</t>
  </si>
  <si>
    <r>
      <t xml:space="preserve">OK 
</t>
    </r>
    <r>
      <rPr>
        <sz val="11"/>
        <color theme="1"/>
        <rFont val="Calibri"/>
        <family val="2"/>
        <scheme val="minor"/>
      </rPr>
      <t>Excluindo o universo CS, tudo o resto é comum</t>
    </r>
  </si>
  <si>
    <t>31000302349065096</t>
  </si>
  <si>
    <t>02349065096</t>
  </si>
  <si>
    <t>00495604960</t>
  </si>
  <si>
    <t>00000000000</t>
  </si>
  <si>
    <t>000008046471089</t>
  </si>
  <si>
    <t>8046471089</t>
  </si>
  <si>
    <t>-14487.10</t>
  </si>
  <si>
    <t>14487.10</t>
  </si>
  <si>
    <t>99553.16</t>
  </si>
  <si>
    <t>14913.16</t>
  </si>
  <si>
    <t>2006-12-22</t>
  </si>
  <si>
    <t>PES</t>
  </si>
  <si>
    <t>2024-08-08 18:48:02.058</t>
  </si>
  <si>
    <t>31000304197876096</t>
  </si>
  <si>
    <t>04197876096</t>
  </si>
  <si>
    <t>00490682280</t>
  </si>
  <si>
    <t>000007400505829</t>
  </si>
  <si>
    <t>7400505829</t>
  </si>
  <si>
    <t>-15956.55</t>
  </si>
  <si>
    <t>15956.55</t>
  </si>
  <si>
    <t>75459.31</t>
  </si>
  <si>
    <t>32918.98</t>
  </si>
  <si>
    <t>16459.49</t>
  </si>
  <si>
    <t>2008-08-22</t>
  </si>
  <si>
    <t>200.000000</t>
  </si>
  <si>
    <t>31000011168645541</t>
  </si>
  <si>
    <t>11168645541</t>
  </si>
  <si>
    <t>0060</t>
  </si>
  <si>
    <t>000009002362354</t>
  </si>
  <si>
    <t>9002362354</t>
  </si>
  <si>
    <t>-43817.84</t>
  </si>
  <si>
    <t>43817.84</t>
  </si>
  <si>
    <t>45500.89</t>
  </si>
  <si>
    <t>2001-01-15</t>
  </si>
  <si>
    <t>31000010032431563</t>
  </si>
  <si>
    <t>000009002392784</t>
  </si>
  <si>
    <t>9002392784</t>
  </si>
  <si>
    <t>-4482.11</t>
  </si>
  <si>
    <t>4482.11</t>
  </si>
  <si>
    <t>34875.18</t>
  </si>
  <si>
    <t>10004.26</t>
  </si>
  <si>
    <t>5002.13</t>
  </si>
  <si>
    <t>0030</t>
  </si>
  <si>
    <t>31000303307815096</t>
  </si>
  <si>
    <t>03307815096</t>
  </si>
  <si>
    <t>00490792140</t>
  </si>
  <si>
    <t>-52825.41</t>
  </si>
  <si>
    <t>52825.41</t>
  </si>
  <si>
    <t>53946.21</t>
  </si>
  <si>
    <t>2007-11-14</t>
  </si>
  <si>
    <t>31029000960001672</t>
  </si>
  <si>
    <t>0290</t>
  </si>
  <si>
    <t>00960001672</t>
  </si>
  <si>
    <t>00490269070</t>
  </si>
  <si>
    <t>-30020.42</t>
  </si>
  <si>
    <t>30020.42</t>
  </si>
  <si>
    <t>66943.72</t>
  </si>
  <si>
    <t>33471.86</t>
  </si>
  <si>
    <t>2004-06-07</t>
  </si>
  <si>
    <t>31000304197827096</t>
  </si>
  <si>
    <t>04197827096</t>
  </si>
  <si>
    <t>00490908300</t>
  </si>
  <si>
    <t>-59502.76</t>
  </si>
  <si>
    <t>59502.76</t>
  </si>
  <si>
    <t>122757.02</t>
  </si>
  <si>
    <t>61378.51</t>
  </si>
  <si>
    <t>000005100590518</t>
  </si>
  <si>
    <t>5100590518</t>
  </si>
  <si>
    <t>182117.76</t>
  </si>
  <si>
    <t>2024-09-27 14:41:24.067</t>
  </si>
  <si>
    <t>000002101054552</t>
  </si>
  <si>
    <t>2101054552</t>
  </si>
  <si>
    <t>151465.41</t>
  </si>
  <si>
    <t>000005100149619</t>
  </si>
  <si>
    <t>5100149619</t>
  </si>
  <si>
    <t>258253.74</t>
  </si>
  <si>
    <t>129345.42</t>
  </si>
  <si>
    <t>» Registos Exclusivo_bu / origem GP</t>
  </si>
  <si>
    <t xml:space="preserve"> Select 
 *,
--  count(*),
 case when a.ckctabem is null and b.ckctabem is not null then 'Exclusivo_cd'
 when a.ckctabem is not null and b.ckctabem is null then 'Exclusivo_bu'
 when a.ckctabem is not null and b.ckctabem is not null then 'comum'
 else 'analisar'
 end as val_Universo_prod
 from
    (select*
    from bu_garantias_work.gt009_bens_imov
    where ref_date ='2024-07-31'
    -- and origem = 'GP'
    )a
full join 
    (select*
    from bu_garantias_work.gt009_bens_imov_jul
    where ref_date = '2024-07-31'
    -- and origem &lt;&gt; 'CS'
    )b
on concat(a.cempbem, a.ckbalbem, a.ckctabem, a.ckrefbem) =concat(b.cempbem, b.ckbalbem, b.ckctabem, b.ckrefbem)
-- group by   Val_Universo_prod
having val_universo_prod &lt;&gt; 'comum'
-- having val_universo_prod = 'Exclusivo_cd'
-- limit 4
</t>
  </si>
  <si>
    <t>montante_ultima_avaliacao</t>
  </si>
  <si>
    <t>mavalia_new</t>
  </si>
  <si>
    <r>
      <rPr>
        <b/>
        <sz val="11"/>
        <color rgb="FF92D050"/>
        <rFont val="Calibri"/>
        <family val="2"/>
        <scheme val="minor"/>
      </rPr>
      <t>OK</t>
    </r>
    <r>
      <rPr>
        <sz val="11"/>
        <color theme="1"/>
        <rFont val="Calibri"/>
        <family val="2"/>
        <scheme val="minor"/>
      </rPr>
      <t xml:space="preserve">
Validamos que: 
     - O montante mavaliai é igual ao preço de aquisição
     - A dtavaliai é igual à data de aquisição
     - Existem 3 registos exclusivos gt013 (o restante universo é comum)  - </t>
    </r>
    <r>
      <rPr>
        <b/>
        <i/>
        <sz val="11"/>
        <color rgb="FF92D050"/>
        <rFont val="Calibri"/>
        <family val="2"/>
        <scheme val="minor"/>
      </rPr>
      <t>Casuística 1</t>
    </r>
    <r>
      <rPr>
        <sz val="11"/>
        <color theme="1"/>
        <rFont val="Calibri"/>
        <family val="2"/>
        <scheme val="minor"/>
      </rPr>
      <t xml:space="preserve">
</t>
    </r>
  </si>
  <si>
    <r>
      <t xml:space="preserve"> </t>
    </r>
    <r>
      <rPr>
        <b/>
        <sz val="11"/>
        <color rgb="FF92D050"/>
        <rFont val="Calibri"/>
        <family val="2"/>
        <scheme val="minor"/>
      </rPr>
      <t>OK</t>
    </r>
    <r>
      <rPr>
        <sz val="11"/>
        <color theme="1"/>
        <rFont val="Calibri"/>
        <family val="2"/>
        <scheme val="minor"/>
      </rPr>
      <t xml:space="preserve">
Validamos que: 
-na gt018 o zcliente_garante e zcliente_ced são sempre ‘0000000000’
- mavalia e cgarant_bem é igual nas duas tabelas 
 -  preco_aquisicao igual nas duas tabelas 
- data_aquisicao igual nas duas tabelas 
- Existem 3 registos exclusivos gt013 (o restante universo é comum)  - Casuística 1
</t>
    </r>
  </si>
  <si>
    <t>Exclusivo_now</t>
  </si>
  <si>
    <t>Exclusivo_jul</t>
  </si>
  <si>
    <t xml:space="preserve">Todas as garantias associadas aos titulares foram canceladas, pelo que não entram no modelo </t>
  </si>
  <si>
    <t xml:space="preserve">O número de cliente sofreu alteração </t>
  </si>
  <si>
    <t>Casuística 4</t>
  </si>
  <si>
    <t>Casuística 5</t>
  </si>
  <si>
    <t xml:space="preserve">Registos CS - Garantias que estão a ser eliminadas. Apresentam uma outra caução. </t>
  </si>
  <si>
    <t xml:space="preserve">Garantias canceladas a jul que agora não estão canceladas, estão com data default. Pelo que agora trazemos para a execução. </t>
  </si>
  <si>
    <r>
      <t xml:space="preserve">OK 
- </t>
    </r>
    <r>
      <rPr>
        <sz val="11"/>
        <color theme="1"/>
        <rFont val="Calibri"/>
        <family val="2"/>
        <scheme val="minor"/>
      </rPr>
      <t xml:space="preserve">Exclusivos CS - </t>
    </r>
    <r>
      <rPr>
        <b/>
        <i/>
        <sz val="11"/>
        <color rgb="FF92D050"/>
        <rFont val="Calibri"/>
        <family val="2"/>
        <scheme val="minor"/>
      </rPr>
      <t>Casuística 2</t>
    </r>
    <r>
      <rPr>
        <sz val="11"/>
        <color theme="1"/>
        <rFont val="Calibri"/>
        <family val="2"/>
        <scheme val="minor"/>
      </rPr>
      <t xml:space="preserve">
- Exclusivos GP - </t>
    </r>
    <r>
      <rPr>
        <b/>
        <i/>
        <sz val="11"/>
        <color rgb="FF92D050"/>
        <rFont val="Calibri"/>
        <family val="2"/>
        <scheme val="minor"/>
      </rPr>
      <t>Casuística 3</t>
    </r>
    <r>
      <rPr>
        <sz val="11"/>
        <color theme="1"/>
        <rFont val="Calibri"/>
        <family val="2"/>
        <scheme val="minor"/>
      </rPr>
      <t xml:space="preserve">
- Exclusivos EP - </t>
    </r>
    <r>
      <rPr>
        <b/>
        <i/>
        <sz val="11"/>
        <color rgb="FF92D050"/>
        <rFont val="Calibri"/>
        <family val="2"/>
        <scheme val="minor"/>
      </rPr>
      <t>Casuística 5</t>
    </r>
  </si>
  <si>
    <t>origem_jul</t>
  </si>
  <si>
    <t>origem_now</t>
  </si>
  <si>
    <t xml:space="preserve">»Os mesmos exclusivos, como não tem tipologia só verificamos que são os mesmos pelo cruzamento da chave. </t>
  </si>
  <si>
    <t>Select 
-- lbm.montante_ultima_avaliacao, gt13.mavalia, gt13.preco_aquisicao,
lbm.montante_ultima_avaliacao, lbm.data_ultima_avaliacao, gt13.davalia,
-- count(*),
-- case when lbm.montante_ultima_avaliacao = gt13.mavalia then 'ok'
case when lbm.data_ultima_avaliacao = gt13.davalia then 'ok'
else 'nok'
end as validacao
from 
  (select * 
 from 
 (select *
    from bu_garantias_work.l_bens_moveis_out
    where data_date_part = '2024-07-31'
    and montante_ultima_avaliacao &lt;&gt; 0 
        )lb
    left join 
        (select *
        -- concat(ckbalres_orig, ckctares_orig, ckrefresp_orig) as chave_resp_mug, tabela_orig
        from bu_garantias_work.kt_chaves_bens_gt
        where ref_date = '2024-07-31'
        -- origem = 'LEA'
        )kt
    on substring(lb.id_respons,3,15) = concat(ckbalcao_orig, cknumcta_orig)
    and lb.id_bem = kt.zbem_orig)lbm
-- left join
inner join 
    (select *
    from bu_garantias_work.gt013_bens_moveis
    where ref_date = '2024-07-31'
    )gt13
on concat(lbm.cempbem_dest, lbm.ckbalbem_dest, lbm.ckctabem_dest, lbm.ckrefbem_dest) = concat(gt13.cempbem, gt13.ckbalbem, gt13.ckctabem, gt13.ckrefbem)
-- group by validacao
;</t>
  </si>
  <si>
    <t>bu_garantias_work.gt013_bens_moveis
bu_garantias_work.l_bens_moveis_out</t>
  </si>
  <si>
    <t xml:space="preserve">Se montante ultima avaliação &lt;&gt; 0 </t>
  </si>
  <si>
    <r>
      <rPr>
        <sz val="11"/>
        <color theme="1"/>
        <rFont val="Calibri"/>
        <family val="2"/>
        <scheme val="minor"/>
      </rPr>
      <t xml:space="preserve">validamos que o campo </t>
    </r>
    <r>
      <rPr>
        <b/>
        <sz val="11"/>
        <color theme="1"/>
        <rFont val="Calibri"/>
        <family val="2"/>
        <scheme val="minor"/>
      </rPr>
      <t xml:space="preserve">davalia </t>
    </r>
    <r>
      <rPr>
        <sz val="11"/>
        <color theme="1"/>
        <rFont val="Calibri"/>
        <family val="2"/>
        <scheme val="minor"/>
      </rPr>
      <t xml:space="preserve">e </t>
    </r>
    <r>
      <rPr>
        <b/>
        <sz val="11"/>
        <color theme="1"/>
        <rFont val="Calibri"/>
        <family val="2"/>
        <scheme val="minor"/>
      </rPr>
      <t>mavalia</t>
    </r>
    <r>
      <rPr>
        <sz val="11"/>
        <color theme="1"/>
        <rFont val="Calibri"/>
        <family val="2"/>
        <scheme val="minor"/>
      </rPr>
      <t xml:space="preserve"> estão a ser construídos segundo as regras para os registos com </t>
    </r>
    <r>
      <rPr>
        <b/>
        <sz val="11"/>
        <color theme="1"/>
        <rFont val="Calibri"/>
        <family val="2"/>
        <scheme val="minor"/>
      </rPr>
      <t>montante_ultima_avaliação &lt;&gt; 0</t>
    </r>
  </si>
  <si>
    <t xml:space="preserve">Se montante ultima avaliação = 0 </t>
  </si>
  <si>
    <t>00000243405</t>
  </si>
  <si>
    <t>000450000715250</t>
  </si>
  <si>
    <t>-21959.36</t>
  </si>
  <si>
    <t>-50.18</t>
  </si>
  <si>
    <t>33.46</t>
  </si>
  <si>
    <t>Registos que não estão/passam para a tabela gt018 e portanto tabém não se encontram na gt701</t>
  </si>
  <si>
    <t>davalia e mavalia estão a ser preenchidos de acordo com as regras</t>
  </si>
  <si>
    <t>montante_new</t>
  </si>
  <si>
    <t>nome</t>
  </si>
  <si>
    <t>carteira_contabilistica</t>
  </si>
  <si>
    <t>tipo_conta</t>
  </si>
  <si>
    <t>composicao_valor</t>
  </si>
  <si>
    <t>IF-LEASING MOBILIARIO</t>
  </si>
  <si>
    <t>ativos financeiros ao custo amortizado</t>
  </si>
  <si>
    <t>capital/ nocional/ custo de aquisicao</t>
  </si>
  <si>
    <t>juros/rendimentos a receber</t>
  </si>
  <si>
    <t>IF- LEASING</t>
  </si>
  <si>
    <t>outros ativos - resto</t>
  </si>
  <si>
    <t>despesas/comissoes com rendimento diferido associadas ao custo amortizado</t>
  </si>
  <si>
    <t>21976.08</t>
  </si>
  <si>
    <t>21959.36</t>
  </si>
  <si>
    <t>cd_captools.fr802_pl_contas</t>
  </si>
  <si>
    <t>gt013. mavalia</t>
  </si>
  <si>
    <t xml:space="preserve">Campo de teste_ mavalia </t>
  </si>
  <si>
    <t>montante  aquisicao</t>
  </si>
  <si>
    <t xml:space="preserve">Casos que não estão na carteiras mensal </t>
  </si>
  <si>
    <t xml:space="preserve"> </t>
  </si>
  <si>
    <t xml:space="preserve">Na gt013 estão a 0, pelo que aplica a regra como deve ser. </t>
  </si>
  <si>
    <t xml:space="preserve">OK </t>
  </si>
  <si>
    <t>select 
-- count(*),
*,
case when  c.mavalia = c.mavalia_new then 'ok'
else 'nok'
end as validacao 
from 
(
Select 
lbm.montante_ultima_avaliacao, gt13.mavalia, gt13.preco_aquisicao, ic.montante_new,
gt13.cempbem, gt13.ckbalbem, gt13.ckctabem,gt13.ckrefbem,
least(greatest(0, -ic.montante_new), gt13.preco_aquisicao) as mavalia_new
from 
  (select * 
 from 
 (select *
    from bu_garantias_work.l_bens_moveis_out
    where data_date_part = '2024-07-31'
    and montante_ultima_avaliacao = 0 
        )lb
    left join 
        (select *
        -- concat(ckbalres_orig, ckctares_orig, ckrefresp_orig) as chave_resp_mug, tabela_orig
        from bu_garantias_work.kt_chaves_bens_gt
        where ref_date = '2024-07-31'
        -- origem = 'LEA'
        )kt
    on substring(lb.id_respons,3,15) = concat(ckbalcao_orig, cknumcta_orig)
    and lb.id_bem = kt.zbem_orig
    )lbm
left join 
    (select icyr0n00_cnumecta, icyr0n00_cbalcao, icyr0n00_zdeposit,
    sum(icyr0n00_montante) as montante_new
    from bu_captools_work.carteiras_mensal_mn
    group by 1,2,3
    )ic
on substring(lbm.id_respons,3,15) = concat(ic.icyr0n00_cbalcao, ic.icyr0n00_cnumecta)
inner join 
    (select *
    from bu_garantias_work.gt013_bens_moveis
    where ref_date = '2024-07-31'
    )gt13
on concat(lbm.cempbem_dest, lbm.ckbalbem_dest, lbm.ckctabem_dest, lbm.ckrefbem_dest) = concat(gt13.cempbem, gt13.ckbalbem, gt13.ckctabem,gt13.ckrefbem)
group by 1,2,3,4,5,6,7,8
)c
-- group by validacao
having validacao = 'nok'
;</t>
  </si>
  <si>
    <r>
      <rPr>
        <b/>
        <sz val="11"/>
        <color rgb="FF92D050"/>
        <rFont val="Calibri"/>
        <family val="2"/>
        <scheme val="minor"/>
      </rPr>
      <t xml:space="preserve">OK </t>
    </r>
    <r>
      <rPr>
        <sz val="11"/>
        <color theme="1"/>
        <rFont val="Calibri"/>
        <family val="2"/>
        <scheme val="minor"/>
      </rPr>
      <t xml:space="preserve">
Valores reportados ao LCM via Pds. 
Enviado Email 04/10</t>
    </r>
  </si>
  <si>
    <r>
      <t xml:space="preserve">Estamos a considerar tudo das Ics e não apenas o capital patrimonia. Estavámos a apontar para uma tabela que não tinha o conceito de saldo que precisávamos. 
Novo teste com bu_captools_work.gt013_bens_moveis_jg - </t>
    </r>
    <r>
      <rPr>
        <b/>
        <sz val="11"/>
        <color rgb="FF92D050"/>
        <rFont val="Calibri"/>
        <family val="2"/>
        <scheme val="minor"/>
      </rPr>
      <t>OK. Incidencia resolvida</t>
    </r>
  </si>
  <si>
    <t>Incidência Resolvida</t>
  </si>
  <si>
    <t>Mapeamento cgarant_bem</t>
  </si>
  <si>
    <t>bu_garantias_work.gt013_bens_moveis
bu_garantias_work.tat91_bm
bu_garantias_work.gt803_cgarant_bem</t>
  </si>
  <si>
    <t xml:space="preserve">Mapeado de acordo com o definido via email </t>
  </si>
  <si>
    <t xml:space="preserve">select 
count(*),
case when a.cgarant_bem = a.cgarant_bem_gt803 then 'ok'
when a.cgarant_bem &lt;&gt; a.cgarant_bem_gt803 then 'nok'
else 'analisar'
end as validacao
from
(select gt13.cgarant_bem, gt13.tipo_eqp, tat.tayd91c0_celemtab, tat.tayd91c0_nelemc02,
gt803.tipologia_equipamento, gt803.cgarant_bem as cgarant_bem_gt803
from 
    (Select *
    from bu_garantias_work.gt013_bens_moveis
    where ref_date = '2024-07-31'
    )gt13
left join
    (select *
    from bu_garantias_work.tat91_bm
    where data_date_part = '2024-07-31'
    )tat
on gt13.tipo_eqp = tat.tayd91c0_celemtab 
left join 
    (select *
    from bu_garantias_work.gt803_cgarant_bem
    where ref_date = '2024-07-31'
    )gt803
on substring( tayd91c0_nelemc02,1,3) =substring(tipologia_equipamento,6,3)
)a
group by validacao
;
</t>
  </si>
  <si>
    <t>4</t>
  </si>
  <si>
    <t xml:space="preserve">Reptição dos testes ID3 e ID4 </t>
  </si>
  <si>
    <t>MUG » Novos testes MUG - Out 24</t>
  </si>
  <si>
    <t>Novos testes MUG: Alterações out/2024</t>
  </si>
  <si>
    <t>Bens_Moveis » Bens_Móveis_Viaturas e Equip.
MUG » Novos testes MUG - Out 24</t>
  </si>
  <si>
    <r>
      <t xml:space="preserve">Foi adicionado um novo campo </t>
    </r>
    <r>
      <rPr>
        <b/>
        <sz val="9"/>
        <color theme="1"/>
        <rFont val="Calibri"/>
        <family val="2"/>
        <scheme val="minor"/>
      </rPr>
      <t>"Tipologia de equipamento"</t>
    </r>
    <r>
      <rPr>
        <sz val="9"/>
        <color theme="1"/>
        <rFont val="Calibri"/>
        <family val="2"/>
        <scheme val="minor"/>
      </rPr>
      <t xml:space="preserve">, que se encontra devidamente preenchido para bens móveis </t>
    </r>
  </si>
  <si>
    <r>
      <t xml:space="preserve">O campo </t>
    </r>
    <r>
      <rPr>
        <b/>
        <sz val="9"/>
        <color theme="1"/>
        <rFont val="Calibri"/>
        <family val="2"/>
        <scheme val="minor"/>
      </rPr>
      <t>"detentor_bem"</t>
    </r>
    <r>
      <rPr>
        <sz val="9"/>
        <color theme="1"/>
        <rFont val="Calibri"/>
        <family val="2"/>
        <scheme val="minor"/>
      </rPr>
      <t xml:space="preserve"> encontra-se preenchido, para todos os registos, com o número "5100011001" - correspondente ao Banco Santander. </t>
    </r>
  </si>
  <si>
    <t xml:space="preserve">»Testes 3 </t>
  </si>
  <si>
    <t>»Testes 4</t>
  </si>
  <si>
    <r>
      <t xml:space="preserve">Verificamos que existe </t>
    </r>
    <r>
      <rPr>
        <b/>
        <sz val="9"/>
        <color theme="1"/>
        <rFont val="Calibri"/>
        <family val="2"/>
        <scheme val="minor"/>
      </rPr>
      <t xml:space="preserve">traçabilidade completa </t>
    </r>
  </si>
  <si>
    <r>
      <t xml:space="preserve">Ok
</t>
    </r>
    <r>
      <rPr>
        <sz val="9"/>
        <color theme="1"/>
        <rFont val="Calibri"/>
        <family val="2"/>
        <scheme val="minor"/>
      </rPr>
      <t>Validamos que existem 3 registos exclusivos da gt012, que não passam para a gt018. (Registos analisados no ID330)</t>
    </r>
  </si>
  <si>
    <t>260</t>
  </si>
  <si>
    <t>285</t>
  </si>
  <si>
    <t>19</t>
  </si>
  <si>
    <t xml:space="preserve">»Novo Testes </t>
  </si>
  <si>
    <t xml:space="preserve">1. </t>
  </si>
  <si>
    <r>
      <t xml:space="preserve">Ok
</t>
    </r>
    <r>
      <rPr>
        <sz val="9"/>
        <color theme="1"/>
        <rFont val="Calibri"/>
        <family val="2"/>
        <scheme val="minor"/>
      </rPr>
      <t xml:space="preserve">
Existem 3 exclusivos gt012 - Estes registos dizem respeito a contas com cempresa = 82, pelo que não deve ser considerado no modelo. </t>
    </r>
  </si>
  <si>
    <r>
      <t xml:space="preserve">Ok
</t>
    </r>
    <r>
      <rPr>
        <sz val="9"/>
        <color theme="1"/>
        <rFont val="Calibri"/>
        <family val="2"/>
        <scheme val="minor"/>
      </rPr>
      <t xml:space="preserve">Todo o universo Bens Moveis é comum </t>
    </r>
  </si>
  <si>
    <r>
      <rPr>
        <b/>
        <sz val="9"/>
        <color rgb="FF92D050"/>
        <rFont val="Calibri"/>
        <family val="2"/>
        <scheme val="minor"/>
      </rPr>
      <t>OK</t>
    </r>
    <r>
      <rPr>
        <sz val="9"/>
        <color theme="1"/>
        <rFont val="Calibri"/>
        <family val="2"/>
        <scheme val="minor"/>
      </rPr>
      <t xml:space="preserve"> 
</t>
    </r>
  </si>
  <si>
    <t>GT013 VS gt018</t>
  </si>
  <si>
    <r>
      <t xml:space="preserve">Verificamos que o Universo de bens movéis  é </t>
    </r>
    <r>
      <rPr>
        <b/>
        <sz val="9"/>
        <color theme="1"/>
        <rFont val="Calibri"/>
        <family val="2"/>
        <scheme val="minor"/>
      </rPr>
      <t xml:space="preserve">comum </t>
    </r>
    <r>
      <rPr>
        <sz val="9"/>
        <color theme="1"/>
        <rFont val="Calibri"/>
        <family val="2"/>
        <scheme val="minor"/>
      </rPr>
      <t xml:space="preserve">entre as tabelas.
</t>
    </r>
  </si>
  <si>
    <r>
      <t>Ok</t>
    </r>
    <r>
      <rPr>
        <sz val="9"/>
        <color theme="1"/>
        <rFont val="Calibri"/>
        <family val="2"/>
        <scheme val="minor"/>
      </rPr>
      <t xml:space="preserve">
Lbens_moveis VS gt018 = Existem 3 exclusivos gt012 - Estes registos dizem respeito a contas com cempresa = 82, pelo que não deve ser considerado no modelo. </t>
    </r>
  </si>
  <si>
    <r>
      <rPr>
        <sz val="9"/>
        <color theme="1"/>
        <rFont val="Calibri"/>
        <family val="2"/>
        <scheme val="minor"/>
      </rPr>
      <t xml:space="preserve">validamos que o campo </t>
    </r>
    <r>
      <rPr>
        <b/>
        <sz val="9"/>
        <color theme="1"/>
        <rFont val="Calibri"/>
        <family val="2"/>
        <scheme val="minor"/>
      </rPr>
      <t>mavalia</t>
    </r>
    <r>
      <rPr>
        <sz val="9"/>
        <color theme="1"/>
        <rFont val="Calibri"/>
        <family val="2"/>
        <scheme val="minor"/>
      </rPr>
      <t xml:space="preserve"> estão a ser construídos segundo as regras para os registos com </t>
    </r>
    <r>
      <rPr>
        <b/>
        <sz val="9"/>
        <color theme="1"/>
        <rFont val="Calibri"/>
        <family val="2"/>
        <scheme val="minor"/>
      </rPr>
      <t>montante_ultima_avaliação &lt;&gt; 0 e =0</t>
    </r>
  </si>
  <si>
    <r>
      <rPr>
        <sz val="9"/>
        <color theme="1"/>
        <rFont val="Calibri"/>
        <family val="2"/>
        <scheme val="minor"/>
      </rPr>
      <t xml:space="preserve">validamos que o campo  </t>
    </r>
    <r>
      <rPr>
        <b/>
        <sz val="9"/>
        <color theme="1"/>
        <rFont val="Calibri"/>
        <family val="2"/>
        <scheme val="minor"/>
      </rPr>
      <t>mavalia</t>
    </r>
    <r>
      <rPr>
        <sz val="9"/>
        <color theme="1"/>
        <rFont val="Calibri"/>
        <family val="2"/>
        <scheme val="minor"/>
      </rPr>
      <t xml:space="preserve"> estão a ser construídos segundo as regras para os registos com </t>
    </r>
    <r>
      <rPr>
        <b/>
        <sz val="9"/>
        <color theme="1"/>
        <rFont val="Calibri"/>
        <family val="2"/>
        <scheme val="minor"/>
      </rPr>
      <t>montante_ultima_avaliação &lt;&gt; 0 e =0</t>
    </r>
  </si>
  <si>
    <t xml:space="preserve">davalia </t>
  </si>
  <si>
    <t xml:space="preserve">mavalia </t>
  </si>
  <si>
    <r>
      <t xml:space="preserve">Estamos a considerar tudo das Ics e não apenas o capital patrimonia. Estavámos a apontar para uma tabela que não tinha o conceito de saldo que precisávamos. 
</t>
    </r>
    <r>
      <rPr>
        <b/>
        <sz val="9"/>
        <color rgb="FF92D050"/>
        <rFont val="Calibri"/>
        <family val="2"/>
        <scheme val="minor"/>
      </rPr>
      <t>Ok</t>
    </r>
  </si>
  <si>
    <r>
      <t xml:space="preserve">Ok
</t>
    </r>
    <r>
      <rPr>
        <sz val="9"/>
        <color theme="1"/>
        <rFont val="Calibri"/>
        <family val="2"/>
        <scheme val="minor"/>
      </rPr>
      <t>Universo comum à exceção dos 3 casos</t>
    </r>
    <r>
      <rPr>
        <b/>
        <sz val="9"/>
        <color rgb="FF92D050"/>
        <rFont val="Calibri"/>
        <family val="2"/>
        <scheme val="minor"/>
      </rPr>
      <t xml:space="preserve">
</t>
    </r>
    <r>
      <rPr>
        <sz val="9"/>
        <color theme="1"/>
        <rFont val="Calibri"/>
        <family val="2"/>
        <scheme val="minor"/>
      </rPr>
      <t xml:space="preserve">Preço Aquisição </t>
    </r>
    <r>
      <rPr>
        <b/>
        <sz val="9"/>
        <color rgb="FF92D050"/>
        <rFont val="Calibri"/>
        <family val="2"/>
        <scheme val="minor"/>
      </rPr>
      <t xml:space="preserve">- OK
</t>
    </r>
    <r>
      <rPr>
        <sz val="9"/>
        <color theme="1"/>
        <rFont val="Calibri"/>
        <family val="2"/>
        <scheme val="minor"/>
      </rPr>
      <t>Data Aquisição -</t>
    </r>
    <r>
      <rPr>
        <b/>
        <sz val="9"/>
        <color rgb="FF92D050"/>
        <rFont val="Calibri"/>
        <family val="2"/>
        <scheme val="minor"/>
      </rPr>
      <t xml:space="preserve"> OK</t>
    </r>
    <r>
      <rPr>
        <sz val="9"/>
        <color theme="1"/>
        <rFont val="Calibri"/>
        <family val="2"/>
        <scheme val="minor"/>
      </rPr>
      <t xml:space="preserve">
gt13.mavalia =gt18.mavalia
gt13.davalia =gt18.davalia</t>
    </r>
  </si>
  <si>
    <t>»Testes a 24/10/2024</t>
  </si>
  <si>
    <r>
      <rPr>
        <b/>
        <sz val="11"/>
        <color rgb="FF92D050"/>
        <rFont val="Calibri"/>
        <family val="2"/>
        <scheme val="minor"/>
      </rPr>
      <t xml:space="preserve">OK </t>
    </r>
    <r>
      <rPr>
        <sz val="11"/>
        <color theme="1"/>
        <rFont val="Calibri"/>
        <family val="2"/>
        <scheme val="minor"/>
      </rPr>
      <t xml:space="preserve">
Valores reportados ao LCM via Pds. 
Enviado Email 24/10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</si>
</sst>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i/>
      <sz val="11"/>
      <color theme="1"/>
      <name val="Calibri"/>
      <family val="2"/>
      <scheme val="minor"/>
    </font>
    <font>
      <b/>
      <sz val="11"/>
      <color rgb="FF92D050"/>
      <name val="Calibri"/>
      <family val="2"/>
      <scheme val="minor"/>
    </font>
    <font>
      <b/>
      <i/>
      <sz val="11"/>
      <color rgb="FF92D050"/>
      <name val="Calibri"/>
      <family val="2"/>
      <scheme val="minor"/>
    </font>
    <font>
      <u/>
      <sz val="11"/>
      <color theme="1"/>
      <name val="Calibri"/>
      <family val="2"/>
      <scheme val="minor"/>
    </font>
    <font>
      <sz val="8"/>
      <color rgb="FF424242"/>
      <name val="Arial"/>
      <family val="2"/>
    </font>
    <font>
      <b/>
      <sz val="9"/>
      <color theme="1"/>
      <name val="Calibri Light"/>
      <family val="2"/>
      <scheme val="major"/>
    </font>
    <font>
      <sz val="9"/>
      <color theme="1"/>
      <name val="Calibri Light"/>
      <family val="2"/>
      <scheme val="major"/>
    </font>
    <font>
      <b/>
      <i/>
      <sz val="9"/>
      <color theme="1"/>
      <name val="Calibri Light"/>
      <family val="2"/>
      <scheme val="major"/>
    </font>
    <font>
      <b/>
      <i/>
      <sz val="9"/>
      <color rgb="FF92D050"/>
      <name val="Calibri Light"/>
      <family val="2"/>
      <scheme val="major"/>
    </font>
    <font>
      <sz val="11"/>
      <color rgb="FF92D050"/>
      <name val="Calibri"/>
      <family val="2"/>
      <scheme val="minor"/>
    </font>
    <font>
      <sz val="11"/>
      <color rgb="FF9C6500"/>
      <name val="Calibri"/>
      <family val="2"/>
      <scheme val="minor"/>
    </font>
    <font>
      <i/>
      <sz val="11"/>
      <color theme="1"/>
      <name val="Calibri"/>
      <family val="2"/>
      <scheme val="minor"/>
    </font>
    <font>
      <b/>
      <i/>
      <sz val="11"/>
      <color theme="5"/>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b/>
      <sz val="9"/>
      <color rgb="FF92D050"/>
      <name val="Calibri"/>
      <family val="2"/>
      <scheme val="minor"/>
    </font>
    <font>
      <b/>
      <i/>
      <sz val="9"/>
      <color theme="1"/>
      <name val="Calibri"/>
      <family val="2"/>
      <scheme val="minor"/>
    </font>
  </fonts>
  <fills count="13">
    <fill>
      <patternFill patternType="none"/>
    </fill>
    <fill>
      <patternFill patternType="gray125"/>
    </fill>
    <fill>
      <patternFill patternType="solid">
        <fgColor rgb="FFC6EFCE"/>
      </patternFill>
    </fill>
    <fill>
      <patternFill patternType="solid">
        <fgColor theme="0" tint="-4.9989318521683403E-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EB9C"/>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2" borderId="0" applyNumberFormat="0" applyBorder="0" applyAlignment="0" applyProtection="0"/>
    <xf numFmtId="0" fontId="14" fillId="9" borderId="0" applyNumberFormat="0" applyBorder="0" applyAlignment="0" applyProtection="0"/>
  </cellStyleXfs>
  <cellXfs count="188">
    <xf numFmtId="0" fontId="0" fillId="0" borderId="0" xfId="0"/>
    <xf numFmtId="0" fontId="4" fillId="0" borderId="0" xfId="0" applyFont="1"/>
    <xf numFmtId="0" fontId="0" fillId="3" borderId="0" xfId="0" applyFill="1"/>
    <xf numFmtId="0" fontId="0" fillId="0" borderId="0" xfId="0" applyFill="1"/>
    <xf numFmtId="0" fontId="2" fillId="4" borderId="1" xfId="0" applyFont="1" applyFill="1" applyBorder="1" applyAlignment="1">
      <alignment horizontal="center"/>
    </xf>
    <xf numFmtId="0" fontId="2" fillId="4" borderId="2" xfId="0" applyFont="1" applyFill="1" applyBorder="1"/>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0" borderId="1" xfId="0" applyFill="1" applyBorder="1" applyAlignment="1">
      <alignment horizontal="left" vertical="top" wrapText="1"/>
    </xf>
    <xf numFmtId="0" fontId="3"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0" fillId="6" borderId="1" xfId="0" applyFill="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0" fillId="0" borderId="3" xfId="0" applyBorder="1" applyAlignment="1">
      <alignment horizontal="center" vertical="center"/>
    </xf>
    <xf numFmtId="0" fontId="0" fillId="6" borderId="3" xfId="0" applyFill="1" applyBorder="1" applyAlignment="1">
      <alignment horizontal="center" vertical="center"/>
    </xf>
    <xf numFmtId="0" fontId="0" fillId="0" borderId="3" xfId="0" applyFill="1" applyBorder="1" applyAlignment="1">
      <alignment horizontal="left" vertical="top" wrapText="1"/>
    </xf>
    <xf numFmtId="0" fontId="3" fillId="0" borderId="2" xfId="0" applyFont="1" applyBorder="1" applyAlignment="1">
      <alignment horizontal="center" vertical="center"/>
    </xf>
    <xf numFmtId="0" fontId="0" fillId="0" borderId="5" xfId="0" applyBorder="1" applyAlignment="1">
      <alignment horizontal="left" vertical="top" wrapText="1"/>
    </xf>
    <xf numFmtId="0" fontId="0" fillId="0" borderId="1" xfId="0" applyBorder="1" applyAlignment="1">
      <alignment vertical="top" wrapText="1"/>
    </xf>
    <xf numFmtId="0" fontId="0" fillId="0" borderId="1" xfId="0" applyFill="1" applyBorder="1" applyAlignment="1">
      <alignment vertical="top" wrapText="1"/>
    </xf>
    <xf numFmtId="0" fontId="3" fillId="0" borderId="1" xfId="0" applyFont="1" applyFill="1" applyBorder="1" applyAlignment="1">
      <alignment vertical="top" wrapText="1"/>
    </xf>
    <xf numFmtId="0" fontId="5" fillId="0" borderId="1" xfId="0" applyFont="1" applyFill="1" applyBorder="1" applyAlignment="1">
      <alignment vertical="top" wrapText="1"/>
    </xf>
    <xf numFmtId="0" fontId="3" fillId="0" borderId="6" xfId="0" applyFont="1" applyFill="1" applyBorder="1" applyAlignment="1">
      <alignment horizontal="center" vertical="center"/>
    </xf>
    <xf numFmtId="0" fontId="3" fillId="0" borderId="0" xfId="0" applyFont="1"/>
    <xf numFmtId="0" fontId="0" fillId="0" borderId="0" xfId="0" applyAlignment="1">
      <alignment horizontal="left" vertical="top"/>
    </xf>
    <xf numFmtId="0" fontId="8" fillId="0" borderId="0" xfId="0" applyFont="1"/>
    <xf numFmtId="0" fontId="9" fillId="3" borderId="0" xfId="0" applyFont="1" applyFill="1" applyBorder="1" applyAlignment="1">
      <alignment vertical="top" wrapText="1"/>
    </xf>
    <xf numFmtId="49" fontId="10" fillId="3" borderId="0" xfId="0" applyNumberFormat="1" applyFont="1" applyFill="1"/>
    <xf numFmtId="49" fontId="0" fillId="0" borderId="0" xfId="0" applyNumberFormat="1"/>
    <xf numFmtId="0" fontId="10" fillId="3" borderId="0" xfId="0" applyFont="1" applyFill="1" applyBorder="1" applyAlignment="1">
      <alignment vertical="top"/>
    </xf>
    <xf numFmtId="49" fontId="0" fillId="3" borderId="0" xfId="0" applyNumberFormat="1" applyFill="1"/>
    <xf numFmtId="49" fontId="4" fillId="0" borderId="0" xfId="0" applyNumberFormat="1" applyFont="1" applyFill="1"/>
    <xf numFmtId="49" fontId="2" fillId="4" borderId="0" xfId="0" applyNumberFormat="1" applyFont="1" applyFill="1"/>
    <xf numFmtId="49" fontId="0" fillId="0" borderId="0" xfId="0" applyNumberFormat="1" applyFont="1" applyFill="1"/>
    <xf numFmtId="49" fontId="0" fillId="6" borderId="0" xfId="0" applyNumberFormat="1" applyFill="1"/>
    <xf numFmtId="49" fontId="1" fillId="2" borderId="0" xfId="1" applyNumberFormat="1"/>
    <xf numFmtId="49" fontId="0" fillId="5" borderId="0" xfId="0" applyNumberFormat="1" applyFill="1"/>
    <xf numFmtId="49" fontId="10" fillId="0" borderId="0" xfId="0" applyNumberFormat="1" applyFont="1"/>
    <xf numFmtId="0" fontId="0" fillId="0" borderId="1" xfId="0" applyNumberFormat="1" applyBorder="1"/>
    <xf numFmtId="49" fontId="0" fillId="0" borderId="1" xfId="0" applyNumberFormat="1" applyFont="1" applyFill="1" applyBorder="1" applyAlignment="1">
      <alignment horizontal="right"/>
    </xf>
    <xf numFmtId="0" fontId="0" fillId="0" borderId="0" xfId="0" applyNumberFormat="1"/>
    <xf numFmtId="0" fontId="3" fillId="3" borderId="0" xfId="0" applyNumberFormat="1" applyFont="1" applyFill="1" applyBorder="1" applyAlignment="1">
      <alignment horizontal="right"/>
    </xf>
    <xf numFmtId="49" fontId="3" fillId="3" borderId="1" xfId="0" applyNumberFormat="1" applyFont="1" applyFill="1" applyBorder="1" applyAlignment="1">
      <alignment horizontal="right"/>
    </xf>
    <xf numFmtId="49" fontId="4" fillId="7" borderId="0" xfId="0" applyNumberFormat="1" applyFont="1" applyFill="1"/>
    <xf numFmtId="0" fontId="2" fillId="4" borderId="2" xfId="0" applyFont="1" applyFill="1" applyBorder="1" applyAlignment="1">
      <alignment horizontal="center"/>
    </xf>
    <xf numFmtId="16"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2" fillId="4" borderId="0" xfId="0" applyFont="1" applyFill="1"/>
    <xf numFmtId="0" fontId="0" fillId="4" borderId="0" xfId="0" applyFill="1"/>
    <xf numFmtId="49" fontId="0" fillId="0" borderId="7" xfId="0" applyNumberFormat="1" applyBorder="1"/>
    <xf numFmtId="49" fontId="3" fillId="0" borderId="7" xfId="0" applyNumberFormat="1" applyFont="1" applyBorder="1"/>
    <xf numFmtId="49" fontId="0" fillId="8" borderId="0" xfId="0" applyNumberFormat="1" applyFill="1"/>
    <xf numFmtId="0" fontId="3" fillId="0" borderId="0" xfId="0" applyFont="1" applyFill="1"/>
    <xf numFmtId="0" fontId="3" fillId="0" borderId="7" xfId="0" applyFont="1" applyFill="1" applyBorder="1"/>
    <xf numFmtId="0" fontId="0" fillId="0" borderId="7" xfId="0" applyFill="1" applyBorder="1"/>
    <xf numFmtId="0" fontId="3" fillId="0" borderId="0" xfId="0" applyFont="1" applyFill="1" applyBorder="1"/>
    <xf numFmtId="0" fontId="0" fillId="0" borderId="0" xfId="0" applyFill="1" applyBorder="1"/>
    <xf numFmtId="0" fontId="0" fillId="0" borderId="8" xfId="0" applyFont="1" applyFill="1" applyBorder="1" applyAlignment="1"/>
    <xf numFmtId="0" fontId="0" fillId="0" borderId="9" xfId="0" applyFill="1" applyBorder="1"/>
    <xf numFmtId="0" fontId="0" fillId="0" borderId="10" xfId="0" applyFill="1" applyBorder="1"/>
    <xf numFmtId="0" fontId="0" fillId="0" borderId="11" xfId="0" applyFont="1" applyFill="1" applyBorder="1" applyAlignment="1"/>
    <xf numFmtId="0" fontId="0" fillId="0" borderId="12" xfId="0" applyFill="1" applyBorder="1"/>
    <xf numFmtId="0" fontId="0" fillId="0" borderId="7" xfId="0" applyBorder="1"/>
    <xf numFmtId="0" fontId="0" fillId="0" borderId="1" xfId="0" applyFont="1" applyFill="1" applyBorder="1" applyAlignment="1">
      <alignment horizontal="left" vertical="top" wrapText="1"/>
    </xf>
    <xf numFmtId="49" fontId="3" fillId="0" borderId="0" xfId="0" applyNumberFormat="1" applyFont="1"/>
    <xf numFmtId="0" fontId="0" fillId="0" borderId="0" xfId="0" applyFont="1" applyFill="1" applyBorder="1" applyAlignment="1"/>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left" vertical="top"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3" xfId="0" applyFont="1" applyFill="1" applyBorder="1" applyAlignment="1">
      <alignment horizontal="center" vertical="center"/>
    </xf>
    <xf numFmtId="0" fontId="3" fillId="0" borderId="0" xfId="0" applyFont="1" applyBorder="1"/>
    <xf numFmtId="0" fontId="0" fillId="0" borderId="13" xfId="0" applyFont="1" applyFill="1" applyBorder="1" applyAlignment="1"/>
    <xf numFmtId="0" fontId="0" fillId="0" borderId="14" xfId="0" applyFill="1" applyBorder="1"/>
    <xf numFmtId="0" fontId="0" fillId="0" borderId="1" xfId="0" applyFont="1" applyFill="1" applyBorder="1" applyAlignment="1">
      <alignment horizontal="center" vertical="center"/>
    </xf>
    <xf numFmtId="0" fontId="0" fillId="3" borderId="1" xfId="0" applyFont="1" applyFill="1" applyBorder="1" applyAlignment="1">
      <alignment horizontal="left" vertical="top" wrapText="1"/>
    </xf>
    <xf numFmtId="0" fontId="0" fillId="0" borderId="1" xfId="0" applyFill="1" applyBorder="1" applyAlignment="1">
      <alignment horizontal="center" vertical="center" wrapText="1"/>
    </xf>
    <xf numFmtId="49" fontId="0" fillId="6" borderId="0" xfId="0" applyNumberFormat="1" applyFill="1" applyBorder="1"/>
    <xf numFmtId="49" fontId="4" fillId="6" borderId="0" xfId="0" applyNumberFormat="1" applyFont="1" applyFill="1" applyBorder="1"/>
    <xf numFmtId="0" fontId="0" fillId="7" borderId="0" xfId="0" applyFill="1"/>
    <xf numFmtId="49" fontId="0" fillId="7" borderId="0" xfId="0" applyNumberFormat="1" applyFill="1"/>
    <xf numFmtId="0" fontId="0" fillId="0" borderId="0" xfId="0" applyFill="1" applyAlignment="1">
      <alignment horizontal="center" vertical="center"/>
    </xf>
    <xf numFmtId="0" fontId="0" fillId="0" borderId="2" xfId="0" applyFont="1" applyFill="1" applyBorder="1" applyAlignment="1"/>
    <xf numFmtId="0" fontId="0" fillId="0" borderId="4" xfId="0" applyFill="1" applyBorder="1"/>
    <xf numFmtId="0" fontId="0" fillId="0" borderId="5" xfId="0" applyFill="1" applyBorder="1"/>
    <xf numFmtId="0" fontId="0" fillId="3" borderId="3" xfId="0" applyFill="1" applyBorder="1" applyAlignment="1">
      <alignment horizontal="center" vertical="center"/>
    </xf>
    <xf numFmtId="0" fontId="0" fillId="0" borderId="0" xfId="0" applyBorder="1"/>
    <xf numFmtId="0" fontId="0" fillId="3" borderId="1" xfId="0" applyFont="1" applyFill="1" applyBorder="1" applyAlignment="1">
      <alignment horizontal="center" vertical="center" wrapText="1"/>
    </xf>
    <xf numFmtId="0" fontId="0" fillId="3" borderId="1" xfId="0" applyFont="1" applyFill="1" applyBorder="1" applyAlignment="1">
      <alignment horizontal="center" vertical="center"/>
    </xf>
    <xf numFmtId="0" fontId="0" fillId="3" borderId="3" xfId="0" applyFont="1" applyFill="1" applyBorder="1" applyAlignment="1">
      <alignment horizontal="center" vertical="center"/>
    </xf>
    <xf numFmtId="0" fontId="3" fillId="3" borderId="3" xfId="0" applyFont="1" applyFill="1" applyBorder="1" applyAlignment="1">
      <alignment horizontal="center" vertical="center"/>
    </xf>
    <xf numFmtId="0" fontId="5" fillId="3"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3" fillId="10" borderId="1" xfId="0" applyFont="1"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0" fillId="10" borderId="3" xfId="0" applyFill="1" applyBorder="1" applyAlignment="1">
      <alignment horizontal="center" vertical="center"/>
    </xf>
    <xf numFmtId="0" fontId="0" fillId="10" borderId="1" xfId="0" applyFill="1" applyBorder="1" applyAlignment="1">
      <alignment horizontal="left" vertical="top" wrapText="1"/>
    </xf>
    <xf numFmtId="0" fontId="0" fillId="0" borderId="0" xfId="0" applyFill="1" applyBorder="1" applyAlignment="1">
      <alignment horizontal="center" vertical="center"/>
    </xf>
    <xf numFmtId="0" fontId="3" fillId="0" borderId="0" xfId="0" applyFont="1" applyBorder="1" applyAlignment="1">
      <alignment horizontal="center" vertical="center"/>
    </xf>
    <xf numFmtId="0" fontId="0" fillId="0" borderId="0" xfId="0" applyBorder="1" applyAlignment="1">
      <alignment horizontal="center" vertical="center" wrapText="1"/>
    </xf>
    <xf numFmtId="0" fontId="0" fillId="0" borderId="0" xfId="0" applyBorder="1" applyAlignment="1">
      <alignment horizontal="center" vertical="center"/>
    </xf>
    <xf numFmtId="0" fontId="3"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0" fillId="0" borderId="0" xfId="0" applyBorder="1" applyAlignment="1">
      <alignment horizontal="left" vertical="top" wrapText="1"/>
    </xf>
    <xf numFmtId="49" fontId="3" fillId="0" borderId="0" xfId="0" applyNumberFormat="1" applyFont="1" applyFill="1" applyBorder="1"/>
    <xf numFmtId="49" fontId="0" fillId="0" borderId="0" xfId="0" applyNumberFormat="1" applyFill="1" applyBorder="1"/>
    <xf numFmtId="49" fontId="0" fillId="0" borderId="7" xfId="0" applyNumberFormat="1" applyFill="1" applyBorder="1"/>
    <xf numFmtId="49" fontId="3" fillId="0" borderId="7" xfId="0" applyNumberFormat="1" applyFont="1" applyFill="1" applyBorder="1"/>
    <xf numFmtId="49" fontId="0" fillId="0" borderId="13" xfId="0" applyNumberFormat="1" applyFill="1" applyBorder="1"/>
    <xf numFmtId="49" fontId="0" fillId="0" borderId="14" xfId="0" applyNumberFormat="1" applyFill="1" applyBorder="1"/>
    <xf numFmtId="49" fontId="0" fillId="0" borderId="11" xfId="0" applyNumberFormat="1" applyFill="1" applyBorder="1"/>
    <xf numFmtId="49" fontId="0" fillId="0" borderId="12" xfId="0" applyNumberFormat="1" applyFill="1" applyBorder="1"/>
    <xf numFmtId="49" fontId="3" fillId="6" borderId="2" xfId="0" applyNumberFormat="1" applyFont="1" applyFill="1" applyBorder="1"/>
    <xf numFmtId="49" fontId="3" fillId="6" borderId="4" xfId="0" applyNumberFormat="1" applyFont="1" applyFill="1" applyBorder="1"/>
    <xf numFmtId="49" fontId="3" fillId="6" borderId="5" xfId="0" applyNumberFormat="1" applyFont="1" applyFill="1" applyBorder="1"/>
    <xf numFmtId="0" fontId="3" fillId="0" borderId="7" xfId="0" applyFont="1" applyBorder="1"/>
    <xf numFmtId="49" fontId="0" fillId="0" borderId="8" xfId="0" applyNumberFormat="1" applyFill="1" applyBorder="1"/>
    <xf numFmtId="49" fontId="0" fillId="0" borderId="9" xfId="0" applyNumberFormat="1" applyFill="1" applyBorder="1"/>
    <xf numFmtId="49" fontId="0" fillId="8" borderId="0" xfId="0" applyNumberFormat="1" applyFill="1" applyBorder="1"/>
    <xf numFmtId="49" fontId="0" fillId="5" borderId="0" xfId="0" applyNumberFormat="1" applyFill="1" applyBorder="1"/>
    <xf numFmtId="0" fontId="0" fillId="8" borderId="0" xfId="0" applyFill="1"/>
    <xf numFmtId="0" fontId="3" fillId="6" borderId="2" xfId="0" applyFont="1" applyFill="1" applyBorder="1"/>
    <xf numFmtId="0" fontId="3" fillId="6" borderId="5" xfId="0" applyFont="1" applyFill="1" applyBorder="1"/>
    <xf numFmtId="0" fontId="0" fillId="0" borderId="13" xfId="0" applyBorder="1"/>
    <xf numFmtId="0" fontId="0" fillId="0" borderId="11" xfId="0" applyBorder="1"/>
    <xf numFmtId="0" fontId="0" fillId="0" borderId="12" xfId="0" applyBorder="1"/>
    <xf numFmtId="49" fontId="0" fillId="3" borderId="13" xfId="0" applyNumberFormat="1" applyFill="1" applyBorder="1"/>
    <xf numFmtId="49" fontId="0" fillId="3" borderId="0" xfId="0" applyNumberFormat="1" applyFill="1" applyBorder="1"/>
    <xf numFmtId="49" fontId="0" fillId="3" borderId="14" xfId="0" applyNumberFormat="1" applyFill="1" applyBorder="1"/>
    <xf numFmtId="49" fontId="0" fillId="3" borderId="11" xfId="0" applyNumberFormat="1" applyFill="1" applyBorder="1"/>
    <xf numFmtId="49" fontId="0" fillId="3" borderId="7" xfId="0" applyNumberFormat="1" applyFill="1" applyBorder="1"/>
    <xf numFmtId="49" fontId="0" fillId="3" borderId="12" xfId="0" applyNumberFormat="1" applyFill="1" applyBorder="1"/>
    <xf numFmtId="49" fontId="0" fillId="3" borderId="8" xfId="0" applyNumberFormat="1" applyFill="1" applyBorder="1"/>
    <xf numFmtId="49" fontId="0" fillId="3" borderId="9" xfId="0" applyNumberFormat="1" applyFill="1" applyBorder="1"/>
    <xf numFmtId="0" fontId="0" fillId="0" borderId="8" xfId="0" applyBorder="1"/>
    <xf numFmtId="0" fontId="0" fillId="0" borderId="9" xfId="0" applyBorder="1"/>
    <xf numFmtId="0" fontId="0" fillId="3" borderId="13" xfId="0" applyFill="1" applyBorder="1"/>
    <xf numFmtId="0" fontId="0" fillId="3" borderId="0" xfId="0" applyFill="1" applyBorder="1"/>
    <xf numFmtId="49" fontId="1" fillId="0" borderId="0" xfId="1" applyNumberFormat="1" applyFill="1" applyBorder="1"/>
    <xf numFmtId="49" fontId="4" fillId="0" borderId="0" xfId="0" applyNumberFormat="1" applyFont="1"/>
    <xf numFmtId="49" fontId="2" fillId="4" borderId="1" xfId="0" applyNumberFormat="1" applyFont="1" applyFill="1" applyBorder="1"/>
    <xf numFmtId="49" fontId="0" fillId="0" borderId="1" xfId="0" applyNumberFormat="1" applyBorder="1"/>
    <xf numFmtId="49" fontId="1" fillId="2" borderId="1" xfId="1" applyNumberFormat="1" applyBorder="1"/>
    <xf numFmtId="49" fontId="0" fillId="0" borderId="1" xfId="0" applyNumberFormat="1" applyFill="1" applyBorder="1"/>
    <xf numFmtId="49" fontId="14" fillId="9" borderId="1" xfId="2" applyNumberFormat="1" applyBorder="1"/>
    <xf numFmtId="0" fontId="2" fillId="4" borderId="1" xfId="0" applyFont="1" applyFill="1" applyBorder="1"/>
    <xf numFmtId="0" fontId="0" fillId="0" borderId="1" xfId="0" applyBorder="1"/>
    <xf numFmtId="0" fontId="0" fillId="0" borderId="1" xfId="0" applyFill="1" applyBorder="1"/>
    <xf numFmtId="49" fontId="1" fillId="0" borderId="1" xfId="1" applyNumberFormat="1" applyFill="1" applyBorder="1"/>
    <xf numFmtId="0" fontId="1" fillId="2" borderId="1" xfId="1" applyBorder="1"/>
    <xf numFmtId="0" fontId="16" fillId="0" borderId="1" xfId="0" applyFont="1" applyFill="1" applyBorder="1" applyAlignment="1">
      <alignment horizontal="left" vertical="top" wrapText="1"/>
    </xf>
    <xf numFmtId="0" fontId="18" fillId="0" borderId="1" xfId="0" applyFont="1" applyBorder="1" applyAlignment="1">
      <alignment horizontal="center" vertical="center"/>
    </xf>
    <xf numFmtId="0" fontId="19" fillId="0" borderId="1" xfId="0" applyFont="1" applyBorder="1" applyAlignment="1">
      <alignment horizontal="center" vertical="center" wrapText="1"/>
    </xf>
    <xf numFmtId="0" fontId="19" fillId="5" borderId="1" xfId="0" applyFont="1" applyFill="1" applyBorder="1" applyAlignment="1">
      <alignment horizontal="center" vertical="center"/>
    </xf>
    <xf numFmtId="0" fontId="19" fillId="0" borderId="1" xfId="0" applyFont="1" applyFill="1" applyBorder="1" applyAlignment="1">
      <alignment horizontal="left" vertical="top" wrapText="1"/>
    </xf>
    <xf numFmtId="0" fontId="19" fillId="0" borderId="1" xfId="0" applyFont="1" applyBorder="1" applyAlignment="1">
      <alignment horizontal="center" vertical="center"/>
    </xf>
    <xf numFmtId="0" fontId="20" fillId="0" borderId="1" xfId="0" applyFont="1" applyFill="1" applyBorder="1" applyAlignment="1">
      <alignment horizontal="left" vertical="top" wrapText="1"/>
    </xf>
    <xf numFmtId="0" fontId="18" fillId="3" borderId="1" xfId="0" applyFont="1" applyFill="1" applyBorder="1" applyAlignment="1">
      <alignment horizontal="center" vertical="center" wrapText="1"/>
    </xf>
    <xf numFmtId="0" fontId="18" fillId="3" borderId="1" xfId="0" applyFont="1" applyFill="1" applyBorder="1" applyAlignment="1">
      <alignment horizontal="left" vertical="top" wrapText="1"/>
    </xf>
    <xf numFmtId="0" fontId="19" fillId="3" borderId="1" xfId="0" applyFont="1" applyFill="1" applyBorder="1" applyAlignment="1">
      <alignment horizontal="left" vertical="top" wrapText="1"/>
    </xf>
    <xf numFmtId="0" fontId="18" fillId="0" borderId="1" xfId="0" applyFont="1" applyFill="1" applyBorder="1" applyAlignment="1">
      <alignment horizontal="left" vertical="top" wrapText="1"/>
    </xf>
    <xf numFmtId="0" fontId="17" fillId="4" borderId="3" xfId="0" applyFont="1" applyFill="1" applyBorder="1" applyAlignment="1">
      <alignment horizontal="center"/>
    </xf>
    <xf numFmtId="0" fontId="17" fillId="4" borderId="8" xfId="0" applyFont="1" applyFill="1" applyBorder="1" applyAlignment="1">
      <alignment horizontal="center"/>
    </xf>
    <xf numFmtId="0" fontId="19" fillId="0" borderId="0" xfId="0" applyFont="1"/>
    <xf numFmtId="0" fontId="19" fillId="0" borderId="0" xfId="0" applyFont="1" applyFill="1" applyBorder="1"/>
    <xf numFmtId="0" fontId="18" fillId="0" borderId="15" xfId="0" applyFont="1" applyBorder="1" applyAlignment="1">
      <alignment horizontal="center" vertical="center"/>
    </xf>
    <xf numFmtId="0" fontId="19" fillId="0" borderId="1" xfId="0" applyFont="1" applyFill="1" applyBorder="1" applyAlignment="1">
      <alignment horizontal="center" vertical="center"/>
    </xf>
    <xf numFmtId="0" fontId="19" fillId="0" borderId="15" xfId="0" applyFont="1" applyFill="1" applyBorder="1" applyAlignment="1">
      <alignment horizontal="center" vertical="center"/>
    </xf>
    <xf numFmtId="0" fontId="19" fillId="0" borderId="1" xfId="0" applyFont="1" applyFill="1" applyBorder="1" applyAlignment="1">
      <alignment horizontal="center" vertical="center" wrapText="1"/>
    </xf>
    <xf numFmtId="0" fontId="0" fillId="0" borderId="0" xfId="0" applyAlignment="1">
      <alignment vertical="center" wrapText="1"/>
    </xf>
    <xf numFmtId="0" fontId="21" fillId="3" borderId="0" xfId="0" applyFont="1" applyFill="1"/>
    <xf numFmtId="0" fontId="19" fillId="3" borderId="0" xfId="0" applyFont="1" applyFill="1"/>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49" fontId="4" fillId="0" borderId="2" xfId="0" applyNumberFormat="1" applyFont="1" applyFill="1" applyBorder="1" applyAlignment="1">
      <alignment horizontal="center"/>
    </xf>
    <xf numFmtId="49" fontId="4" fillId="0" borderId="4" xfId="0" applyNumberFormat="1" applyFont="1" applyFill="1" applyBorder="1" applyAlignment="1">
      <alignment horizontal="center"/>
    </xf>
    <xf numFmtId="49" fontId="4" fillId="0" borderId="5" xfId="0" applyNumberFormat="1" applyFont="1" applyFill="1" applyBorder="1" applyAlignment="1">
      <alignment horizontal="center"/>
    </xf>
    <xf numFmtId="0" fontId="18" fillId="7" borderId="4" xfId="0" applyFont="1" applyFill="1" applyBorder="1" applyAlignment="1"/>
    <xf numFmtId="0" fontId="18" fillId="12" borderId="4" xfId="0" applyFont="1" applyFill="1" applyBorder="1" applyAlignment="1"/>
    <xf numFmtId="0" fontId="18" fillId="11" borderId="4" xfId="0" applyFont="1" applyFill="1" applyBorder="1" applyAlignment="1"/>
  </cellXfs>
  <cellStyles count="3">
    <cellStyle name="Good" xfId="1" builtinId="26"/>
    <cellStyle name="Neutral" xfId="2" builtinId="28"/>
    <cellStyle name="Normal" xfId="0" builtinId="0"/>
  </cellStyles>
  <dxfs count="335">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5" tint="-0.24994659260841701"/>
      </font>
      <fill>
        <patternFill>
          <fgColor theme="5" tint="0.79998168889431442"/>
          <bgColor theme="5" tint="0.79998168889431442"/>
        </patternFill>
      </fill>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
      <font>
        <color theme="1" tint="0.34998626667073579"/>
      </font>
      <fill>
        <patternFill>
          <fgColor theme="0" tint="-4.9989318521683403E-2"/>
          <bgColor theme="0" tint="-4.9989318521683403E-2"/>
        </patternFill>
      </fill>
    </dxf>
    <dxf>
      <font>
        <color theme="5" tint="-0.24994659260841701"/>
      </font>
      <fill>
        <patternFill>
          <fgColor theme="5" tint="0.79998168889431442"/>
          <bgColor theme="5" tint="0.79998168889431442"/>
        </patternFill>
      </fill>
    </dxf>
    <dxf>
      <font>
        <color theme="9" tint="-0.24994659260841701"/>
      </font>
      <fill>
        <patternFill>
          <fgColor theme="9" tint="0.79995117038483843"/>
          <bgColor theme="9" tint="0.79998168889431442"/>
        </patternFill>
      </fill>
    </dxf>
    <dxf>
      <font>
        <color theme="7" tint="-0.24994659260841701"/>
      </font>
      <fill>
        <patternFill>
          <fgColor theme="7" tint="0.79998168889431442"/>
          <bgColor theme="7" tint="0.79998168889431442"/>
        </patternFill>
      </fill>
    </dxf>
    <dxf>
      <font>
        <color theme="2"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1063939</xdr:colOff>
      <xdr:row>2</xdr:row>
      <xdr:rowOff>4354</xdr:rowOff>
    </xdr:to>
    <xdr:pic>
      <xdr:nvPicPr>
        <xdr:cNvPr id="2"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0" y="0"/>
          <a:ext cx="1673539" cy="3701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129539</xdr:colOff>
      <xdr:row>0</xdr:row>
      <xdr:rowOff>114300</xdr:rowOff>
    </xdr:from>
    <xdr:to>
      <xdr:col>1</xdr:col>
      <xdr:colOff>1193478</xdr:colOff>
      <xdr:row>2</xdr:row>
      <xdr:rowOff>114300</xdr:rowOff>
    </xdr:to>
    <xdr:pic>
      <xdr:nvPicPr>
        <xdr:cNvPr id="2"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9539" y="114300"/>
          <a:ext cx="1673539"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15240</xdr:colOff>
      <xdr:row>0</xdr:row>
      <xdr:rowOff>62865</xdr:rowOff>
    </xdr:from>
    <xdr:to>
      <xdr:col>1</xdr:col>
      <xdr:colOff>1079179</xdr:colOff>
      <xdr:row>2</xdr:row>
      <xdr:rowOff>67219</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240" y="62865"/>
          <a:ext cx="1673539" cy="3663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7620</xdr:rowOff>
    </xdr:from>
    <xdr:to>
      <xdr:col>1</xdr:col>
      <xdr:colOff>1483039</xdr:colOff>
      <xdr:row>2</xdr:row>
      <xdr:rowOff>8164</xdr:rowOff>
    </xdr:to>
    <xdr:pic>
      <xdr:nvPicPr>
        <xdr:cNvPr id="2"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0" y="7620"/>
          <a:ext cx="1673539" cy="3663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129540</xdr:colOff>
      <xdr:row>0</xdr:row>
      <xdr:rowOff>22860</xdr:rowOff>
    </xdr:from>
    <xdr:to>
      <xdr:col>2</xdr:col>
      <xdr:colOff>1231579</xdr:colOff>
      <xdr:row>2</xdr:row>
      <xdr:rowOff>76744</xdr:rowOff>
    </xdr:to>
    <xdr:pic>
      <xdr:nvPicPr>
        <xdr:cNvPr id="2"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9540" y="22860"/>
          <a:ext cx="1673539" cy="3624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G10"/>
  <sheetViews>
    <sheetView showGridLines="0" zoomScale="80" zoomScaleNormal="80" workbookViewId="0">
      <selection activeCell="E10" sqref="E10"/>
    </sheetView>
  </sheetViews>
  <sheetFormatPr defaultRowHeight="14.4" x14ac:dyDescent="0.3"/>
  <cols>
    <col min="2" max="2" width="45.33203125" bestFit="1" customWidth="1"/>
    <col min="3" max="3" width="33.77734375" customWidth="1"/>
    <col min="4" max="4" width="32.88671875" customWidth="1"/>
    <col min="5" max="5" width="38.77734375" customWidth="1"/>
    <col min="6" max="6" width="15.21875" customWidth="1"/>
    <col min="7" max="7" width="38.77734375" customWidth="1"/>
  </cols>
  <sheetData>
    <row r="5" spans="1:7" x14ac:dyDescent="0.3">
      <c r="A5" s="4" t="s">
        <v>11</v>
      </c>
      <c r="B5" s="5" t="s">
        <v>12</v>
      </c>
      <c r="C5" s="4" t="s">
        <v>898</v>
      </c>
      <c r="D5" s="48" t="s">
        <v>900</v>
      </c>
      <c r="E5" s="4" t="s">
        <v>901</v>
      </c>
      <c r="F5" s="4" t="s">
        <v>15</v>
      </c>
      <c r="G5" s="4" t="s">
        <v>903</v>
      </c>
    </row>
    <row r="6" spans="1:7" s="3" customFormat="1" ht="46.8" customHeight="1" x14ac:dyDescent="0.3">
      <c r="A6" s="6">
        <v>1</v>
      </c>
      <c r="B6" s="7" t="s">
        <v>904</v>
      </c>
      <c r="C6" s="8" t="s">
        <v>908</v>
      </c>
      <c r="D6" s="49">
        <v>45426</v>
      </c>
      <c r="E6" s="11" t="s">
        <v>905</v>
      </c>
      <c r="F6" s="10" t="s">
        <v>23</v>
      </c>
      <c r="G6" s="11"/>
    </row>
    <row r="7" spans="1:7" s="3" customFormat="1" ht="49.2" customHeight="1" x14ac:dyDescent="0.3">
      <c r="A7" s="6">
        <v>2</v>
      </c>
      <c r="B7" s="7" t="s">
        <v>897</v>
      </c>
      <c r="C7" s="8" t="s">
        <v>899</v>
      </c>
      <c r="D7" s="49">
        <v>45503</v>
      </c>
      <c r="E7" s="11" t="s">
        <v>902</v>
      </c>
      <c r="F7" s="10" t="s">
        <v>23</v>
      </c>
      <c r="G7" s="11"/>
    </row>
    <row r="8" spans="1:7" ht="43.2" x14ac:dyDescent="0.3">
      <c r="A8" s="6">
        <v>3</v>
      </c>
      <c r="B8" s="7" t="s">
        <v>906</v>
      </c>
      <c r="C8" s="8" t="s">
        <v>909</v>
      </c>
      <c r="D8" s="49">
        <v>45551</v>
      </c>
      <c r="E8" s="11" t="s">
        <v>1687</v>
      </c>
      <c r="F8" s="10" t="s">
        <v>23</v>
      </c>
      <c r="G8" s="11"/>
    </row>
    <row r="9" spans="1:7" ht="43.2" x14ac:dyDescent="0.3">
      <c r="A9" s="6">
        <v>4</v>
      </c>
      <c r="B9" s="7" t="s">
        <v>1697</v>
      </c>
      <c r="C9" s="8" t="s">
        <v>1696</v>
      </c>
      <c r="D9" s="49">
        <v>45569</v>
      </c>
      <c r="E9" s="11" t="s">
        <v>1687</v>
      </c>
      <c r="F9" s="10" t="s">
        <v>23</v>
      </c>
      <c r="G9" s="11"/>
    </row>
    <row r="10" spans="1:7" ht="43.2" x14ac:dyDescent="0.3">
      <c r="A10" s="6">
        <v>5</v>
      </c>
      <c r="B10" s="7" t="s">
        <v>1695</v>
      </c>
      <c r="C10" s="8" t="s">
        <v>1698</v>
      </c>
      <c r="D10" s="49">
        <v>45589</v>
      </c>
      <c r="E10" s="11" t="s">
        <v>1723</v>
      </c>
      <c r="F10" s="10" t="s">
        <v>23</v>
      </c>
      <c r="G10" s="1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44"/>
  <sheetViews>
    <sheetView showGridLines="0" topLeftCell="A5" zoomScale="70" zoomScaleNormal="70" workbookViewId="0">
      <selection activeCell="C20" sqref="C20"/>
    </sheetView>
  </sheetViews>
  <sheetFormatPr defaultRowHeight="14.4" x14ac:dyDescent="0.3"/>
  <cols>
    <col min="2" max="2" width="45.33203125" bestFit="1" customWidth="1"/>
    <col min="3" max="3" width="33.77734375" customWidth="1"/>
    <col min="4" max="4" width="32.88671875" customWidth="1"/>
    <col min="5" max="5" width="15.21875" customWidth="1"/>
    <col min="6" max="6" width="38.77734375" customWidth="1"/>
    <col min="7" max="7" width="65.44140625" customWidth="1"/>
    <col min="8" max="8" width="56" style="28" customWidth="1"/>
  </cols>
  <sheetData>
    <row r="1" spans="1:4" customFormat="1" x14ac:dyDescent="0.3"/>
    <row r="2" spans="1:4" customFormat="1" x14ac:dyDescent="0.3"/>
    <row r="3" spans="1:4" customFormat="1" x14ac:dyDescent="0.3"/>
    <row r="4" spans="1:4" customFormat="1" x14ac:dyDescent="0.3"/>
    <row r="5" spans="1:4" customFormat="1" x14ac:dyDescent="0.3">
      <c r="A5" s="1" t="s">
        <v>0</v>
      </c>
    </row>
    <row r="6" spans="1:4" customFormat="1" x14ac:dyDescent="0.3">
      <c r="A6" s="2" t="s">
        <v>1</v>
      </c>
      <c r="B6" s="2"/>
      <c r="C6" s="2"/>
      <c r="D6" s="2"/>
    </row>
    <row r="7" spans="1:4" customFormat="1" x14ac:dyDescent="0.3">
      <c r="A7" s="2" t="s">
        <v>2</v>
      </c>
      <c r="B7" s="2"/>
      <c r="C7" s="2"/>
      <c r="D7" s="2"/>
    </row>
    <row r="8" spans="1:4" customFormat="1" x14ac:dyDescent="0.3"/>
    <row r="9" spans="1:4" customFormat="1" x14ac:dyDescent="0.3">
      <c r="A9" s="1" t="s">
        <v>3</v>
      </c>
    </row>
    <row r="10" spans="1:4" customFormat="1" x14ac:dyDescent="0.3">
      <c r="A10" s="2" t="s">
        <v>4</v>
      </c>
      <c r="B10" s="2"/>
      <c r="C10" s="2"/>
      <c r="D10" s="2"/>
    </row>
    <row r="11" spans="1:4" customFormat="1" x14ac:dyDescent="0.3">
      <c r="A11" s="2" t="s">
        <v>5</v>
      </c>
      <c r="B11" s="2"/>
      <c r="C11" s="2"/>
      <c r="D11" s="2"/>
    </row>
    <row r="12" spans="1:4" customFormat="1" x14ac:dyDescent="0.3">
      <c r="A12" s="2" t="s">
        <v>6</v>
      </c>
      <c r="B12" s="2"/>
      <c r="C12" s="2"/>
      <c r="D12" s="2"/>
    </row>
    <row r="13" spans="1:4" s="3" customFormat="1" x14ac:dyDescent="0.3"/>
    <row r="14" spans="1:4" s="3" customFormat="1" x14ac:dyDescent="0.3">
      <c r="A14" s="1" t="s">
        <v>7</v>
      </c>
      <c r="B14"/>
      <c r="C14"/>
      <c r="D14"/>
    </row>
    <row r="15" spans="1:4" s="3" customFormat="1" x14ac:dyDescent="0.3">
      <c r="A15" s="2" t="s">
        <v>8</v>
      </c>
      <c r="B15" s="2"/>
      <c r="C15" s="2"/>
      <c r="D15" s="2"/>
    </row>
    <row r="16" spans="1:4" s="3" customFormat="1" x14ac:dyDescent="0.3">
      <c r="A16" s="2" t="s">
        <v>9</v>
      </c>
      <c r="B16" s="2"/>
      <c r="C16" s="2"/>
      <c r="D16" s="2"/>
    </row>
    <row r="17" spans="1:8" s="3" customFormat="1" x14ac:dyDescent="0.3">
      <c r="A17" s="2" t="s">
        <v>10</v>
      </c>
      <c r="B17" s="2"/>
      <c r="C17" s="2"/>
      <c r="D17" s="2"/>
    </row>
    <row r="18" spans="1:8" x14ac:dyDescent="0.3">
      <c r="H18"/>
    </row>
    <row r="19" spans="1:8" x14ac:dyDescent="0.3">
      <c r="H19"/>
    </row>
    <row r="20" spans="1:8" x14ac:dyDescent="0.3">
      <c r="A20" s="4" t="s">
        <v>11</v>
      </c>
      <c r="B20" s="5" t="s">
        <v>12</v>
      </c>
      <c r="C20" s="4" t="s">
        <v>13</v>
      </c>
      <c r="D20" s="5" t="s">
        <v>14</v>
      </c>
      <c r="E20" s="4" t="s">
        <v>15</v>
      </c>
      <c r="F20" s="4" t="s">
        <v>16</v>
      </c>
      <c r="G20" s="4" t="s">
        <v>17</v>
      </c>
      <c r="H20" s="4" t="s">
        <v>18</v>
      </c>
    </row>
    <row r="21" spans="1:8" s="3" customFormat="1" ht="81" customHeight="1" x14ac:dyDescent="0.3">
      <c r="A21" s="6" t="s">
        <v>19</v>
      </c>
      <c r="B21" s="7" t="s">
        <v>20</v>
      </c>
      <c r="C21" s="8" t="s">
        <v>21</v>
      </c>
      <c r="D21" s="9" t="s">
        <v>22</v>
      </c>
      <c r="E21" s="10" t="s">
        <v>23</v>
      </c>
      <c r="F21" s="11" t="s">
        <v>24</v>
      </c>
      <c r="G21" s="12" t="s">
        <v>25</v>
      </c>
      <c r="H21" s="8" t="s">
        <v>26</v>
      </c>
    </row>
    <row r="22" spans="1:8" s="3" customFormat="1" ht="84" customHeight="1" x14ac:dyDescent="0.3">
      <c r="A22" s="6" t="s">
        <v>27</v>
      </c>
      <c r="B22" s="7" t="s">
        <v>28</v>
      </c>
      <c r="C22" s="8" t="s">
        <v>29</v>
      </c>
      <c r="D22" s="9" t="s">
        <v>22</v>
      </c>
      <c r="E22" s="10" t="s">
        <v>23</v>
      </c>
      <c r="F22" s="11" t="s">
        <v>30</v>
      </c>
      <c r="G22" s="12" t="s">
        <v>25</v>
      </c>
      <c r="H22" s="8" t="s">
        <v>31</v>
      </c>
    </row>
    <row r="23" spans="1:8" s="3" customFormat="1" ht="90" customHeight="1" x14ac:dyDescent="0.3">
      <c r="A23" s="6" t="s">
        <v>32</v>
      </c>
      <c r="B23" s="7" t="s">
        <v>33</v>
      </c>
      <c r="C23" s="8" t="s">
        <v>29</v>
      </c>
      <c r="D23" s="9" t="s">
        <v>22</v>
      </c>
      <c r="E23" s="10" t="s">
        <v>23</v>
      </c>
      <c r="F23" s="11" t="s">
        <v>30</v>
      </c>
      <c r="G23" s="12" t="s">
        <v>25</v>
      </c>
      <c r="H23" s="8" t="s">
        <v>34</v>
      </c>
    </row>
    <row r="24" spans="1:8" ht="82.2" customHeight="1" x14ac:dyDescent="0.3">
      <c r="A24" s="6" t="s">
        <v>35</v>
      </c>
      <c r="B24" s="7" t="s">
        <v>36</v>
      </c>
      <c r="C24" s="8" t="s">
        <v>37</v>
      </c>
      <c r="D24" s="9" t="s">
        <v>22</v>
      </c>
      <c r="E24" s="10" t="s">
        <v>23</v>
      </c>
      <c r="F24" s="11" t="s">
        <v>38</v>
      </c>
      <c r="G24" s="12" t="s">
        <v>25</v>
      </c>
      <c r="H24" s="8" t="s">
        <v>39</v>
      </c>
    </row>
    <row r="25" spans="1:8" ht="74.400000000000006" customHeight="1" x14ac:dyDescent="0.3">
      <c r="A25" s="6" t="s">
        <v>40</v>
      </c>
      <c r="B25" s="7" t="s">
        <v>41</v>
      </c>
      <c r="C25" s="8" t="s">
        <v>42</v>
      </c>
      <c r="D25" s="9" t="s">
        <v>43</v>
      </c>
      <c r="E25" s="10" t="s">
        <v>23</v>
      </c>
      <c r="F25" s="11" t="s">
        <v>44</v>
      </c>
      <c r="G25" s="11" t="s">
        <v>45</v>
      </c>
      <c r="H25" s="8" t="s">
        <v>46</v>
      </c>
    </row>
    <row r="26" spans="1:8" ht="96.6" customHeight="1" x14ac:dyDescent="0.3">
      <c r="A26" s="6" t="s">
        <v>47</v>
      </c>
      <c r="B26" s="7" t="s">
        <v>48</v>
      </c>
      <c r="C26" s="8" t="s">
        <v>49</v>
      </c>
      <c r="D26" s="9" t="s">
        <v>50</v>
      </c>
      <c r="E26" s="10" t="s">
        <v>23</v>
      </c>
      <c r="F26" s="11" t="s">
        <v>44</v>
      </c>
      <c r="G26" s="13" t="s">
        <v>23</v>
      </c>
      <c r="H26" s="8" t="s">
        <v>51</v>
      </c>
    </row>
    <row r="27" spans="1:8" ht="69" customHeight="1" x14ac:dyDescent="0.3">
      <c r="A27" s="6" t="s">
        <v>52</v>
      </c>
      <c r="B27" s="7" t="s">
        <v>53</v>
      </c>
      <c r="C27" s="8" t="s">
        <v>54</v>
      </c>
      <c r="D27" s="9" t="s">
        <v>22</v>
      </c>
      <c r="E27" s="10" t="s">
        <v>23</v>
      </c>
      <c r="F27" s="11" t="s">
        <v>55</v>
      </c>
      <c r="G27" s="13" t="s">
        <v>23</v>
      </c>
      <c r="H27" s="8" t="s">
        <v>56</v>
      </c>
    </row>
    <row r="28" spans="1:8" ht="69" customHeight="1" x14ac:dyDescent="0.3">
      <c r="A28" s="6" t="s">
        <v>57</v>
      </c>
      <c r="B28" s="7" t="s">
        <v>53</v>
      </c>
      <c r="C28" s="8" t="s">
        <v>58</v>
      </c>
      <c r="D28" s="9" t="s">
        <v>59</v>
      </c>
      <c r="E28" s="10" t="s">
        <v>23</v>
      </c>
      <c r="F28" s="11" t="s">
        <v>55</v>
      </c>
      <c r="G28" s="13" t="s">
        <v>23</v>
      </c>
      <c r="H28" s="8" t="s">
        <v>60</v>
      </c>
    </row>
    <row r="29" spans="1:8" ht="109.2" customHeight="1" x14ac:dyDescent="0.3">
      <c r="A29" s="6" t="s">
        <v>61</v>
      </c>
      <c r="B29" s="7" t="s">
        <v>62</v>
      </c>
      <c r="C29" s="8" t="s">
        <v>21</v>
      </c>
      <c r="D29" s="9" t="s">
        <v>63</v>
      </c>
      <c r="E29" s="14" t="s">
        <v>64</v>
      </c>
      <c r="F29" s="11" t="s">
        <v>65</v>
      </c>
      <c r="G29" s="11" t="s">
        <v>66</v>
      </c>
      <c r="H29" s="8" t="s">
        <v>67</v>
      </c>
    </row>
    <row r="30" spans="1:8" ht="107.4" customHeight="1" x14ac:dyDescent="0.3">
      <c r="A30" s="6" t="s">
        <v>68</v>
      </c>
      <c r="B30" s="9" t="s">
        <v>69</v>
      </c>
      <c r="C30" s="8" t="s">
        <v>70</v>
      </c>
      <c r="D30" s="9" t="s">
        <v>71</v>
      </c>
      <c r="E30" s="14" t="s">
        <v>64</v>
      </c>
      <c r="F30" s="11" t="s">
        <v>72</v>
      </c>
      <c r="G30" s="11" t="s">
        <v>66</v>
      </c>
      <c r="H30" s="8" t="s">
        <v>73</v>
      </c>
    </row>
    <row r="31" spans="1:8" ht="73.2" customHeight="1" x14ac:dyDescent="0.3">
      <c r="A31" s="6" t="s">
        <v>74</v>
      </c>
      <c r="B31" s="9" t="s">
        <v>75</v>
      </c>
      <c r="C31" s="8" t="s">
        <v>76</v>
      </c>
      <c r="D31" s="9" t="s">
        <v>71</v>
      </c>
      <c r="E31" s="14" t="s">
        <v>64</v>
      </c>
      <c r="F31" s="11" t="s">
        <v>77</v>
      </c>
      <c r="G31" s="11" t="s">
        <v>78</v>
      </c>
      <c r="H31" s="8" t="s">
        <v>79</v>
      </c>
    </row>
    <row r="32" spans="1:8" ht="127.8" customHeight="1" x14ac:dyDescent="0.3">
      <c r="A32" s="6" t="s">
        <v>80</v>
      </c>
      <c r="B32" s="15" t="s">
        <v>81</v>
      </c>
      <c r="C32" s="16" t="s">
        <v>82</v>
      </c>
      <c r="D32" s="17" t="s">
        <v>83</v>
      </c>
      <c r="E32" s="18" t="s">
        <v>64</v>
      </c>
      <c r="F32" s="19" t="s">
        <v>84</v>
      </c>
      <c r="G32" s="19" t="s">
        <v>85</v>
      </c>
      <c r="H32" s="16" t="s">
        <v>86</v>
      </c>
    </row>
    <row r="33" spans="1:8" ht="44.4" customHeight="1" x14ac:dyDescent="0.3">
      <c r="A33" s="20" t="s">
        <v>87</v>
      </c>
      <c r="B33" s="179" t="s">
        <v>88</v>
      </c>
      <c r="C33" s="180"/>
      <c r="D33" s="180"/>
      <c r="E33" s="180"/>
      <c r="F33" s="180"/>
      <c r="G33" s="181"/>
      <c r="H33" s="21" t="s">
        <v>89</v>
      </c>
    </row>
    <row r="34" spans="1:8" ht="43.2" customHeight="1" x14ac:dyDescent="0.3">
      <c r="A34" s="6" t="s">
        <v>90</v>
      </c>
      <c r="B34" s="179" t="s">
        <v>91</v>
      </c>
      <c r="C34" s="180"/>
      <c r="D34" s="180"/>
      <c r="E34" s="180"/>
      <c r="F34" s="180"/>
      <c r="G34" s="181"/>
      <c r="H34" s="21" t="s">
        <v>92</v>
      </c>
    </row>
    <row r="35" spans="1:8" ht="60.6" customHeight="1" x14ac:dyDescent="0.3">
      <c r="A35" s="6" t="s">
        <v>93</v>
      </c>
      <c r="B35" s="7" t="s">
        <v>94</v>
      </c>
      <c r="C35" s="22" t="s">
        <v>95</v>
      </c>
      <c r="D35" s="9" t="s">
        <v>22</v>
      </c>
      <c r="E35" s="14" t="s">
        <v>64</v>
      </c>
      <c r="F35" s="23" t="s">
        <v>96</v>
      </c>
      <c r="G35" s="24" t="s">
        <v>97</v>
      </c>
      <c r="H35" s="22" t="s">
        <v>98</v>
      </c>
    </row>
    <row r="36" spans="1:8" ht="57.6" customHeight="1" x14ac:dyDescent="0.3">
      <c r="A36" s="6" t="s">
        <v>99</v>
      </c>
      <c r="B36" s="7" t="s">
        <v>100</v>
      </c>
      <c r="C36" s="22" t="s">
        <v>101</v>
      </c>
      <c r="D36" s="9" t="s">
        <v>22</v>
      </c>
      <c r="E36" s="14" t="s">
        <v>64</v>
      </c>
      <c r="F36" s="23" t="s">
        <v>102</v>
      </c>
      <c r="G36" s="24"/>
      <c r="H36" s="22" t="s">
        <v>103</v>
      </c>
    </row>
    <row r="37" spans="1:8" ht="59.4" customHeight="1" x14ac:dyDescent="0.3">
      <c r="A37" s="6" t="s">
        <v>104</v>
      </c>
      <c r="B37" s="7" t="s">
        <v>105</v>
      </c>
      <c r="C37" s="22" t="s">
        <v>106</v>
      </c>
      <c r="D37" s="9" t="s">
        <v>22</v>
      </c>
      <c r="E37" s="14" t="s">
        <v>64</v>
      </c>
      <c r="F37" s="23" t="s">
        <v>107</v>
      </c>
      <c r="G37" s="24"/>
      <c r="H37" s="22" t="s">
        <v>108</v>
      </c>
    </row>
    <row r="38" spans="1:8" ht="79.8" customHeight="1" x14ac:dyDescent="0.3">
      <c r="A38" s="6" t="s">
        <v>109</v>
      </c>
      <c r="B38" s="7" t="s">
        <v>110</v>
      </c>
      <c r="C38" s="22" t="s">
        <v>111</v>
      </c>
      <c r="D38" s="9" t="s">
        <v>22</v>
      </c>
      <c r="E38" s="10" t="s">
        <v>23</v>
      </c>
      <c r="F38" s="23" t="s">
        <v>112</v>
      </c>
      <c r="G38" s="25" t="s">
        <v>23</v>
      </c>
      <c r="H38" s="22" t="s">
        <v>113</v>
      </c>
    </row>
    <row r="39" spans="1:8" ht="60.6" customHeight="1" x14ac:dyDescent="0.3">
      <c r="A39" s="6" t="s">
        <v>114</v>
      </c>
      <c r="B39" s="7" t="s">
        <v>115</v>
      </c>
      <c r="C39" s="22" t="s">
        <v>116</v>
      </c>
      <c r="D39" s="9" t="s">
        <v>22</v>
      </c>
      <c r="E39" s="14" t="s">
        <v>64</v>
      </c>
      <c r="F39" s="23" t="s">
        <v>117</v>
      </c>
      <c r="G39" s="23"/>
      <c r="H39" s="22" t="s">
        <v>118</v>
      </c>
    </row>
    <row r="40" spans="1:8" ht="73.2" customHeight="1" x14ac:dyDescent="0.3">
      <c r="A40" s="6" t="s">
        <v>119</v>
      </c>
      <c r="B40" s="7" t="s">
        <v>120</v>
      </c>
      <c r="C40" s="22" t="s">
        <v>121</v>
      </c>
      <c r="D40" s="9" t="s">
        <v>22</v>
      </c>
      <c r="E40" s="10" t="s">
        <v>23</v>
      </c>
      <c r="F40" s="23" t="s">
        <v>122</v>
      </c>
      <c r="G40" s="25" t="s">
        <v>23</v>
      </c>
      <c r="H40" s="22" t="s">
        <v>123</v>
      </c>
    </row>
    <row r="41" spans="1:8" x14ac:dyDescent="0.3">
      <c r="A41" s="26"/>
      <c r="B41" s="27"/>
      <c r="C41" s="27"/>
      <c r="D41" s="27"/>
      <c r="E41" s="27"/>
      <c r="F41" s="27"/>
    </row>
    <row r="44" spans="1:8" x14ac:dyDescent="0.3">
      <c r="C44" s="29"/>
    </row>
  </sheetData>
  <autoFilter ref="A20:G32"/>
  <mergeCells count="2">
    <mergeCell ref="B33:G33"/>
    <mergeCell ref="B34:G3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2:BN9"/>
  <sheetViews>
    <sheetView showGridLines="0" workbookViewId="0">
      <selection activeCell="B1" sqref="B1"/>
    </sheetView>
  </sheetViews>
  <sheetFormatPr defaultRowHeight="14.4" x14ac:dyDescent="0.3"/>
  <cols>
    <col min="1" max="1" width="23.88671875" style="32" bestFit="1" customWidth="1"/>
    <col min="2" max="2" width="9.21875" style="32" bestFit="1" customWidth="1"/>
    <col min="3" max="3" width="10.33203125" style="32" bestFit="1" customWidth="1"/>
    <col min="4" max="4" width="12" style="32" bestFit="1" customWidth="1"/>
    <col min="5" max="5" width="16.109375" style="32" bestFit="1" customWidth="1"/>
    <col min="6" max="7" width="10.5546875" style="32" bestFit="1" customWidth="1"/>
    <col min="8" max="8" width="12" style="32" bestFit="1" customWidth="1"/>
    <col min="9" max="9" width="16.109375" style="32" bestFit="1" customWidth="1"/>
    <col min="10" max="11" width="10.33203125" style="32" bestFit="1" customWidth="1"/>
    <col min="12" max="12" width="12" style="32" bestFit="1" customWidth="1"/>
    <col min="13" max="13" width="16.109375" style="32" bestFit="1" customWidth="1"/>
    <col min="14" max="14" width="14.88671875" style="32" bestFit="1" customWidth="1"/>
    <col min="15" max="15" width="20.6640625" style="32" bestFit="1" customWidth="1"/>
    <col min="16" max="16" width="25.6640625" style="32" bestFit="1" customWidth="1"/>
    <col min="17" max="17" width="21.6640625" style="32" bestFit="1" customWidth="1"/>
    <col min="18" max="18" width="26.5546875" style="32" bestFit="1" customWidth="1"/>
    <col min="19" max="19" width="23.6640625" style="32" bestFit="1" customWidth="1"/>
    <col min="20" max="20" width="28.5546875" style="32" bestFit="1" customWidth="1"/>
    <col min="21" max="21" width="20.109375" style="32" bestFit="1" customWidth="1"/>
    <col min="22" max="22" width="25" style="32" bestFit="1" customWidth="1"/>
    <col min="23" max="23" width="22.5546875" style="32" bestFit="1" customWidth="1"/>
    <col min="24" max="24" width="27.44140625" style="32" bestFit="1" customWidth="1"/>
    <col min="25" max="25" width="22.5546875" style="32" bestFit="1" customWidth="1"/>
    <col min="26" max="26" width="17.5546875" style="32" bestFit="1" customWidth="1"/>
    <col min="27" max="27" width="22.44140625" style="32" bestFit="1" customWidth="1"/>
    <col min="28" max="28" width="17.5546875" style="32" bestFit="1" customWidth="1"/>
    <col min="29" max="29" width="16.5546875" style="32" bestFit="1" customWidth="1"/>
    <col min="30" max="30" width="21.5546875" style="32" bestFit="1" customWidth="1"/>
    <col min="31" max="31" width="16.5546875" style="32" bestFit="1" customWidth="1"/>
    <col min="32" max="32" width="22.88671875" style="32" bestFit="1" customWidth="1"/>
    <col min="33" max="33" width="27.77734375" style="32" bestFit="1" customWidth="1"/>
    <col min="34" max="34" width="22.88671875" style="32" bestFit="1" customWidth="1"/>
    <col min="35" max="35" width="21.33203125" style="32" bestFit="1" customWidth="1"/>
    <col min="36" max="36" width="26.21875" style="32" bestFit="1" customWidth="1"/>
    <col min="37" max="37" width="21.33203125" style="32" bestFit="1" customWidth="1"/>
    <col min="38" max="38" width="13.77734375" style="32" bestFit="1" customWidth="1"/>
    <col min="39" max="39" width="15.77734375" style="32" bestFit="1" customWidth="1"/>
    <col min="40" max="40" width="14.77734375" style="32" bestFit="1" customWidth="1"/>
    <col min="41" max="41" width="13.77734375" style="32" bestFit="1" customWidth="1"/>
    <col min="42" max="42" width="17.33203125" style="32" bestFit="1" customWidth="1"/>
    <col min="43" max="43" width="21.77734375" style="32" bestFit="1" customWidth="1"/>
    <col min="44" max="44" width="8.33203125" style="32" bestFit="1" customWidth="1"/>
    <col min="45" max="45" width="21.77734375" style="32" bestFit="1" customWidth="1"/>
    <col min="46" max="46" width="10.33203125" style="32" bestFit="1" customWidth="1"/>
    <col min="47" max="47" width="8.5546875" style="32" bestFit="1" customWidth="1"/>
    <col min="48" max="49" width="9.5546875" style="32" bestFit="1" customWidth="1"/>
    <col min="50" max="50" width="7.77734375" style="32" bestFit="1" customWidth="1"/>
    <col min="51" max="51" width="8.109375" style="32" bestFit="1" customWidth="1"/>
    <col min="52" max="52" width="10" style="32" bestFit="1" customWidth="1"/>
    <col min="53" max="53" width="10.44140625" style="32" bestFit="1" customWidth="1"/>
    <col min="54" max="55" width="10.77734375" style="32" bestFit="1" customWidth="1"/>
    <col min="56" max="56" width="10.44140625" style="32" bestFit="1" customWidth="1"/>
    <col min="57" max="57" width="11.88671875" style="32" bestFit="1" customWidth="1"/>
    <col min="58" max="59" width="12.21875" style="32" bestFit="1" customWidth="1"/>
    <col min="60" max="60" width="8.44140625" style="32" bestFit="1" customWidth="1"/>
    <col min="61" max="61" width="9.21875" style="32" bestFit="1" customWidth="1"/>
    <col min="62" max="62" width="12" style="32" bestFit="1" customWidth="1"/>
    <col min="63" max="63" width="16.109375" style="32" bestFit="1" customWidth="1"/>
    <col min="64" max="65" width="21.77734375" style="32" bestFit="1" customWidth="1"/>
    <col min="66" max="66" width="17.5546875" style="32" bestFit="1" customWidth="1"/>
    <col min="67" max="67" width="9" style="32" bestFit="1" customWidth="1"/>
    <col min="68" max="16384" width="8.88671875" style="32"/>
  </cols>
  <sheetData>
    <row r="2" spans="1:66" x14ac:dyDescent="0.3">
      <c r="A2" s="30" t="s">
        <v>124</v>
      </c>
      <c r="B2" s="31"/>
      <c r="C2" s="31"/>
      <c r="D2" s="31"/>
      <c r="E2" s="31"/>
      <c r="F2" s="31"/>
    </row>
    <row r="3" spans="1:66" x14ac:dyDescent="0.3">
      <c r="A3" s="33" t="s">
        <v>125</v>
      </c>
      <c r="B3" s="31"/>
      <c r="C3" s="31"/>
      <c r="D3" s="31"/>
      <c r="E3" s="31"/>
      <c r="F3" s="31"/>
    </row>
    <row r="4" spans="1:66" x14ac:dyDescent="0.3">
      <c r="A4" s="33" t="s">
        <v>126</v>
      </c>
      <c r="B4" s="34"/>
      <c r="C4" s="34"/>
      <c r="D4" s="34"/>
      <c r="E4" s="34"/>
      <c r="F4" s="34"/>
    </row>
    <row r="5" spans="1:66" customFormat="1" x14ac:dyDescent="0.3">
      <c r="A5" s="33" t="s">
        <v>127</v>
      </c>
      <c r="B5" s="2"/>
      <c r="C5" s="2"/>
      <c r="D5" s="2"/>
      <c r="E5" s="2"/>
      <c r="F5" s="2"/>
    </row>
    <row r="6" spans="1:66" customFormat="1" x14ac:dyDescent="0.3">
      <c r="A6" s="35"/>
    </row>
    <row r="7" spans="1:66" x14ac:dyDescent="0.3">
      <c r="A7" s="36" t="s">
        <v>128</v>
      </c>
      <c r="B7" s="36" t="s">
        <v>129</v>
      </c>
      <c r="C7" s="36" t="s">
        <v>130</v>
      </c>
      <c r="D7" s="36" t="s">
        <v>131</v>
      </c>
      <c r="E7" s="36" t="s">
        <v>132</v>
      </c>
      <c r="F7" s="36" t="s">
        <v>133</v>
      </c>
      <c r="G7" s="36" t="s">
        <v>134</v>
      </c>
      <c r="H7" s="36" t="s">
        <v>135</v>
      </c>
      <c r="I7" s="36" t="s">
        <v>136</v>
      </c>
      <c r="J7" s="36" t="s">
        <v>137</v>
      </c>
      <c r="K7" s="36" t="s">
        <v>138</v>
      </c>
      <c r="L7" s="36" t="s">
        <v>139</v>
      </c>
      <c r="M7" s="36" t="s">
        <v>140</v>
      </c>
      <c r="N7" s="36" t="s">
        <v>141</v>
      </c>
      <c r="O7" s="36" t="s">
        <v>142</v>
      </c>
      <c r="P7" s="36" t="s">
        <v>143</v>
      </c>
      <c r="Q7" s="36" t="s">
        <v>144</v>
      </c>
      <c r="R7" s="36" t="s">
        <v>145</v>
      </c>
      <c r="S7" s="36" t="s">
        <v>146</v>
      </c>
      <c r="T7" s="36" t="s">
        <v>147</v>
      </c>
      <c r="U7" s="36" t="s">
        <v>148</v>
      </c>
      <c r="V7" s="36" t="s">
        <v>149</v>
      </c>
      <c r="W7" s="36" t="s">
        <v>150</v>
      </c>
      <c r="X7" s="36" t="s">
        <v>151</v>
      </c>
      <c r="Y7" s="36" t="s">
        <v>152</v>
      </c>
      <c r="Z7" s="36" t="s">
        <v>153</v>
      </c>
      <c r="AA7" s="36" t="s">
        <v>154</v>
      </c>
      <c r="AB7" s="36" t="s">
        <v>155</v>
      </c>
      <c r="AC7" s="36" t="s">
        <v>156</v>
      </c>
      <c r="AD7" s="36" t="s">
        <v>157</v>
      </c>
      <c r="AE7" s="36" t="s">
        <v>158</v>
      </c>
      <c r="AF7" s="36" t="s">
        <v>159</v>
      </c>
      <c r="AG7" s="36" t="s">
        <v>160</v>
      </c>
      <c r="AH7" s="36" t="s">
        <v>161</v>
      </c>
      <c r="AI7" s="36" t="s">
        <v>162</v>
      </c>
      <c r="AJ7" s="36" t="s">
        <v>163</v>
      </c>
      <c r="AK7" s="36" t="s">
        <v>164</v>
      </c>
      <c r="AL7" s="36" t="s">
        <v>165</v>
      </c>
      <c r="AM7" s="36" t="s">
        <v>166</v>
      </c>
      <c r="AN7" s="36" t="s">
        <v>167</v>
      </c>
      <c r="AO7" s="36" t="s">
        <v>168</v>
      </c>
      <c r="AP7" s="36" t="s">
        <v>169</v>
      </c>
      <c r="AQ7" s="36" t="s">
        <v>170</v>
      </c>
      <c r="AR7" s="36" t="s">
        <v>171</v>
      </c>
      <c r="AS7" s="36" t="s">
        <v>172</v>
      </c>
      <c r="AT7" s="36" t="s">
        <v>173</v>
      </c>
      <c r="AU7" s="36" t="s">
        <v>174</v>
      </c>
      <c r="AV7" s="36" t="s">
        <v>175</v>
      </c>
      <c r="AW7" s="36" t="s">
        <v>176</v>
      </c>
      <c r="AX7" s="36" t="s">
        <v>177</v>
      </c>
      <c r="AY7" s="36" t="s">
        <v>178</v>
      </c>
      <c r="AZ7" s="36" t="s">
        <v>179</v>
      </c>
      <c r="BA7" s="36" t="s">
        <v>180</v>
      </c>
      <c r="BB7" s="36" t="s">
        <v>181</v>
      </c>
      <c r="BC7" s="36" t="s">
        <v>182</v>
      </c>
      <c r="BD7" s="36" t="s">
        <v>183</v>
      </c>
      <c r="BE7" s="36" t="s">
        <v>184</v>
      </c>
      <c r="BF7" s="36" t="s">
        <v>185</v>
      </c>
      <c r="BG7" s="36" t="s">
        <v>186</v>
      </c>
      <c r="BH7" s="36" t="s">
        <v>187</v>
      </c>
      <c r="BI7" s="36" t="s">
        <v>188</v>
      </c>
      <c r="BJ7" s="36" t="s">
        <v>189</v>
      </c>
      <c r="BK7" s="36" t="s">
        <v>190</v>
      </c>
      <c r="BL7" s="36" t="s">
        <v>191</v>
      </c>
      <c r="BM7" s="36" t="s">
        <v>192</v>
      </c>
      <c r="BN7" s="36" t="s">
        <v>193</v>
      </c>
    </row>
    <row r="8" spans="1:66" x14ac:dyDescent="0.3">
      <c r="A8" s="37" t="s">
        <v>194</v>
      </c>
      <c r="B8" s="32" t="s">
        <v>195</v>
      </c>
      <c r="C8" s="38" t="s">
        <v>196</v>
      </c>
      <c r="D8" s="32" t="s">
        <v>197</v>
      </c>
      <c r="E8" s="32" t="s">
        <v>198</v>
      </c>
      <c r="F8" s="32" t="s">
        <v>199</v>
      </c>
      <c r="G8" s="32" t="s">
        <v>200</v>
      </c>
      <c r="H8" s="32" t="s">
        <v>199</v>
      </c>
      <c r="I8" s="32" t="s">
        <v>201</v>
      </c>
      <c r="J8" s="32" t="s">
        <v>202</v>
      </c>
      <c r="K8" s="32" t="s">
        <v>202</v>
      </c>
      <c r="L8" s="32" t="s">
        <v>203</v>
      </c>
      <c r="M8" s="32" t="s">
        <v>204</v>
      </c>
      <c r="N8" s="32" t="s">
        <v>205</v>
      </c>
      <c r="O8" s="32" t="s">
        <v>93</v>
      </c>
      <c r="P8" s="32" t="s">
        <v>199</v>
      </c>
      <c r="Q8" s="32" t="s">
        <v>199</v>
      </c>
      <c r="R8" s="32" t="s">
        <v>199</v>
      </c>
      <c r="S8" s="32" t="s">
        <v>206</v>
      </c>
      <c r="T8" s="32" t="s">
        <v>207</v>
      </c>
      <c r="U8" s="32" t="s">
        <v>208</v>
      </c>
      <c r="V8" s="32" t="s">
        <v>209</v>
      </c>
      <c r="W8" s="32" t="s">
        <v>210</v>
      </c>
      <c r="X8" s="32" t="s">
        <v>197</v>
      </c>
      <c r="Y8" s="32" t="s">
        <v>211</v>
      </c>
      <c r="Z8" s="32" t="s">
        <v>212</v>
      </c>
      <c r="AA8" s="32" t="s">
        <v>213</v>
      </c>
      <c r="AB8" s="32" t="s">
        <v>214</v>
      </c>
      <c r="AF8" s="32" t="s">
        <v>200</v>
      </c>
      <c r="AG8" s="32" t="s">
        <v>215</v>
      </c>
      <c r="AH8" s="32" t="s">
        <v>216</v>
      </c>
      <c r="AK8" s="32" t="s">
        <v>217</v>
      </c>
      <c r="AM8" s="32" t="s">
        <v>218</v>
      </c>
      <c r="AN8" s="32" t="s">
        <v>47</v>
      </c>
      <c r="AO8" s="32" t="s">
        <v>219</v>
      </c>
      <c r="AP8" s="32" t="s">
        <v>220</v>
      </c>
      <c r="AQ8" s="32" t="s">
        <v>221</v>
      </c>
      <c r="AR8" s="32" t="s">
        <v>222</v>
      </c>
      <c r="AS8" s="32" t="s">
        <v>196</v>
      </c>
      <c r="AU8" s="32" t="s">
        <v>199</v>
      </c>
      <c r="AV8" s="32" t="s">
        <v>199</v>
      </c>
      <c r="AW8" s="32" t="s">
        <v>223</v>
      </c>
      <c r="AX8" s="32" t="s">
        <v>205</v>
      </c>
      <c r="AY8" s="32" t="s">
        <v>224</v>
      </c>
      <c r="AZ8" s="32" t="s">
        <v>199</v>
      </c>
      <c r="BA8" s="32" t="s">
        <v>93</v>
      </c>
      <c r="BB8" s="32" t="s">
        <v>93</v>
      </c>
      <c r="BE8" s="32" t="s">
        <v>225</v>
      </c>
      <c r="BF8" s="32" t="s">
        <v>199</v>
      </c>
      <c r="BH8" s="32" t="s">
        <v>226</v>
      </c>
      <c r="BJ8" s="39" t="s">
        <v>227</v>
      </c>
      <c r="BK8" s="39" t="s">
        <v>228</v>
      </c>
      <c r="BL8" s="39" t="s">
        <v>214</v>
      </c>
      <c r="BM8" s="32" t="s">
        <v>229</v>
      </c>
      <c r="BN8" s="32" t="s">
        <v>197</v>
      </c>
    </row>
    <row r="9" spans="1:66" x14ac:dyDescent="0.3">
      <c r="A9" s="37" t="s">
        <v>194</v>
      </c>
      <c r="B9" s="32" t="s">
        <v>195</v>
      </c>
      <c r="C9" s="40" t="s">
        <v>230</v>
      </c>
      <c r="D9" s="32" t="s">
        <v>197</v>
      </c>
      <c r="E9" s="32" t="s">
        <v>198</v>
      </c>
      <c r="F9" s="32" t="s">
        <v>199</v>
      </c>
      <c r="G9" s="32" t="s">
        <v>200</v>
      </c>
      <c r="H9" s="32" t="s">
        <v>199</v>
      </c>
      <c r="I9" s="32" t="s">
        <v>201</v>
      </c>
      <c r="J9" s="32" t="s">
        <v>202</v>
      </c>
      <c r="K9" s="32" t="s">
        <v>231</v>
      </c>
      <c r="L9" s="32" t="s">
        <v>203</v>
      </c>
      <c r="M9" s="32" t="s">
        <v>204</v>
      </c>
      <c r="N9" s="32" t="s">
        <v>205</v>
      </c>
      <c r="O9" s="32" t="s">
        <v>93</v>
      </c>
      <c r="P9" s="32" t="s">
        <v>199</v>
      </c>
      <c r="Q9" s="32" t="s">
        <v>199</v>
      </c>
      <c r="R9" s="32" t="s">
        <v>199</v>
      </c>
      <c r="S9" s="32" t="s">
        <v>206</v>
      </c>
      <c r="T9" s="32" t="s">
        <v>207</v>
      </c>
      <c r="U9" s="32" t="s">
        <v>208</v>
      </c>
      <c r="V9" s="32" t="s">
        <v>209</v>
      </c>
      <c r="W9" s="32" t="s">
        <v>210</v>
      </c>
      <c r="X9" s="32" t="s">
        <v>197</v>
      </c>
      <c r="Y9" s="32" t="s">
        <v>211</v>
      </c>
      <c r="Z9" s="32" t="s">
        <v>212</v>
      </c>
      <c r="AA9" s="32" t="s">
        <v>213</v>
      </c>
      <c r="AB9" s="32" t="s">
        <v>214</v>
      </c>
      <c r="AF9" s="32" t="s">
        <v>200</v>
      </c>
      <c r="AG9" s="32" t="s">
        <v>215</v>
      </c>
      <c r="AH9" s="32" t="s">
        <v>216</v>
      </c>
      <c r="AK9" s="32" t="s">
        <v>217</v>
      </c>
      <c r="AM9" s="32" t="s">
        <v>218</v>
      </c>
      <c r="AN9" s="32" t="s">
        <v>47</v>
      </c>
      <c r="AO9" s="32" t="s">
        <v>219</v>
      </c>
      <c r="AP9" s="32" t="s">
        <v>220</v>
      </c>
      <c r="AQ9" s="32" t="s">
        <v>221</v>
      </c>
      <c r="AR9" s="32" t="s">
        <v>222</v>
      </c>
      <c r="AS9" s="32" t="s">
        <v>230</v>
      </c>
      <c r="AU9" s="32" t="s">
        <v>199</v>
      </c>
      <c r="AV9" s="32" t="s">
        <v>199</v>
      </c>
      <c r="AW9" s="32" t="s">
        <v>223</v>
      </c>
      <c r="AX9" s="32" t="s">
        <v>205</v>
      </c>
      <c r="AY9" s="32" t="s">
        <v>224</v>
      </c>
      <c r="AZ9" s="32" t="s">
        <v>199</v>
      </c>
      <c r="BA9" s="32" t="s">
        <v>93</v>
      </c>
      <c r="BB9" s="32" t="s">
        <v>93</v>
      </c>
      <c r="BE9" s="32" t="s">
        <v>225</v>
      </c>
      <c r="BF9" s="32" t="s">
        <v>199</v>
      </c>
      <c r="BH9" s="32" t="s">
        <v>226</v>
      </c>
      <c r="BJ9" s="39" t="s">
        <v>227</v>
      </c>
      <c r="BK9" s="39" t="s">
        <v>228</v>
      </c>
      <c r="BL9" s="39" t="s">
        <v>214</v>
      </c>
      <c r="BM9" s="32" t="s">
        <v>229</v>
      </c>
      <c r="BN9" s="32" t="s">
        <v>197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2:N9"/>
  <sheetViews>
    <sheetView showGridLines="0" workbookViewId="0">
      <selection activeCell="E26" sqref="E26"/>
    </sheetView>
  </sheetViews>
  <sheetFormatPr defaultRowHeight="14.4" x14ac:dyDescent="0.3"/>
  <cols>
    <col min="1" max="1" width="50.6640625" style="32" customWidth="1"/>
    <col min="2" max="2" width="8.33203125" style="32" bestFit="1" customWidth="1"/>
    <col min="3" max="3" width="6.88671875" style="32" bestFit="1" customWidth="1"/>
    <col min="4" max="5" width="10.5546875" style="32" customWidth="1"/>
    <col min="6" max="6" width="9.109375" style="32" bestFit="1" customWidth="1"/>
    <col min="7" max="7" width="8.44140625" style="32" customWidth="1"/>
    <col min="8" max="8" width="12" style="32" bestFit="1" customWidth="1"/>
    <col min="9" max="9" width="16.109375" style="32" bestFit="1" customWidth="1"/>
    <col min="10" max="10" width="9.21875" style="32" customWidth="1"/>
    <col min="11" max="11" width="12" style="32" bestFit="1" customWidth="1"/>
    <col min="12" max="12" width="16.109375" style="32" bestFit="1" customWidth="1"/>
    <col min="13" max="13" width="17.5546875" style="32" bestFit="1" customWidth="1"/>
    <col min="14" max="14" width="21.33203125" style="32" bestFit="1" customWidth="1"/>
    <col min="15" max="15" width="9" style="32" bestFit="1" customWidth="1"/>
    <col min="16" max="16384" width="8.88671875" style="32"/>
  </cols>
  <sheetData>
    <row r="2" spans="1:14" ht="13.2" customHeight="1" x14ac:dyDescent="0.3">
      <c r="A2" s="30" t="s">
        <v>232</v>
      </c>
      <c r="B2" s="31"/>
      <c r="C2" s="31"/>
      <c r="D2" s="31"/>
      <c r="E2" s="31"/>
      <c r="F2" s="31"/>
      <c r="G2" s="41"/>
      <c r="H2" s="41"/>
    </row>
    <row r="3" spans="1:14" x14ac:dyDescent="0.3">
      <c r="A3" s="33" t="s">
        <v>233</v>
      </c>
      <c r="B3" s="31"/>
      <c r="C3" s="31"/>
      <c r="D3" s="31"/>
      <c r="E3" s="31"/>
      <c r="F3" s="31"/>
      <c r="G3" s="41"/>
      <c r="H3" s="41"/>
    </row>
    <row r="4" spans="1:14" x14ac:dyDescent="0.3">
      <c r="A4" s="33" t="s">
        <v>234</v>
      </c>
      <c r="B4" s="31"/>
      <c r="C4" s="31"/>
      <c r="D4" s="31"/>
      <c r="E4" s="31"/>
      <c r="F4" s="31"/>
      <c r="G4" s="41"/>
      <c r="H4" s="41"/>
    </row>
    <row r="6" spans="1:14" x14ac:dyDescent="0.3">
      <c r="A6" s="36" t="s">
        <v>129</v>
      </c>
      <c r="B6" s="36" t="s">
        <v>130</v>
      </c>
      <c r="C6" s="36" t="s">
        <v>148</v>
      </c>
      <c r="D6" s="36" t="s">
        <v>149</v>
      </c>
      <c r="E6" s="36" t="s">
        <v>152</v>
      </c>
      <c r="F6" s="36" t="s">
        <v>153</v>
      </c>
      <c r="G6" s="36" t="s">
        <v>154</v>
      </c>
      <c r="H6" s="36" t="s">
        <v>155</v>
      </c>
      <c r="I6" s="36" t="s">
        <v>189</v>
      </c>
      <c r="J6" s="36" t="s">
        <v>190</v>
      </c>
      <c r="K6" s="36" t="s">
        <v>191</v>
      </c>
      <c r="L6" s="36" t="s">
        <v>235</v>
      </c>
      <c r="M6" s="36" t="s">
        <v>236</v>
      </c>
      <c r="N6" s="36" t="s">
        <v>237</v>
      </c>
    </row>
    <row r="7" spans="1:14" x14ac:dyDescent="0.3">
      <c r="A7" s="32" t="s">
        <v>238</v>
      </c>
      <c r="B7" s="32" t="s">
        <v>196</v>
      </c>
      <c r="C7" s="32" t="s">
        <v>239</v>
      </c>
      <c r="D7" s="32" t="s">
        <v>239</v>
      </c>
      <c r="E7" s="32" t="s">
        <v>211</v>
      </c>
      <c r="F7" s="32" t="s">
        <v>212</v>
      </c>
      <c r="G7" s="32" t="s">
        <v>240</v>
      </c>
      <c r="H7" s="32" t="s">
        <v>214</v>
      </c>
      <c r="I7" s="32" t="s">
        <v>212</v>
      </c>
      <c r="J7" s="32" t="s">
        <v>241</v>
      </c>
      <c r="K7" s="32" t="s">
        <v>214</v>
      </c>
      <c r="L7" s="32" t="s">
        <v>242</v>
      </c>
      <c r="M7" s="32" t="s">
        <v>243</v>
      </c>
      <c r="N7" s="32" t="s">
        <v>244</v>
      </c>
    </row>
    <row r="8" spans="1:14" x14ac:dyDescent="0.3">
      <c r="A8" s="32" t="s">
        <v>195</v>
      </c>
      <c r="B8" s="32" t="s">
        <v>230</v>
      </c>
      <c r="C8" s="32" t="s">
        <v>208</v>
      </c>
      <c r="D8" s="32" t="s">
        <v>209</v>
      </c>
      <c r="E8" s="40" t="s">
        <v>211</v>
      </c>
      <c r="F8" s="40" t="s">
        <v>212</v>
      </c>
      <c r="G8" s="40" t="s">
        <v>213</v>
      </c>
      <c r="H8" s="40" t="s">
        <v>214</v>
      </c>
      <c r="I8" s="40" t="s">
        <v>227</v>
      </c>
      <c r="J8" s="40" t="s">
        <v>228</v>
      </c>
      <c r="K8" s="40" t="s">
        <v>214</v>
      </c>
      <c r="L8" s="32" t="s">
        <v>245</v>
      </c>
      <c r="M8" s="32" t="s">
        <v>246</v>
      </c>
      <c r="N8" s="32" t="s">
        <v>244</v>
      </c>
    </row>
    <row r="9" spans="1:14" x14ac:dyDescent="0.3">
      <c r="A9" s="32" t="s">
        <v>195</v>
      </c>
      <c r="B9" s="32" t="s">
        <v>196</v>
      </c>
      <c r="C9" s="32" t="s">
        <v>208</v>
      </c>
      <c r="D9" s="32" t="s">
        <v>209</v>
      </c>
      <c r="E9" s="40" t="s">
        <v>211</v>
      </c>
      <c r="F9" s="40" t="s">
        <v>212</v>
      </c>
      <c r="G9" s="40" t="s">
        <v>213</v>
      </c>
      <c r="H9" s="40" t="s">
        <v>214</v>
      </c>
      <c r="I9" s="40" t="s">
        <v>227</v>
      </c>
      <c r="J9" s="40" t="s">
        <v>228</v>
      </c>
      <c r="K9" s="40" t="s">
        <v>214</v>
      </c>
      <c r="L9" s="32" t="s">
        <v>245</v>
      </c>
      <c r="M9" s="32" t="s">
        <v>246</v>
      </c>
      <c r="N9" s="32" t="s">
        <v>244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B2:M180"/>
  <sheetViews>
    <sheetView showGridLines="0" workbookViewId="0">
      <selection activeCell="E26" sqref="E26"/>
    </sheetView>
  </sheetViews>
  <sheetFormatPr defaultRowHeight="14.4" x14ac:dyDescent="0.3"/>
  <cols>
    <col min="1" max="1" width="2" style="32" customWidth="1"/>
    <col min="2" max="2" width="9.6640625" style="32" bestFit="1" customWidth="1"/>
    <col min="3" max="3" width="11.109375" style="32" bestFit="1" customWidth="1"/>
    <col min="4" max="4" width="10.5546875" style="32" bestFit="1" customWidth="1"/>
    <col min="5" max="5" width="11.21875" style="32" bestFit="1" customWidth="1"/>
    <col min="6" max="6" width="8.44140625" style="32" bestFit="1" customWidth="1"/>
    <col min="7" max="7" width="12" style="32" bestFit="1" customWidth="1"/>
    <col min="8" max="8" width="16.109375" style="32" bestFit="1" customWidth="1"/>
    <col min="9" max="9" width="9.21875" style="32" bestFit="1" customWidth="1"/>
    <col min="10" max="10" width="12" style="32" bestFit="1" customWidth="1"/>
    <col min="11" max="11" width="16.109375" style="32" bestFit="1" customWidth="1"/>
    <col min="12" max="12" width="10.5546875" style="32" bestFit="1" customWidth="1"/>
    <col min="13" max="13" width="10.5546875" style="44" customWidth="1"/>
    <col min="14" max="16384" width="8.88671875" style="32"/>
  </cols>
  <sheetData>
    <row r="2" spans="2:13" customFormat="1" x14ac:dyDescent="0.3">
      <c r="B2" s="36" t="s">
        <v>247</v>
      </c>
      <c r="C2" s="36" t="s">
        <v>248</v>
      </c>
    </row>
    <row r="3" spans="2:13" customFormat="1" x14ac:dyDescent="0.3">
      <c r="B3" s="42" t="s">
        <v>249</v>
      </c>
      <c r="C3" s="43">
        <v>123</v>
      </c>
    </row>
    <row r="4" spans="2:13" x14ac:dyDescent="0.3">
      <c r="B4" s="42" t="s">
        <v>250</v>
      </c>
      <c r="C4" s="43">
        <v>39</v>
      </c>
    </row>
    <row r="5" spans="2:13" x14ac:dyDescent="0.3">
      <c r="B5" s="42" t="s">
        <v>251</v>
      </c>
      <c r="C5" s="43">
        <v>9</v>
      </c>
    </row>
    <row r="6" spans="2:13" x14ac:dyDescent="0.3">
      <c r="B6" s="45" t="s">
        <v>252</v>
      </c>
      <c r="C6" s="46">
        <f>+SUM(C3:C5)</f>
        <v>171</v>
      </c>
    </row>
    <row r="7" spans="2:13" x14ac:dyDescent="0.3">
      <c r="B7" s="44"/>
    </row>
    <row r="8" spans="2:13" x14ac:dyDescent="0.3">
      <c r="B8" s="44"/>
    </row>
    <row r="9" spans="2:13" x14ac:dyDescent="0.3">
      <c r="B9" s="36" t="s">
        <v>129</v>
      </c>
      <c r="C9" s="36" t="s">
        <v>130</v>
      </c>
      <c r="D9" s="36" t="s">
        <v>148</v>
      </c>
      <c r="E9" s="36" t="s">
        <v>253</v>
      </c>
      <c r="F9" s="36" t="s">
        <v>153</v>
      </c>
      <c r="G9" s="36" t="s">
        <v>154</v>
      </c>
      <c r="H9" s="36" t="s">
        <v>155</v>
      </c>
      <c r="I9" s="36" t="s">
        <v>189</v>
      </c>
      <c r="J9" s="36" t="s">
        <v>190</v>
      </c>
      <c r="K9" s="36" t="s">
        <v>191</v>
      </c>
      <c r="L9" s="36" t="s">
        <v>254</v>
      </c>
      <c r="M9" s="47" t="s">
        <v>237</v>
      </c>
    </row>
    <row r="10" spans="2:13" x14ac:dyDescent="0.3">
      <c r="B10" s="32" t="s">
        <v>195</v>
      </c>
      <c r="C10" s="32" t="s">
        <v>255</v>
      </c>
      <c r="D10" s="32" t="s">
        <v>242</v>
      </c>
      <c r="E10" s="32" t="s">
        <v>256</v>
      </c>
      <c r="F10" s="32" t="s">
        <v>257</v>
      </c>
      <c r="G10" s="32" t="s">
        <v>258</v>
      </c>
      <c r="H10" s="32" t="s">
        <v>259</v>
      </c>
      <c r="I10" s="32" t="s">
        <v>257</v>
      </c>
      <c r="J10" s="32" t="s">
        <v>260</v>
      </c>
      <c r="K10" s="32" t="s">
        <v>214</v>
      </c>
      <c r="L10" s="32" t="s">
        <v>256</v>
      </c>
      <c r="M10" s="44" t="s">
        <v>249</v>
      </c>
    </row>
    <row r="11" spans="2:13" x14ac:dyDescent="0.3">
      <c r="B11" s="32" t="s">
        <v>238</v>
      </c>
      <c r="C11" s="32" t="s">
        <v>196</v>
      </c>
      <c r="D11" s="32" t="s">
        <v>261</v>
      </c>
      <c r="E11" s="32" t="s">
        <v>262</v>
      </c>
      <c r="F11" s="32" t="s">
        <v>212</v>
      </c>
      <c r="G11" s="32" t="s">
        <v>263</v>
      </c>
      <c r="H11" s="32" t="s">
        <v>214</v>
      </c>
      <c r="I11" s="32" t="s">
        <v>212</v>
      </c>
      <c r="J11" s="32" t="s">
        <v>264</v>
      </c>
      <c r="K11" s="32" t="s">
        <v>214</v>
      </c>
      <c r="L11" s="32" t="s">
        <v>265</v>
      </c>
      <c r="M11" s="44" t="s">
        <v>250</v>
      </c>
    </row>
    <row r="12" spans="2:13" x14ac:dyDescent="0.3">
      <c r="B12" s="32" t="s">
        <v>238</v>
      </c>
      <c r="C12" s="32" t="s">
        <v>196</v>
      </c>
      <c r="D12" s="32" t="s">
        <v>266</v>
      </c>
      <c r="E12" s="32" t="s">
        <v>267</v>
      </c>
      <c r="F12" s="32" t="s">
        <v>268</v>
      </c>
      <c r="G12" s="32" t="s">
        <v>269</v>
      </c>
      <c r="H12" s="32" t="s">
        <v>214</v>
      </c>
      <c r="I12" s="32" t="s">
        <v>268</v>
      </c>
      <c r="J12" s="32" t="s">
        <v>270</v>
      </c>
      <c r="K12" s="32" t="s">
        <v>271</v>
      </c>
      <c r="L12" s="32" t="s">
        <v>272</v>
      </c>
      <c r="M12" s="44" t="s">
        <v>251</v>
      </c>
    </row>
    <row r="13" spans="2:13" x14ac:dyDescent="0.3">
      <c r="B13" s="32" t="s">
        <v>238</v>
      </c>
      <c r="C13" s="32" t="s">
        <v>196</v>
      </c>
      <c r="D13" s="32" t="s">
        <v>273</v>
      </c>
      <c r="E13" s="32" t="s">
        <v>274</v>
      </c>
      <c r="F13" s="32" t="s">
        <v>212</v>
      </c>
      <c r="G13" s="32" t="s">
        <v>275</v>
      </c>
      <c r="H13" s="32" t="s">
        <v>214</v>
      </c>
      <c r="I13" s="32" t="s">
        <v>212</v>
      </c>
      <c r="J13" s="32" t="s">
        <v>276</v>
      </c>
      <c r="K13" s="32" t="s">
        <v>214</v>
      </c>
      <c r="L13" s="32" t="s">
        <v>277</v>
      </c>
      <c r="M13" s="44" t="s">
        <v>250</v>
      </c>
    </row>
    <row r="14" spans="2:13" x14ac:dyDescent="0.3">
      <c r="B14" s="32" t="s">
        <v>195</v>
      </c>
      <c r="C14" s="32" t="s">
        <v>230</v>
      </c>
      <c r="D14" s="32" t="s">
        <v>278</v>
      </c>
      <c r="E14" s="32" t="s">
        <v>279</v>
      </c>
      <c r="F14" s="32" t="s">
        <v>280</v>
      </c>
      <c r="G14" s="32" t="s">
        <v>281</v>
      </c>
      <c r="H14" s="32" t="s">
        <v>214</v>
      </c>
      <c r="I14" s="32" t="s">
        <v>282</v>
      </c>
      <c r="J14" s="32" t="s">
        <v>283</v>
      </c>
      <c r="K14" s="32" t="s">
        <v>214</v>
      </c>
      <c r="L14" s="32" t="s">
        <v>284</v>
      </c>
      <c r="M14" s="44" t="s">
        <v>249</v>
      </c>
    </row>
    <row r="15" spans="2:13" x14ac:dyDescent="0.3">
      <c r="B15" s="32" t="s">
        <v>195</v>
      </c>
      <c r="C15" s="32" t="s">
        <v>196</v>
      </c>
      <c r="D15" s="32" t="s">
        <v>285</v>
      </c>
      <c r="E15" s="32" t="s">
        <v>286</v>
      </c>
      <c r="F15" s="32" t="s">
        <v>287</v>
      </c>
      <c r="G15" s="32" t="s">
        <v>288</v>
      </c>
      <c r="H15" s="32" t="s">
        <v>214</v>
      </c>
      <c r="I15" s="32" t="s">
        <v>212</v>
      </c>
      <c r="J15" s="32" t="s">
        <v>289</v>
      </c>
      <c r="K15" s="32" t="s">
        <v>290</v>
      </c>
      <c r="L15" s="32" t="s">
        <v>285</v>
      </c>
      <c r="M15" s="44" t="s">
        <v>249</v>
      </c>
    </row>
    <row r="16" spans="2:13" x14ac:dyDescent="0.3">
      <c r="B16" s="32" t="s">
        <v>195</v>
      </c>
      <c r="C16" s="32" t="s">
        <v>230</v>
      </c>
      <c r="D16" s="32" t="s">
        <v>291</v>
      </c>
      <c r="E16" s="32" t="s">
        <v>292</v>
      </c>
      <c r="F16" s="32" t="s">
        <v>212</v>
      </c>
      <c r="G16" s="32" t="s">
        <v>293</v>
      </c>
      <c r="H16" s="32" t="s">
        <v>214</v>
      </c>
      <c r="I16" s="32" t="s">
        <v>294</v>
      </c>
      <c r="J16" s="32" t="s">
        <v>295</v>
      </c>
      <c r="K16" s="32" t="s">
        <v>214</v>
      </c>
      <c r="L16" s="32" t="s">
        <v>296</v>
      </c>
      <c r="M16" s="44" t="s">
        <v>249</v>
      </c>
    </row>
    <row r="17" spans="2:13" x14ac:dyDescent="0.3">
      <c r="B17" s="32" t="s">
        <v>195</v>
      </c>
      <c r="C17" s="32" t="s">
        <v>230</v>
      </c>
      <c r="D17" s="32" t="s">
        <v>297</v>
      </c>
      <c r="E17" s="32" t="s">
        <v>298</v>
      </c>
      <c r="F17" s="32" t="s">
        <v>212</v>
      </c>
      <c r="G17" s="32" t="s">
        <v>293</v>
      </c>
      <c r="H17" s="32" t="s">
        <v>214</v>
      </c>
      <c r="I17" s="32" t="s">
        <v>294</v>
      </c>
      <c r="J17" s="32" t="s">
        <v>299</v>
      </c>
      <c r="K17" s="32" t="s">
        <v>214</v>
      </c>
      <c r="L17" s="32" t="s">
        <v>300</v>
      </c>
      <c r="M17" s="44" t="s">
        <v>249</v>
      </c>
    </row>
    <row r="18" spans="2:13" x14ac:dyDescent="0.3">
      <c r="B18" s="32" t="s">
        <v>195</v>
      </c>
      <c r="C18" s="32" t="s">
        <v>230</v>
      </c>
      <c r="D18" s="32" t="s">
        <v>301</v>
      </c>
      <c r="E18" s="32" t="s">
        <v>302</v>
      </c>
      <c r="F18" s="32" t="s">
        <v>212</v>
      </c>
      <c r="G18" s="32" t="s">
        <v>293</v>
      </c>
      <c r="H18" s="32" t="s">
        <v>214</v>
      </c>
      <c r="I18" s="32" t="s">
        <v>294</v>
      </c>
      <c r="J18" s="32" t="s">
        <v>303</v>
      </c>
      <c r="K18" s="32" t="s">
        <v>214</v>
      </c>
      <c r="L18" s="32" t="s">
        <v>304</v>
      </c>
      <c r="M18" s="44" t="s">
        <v>249</v>
      </c>
    </row>
    <row r="19" spans="2:13" x14ac:dyDescent="0.3">
      <c r="B19" s="32" t="s">
        <v>195</v>
      </c>
      <c r="C19" s="32" t="s">
        <v>230</v>
      </c>
      <c r="D19" s="32" t="s">
        <v>291</v>
      </c>
      <c r="E19" s="32" t="s">
        <v>292</v>
      </c>
      <c r="F19" s="32" t="s">
        <v>212</v>
      </c>
      <c r="G19" s="32" t="s">
        <v>293</v>
      </c>
      <c r="H19" s="32" t="s">
        <v>214</v>
      </c>
      <c r="I19" s="32" t="s">
        <v>294</v>
      </c>
      <c r="J19" s="32" t="s">
        <v>305</v>
      </c>
      <c r="K19" s="32" t="s">
        <v>214</v>
      </c>
      <c r="L19" s="32" t="s">
        <v>296</v>
      </c>
      <c r="M19" s="44" t="s">
        <v>249</v>
      </c>
    </row>
    <row r="20" spans="2:13" x14ac:dyDescent="0.3">
      <c r="B20" s="32" t="s">
        <v>238</v>
      </c>
      <c r="C20" s="32" t="s">
        <v>196</v>
      </c>
      <c r="D20" s="32" t="s">
        <v>306</v>
      </c>
      <c r="E20" s="32" t="s">
        <v>307</v>
      </c>
      <c r="F20" s="32" t="s">
        <v>212</v>
      </c>
      <c r="G20" s="32" t="s">
        <v>308</v>
      </c>
      <c r="H20" s="32" t="s">
        <v>214</v>
      </c>
      <c r="I20" s="32" t="s">
        <v>212</v>
      </c>
      <c r="J20" s="32" t="s">
        <v>309</v>
      </c>
      <c r="K20" s="32" t="s">
        <v>214</v>
      </c>
      <c r="L20" s="32" t="s">
        <v>310</v>
      </c>
      <c r="M20" s="44" t="s">
        <v>250</v>
      </c>
    </row>
    <row r="21" spans="2:13" x14ac:dyDescent="0.3">
      <c r="B21" s="32" t="s">
        <v>238</v>
      </c>
      <c r="C21" s="32" t="s">
        <v>196</v>
      </c>
      <c r="D21" s="32" t="s">
        <v>311</v>
      </c>
      <c r="E21" s="32" t="s">
        <v>312</v>
      </c>
      <c r="F21" s="32" t="s">
        <v>212</v>
      </c>
      <c r="G21" s="32" t="s">
        <v>308</v>
      </c>
      <c r="H21" s="32" t="s">
        <v>214</v>
      </c>
      <c r="I21" s="32" t="s">
        <v>212</v>
      </c>
      <c r="J21" s="32" t="s">
        <v>313</v>
      </c>
      <c r="K21" s="32" t="s">
        <v>214</v>
      </c>
      <c r="L21" s="32" t="s">
        <v>314</v>
      </c>
      <c r="M21" s="44" t="s">
        <v>250</v>
      </c>
    </row>
    <row r="22" spans="2:13" x14ac:dyDescent="0.3">
      <c r="B22" s="32" t="s">
        <v>238</v>
      </c>
      <c r="C22" s="32" t="s">
        <v>196</v>
      </c>
      <c r="D22" s="32" t="s">
        <v>315</v>
      </c>
      <c r="E22" s="32" t="s">
        <v>316</v>
      </c>
      <c r="F22" s="32" t="s">
        <v>212</v>
      </c>
      <c r="G22" s="32" t="s">
        <v>308</v>
      </c>
      <c r="H22" s="32" t="s">
        <v>214</v>
      </c>
      <c r="I22" s="32" t="s">
        <v>212</v>
      </c>
      <c r="J22" s="32" t="s">
        <v>317</v>
      </c>
      <c r="K22" s="32" t="s">
        <v>214</v>
      </c>
      <c r="L22" s="32" t="s">
        <v>318</v>
      </c>
      <c r="M22" s="44" t="s">
        <v>250</v>
      </c>
    </row>
    <row r="23" spans="2:13" x14ac:dyDescent="0.3">
      <c r="B23" s="32" t="s">
        <v>195</v>
      </c>
      <c r="C23" s="32" t="s">
        <v>230</v>
      </c>
      <c r="D23" s="32" t="s">
        <v>319</v>
      </c>
      <c r="E23" s="32" t="s">
        <v>320</v>
      </c>
      <c r="F23" s="32" t="s">
        <v>212</v>
      </c>
      <c r="G23" s="32" t="s">
        <v>321</v>
      </c>
      <c r="H23" s="32" t="s">
        <v>214</v>
      </c>
      <c r="I23" s="32" t="s">
        <v>257</v>
      </c>
      <c r="J23" s="32" t="s">
        <v>322</v>
      </c>
      <c r="K23" s="32" t="s">
        <v>214</v>
      </c>
      <c r="L23" s="32" t="s">
        <v>323</v>
      </c>
      <c r="M23" s="44" t="s">
        <v>249</v>
      </c>
    </row>
    <row r="24" spans="2:13" x14ac:dyDescent="0.3">
      <c r="B24" s="32" t="s">
        <v>195</v>
      </c>
      <c r="C24" s="32" t="s">
        <v>230</v>
      </c>
      <c r="D24" s="32" t="s">
        <v>324</v>
      </c>
      <c r="E24" s="32" t="s">
        <v>325</v>
      </c>
      <c r="F24" s="32" t="s">
        <v>212</v>
      </c>
      <c r="G24" s="32" t="s">
        <v>326</v>
      </c>
      <c r="H24" s="32" t="s">
        <v>214</v>
      </c>
      <c r="I24" s="32" t="s">
        <v>294</v>
      </c>
      <c r="J24" s="32" t="s">
        <v>327</v>
      </c>
      <c r="K24" s="32" t="s">
        <v>214</v>
      </c>
      <c r="L24" s="32" t="s">
        <v>328</v>
      </c>
      <c r="M24" s="44" t="s">
        <v>249</v>
      </c>
    </row>
    <row r="25" spans="2:13" x14ac:dyDescent="0.3">
      <c r="B25" s="32" t="s">
        <v>195</v>
      </c>
      <c r="C25" s="32" t="s">
        <v>230</v>
      </c>
      <c r="D25" s="32" t="s">
        <v>329</v>
      </c>
      <c r="E25" s="32" t="s">
        <v>330</v>
      </c>
      <c r="F25" s="32" t="s">
        <v>212</v>
      </c>
      <c r="G25" s="32" t="s">
        <v>326</v>
      </c>
      <c r="H25" s="32" t="s">
        <v>214</v>
      </c>
      <c r="I25" s="32" t="s">
        <v>294</v>
      </c>
      <c r="J25" s="32" t="s">
        <v>331</v>
      </c>
      <c r="K25" s="32" t="s">
        <v>214</v>
      </c>
      <c r="L25" s="32" t="s">
        <v>332</v>
      </c>
      <c r="M25" s="44" t="s">
        <v>249</v>
      </c>
    </row>
    <row r="26" spans="2:13" x14ac:dyDescent="0.3">
      <c r="B26" s="32" t="s">
        <v>195</v>
      </c>
      <c r="C26" s="32" t="s">
        <v>230</v>
      </c>
      <c r="D26" s="32" t="s">
        <v>333</v>
      </c>
      <c r="E26" s="32" t="s">
        <v>334</v>
      </c>
      <c r="F26" s="32" t="s">
        <v>212</v>
      </c>
      <c r="G26" s="32" t="s">
        <v>326</v>
      </c>
      <c r="H26" s="32" t="s">
        <v>214</v>
      </c>
      <c r="I26" s="32" t="s">
        <v>294</v>
      </c>
      <c r="J26" s="32" t="s">
        <v>335</v>
      </c>
      <c r="K26" s="32" t="s">
        <v>214</v>
      </c>
      <c r="L26" s="32" t="s">
        <v>336</v>
      </c>
      <c r="M26" s="44" t="s">
        <v>249</v>
      </c>
    </row>
    <row r="27" spans="2:13" x14ac:dyDescent="0.3">
      <c r="B27" s="32" t="s">
        <v>195</v>
      </c>
      <c r="C27" s="32" t="s">
        <v>230</v>
      </c>
      <c r="D27" s="32" t="s">
        <v>337</v>
      </c>
      <c r="E27" s="32" t="s">
        <v>338</v>
      </c>
      <c r="F27" s="32" t="s">
        <v>212</v>
      </c>
      <c r="G27" s="32" t="s">
        <v>326</v>
      </c>
      <c r="H27" s="32" t="s">
        <v>214</v>
      </c>
      <c r="I27" s="32" t="s">
        <v>294</v>
      </c>
      <c r="J27" s="32" t="s">
        <v>339</v>
      </c>
      <c r="K27" s="32" t="s">
        <v>214</v>
      </c>
      <c r="L27" s="32" t="s">
        <v>340</v>
      </c>
      <c r="M27" s="44" t="s">
        <v>249</v>
      </c>
    </row>
    <row r="28" spans="2:13" x14ac:dyDescent="0.3">
      <c r="B28" s="32" t="s">
        <v>195</v>
      </c>
      <c r="C28" s="32" t="s">
        <v>230</v>
      </c>
      <c r="D28" s="32" t="s">
        <v>341</v>
      </c>
      <c r="E28" s="32" t="s">
        <v>342</v>
      </c>
      <c r="F28" s="32" t="s">
        <v>212</v>
      </c>
      <c r="G28" s="32" t="s">
        <v>326</v>
      </c>
      <c r="H28" s="32" t="s">
        <v>214</v>
      </c>
      <c r="I28" s="32" t="s">
        <v>294</v>
      </c>
      <c r="J28" s="32" t="s">
        <v>343</v>
      </c>
      <c r="K28" s="32" t="s">
        <v>214</v>
      </c>
      <c r="L28" s="32" t="s">
        <v>344</v>
      </c>
      <c r="M28" s="44" t="s">
        <v>249</v>
      </c>
    </row>
    <row r="29" spans="2:13" x14ac:dyDescent="0.3">
      <c r="B29" s="32" t="s">
        <v>195</v>
      </c>
      <c r="C29" s="32" t="s">
        <v>230</v>
      </c>
      <c r="D29" s="32" t="s">
        <v>345</v>
      </c>
      <c r="E29" s="32" t="s">
        <v>346</v>
      </c>
      <c r="F29" s="32" t="s">
        <v>212</v>
      </c>
      <c r="G29" s="32" t="s">
        <v>326</v>
      </c>
      <c r="H29" s="32" t="s">
        <v>214</v>
      </c>
      <c r="I29" s="32" t="s">
        <v>294</v>
      </c>
      <c r="J29" s="32" t="s">
        <v>347</v>
      </c>
      <c r="K29" s="32" t="s">
        <v>214</v>
      </c>
      <c r="L29" s="32" t="s">
        <v>348</v>
      </c>
      <c r="M29" s="44" t="s">
        <v>249</v>
      </c>
    </row>
    <row r="30" spans="2:13" x14ac:dyDescent="0.3">
      <c r="B30" s="32" t="s">
        <v>195</v>
      </c>
      <c r="C30" s="32" t="s">
        <v>230</v>
      </c>
      <c r="D30" s="32" t="s">
        <v>349</v>
      </c>
      <c r="E30" s="32" t="s">
        <v>350</v>
      </c>
      <c r="F30" s="32" t="s">
        <v>212</v>
      </c>
      <c r="G30" s="32" t="s">
        <v>326</v>
      </c>
      <c r="H30" s="32" t="s">
        <v>214</v>
      </c>
      <c r="I30" s="32" t="s">
        <v>294</v>
      </c>
      <c r="J30" s="32" t="s">
        <v>351</v>
      </c>
      <c r="K30" s="32" t="s">
        <v>214</v>
      </c>
      <c r="L30" s="32" t="s">
        <v>352</v>
      </c>
      <c r="M30" s="44" t="s">
        <v>249</v>
      </c>
    </row>
    <row r="31" spans="2:13" x14ac:dyDescent="0.3">
      <c r="B31" s="32" t="s">
        <v>195</v>
      </c>
      <c r="C31" s="32" t="s">
        <v>196</v>
      </c>
      <c r="D31" s="32" t="s">
        <v>353</v>
      </c>
      <c r="E31" s="32" t="s">
        <v>354</v>
      </c>
      <c r="F31" s="32" t="s">
        <v>355</v>
      </c>
      <c r="G31" s="32" t="s">
        <v>356</v>
      </c>
      <c r="H31" s="32" t="s">
        <v>214</v>
      </c>
      <c r="I31" s="32" t="s">
        <v>257</v>
      </c>
      <c r="J31" s="32" t="s">
        <v>357</v>
      </c>
      <c r="K31" s="32" t="s">
        <v>214</v>
      </c>
      <c r="L31" s="32" t="s">
        <v>358</v>
      </c>
      <c r="M31" s="44" t="s">
        <v>249</v>
      </c>
    </row>
    <row r="32" spans="2:13" x14ac:dyDescent="0.3">
      <c r="B32" s="32" t="s">
        <v>238</v>
      </c>
      <c r="C32" s="32" t="s">
        <v>196</v>
      </c>
      <c r="D32" s="32" t="s">
        <v>359</v>
      </c>
      <c r="E32" s="32" t="s">
        <v>360</v>
      </c>
      <c r="F32" s="32" t="s">
        <v>212</v>
      </c>
      <c r="G32" s="32" t="s">
        <v>361</v>
      </c>
      <c r="H32" s="32" t="s">
        <v>214</v>
      </c>
      <c r="I32" s="32" t="s">
        <v>212</v>
      </c>
      <c r="J32" s="32" t="s">
        <v>362</v>
      </c>
      <c r="K32" s="32" t="s">
        <v>214</v>
      </c>
      <c r="L32" s="32" t="s">
        <v>360</v>
      </c>
      <c r="M32" s="44" t="s">
        <v>250</v>
      </c>
    </row>
    <row r="33" spans="2:13" x14ac:dyDescent="0.3">
      <c r="B33" s="32" t="s">
        <v>195</v>
      </c>
      <c r="C33" s="32" t="s">
        <v>230</v>
      </c>
      <c r="D33" s="32" t="s">
        <v>363</v>
      </c>
      <c r="E33" s="32" t="s">
        <v>364</v>
      </c>
      <c r="F33" s="32" t="s">
        <v>355</v>
      </c>
      <c r="G33" s="32" t="s">
        <v>365</v>
      </c>
      <c r="H33" s="32" t="s">
        <v>214</v>
      </c>
      <c r="I33" s="32" t="s">
        <v>366</v>
      </c>
      <c r="J33" s="32" t="s">
        <v>367</v>
      </c>
      <c r="K33" s="32" t="s">
        <v>214</v>
      </c>
      <c r="L33" s="32" t="s">
        <v>368</v>
      </c>
      <c r="M33" s="44" t="s">
        <v>249</v>
      </c>
    </row>
    <row r="34" spans="2:13" x14ac:dyDescent="0.3">
      <c r="B34" s="32" t="s">
        <v>238</v>
      </c>
      <c r="C34" s="32" t="s">
        <v>196</v>
      </c>
      <c r="D34" s="32" t="s">
        <v>369</v>
      </c>
      <c r="E34" s="32" t="s">
        <v>370</v>
      </c>
      <c r="F34" s="32" t="s">
        <v>212</v>
      </c>
      <c r="G34" s="32" t="s">
        <v>275</v>
      </c>
      <c r="H34" s="32" t="s">
        <v>214</v>
      </c>
      <c r="I34" s="32" t="s">
        <v>212</v>
      </c>
      <c r="J34" s="32" t="s">
        <v>371</v>
      </c>
      <c r="K34" s="32" t="s">
        <v>214</v>
      </c>
      <c r="L34" s="32" t="s">
        <v>372</v>
      </c>
      <c r="M34" s="44" t="s">
        <v>250</v>
      </c>
    </row>
    <row r="35" spans="2:13" x14ac:dyDescent="0.3">
      <c r="B35" s="32" t="s">
        <v>195</v>
      </c>
      <c r="C35" s="32" t="s">
        <v>196</v>
      </c>
      <c r="D35" s="32" t="s">
        <v>373</v>
      </c>
      <c r="E35" s="32" t="s">
        <v>374</v>
      </c>
      <c r="F35" s="32" t="s">
        <v>375</v>
      </c>
      <c r="G35" s="32" t="s">
        <v>376</v>
      </c>
      <c r="H35" s="32" t="s">
        <v>214</v>
      </c>
      <c r="I35" s="32" t="s">
        <v>280</v>
      </c>
      <c r="J35" s="32" t="s">
        <v>377</v>
      </c>
      <c r="K35" s="32" t="s">
        <v>290</v>
      </c>
      <c r="L35" s="32" t="s">
        <v>378</v>
      </c>
      <c r="M35" s="44" t="s">
        <v>249</v>
      </c>
    </row>
    <row r="36" spans="2:13" x14ac:dyDescent="0.3">
      <c r="B36" s="32" t="s">
        <v>195</v>
      </c>
      <c r="C36" s="32" t="s">
        <v>196</v>
      </c>
      <c r="D36" s="32" t="s">
        <v>379</v>
      </c>
      <c r="E36" s="32" t="s">
        <v>380</v>
      </c>
      <c r="F36" s="32" t="s">
        <v>375</v>
      </c>
      <c r="G36" s="32" t="s">
        <v>376</v>
      </c>
      <c r="H36" s="32" t="s">
        <v>214</v>
      </c>
      <c r="I36" s="32" t="s">
        <v>280</v>
      </c>
      <c r="J36" s="32" t="s">
        <v>377</v>
      </c>
      <c r="K36" s="32" t="s">
        <v>381</v>
      </c>
      <c r="L36" s="32" t="s">
        <v>382</v>
      </c>
      <c r="M36" s="44" t="s">
        <v>249</v>
      </c>
    </row>
    <row r="37" spans="2:13" x14ac:dyDescent="0.3">
      <c r="B37" s="32" t="s">
        <v>195</v>
      </c>
      <c r="C37" s="32" t="s">
        <v>196</v>
      </c>
      <c r="D37" s="32" t="s">
        <v>383</v>
      </c>
      <c r="E37" s="32" t="s">
        <v>384</v>
      </c>
      <c r="F37" s="32" t="s">
        <v>375</v>
      </c>
      <c r="G37" s="32" t="s">
        <v>376</v>
      </c>
      <c r="H37" s="32" t="s">
        <v>214</v>
      </c>
      <c r="I37" s="32" t="s">
        <v>280</v>
      </c>
      <c r="J37" s="32" t="s">
        <v>377</v>
      </c>
      <c r="K37" s="32" t="s">
        <v>385</v>
      </c>
      <c r="L37" s="32" t="s">
        <v>386</v>
      </c>
      <c r="M37" s="44" t="s">
        <v>249</v>
      </c>
    </row>
    <row r="38" spans="2:13" x14ac:dyDescent="0.3">
      <c r="B38" s="32" t="s">
        <v>195</v>
      </c>
      <c r="C38" s="32" t="s">
        <v>196</v>
      </c>
      <c r="D38" s="32" t="s">
        <v>387</v>
      </c>
      <c r="E38" s="32" t="s">
        <v>388</v>
      </c>
      <c r="F38" s="32" t="s">
        <v>375</v>
      </c>
      <c r="G38" s="32" t="s">
        <v>376</v>
      </c>
      <c r="H38" s="32" t="s">
        <v>214</v>
      </c>
      <c r="I38" s="32" t="s">
        <v>280</v>
      </c>
      <c r="J38" s="32" t="s">
        <v>377</v>
      </c>
      <c r="K38" s="32" t="s">
        <v>389</v>
      </c>
      <c r="L38" s="32" t="s">
        <v>390</v>
      </c>
      <c r="M38" s="44" t="s">
        <v>249</v>
      </c>
    </row>
    <row r="39" spans="2:13" x14ac:dyDescent="0.3">
      <c r="B39" s="32" t="s">
        <v>195</v>
      </c>
      <c r="C39" s="32" t="s">
        <v>196</v>
      </c>
      <c r="D39" s="32" t="s">
        <v>391</v>
      </c>
      <c r="E39" s="32" t="s">
        <v>392</v>
      </c>
      <c r="F39" s="32" t="s">
        <v>375</v>
      </c>
      <c r="G39" s="32" t="s">
        <v>376</v>
      </c>
      <c r="H39" s="32" t="s">
        <v>214</v>
      </c>
      <c r="I39" s="32" t="s">
        <v>280</v>
      </c>
      <c r="J39" s="32" t="s">
        <v>393</v>
      </c>
      <c r="K39" s="32" t="s">
        <v>394</v>
      </c>
      <c r="L39" s="32" t="s">
        <v>395</v>
      </c>
      <c r="M39" s="44" t="s">
        <v>249</v>
      </c>
    </row>
    <row r="40" spans="2:13" x14ac:dyDescent="0.3">
      <c r="B40" s="32" t="s">
        <v>195</v>
      </c>
      <c r="C40" s="32" t="s">
        <v>230</v>
      </c>
      <c r="D40" s="32" t="s">
        <v>396</v>
      </c>
      <c r="E40" s="32" t="s">
        <v>397</v>
      </c>
      <c r="F40" s="32" t="s">
        <v>212</v>
      </c>
      <c r="G40" s="32" t="s">
        <v>293</v>
      </c>
      <c r="H40" s="32" t="s">
        <v>214</v>
      </c>
      <c r="I40" s="32" t="s">
        <v>294</v>
      </c>
      <c r="J40" s="32" t="s">
        <v>398</v>
      </c>
      <c r="K40" s="32" t="s">
        <v>214</v>
      </c>
      <c r="L40" s="32" t="s">
        <v>399</v>
      </c>
      <c r="M40" s="44" t="s">
        <v>249</v>
      </c>
    </row>
    <row r="41" spans="2:13" x14ac:dyDescent="0.3">
      <c r="B41" s="32" t="s">
        <v>195</v>
      </c>
      <c r="C41" s="32" t="s">
        <v>230</v>
      </c>
      <c r="D41" s="32" t="s">
        <v>297</v>
      </c>
      <c r="E41" s="32" t="s">
        <v>298</v>
      </c>
      <c r="F41" s="32" t="s">
        <v>212</v>
      </c>
      <c r="G41" s="32" t="s">
        <v>293</v>
      </c>
      <c r="H41" s="32" t="s">
        <v>214</v>
      </c>
      <c r="I41" s="32" t="s">
        <v>294</v>
      </c>
      <c r="J41" s="32" t="s">
        <v>400</v>
      </c>
      <c r="K41" s="32" t="s">
        <v>214</v>
      </c>
      <c r="L41" s="32" t="s">
        <v>300</v>
      </c>
      <c r="M41" s="44" t="s">
        <v>249</v>
      </c>
    </row>
    <row r="42" spans="2:13" x14ac:dyDescent="0.3">
      <c r="B42" s="32" t="s">
        <v>195</v>
      </c>
      <c r="C42" s="32" t="s">
        <v>230</v>
      </c>
      <c r="D42" s="32" t="s">
        <v>401</v>
      </c>
      <c r="E42" s="32" t="s">
        <v>402</v>
      </c>
      <c r="F42" s="32" t="s">
        <v>212</v>
      </c>
      <c r="G42" s="32" t="s">
        <v>293</v>
      </c>
      <c r="H42" s="32" t="s">
        <v>214</v>
      </c>
      <c r="I42" s="32" t="s">
        <v>294</v>
      </c>
      <c r="J42" s="32" t="s">
        <v>403</v>
      </c>
      <c r="K42" s="32" t="s">
        <v>214</v>
      </c>
      <c r="L42" s="32" t="s">
        <v>404</v>
      </c>
      <c r="M42" s="44" t="s">
        <v>249</v>
      </c>
    </row>
    <row r="43" spans="2:13" x14ac:dyDescent="0.3">
      <c r="B43" s="32" t="s">
        <v>238</v>
      </c>
      <c r="C43" s="32" t="s">
        <v>196</v>
      </c>
      <c r="D43" s="32" t="s">
        <v>405</v>
      </c>
      <c r="E43" s="32" t="s">
        <v>406</v>
      </c>
      <c r="F43" s="32" t="s">
        <v>212</v>
      </c>
      <c r="G43" s="32" t="s">
        <v>407</v>
      </c>
      <c r="H43" s="32" t="s">
        <v>214</v>
      </c>
      <c r="I43" s="32" t="s">
        <v>212</v>
      </c>
      <c r="J43" s="32" t="s">
        <v>408</v>
      </c>
      <c r="K43" s="32" t="s">
        <v>214</v>
      </c>
      <c r="L43" s="32" t="s">
        <v>409</v>
      </c>
      <c r="M43" s="44" t="s">
        <v>250</v>
      </c>
    </row>
    <row r="44" spans="2:13" x14ac:dyDescent="0.3">
      <c r="B44" s="32" t="s">
        <v>238</v>
      </c>
      <c r="C44" s="32" t="s">
        <v>196</v>
      </c>
      <c r="D44" s="32" t="s">
        <v>410</v>
      </c>
      <c r="E44" s="32" t="s">
        <v>411</v>
      </c>
      <c r="F44" s="32" t="s">
        <v>212</v>
      </c>
      <c r="G44" s="32" t="s">
        <v>308</v>
      </c>
      <c r="H44" s="32" t="s">
        <v>214</v>
      </c>
      <c r="I44" s="32" t="s">
        <v>212</v>
      </c>
      <c r="J44" s="32" t="s">
        <v>412</v>
      </c>
      <c r="K44" s="32" t="s">
        <v>214</v>
      </c>
      <c r="L44" s="32" t="s">
        <v>413</v>
      </c>
      <c r="M44" s="44" t="s">
        <v>250</v>
      </c>
    </row>
    <row r="45" spans="2:13" x14ac:dyDescent="0.3">
      <c r="B45" s="32" t="s">
        <v>195</v>
      </c>
      <c r="C45" s="32" t="s">
        <v>230</v>
      </c>
      <c r="D45" s="32" t="s">
        <v>414</v>
      </c>
      <c r="E45" s="32" t="s">
        <v>415</v>
      </c>
      <c r="F45" s="32" t="s">
        <v>280</v>
      </c>
      <c r="G45" s="32" t="s">
        <v>416</v>
      </c>
      <c r="H45" s="32" t="s">
        <v>214</v>
      </c>
      <c r="I45" s="32" t="s">
        <v>417</v>
      </c>
      <c r="J45" s="32" t="s">
        <v>418</v>
      </c>
      <c r="K45" s="32" t="s">
        <v>214</v>
      </c>
      <c r="L45" s="32" t="s">
        <v>419</v>
      </c>
      <c r="M45" s="44" t="s">
        <v>249</v>
      </c>
    </row>
    <row r="46" spans="2:13" x14ac:dyDescent="0.3">
      <c r="B46" s="32" t="s">
        <v>195</v>
      </c>
      <c r="C46" s="32" t="s">
        <v>230</v>
      </c>
      <c r="D46" s="32" t="s">
        <v>420</v>
      </c>
      <c r="E46" s="32" t="s">
        <v>421</v>
      </c>
      <c r="F46" s="32" t="s">
        <v>212</v>
      </c>
      <c r="G46" s="32" t="s">
        <v>326</v>
      </c>
      <c r="H46" s="32" t="s">
        <v>214</v>
      </c>
      <c r="I46" s="32" t="s">
        <v>294</v>
      </c>
      <c r="J46" s="32" t="s">
        <v>422</v>
      </c>
      <c r="K46" s="32" t="s">
        <v>214</v>
      </c>
      <c r="L46" s="32" t="s">
        <v>423</v>
      </c>
      <c r="M46" s="44" t="s">
        <v>249</v>
      </c>
    </row>
    <row r="47" spans="2:13" x14ac:dyDescent="0.3">
      <c r="B47" s="32" t="s">
        <v>195</v>
      </c>
      <c r="C47" s="32" t="s">
        <v>230</v>
      </c>
      <c r="D47" s="32" t="s">
        <v>424</v>
      </c>
      <c r="E47" s="32" t="s">
        <v>425</v>
      </c>
      <c r="F47" s="32" t="s">
        <v>212</v>
      </c>
      <c r="G47" s="32" t="s">
        <v>326</v>
      </c>
      <c r="H47" s="32" t="s">
        <v>214</v>
      </c>
      <c r="I47" s="32" t="s">
        <v>294</v>
      </c>
      <c r="J47" s="32" t="s">
        <v>426</v>
      </c>
      <c r="K47" s="32" t="s">
        <v>214</v>
      </c>
      <c r="L47" s="32" t="s">
        <v>427</v>
      </c>
      <c r="M47" s="44" t="s">
        <v>249</v>
      </c>
    </row>
    <row r="48" spans="2:13" x14ac:dyDescent="0.3">
      <c r="B48" s="32" t="s">
        <v>195</v>
      </c>
      <c r="C48" s="32" t="s">
        <v>230</v>
      </c>
      <c r="D48" s="32" t="s">
        <v>428</v>
      </c>
      <c r="E48" s="32" t="s">
        <v>388</v>
      </c>
      <c r="F48" s="32" t="s">
        <v>212</v>
      </c>
      <c r="G48" s="32" t="s">
        <v>326</v>
      </c>
      <c r="H48" s="32" t="s">
        <v>214</v>
      </c>
      <c r="I48" s="32" t="s">
        <v>294</v>
      </c>
      <c r="J48" s="32" t="s">
        <v>429</v>
      </c>
      <c r="K48" s="32" t="s">
        <v>214</v>
      </c>
      <c r="L48" s="32" t="s">
        <v>430</v>
      </c>
      <c r="M48" s="44" t="s">
        <v>249</v>
      </c>
    </row>
    <row r="49" spans="2:13" x14ac:dyDescent="0.3">
      <c r="B49" s="32" t="s">
        <v>195</v>
      </c>
      <c r="C49" s="32" t="s">
        <v>230</v>
      </c>
      <c r="D49" s="32" t="s">
        <v>431</v>
      </c>
      <c r="E49" s="32" t="s">
        <v>432</v>
      </c>
      <c r="F49" s="32" t="s">
        <v>212</v>
      </c>
      <c r="G49" s="32" t="s">
        <v>326</v>
      </c>
      <c r="H49" s="32" t="s">
        <v>214</v>
      </c>
      <c r="I49" s="32" t="s">
        <v>294</v>
      </c>
      <c r="J49" s="32" t="s">
        <v>433</v>
      </c>
      <c r="K49" s="32" t="s">
        <v>214</v>
      </c>
      <c r="L49" s="32" t="s">
        <v>434</v>
      </c>
      <c r="M49" s="44" t="s">
        <v>249</v>
      </c>
    </row>
    <row r="50" spans="2:13" x14ac:dyDescent="0.3">
      <c r="B50" s="32" t="s">
        <v>238</v>
      </c>
      <c r="C50" s="32" t="s">
        <v>196</v>
      </c>
      <c r="D50" s="32" t="s">
        <v>435</v>
      </c>
      <c r="E50" s="32" t="s">
        <v>436</v>
      </c>
      <c r="F50" s="32" t="s">
        <v>212</v>
      </c>
      <c r="G50" s="32" t="s">
        <v>437</v>
      </c>
      <c r="H50" s="32" t="s">
        <v>214</v>
      </c>
      <c r="I50" s="32" t="s">
        <v>212</v>
      </c>
      <c r="J50" s="32" t="s">
        <v>438</v>
      </c>
      <c r="K50" s="32" t="s">
        <v>439</v>
      </c>
      <c r="L50" s="32" t="s">
        <v>440</v>
      </c>
      <c r="M50" s="44" t="s">
        <v>250</v>
      </c>
    </row>
    <row r="51" spans="2:13" x14ac:dyDescent="0.3">
      <c r="B51" s="32" t="s">
        <v>195</v>
      </c>
      <c r="C51" s="32" t="s">
        <v>230</v>
      </c>
      <c r="D51" s="32" t="s">
        <v>441</v>
      </c>
      <c r="E51" s="32" t="s">
        <v>442</v>
      </c>
      <c r="F51" s="32" t="s">
        <v>280</v>
      </c>
      <c r="G51" s="32" t="s">
        <v>443</v>
      </c>
      <c r="H51" s="32" t="s">
        <v>214</v>
      </c>
      <c r="I51" s="32" t="s">
        <v>417</v>
      </c>
      <c r="J51" s="32" t="s">
        <v>444</v>
      </c>
      <c r="K51" s="32" t="s">
        <v>214</v>
      </c>
      <c r="L51" s="32" t="s">
        <v>445</v>
      </c>
      <c r="M51" s="44" t="s">
        <v>249</v>
      </c>
    </row>
    <row r="52" spans="2:13" x14ac:dyDescent="0.3">
      <c r="B52" s="32" t="s">
        <v>238</v>
      </c>
      <c r="C52" s="32" t="s">
        <v>196</v>
      </c>
      <c r="D52" s="32" t="s">
        <v>446</v>
      </c>
      <c r="E52" s="32" t="s">
        <v>440</v>
      </c>
      <c r="F52" s="32" t="s">
        <v>212</v>
      </c>
      <c r="G52" s="32" t="s">
        <v>447</v>
      </c>
      <c r="H52" s="32" t="s">
        <v>214</v>
      </c>
      <c r="I52" s="32" t="s">
        <v>212</v>
      </c>
      <c r="J52" s="32" t="s">
        <v>448</v>
      </c>
      <c r="K52" s="32" t="s">
        <v>214</v>
      </c>
      <c r="L52" s="32" t="s">
        <v>446</v>
      </c>
      <c r="M52" s="44" t="s">
        <v>251</v>
      </c>
    </row>
    <row r="53" spans="2:13" x14ac:dyDescent="0.3">
      <c r="B53" s="32" t="s">
        <v>195</v>
      </c>
      <c r="C53" s="32" t="s">
        <v>230</v>
      </c>
      <c r="D53" s="32" t="s">
        <v>449</v>
      </c>
      <c r="E53" s="32" t="s">
        <v>450</v>
      </c>
      <c r="F53" s="32" t="s">
        <v>355</v>
      </c>
      <c r="G53" s="32" t="s">
        <v>451</v>
      </c>
      <c r="H53" s="32" t="s">
        <v>214</v>
      </c>
      <c r="I53" s="32" t="s">
        <v>452</v>
      </c>
      <c r="J53" s="32" t="s">
        <v>453</v>
      </c>
      <c r="K53" s="32" t="s">
        <v>214</v>
      </c>
      <c r="L53" s="32" t="s">
        <v>454</v>
      </c>
      <c r="M53" s="44" t="s">
        <v>249</v>
      </c>
    </row>
    <row r="54" spans="2:13" x14ac:dyDescent="0.3">
      <c r="B54" s="32" t="s">
        <v>195</v>
      </c>
      <c r="C54" s="32" t="s">
        <v>230</v>
      </c>
      <c r="D54" s="32" t="s">
        <v>455</v>
      </c>
      <c r="E54" s="32" t="s">
        <v>456</v>
      </c>
      <c r="F54" s="32" t="s">
        <v>355</v>
      </c>
      <c r="G54" s="32" t="s">
        <v>451</v>
      </c>
      <c r="H54" s="32" t="s">
        <v>214</v>
      </c>
      <c r="I54" s="32" t="s">
        <v>294</v>
      </c>
      <c r="J54" s="32" t="s">
        <v>457</v>
      </c>
      <c r="K54" s="32" t="s">
        <v>214</v>
      </c>
      <c r="L54" s="32" t="s">
        <v>458</v>
      </c>
      <c r="M54" s="44" t="s">
        <v>249</v>
      </c>
    </row>
    <row r="55" spans="2:13" x14ac:dyDescent="0.3">
      <c r="B55" s="32" t="s">
        <v>195</v>
      </c>
      <c r="C55" s="32" t="s">
        <v>255</v>
      </c>
      <c r="D55" s="32" t="s">
        <v>459</v>
      </c>
      <c r="E55" s="32" t="s">
        <v>460</v>
      </c>
      <c r="F55" s="32" t="s">
        <v>257</v>
      </c>
      <c r="G55" s="32" t="s">
        <v>461</v>
      </c>
      <c r="H55" s="32" t="s">
        <v>462</v>
      </c>
      <c r="I55" s="32" t="s">
        <v>257</v>
      </c>
      <c r="J55" s="32" t="s">
        <v>463</v>
      </c>
      <c r="K55" s="32" t="s">
        <v>214</v>
      </c>
      <c r="L55" s="32" t="s">
        <v>464</v>
      </c>
      <c r="M55" s="44" t="s">
        <v>249</v>
      </c>
    </row>
    <row r="56" spans="2:13" x14ac:dyDescent="0.3">
      <c r="B56" s="32" t="s">
        <v>195</v>
      </c>
      <c r="C56" s="32" t="s">
        <v>255</v>
      </c>
      <c r="D56" s="32" t="s">
        <v>242</v>
      </c>
      <c r="E56" s="32" t="s">
        <v>465</v>
      </c>
      <c r="F56" s="32" t="s">
        <v>257</v>
      </c>
      <c r="G56" s="32" t="s">
        <v>466</v>
      </c>
      <c r="H56" s="32" t="s">
        <v>467</v>
      </c>
      <c r="I56" s="32" t="s">
        <v>257</v>
      </c>
      <c r="J56" s="32" t="s">
        <v>468</v>
      </c>
      <c r="K56" s="32" t="s">
        <v>214</v>
      </c>
      <c r="L56" s="32" t="s">
        <v>465</v>
      </c>
      <c r="M56" s="44" t="s">
        <v>249</v>
      </c>
    </row>
    <row r="57" spans="2:13" x14ac:dyDescent="0.3">
      <c r="B57" s="32" t="s">
        <v>238</v>
      </c>
      <c r="C57" s="32" t="s">
        <v>196</v>
      </c>
      <c r="D57" s="32" t="s">
        <v>469</v>
      </c>
      <c r="E57" s="32" t="s">
        <v>470</v>
      </c>
      <c r="F57" s="32" t="s">
        <v>212</v>
      </c>
      <c r="G57" s="32" t="s">
        <v>471</v>
      </c>
      <c r="H57" s="32" t="s">
        <v>214</v>
      </c>
      <c r="I57" s="32" t="s">
        <v>472</v>
      </c>
      <c r="J57" s="32" t="s">
        <v>473</v>
      </c>
      <c r="K57" s="32" t="s">
        <v>271</v>
      </c>
      <c r="L57" s="32" t="s">
        <v>474</v>
      </c>
      <c r="M57" s="44" t="s">
        <v>250</v>
      </c>
    </row>
    <row r="58" spans="2:13" x14ac:dyDescent="0.3">
      <c r="B58" s="32" t="s">
        <v>238</v>
      </c>
      <c r="C58" s="32" t="s">
        <v>196</v>
      </c>
      <c r="D58" s="32" t="s">
        <v>475</v>
      </c>
      <c r="E58" s="32" t="s">
        <v>476</v>
      </c>
      <c r="F58" s="32" t="s">
        <v>212</v>
      </c>
      <c r="G58" s="32" t="s">
        <v>275</v>
      </c>
      <c r="H58" s="32" t="s">
        <v>214</v>
      </c>
      <c r="I58" s="32" t="s">
        <v>212</v>
      </c>
      <c r="J58" s="32" t="s">
        <v>477</v>
      </c>
      <c r="K58" s="32" t="s">
        <v>214</v>
      </c>
      <c r="L58" s="32" t="s">
        <v>478</v>
      </c>
      <c r="M58" s="44" t="s">
        <v>250</v>
      </c>
    </row>
    <row r="59" spans="2:13" x14ac:dyDescent="0.3">
      <c r="B59" s="32" t="s">
        <v>195</v>
      </c>
      <c r="C59" s="32" t="s">
        <v>230</v>
      </c>
      <c r="D59" s="32" t="s">
        <v>479</v>
      </c>
      <c r="E59" s="32" t="s">
        <v>480</v>
      </c>
      <c r="F59" s="32" t="s">
        <v>212</v>
      </c>
      <c r="G59" s="32" t="s">
        <v>481</v>
      </c>
      <c r="H59" s="32" t="s">
        <v>214</v>
      </c>
      <c r="I59" s="32" t="s">
        <v>227</v>
      </c>
      <c r="J59" s="32" t="s">
        <v>482</v>
      </c>
      <c r="K59" s="32" t="s">
        <v>214</v>
      </c>
      <c r="L59" s="32" t="s">
        <v>483</v>
      </c>
      <c r="M59" s="44" t="s">
        <v>250</v>
      </c>
    </row>
    <row r="60" spans="2:13" x14ac:dyDescent="0.3">
      <c r="B60" s="32" t="s">
        <v>195</v>
      </c>
      <c r="C60" s="32" t="s">
        <v>255</v>
      </c>
      <c r="D60" s="32" t="s">
        <v>242</v>
      </c>
      <c r="E60" s="32" t="s">
        <v>484</v>
      </c>
      <c r="F60" s="32" t="s">
        <v>257</v>
      </c>
      <c r="G60" s="32" t="s">
        <v>485</v>
      </c>
      <c r="H60" s="32" t="s">
        <v>486</v>
      </c>
      <c r="I60" s="32" t="s">
        <v>257</v>
      </c>
      <c r="J60" s="32" t="s">
        <v>487</v>
      </c>
      <c r="K60" s="32" t="s">
        <v>214</v>
      </c>
      <c r="L60" s="32" t="s">
        <v>484</v>
      </c>
      <c r="M60" s="44" t="s">
        <v>249</v>
      </c>
    </row>
    <row r="61" spans="2:13" x14ac:dyDescent="0.3">
      <c r="B61" s="32" t="s">
        <v>195</v>
      </c>
      <c r="C61" s="32" t="s">
        <v>196</v>
      </c>
      <c r="D61" s="32" t="s">
        <v>488</v>
      </c>
      <c r="E61" s="32" t="s">
        <v>489</v>
      </c>
      <c r="F61" s="32" t="s">
        <v>375</v>
      </c>
      <c r="G61" s="32" t="s">
        <v>376</v>
      </c>
      <c r="H61" s="32" t="s">
        <v>214</v>
      </c>
      <c r="I61" s="32" t="s">
        <v>280</v>
      </c>
      <c r="J61" s="32" t="s">
        <v>377</v>
      </c>
      <c r="K61" s="32" t="s">
        <v>490</v>
      </c>
      <c r="L61" s="32" t="s">
        <v>491</v>
      </c>
      <c r="M61" s="44" t="s">
        <v>249</v>
      </c>
    </row>
    <row r="62" spans="2:13" x14ac:dyDescent="0.3">
      <c r="B62" s="32" t="s">
        <v>195</v>
      </c>
      <c r="C62" s="32" t="s">
        <v>196</v>
      </c>
      <c r="D62" s="32" t="s">
        <v>492</v>
      </c>
      <c r="E62" s="32" t="s">
        <v>493</v>
      </c>
      <c r="F62" s="32" t="s">
        <v>375</v>
      </c>
      <c r="G62" s="32" t="s">
        <v>376</v>
      </c>
      <c r="H62" s="32" t="s">
        <v>214</v>
      </c>
      <c r="I62" s="32" t="s">
        <v>280</v>
      </c>
      <c r="J62" s="32" t="s">
        <v>377</v>
      </c>
      <c r="K62" s="32" t="s">
        <v>494</v>
      </c>
      <c r="L62" s="32" t="s">
        <v>495</v>
      </c>
      <c r="M62" s="44" t="s">
        <v>249</v>
      </c>
    </row>
    <row r="63" spans="2:13" x14ac:dyDescent="0.3">
      <c r="B63" s="32" t="s">
        <v>195</v>
      </c>
      <c r="C63" s="32" t="s">
        <v>196</v>
      </c>
      <c r="D63" s="32" t="s">
        <v>496</v>
      </c>
      <c r="E63" s="32" t="s">
        <v>497</v>
      </c>
      <c r="F63" s="32" t="s">
        <v>375</v>
      </c>
      <c r="G63" s="32" t="s">
        <v>376</v>
      </c>
      <c r="H63" s="32" t="s">
        <v>214</v>
      </c>
      <c r="I63" s="32" t="s">
        <v>280</v>
      </c>
      <c r="J63" s="32" t="s">
        <v>377</v>
      </c>
      <c r="K63" s="32" t="s">
        <v>498</v>
      </c>
      <c r="L63" s="32" t="s">
        <v>499</v>
      </c>
      <c r="M63" s="44" t="s">
        <v>249</v>
      </c>
    </row>
    <row r="64" spans="2:13" x14ac:dyDescent="0.3">
      <c r="B64" s="32" t="s">
        <v>195</v>
      </c>
      <c r="C64" s="32" t="s">
        <v>196</v>
      </c>
      <c r="D64" s="32" t="s">
        <v>500</v>
      </c>
      <c r="E64" s="32" t="s">
        <v>501</v>
      </c>
      <c r="F64" s="32" t="s">
        <v>375</v>
      </c>
      <c r="G64" s="32" t="s">
        <v>376</v>
      </c>
      <c r="H64" s="32" t="s">
        <v>214</v>
      </c>
      <c r="I64" s="32" t="s">
        <v>280</v>
      </c>
      <c r="J64" s="32" t="s">
        <v>393</v>
      </c>
      <c r="K64" s="32" t="s">
        <v>389</v>
      </c>
      <c r="L64" s="32" t="s">
        <v>502</v>
      </c>
      <c r="M64" s="44" t="s">
        <v>249</v>
      </c>
    </row>
    <row r="65" spans="2:13" x14ac:dyDescent="0.3">
      <c r="B65" s="32" t="s">
        <v>195</v>
      </c>
      <c r="C65" s="32" t="s">
        <v>230</v>
      </c>
      <c r="D65" s="32" t="s">
        <v>402</v>
      </c>
      <c r="E65" s="32" t="s">
        <v>503</v>
      </c>
      <c r="F65" s="32" t="s">
        <v>212</v>
      </c>
      <c r="G65" s="32" t="s">
        <v>504</v>
      </c>
      <c r="H65" s="32" t="s">
        <v>214</v>
      </c>
      <c r="I65" s="32" t="s">
        <v>227</v>
      </c>
      <c r="J65" s="32" t="s">
        <v>505</v>
      </c>
      <c r="K65" s="32" t="s">
        <v>214</v>
      </c>
      <c r="L65" s="32" t="s">
        <v>402</v>
      </c>
      <c r="M65" s="44" t="s">
        <v>251</v>
      </c>
    </row>
    <row r="66" spans="2:13" x14ac:dyDescent="0.3">
      <c r="B66" s="32" t="s">
        <v>195</v>
      </c>
      <c r="C66" s="32" t="s">
        <v>230</v>
      </c>
      <c r="D66" s="32" t="s">
        <v>506</v>
      </c>
      <c r="E66" s="32" t="s">
        <v>507</v>
      </c>
      <c r="F66" s="32" t="s">
        <v>212</v>
      </c>
      <c r="G66" s="32" t="s">
        <v>293</v>
      </c>
      <c r="H66" s="32" t="s">
        <v>214</v>
      </c>
      <c r="I66" s="32" t="s">
        <v>294</v>
      </c>
      <c r="J66" s="32" t="s">
        <v>508</v>
      </c>
      <c r="K66" s="32" t="s">
        <v>214</v>
      </c>
      <c r="L66" s="32" t="s">
        <v>509</v>
      </c>
      <c r="M66" s="44" t="s">
        <v>249</v>
      </c>
    </row>
    <row r="67" spans="2:13" x14ac:dyDescent="0.3">
      <c r="B67" s="32" t="s">
        <v>195</v>
      </c>
      <c r="C67" s="32" t="s">
        <v>230</v>
      </c>
      <c r="D67" s="32" t="s">
        <v>510</v>
      </c>
      <c r="E67" s="32" t="s">
        <v>511</v>
      </c>
      <c r="F67" s="32" t="s">
        <v>212</v>
      </c>
      <c r="G67" s="32" t="s">
        <v>293</v>
      </c>
      <c r="H67" s="32" t="s">
        <v>214</v>
      </c>
      <c r="I67" s="32" t="s">
        <v>294</v>
      </c>
      <c r="J67" s="32" t="s">
        <v>512</v>
      </c>
      <c r="K67" s="32" t="s">
        <v>214</v>
      </c>
      <c r="L67" s="32" t="s">
        <v>513</v>
      </c>
      <c r="M67" s="44" t="s">
        <v>249</v>
      </c>
    </row>
    <row r="68" spans="2:13" x14ac:dyDescent="0.3">
      <c r="B68" s="32" t="s">
        <v>195</v>
      </c>
      <c r="C68" s="32" t="s">
        <v>230</v>
      </c>
      <c r="D68" s="32" t="s">
        <v>514</v>
      </c>
      <c r="E68" s="32" t="s">
        <v>515</v>
      </c>
      <c r="F68" s="32" t="s">
        <v>212</v>
      </c>
      <c r="G68" s="32" t="s">
        <v>293</v>
      </c>
      <c r="H68" s="32" t="s">
        <v>214</v>
      </c>
      <c r="I68" s="32" t="s">
        <v>294</v>
      </c>
      <c r="J68" s="32" t="s">
        <v>516</v>
      </c>
      <c r="K68" s="32" t="s">
        <v>214</v>
      </c>
      <c r="L68" s="32" t="s">
        <v>517</v>
      </c>
      <c r="M68" s="44" t="s">
        <v>249</v>
      </c>
    </row>
    <row r="69" spans="2:13" x14ac:dyDescent="0.3">
      <c r="B69" s="32" t="s">
        <v>238</v>
      </c>
      <c r="C69" s="32" t="s">
        <v>196</v>
      </c>
      <c r="D69" s="32" t="s">
        <v>518</v>
      </c>
      <c r="E69" s="32" t="s">
        <v>519</v>
      </c>
      <c r="F69" s="32" t="s">
        <v>212</v>
      </c>
      <c r="G69" s="32" t="s">
        <v>308</v>
      </c>
      <c r="H69" s="32" t="s">
        <v>214</v>
      </c>
      <c r="I69" s="32" t="s">
        <v>212</v>
      </c>
      <c r="J69" s="32" t="s">
        <v>520</v>
      </c>
      <c r="K69" s="32" t="s">
        <v>214</v>
      </c>
      <c r="L69" s="32" t="s">
        <v>521</v>
      </c>
      <c r="M69" s="44" t="s">
        <v>250</v>
      </c>
    </row>
    <row r="70" spans="2:13" x14ac:dyDescent="0.3">
      <c r="B70" s="32" t="s">
        <v>238</v>
      </c>
      <c r="C70" s="32" t="s">
        <v>196</v>
      </c>
      <c r="D70" s="32" t="s">
        <v>522</v>
      </c>
      <c r="E70" s="32" t="s">
        <v>523</v>
      </c>
      <c r="F70" s="32" t="s">
        <v>212</v>
      </c>
      <c r="G70" s="32" t="s">
        <v>308</v>
      </c>
      <c r="H70" s="32" t="s">
        <v>214</v>
      </c>
      <c r="I70" s="32" t="s">
        <v>212</v>
      </c>
      <c r="J70" s="32" t="s">
        <v>524</v>
      </c>
      <c r="K70" s="32" t="s">
        <v>214</v>
      </c>
      <c r="L70" s="32" t="s">
        <v>525</v>
      </c>
      <c r="M70" s="44" t="s">
        <v>250</v>
      </c>
    </row>
    <row r="71" spans="2:13" x14ac:dyDescent="0.3">
      <c r="B71" s="32" t="s">
        <v>195</v>
      </c>
      <c r="C71" s="32" t="s">
        <v>230</v>
      </c>
      <c r="D71" s="32" t="s">
        <v>526</v>
      </c>
      <c r="E71" s="32" t="s">
        <v>527</v>
      </c>
      <c r="F71" s="32" t="s">
        <v>212</v>
      </c>
      <c r="G71" s="32" t="s">
        <v>326</v>
      </c>
      <c r="H71" s="32" t="s">
        <v>214</v>
      </c>
      <c r="I71" s="32" t="s">
        <v>294</v>
      </c>
      <c r="J71" s="32" t="s">
        <v>528</v>
      </c>
      <c r="K71" s="32" t="s">
        <v>214</v>
      </c>
      <c r="L71" s="32" t="s">
        <v>529</v>
      </c>
      <c r="M71" s="44" t="s">
        <v>249</v>
      </c>
    </row>
    <row r="72" spans="2:13" x14ac:dyDescent="0.3">
      <c r="B72" s="32" t="s">
        <v>195</v>
      </c>
      <c r="C72" s="32" t="s">
        <v>230</v>
      </c>
      <c r="D72" s="32" t="s">
        <v>530</v>
      </c>
      <c r="E72" s="32" t="s">
        <v>531</v>
      </c>
      <c r="F72" s="32" t="s">
        <v>212</v>
      </c>
      <c r="G72" s="32" t="s">
        <v>326</v>
      </c>
      <c r="H72" s="32" t="s">
        <v>214</v>
      </c>
      <c r="I72" s="32" t="s">
        <v>294</v>
      </c>
      <c r="J72" s="32" t="s">
        <v>532</v>
      </c>
      <c r="K72" s="32" t="s">
        <v>214</v>
      </c>
      <c r="L72" s="32" t="s">
        <v>533</v>
      </c>
      <c r="M72" s="44" t="s">
        <v>249</v>
      </c>
    </row>
    <row r="73" spans="2:13" x14ac:dyDescent="0.3">
      <c r="B73" s="32" t="s">
        <v>195</v>
      </c>
      <c r="C73" s="32" t="s">
        <v>230</v>
      </c>
      <c r="D73" s="32" t="s">
        <v>534</v>
      </c>
      <c r="E73" s="32" t="s">
        <v>535</v>
      </c>
      <c r="F73" s="32" t="s">
        <v>212</v>
      </c>
      <c r="G73" s="32" t="s">
        <v>326</v>
      </c>
      <c r="H73" s="32" t="s">
        <v>214</v>
      </c>
      <c r="I73" s="32" t="s">
        <v>294</v>
      </c>
      <c r="J73" s="32" t="s">
        <v>536</v>
      </c>
      <c r="K73" s="32" t="s">
        <v>214</v>
      </c>
      <c r="L73" s="32" t="s">
        <v>537</v>
      </c>
      <c r="M73" s="44" t="s">
        <v>249</v>
      </c>
    </row>
    <row r="74" spans="2:13" x14ac:dyDescent="0.3">
      <c r="B74" s="32" t="s">
        <v>195</v>
      </c>
      <c r="C74" s="32" t="s">
        <v>230</v>
      </c>
      <c r="D74" s="32" t="s">
        <v>538</v>
      </c>
      <c r="E74" s="32" t="s">
        <v>539</v>
      </c>
      <c r="F74" s="32" t="s">
        <v>212</v>
      </c>
      <c r="G74" s="32" t="s">
        <v>326</v>
      </c>
      <c r="H74" s="32" t="s">
        <v>214</v>
      </c>
      <c r="I74" s="32" t="s">
        <v>294</v>
      </c>
      <c r="J74" s="32" t="s">
        <v>540</v>
      </c>
      <c r="K74" s="32" t="s">
        <v>214</v>
      </c>
      <c r="L74" s="32" t="s">
        <v>541</v>
      </c>
      <c r="M74" s="44" t="s">
        <v>249</v>
      </c>
    </row>
    <row r="75" spans="2:13" x14ac:dyDescent="0.3">
      <c r="B75" s="32" t="s">
        <v>195</v>
      </c>
      <c r="C75" s="32" t="s">
        <v>230</v>
      </c>
      <c r="D75" s="32" t="s">
        <v>542</v>
      </c>
      <c r="E75" s="32" t="s">
        <v>543</v>
      </c>
      <c r="F75" s="32" t="s">
        <v>212</v>
      </c>
      <c r="G75" s="32" t="s">
        <v>326</v>
      </c>
      <c r="H75" s="32" t="s">
        <v>214</v>
      </c>
      <c r="I75" s="32" t="s">
        <v>294</v>
      </c>
      <c r="J75" s="32" t="s">
        <v>544</v>
      </c>
      <c r="K75" s="32" t="s">
        <v>214</v>
      </c>
      <c r="L75" s="32" t="s">
        <v>545</v>
      </c>
      <c r="M75" s="44" t="s">
        <v>249</v>
      </c>
    </row>
    <row r="76" spans="2:13" x14ac:dyDescent="0.3">
      <c r="B76" s="32" t="s">
        <v>195</v>
      </c>
      <c r="C76" s="32" t="s">
        <v>230</v>
      </c>
      <c r="D76" s="32" t="s">
        <v>546</v>
      </c>
      <c r="E76" s="32" t="s">
        <v>547</v>
      </c>
      <c r="F76" s="32" t="s">
        <v>212</v>
      </c>
      <c r="G76" s="32" t="s">
        <v>326</v>
      </c>
      <c r="H76" s="32" t="s">
        <v>214</v>
      </c>
      <c r="I76" s="32" t="s">
        <v>294</v>
      </c>
      <c r="J76" s="32" t="s">
        <v>548</v>
      </c>
      <c r="K76" s="32" t="s">
        <v>214</v>
      </c>
      <c r="L76" s="32" t="s">
        <v>549</v>
      </c>
      <c r="M76" s="44" t="s">
        <v>249</v>
      </c>
    </row>
    <row r="77" spans="2:13" x14ac:dyDescent="0.3">
      <c r="B77" s="32" t="s">
        <v>195</v>
      </c>
      <c r="C77" s="32" t="s">
        <v>196</v>
      </c>
      <c r="D77" s="32" t="s">
        <v>550</v>
      </c>
      <c r="E77" s="32" t="s">
        <v>551</v>
      </c>
      <c r="F77" s="32" t="s">
        <v>212</v>
      </c>
      <c r="G77" s="32" t="s">
        <v>552</v>
      </c>
      <c r="H77" s="32" t="s">
        <v>214</v>
      </c>
      <c r="I77" s="32" t="s">
        <v>212</v>
      </c>
      <c r="J77" s="32" t="s">
        <v>289</v>
      </c>
      <c r="K77" s="32" t="s">
        <v>490</v>
      </c>
      <c r="L77" s="32" t="s">
        <v>553</v>
      </c>
      <c r="M77" s="44" t="s">
        <v>249</v>
      </c>
    </row>
    <row r="78" spans="2:13" x14ac:dyDescent="0.3">
      <c r="B78" s="32" t="s">
        <v>195</v>
      </c>
      <c r="C78" s="32" t="s">
        <v>255</v>
      </c>
      <c r="D78" s="32" t="s">
        <v>242</v>
      </c>
      <c r="E78" s="32" t="s">
        <v>554</v>
      </c>
      <c r="F78" s="32" t="s">
        <v>257</v>
      </c>
      <c r="G78" s="32" t="s">
        <v>555</v>
      </c>
      <c r="H78" s="32" t="s">
        <v>556</v>
      </c>
      <c r="I78" s="32" t="s">
        <v>257</v>
      </c>
      <c r="J78" s="32" t="s">
        <v>557</v>
      </c>
      <c r="K78" s="32" t="s">
        <v>214</v>
      </c>
      <c r="L78" s="32" t="s">
        <v>554</v>
      </c>
      <c r="M78" s="44" t="s">
        <v>249</v>
      </c>
    </row>
    <row r="79" spans="2:13" x14ac:dyDescent="0.3">
      <c r="B79" s="32" t="s">
        <v>195</v>
      </c>
      <c r="C79" s="32" t="s">
        <v>230</v>
      </c>
      <c r="D79" s="32" t="s">
        <v>558</v>
      </c>
      <c r="E79" s="32" t="s">
        <v>559</v>
      </c>
      <c r="F79" s="32" t="s">
        <v>355</v>
      </c>
      <c r="G79" s="32" t="s">
        <v>560</v>
      </c>
      <c r="H79" s="32" t="s">
        <v>214</v>
      </c>
      <c r="I79" s="32" t="s">
        <v>294</v>
      </c>
      <c r="J79" s="32" t="s">
        <v>561</v>
      </c>
      <c r="K79" s="32" t="s">
        <v>214</v>
      </c>
      <c r="L79" s="32" t="s">
        <v>562</v>
      </c>
      <c r="M79" s="44" t="s">
        <v>249</v>
      </c>
    </row>
    <row r="80" spans="2:13" x14ac:dyDescent="0.3">
      <c r="B80" s="32" t="s">
        <v>238</v>
      </c>
      <c r="C80" s="32" t="s">
        <v>196</v>
      </c>
      <c r="D80" s="32" t="s">
        <v>563</v>
      </c>
      <c r="E80" s="32" t="s">
        <v>564</v>
      </c>
      <c r="F80" s="32" t="s">
        <v>212</v>
      </c>
      <c r="G80" s="32" t="s">
        <v>565</v>
      </c>
      <c r="H80" s="32" t="s">
        <v>566</v>
      </c>
      <c r="I80" s="32" t="s">
        <v>212</v>
      </c>
      <c r="J80" s="32" t="s">
        <v>567</v>
      </c>
      <c r="K80" s="32" t="s">
        <v>214</v>
      </c>
      <c r="L80" s="32" t="s">
        <v>568</v>
      </c>
      <c r="M80" s="44" t="s">
        <v>250</v>
      </c>
    </row>
    <row r="81" spans="2:13" x14ac:dyDescent="0.3">
      <c r="B81" s="32" t="s">
        <v>238</v>
      </c>
      <c r="C81" s="32" t="s">
        <v>196</v>
      </c>
      <c r="D81" s="32" t="s">
        <v>569</v>
      </c>
      <c r="E81" s="32" t="s">
        <v>570</v>
      </c>
      <c r="F81" s="32" t="s">
        <v>212</v>
      </c>
      <c r="G81" s="32" t="s">
        <v>275</v>
      </c>
      <c r="H81" s="32" t="s">
        <v>214</v>
      </c>
      <c r="I81" s="32" t="s">
        <v>212</v>
      </c>
      <c r="J81" s="32" t="s">
        <v>571</v>
      </c>
      <c r="K81" s="32" t="s">
        <v>214</v>
      </c>
      <c r="L81" s="32" t="s">
        <v>572</v>
      </c>
      <c r="M81" s="44" t="s">
        <v>250</v>
      </c>
    </row>
    <row r="82" spans="2:13" x14ac:dyDescent="0.3">
      <c r="B82" s="32" t="s">
        <v>238</v>
      </c>
      <c r="C82" s="32" t="s">
        <v>196</v>
      </c>
      <c r="D82" s="32" t="s">
        <v>573</v>
      </c>
      <c r="E82" s="32" t="s">
        <v>574</v>
      </c>
      <c r="F82" s="32" t="s">
        <v>212</v>
      </c>
      <c r="G82" s="32" t="s">
        <v>275</v>
      </c>
      <c r="H82" s="32" t="s">
        <v>214</v>
      </c>
      <c r="I82" s="32" t="s">
        <v>212</v>
      </c>
      <c r="J82" s="32" t="s">
        <v>575</v>
      </c>
      <c r="K82" s="32" t="s">
        <v>214</v>
      </c>
      <c r="L82" s="32" t="s">
        <v>576</v>
      </c>
      <c r="M82" s="44" t="s">
        <v>250</v>
      </c>
    </row>
    <row r="83" spans="2:13" x14ac:dyDescent="0.3">
      <c r="B83" s="32" t="s">
        <v>195</v>
      </c>
      <c r="C83" s="32" t="s">
        <v>196</v>
      </c>
      <c r="D83" s="32" t="s">
        <v>577</v>
      </c>
      <c r="E83" s="32" t="s">
        <v>578</v>
      </c>
      <c r="F83" s="32" t="s">
        <v>375</v>
      </c>
      <c r="G83" s="32" t="s">
        <v>376</v>
      </c>
      <c r="H83" s="32" t="s">
        <v>214</v>
      </c>
      <c r="I83" s="32" t="s">
        <v>280</v>
      </c>
      <c r="J83" s="32" t="s">
        <v>377</v>
      </c>
      <c r="K83" s="32" t="s">
        <v>579</v>
      </c>
      <c r="L83" s="32" t="s">
        <v>580</v>
      </c>
      <c r="M83" s="44" t="s">
        <v>249</v>
      </c>
    </row>
    <row r="84" spans="2:13" x14ac:dyDescent="0.3">
      <c r="B84" s="32" t="s">
        <v>195</v>
      </c>
      <c r="C84" s="32" t="s">
        <v>196</v>
      </c>
      <c r="D84" s="32" t="s">
        <v>581</v>
      </c>
      <c r="E84" s="32" t="s">
        <v>582</v>
      </c>
      <c r="F84" s="32" t="s">
        <v>375</v>
      </c>
      <c r="G84" s="32" t="s">
        <v>376</v>
      </c>
      <c r="H84" s="32" t="s">
        <v>214</v>
      </c>
      <c r="I84" s="32" t="s">
        <v>280</v>
      </c>
      <c r="J84" s="32" t="s">
        <v>377</v>
      </c>
      <c r="K84" s="32" t="s">
        <v>394</v>
      </c>
      <c r="L84" s="32" t="s">
        <v>583</v>
      </c>
      <c r="M84" s="44" t="s">
        <v>249</v>
      </c>
    </row>
    <row r="85" spans="2:13" x14ac:dyDescent="0.3">
      <c r="B85" s="32" t="s">
        <v>195</v>
      </c>
      <c r="C85" s="32" t="s">
        <v>196</v>
      </c>
      <c r="D85" s="32" t="s">
        <v>584</v>
      </c>
      <c r="E85" s="32" t="s">
        <v>585</v>
      </c>
      <c r="F85" s="32" t="s">
        <v>375</v>
      </c>
      <c r="G85" s="32" t="s">
        <v>376</v>
      </c>
      <c r="H85" s="32" t="s">
        <v>214</v>
      </c>
      <c r="I85" s="32" t="s">
        <v>280</v>
      </c>
      <c r="J85" s="32" t="s">
        <v>393</v>
      </c>
      <c r="K85" s="32" t="s">
        <v>490</v>
      </c>
      <c r="L85" s="32" t="s">
        <v>586</v>
      </c>
      <c r="M85" s="44" t="s">
        <v>249</v>
      </c>
    </row>
    <row r="86" spans="2:13" x14ac:dyDescent="0.3">
      <c r="B86" s="32" t="s">
        <v>195</v>
      </c>
      <c r="C86" s="32" t="s">
        <v>196</v>
      </c>
      <c r="D86" s="32" t="s">
        <v>587</v>
      </c>
      <c r="E86" s="32" t="s">
        <v>588</v>
      </c>
      <c r="F86" s="32" t="s">
        <v>375</v>
      </c>
      <c r="G86" s="32" t="s">
        <v>376</v>
      </c>
      <c r="H86" s="32" t="s">
        <v>214</v>
      </c>
      <c r="I86" s="32" t="s">
        <v>280</v>
      </c>
      <c r="J86" s="32" t="s">
        <v>393</v>
      </c>
      <c r="K86" s="32" t="s">
        <v>589</v>
      </c>
      <c r="L86" s="32" t="s">
        <v>590</v>
      </c>
      <c r="M86" s="44" t="s">
        <v>249</v>
      </c>
    </row>
    <row r="87" spans="2:13" x14ac:dyDescent="0.3">
      <c r="B87" s="32" t="s">
        <v>238</v>
      </c>
      <c r="C87" s="32" t="s">
        <v>196</v>
      </c>
      <c r="D87" s="32" t="s">
        <v>591</v>
      </c>
      <c r="E87" s="32" t="s">
        <v>592</v>
      </c>
      <c r="F87" s="32" t="s">
        <v>212</v>
      </c>
      <c r="G87" s="32" t="s">
        <v>593</v>
      </c>
      <c r="H87" s="32" t="s">
        <v>214</v>
      </c>
      <c r="I87" s="32" t="s">
        <v>212</v>
      </c>
      <c r="J87" s="32" t="s">
        <v>594</v>
      </c>
      <c r="K87" s="32" t="s">
        <v>214</v>
      </c>
      <c r="L87" s="32" t="s">
        <v>595</v>
      </c>
      <c r="M87" s="44" t="s">
        <v>250</v>
      </c>
    </row>
    <row r="88" spans="2:13" x14ac:dyDescent="0.3">
      <c r="B88" s="32" t="s">
        <v>195</v>
      </c>
      <c r="C88" s="32" t="s">
        <v>255</v>
      </c>
      <c r="D88" s="32" t="s">
        <v>242</v>
      </c>
      <c r="E88" s="32" t="s">
        <v>596</v>
      </c>
      <c r="F88" s="32" t="s">
        <v>257</v>
      </c>
      <c r="G88" s="32" t="s">
        <v>597</v>
      </c>
      <c r="H88" s="32" t="s">
        <v>598</v>
      </c>
      <c r="I88" s="32" t="s">
        <v>257</v>
      </c>
      <c r="J88" s="32" t="s">
        <v>599</v>
      </c>
      <c r="K88" s="32" t="s">
        <v>214</v>
      </c>
      <c r="L88" s="32" t="s">
        <v>596</v>
      </c>
      <c r="M88" s="44" t="s">
        <v>249</v>
      </c>
    </row>
    <row r="89" spans="2:13" x14ac:dyDescent="0.3">
      <c r="B89" s="32" t="s">
        <v>195</v>
      </c>
      <c r="C89" s="32" t="s">
        <v>196</v>
      </c>
      <c r="D89" s="32" t="s">
        <v>553</v>
      </c>
      <c r="E89" s="32" t="s">
        <v>551</v>
      </c>
      <c r="F89" s="32" t="s">
        <v>287</v>
      </c>
      <c r="G89" s="32" t="s">
        <v>288</v>
      </c>
      <c r="H89" s="32" t="s">
        <v>214</v>
      </c>
      <c r="I89" s="32" t="s">
        <v>212</v>
      </c>
      <c r="J89" s="32" t="s">
        <v>289</v>
      </c>
      <c r="K89" s="32" t="s">
        <v>490</v>
      </c>
      <c r="L89" s="32" t="s">
        <v>550</v>
      </c>
      <c r="M89" s="44" t="s">
        <v>249</v>
      </c>
    </row>
    <row r="90" spans="2:13" x14ac:dyDescent="0.3">
      <c r="B90" s="32" t="s">
        <v>195</v>
      </c>
      <c r="C90" s="32" t="s">
        <v>230</v>
      </c>
      <c r="D90" s="32" t="s">
        <v>600</v>
      </c>
      <c r="E90" s="32" t="s">
        <v>507</v>
      </c>
      <c r="F90" s="32" t="s">
        <v>212</v>
      </c>
      <c r="G90" s="32" t="s">
        <v>293</v>
      </c>
      <c r="H90" s="32" t="s">
        <v>214</v>
      </c>
      <c r="I90" s="32" t="s">
        <v>294</v>
      </c>
      <c r="J90" s="32" t="s">
        <v>601</v>
      </c>
      <c r="K90" s="32" t="s">
        <v>214</v>
      </c>
      <c r="L90" s="32" t="s">
        <v>602</v>
      </c>
      <c r="M90" s="44" t="s">
        <v>249</v>
      </c>
    </row>
    <row r="91" spans="2:13" x14ac:dyDescent="0.3">
      <c r="B91" s="32" t="s">
        <v>195</v>
      </c>
      <c r="C91" s="32" t="s">
        <v>230</v>
      </c>
      <c r="D91" s="32" t="s">
        <v>603</v>
      </c>
      <c r="E91" s="32" t="s">
        <v>604</v>
      </c>
      <c r="F91" s="32" t="s">
        <v>212</v>
      </c>
      <c r="G91" s="32" t="s">
        <v>293</v>
      </c>
      <c r="H91" s="32" t="s">
        <v>214</v>
      </c>
      <c r="I91" s="32" t="s">
        <v>294</v>
      </c>
      <c r="J91" s="32" t="s">
        <v>605</v>
      </c>
      <c r="K91" s="32" t="s">
        <v>214</v>
      </c>
      <c r="L91" s="32" t="s">
        <v>606</v>
      </c>
      <c r="M91" s="44" t="s">
        <v>249</v>
      </c>
    </row>
    <row r="92" spans="2:13" x14ac:dyDescent="0.3">
      <c r="B92" s="32" t="s">
        <v>238</v>
      </c>
      <c r="C92" s="32" t="s">
        <v>196</v>
      </c>
      <c r="D92" s="32" t="s">
        <v>607</v>
      </c>
      <c r="E92" s="32" t="s">
        <v>608</v>
      </c>
      <c r="F92" s="32" t="s">
        <v>212</v>
      </c>
      <c r="G92" s="32" t="s">
        <v>609</v>
      </c>
      <c r="H92" s="32" t="s">
        <v>214</v>
      </c>
      <c r="I92" s="32" t="s">
        <v>212</v>
      </c>
      <c r="J92" s="32" t="s">
        <v>610</v>
      </c>
      <c r="K92" s="32" t="s">
        <v>214</v>
      </c>
      <c r="L92" s="32" t="s">
        <v>611</v>
      </c>
      <c r="M92" s="44" t="s">
        <v>250</v>
      </c>
    </row>
    <row r="93" spans="2:13" x14ac:dyDescent="0.3">
      <c r="B93" s="32" t="s">
        <v>238</v>
      </c>
      <c r="C93" s="32" t="s">
        <v>196</v>
      </c>
      <c r="D93" s="32" t="s">
        <v>612</v>
      </c>
      <c r="E93" s="32" t="s">
        <v>613</v>
      </c>
      <c r="F93" s="32" t="s">
        <v>212</v>
      </c>
      <c r="G93" s="32" t="s">
        <v>308</v>
      </c>
      <c r="H93" s="32" t="s">
        <v>214</v>
      </c>
      <c r="I93" s="32" t="s">
        <v>212</v>
      </c>
      <c r="J93" s="32" t="s">
        <v>614</v>
      </c>
      <c r="K93" s="32" t="s">
        <v>214</v>
      </c>
      <c r="L93" s="32" t="s">
        <v>615</v>
      </c>
      <c r="M93" s="44" t="s">
        <v>250</v>
      </c>
    </row>
    <row r="94" spans="2:13" x14ac:dyDescent="0.3">
      <c r="B94" s="32" t="s">
        <v>238</v>
      </c>
      <c r="C94" s="32" t="s">
        <v>196</v>
      </c>
      <c r="D94" s="32" t="s">
        <v>616</v>
      </c>
      <c r="E94" s="32" t="s">
        <v>617</v>
      </c>
      <c r="F94" s="32" t="s">
        <v>212</v>
      </c>
      <c r="G94" s="32" t="s">
        <v>308</v>
      </c>
      <c r="H94" s="32" t="s">
        <v>214</v>
      </c>
      <c r="I94" s="32" t="s">
        <v>212</v>
      </c>
      <c r="J94" s="32" t="s">
        <v>618</v>
      </c>
      <c r="K94" s="32" t="s">
        <v>214</v>
      </c>
      <c r="L94" s="32" t="s">
        <v>619</v>
      </c>
      <c r="M94" s="44" t="s">
        <v>250</v>
      </c>
    </row>
    <row r="95" spans="2:13" x14ac:dyDescent="0.3">
      <c r="B95" s="32" t="s">
        <v>195</v>
      </c>
      <c r="C95" s="32" t="s">
        <v>230</v>
      </c>
      <c r="D95" s="32" t="s">
        <v>620</v>
      </c>
      <c r="E95" s="32" t="s">
        <v>621</v>
      </c>
      <c r="F95" s="32" t="s">
        <v>212</v>
      </c>
      <c r="G95" s="32" t="s">
        <v>326</v>
      </c>
      <c r="H95" s="32" t="s">
        <v>214</v>
      </c>
      <c r="I95" s="32" t="s">
        <v>294</v>
      </c>
      <c r="J95" s="32" t="s">
        <v>622</v>
      </c>
      <c r="K95" s="32" t="s">
        <v>214</v>
      </c>
      <c r="L95" s="32" t="s">
        <v>623</v>
      </c>
      <c r="M95" s="44" t="s">
        <v>249</v>
      </c>
    </row>
    <row r="96" spans="2:13" x14ac:dyDescent="0.3">
      <c r="B96" s="32" t="s">
        <v>195</v>
      </c>
      <c r="C96" s="32" t="s">
        <v>230</v>
      </c>
      <c r="D96" s="32" t="s">
        <v>624</v>
      </c>
      <c r="E96" s="32" t="s">
        <v>625</v>
      </c>
      <c r="F96" s="32" t="s">
        <v>212</v>
      </c>
      <c r="G96" s="32" t="s">
        <v>326</v>
      </c>
      <c r="H96" s="32" t="s">
        <v>214</v>
      </c>
      <c r="I96" s="32" t="s">
        <v>294</v>
      </c>
      <c r="J96" s="32" t="s">
        <v>626</v>
      </c>
      <c r="K96" s="32" t="s">
        <v>214</v>
      </c>
      <c r="L96" s="32" t="s">
        <v>627</v>
      </c>
      <c r="M96" s="44" t="s">
        <v>249</v>
      </c>
    </row>
    <row r="97" spans="2:13" x14ac:dyDescent="0.3">
      <c r="B97" s="32" t="s">
        <v>195</v>
      </c>
      <c r="C97" s="32" t="s">
        <v>230</v>
      </c>
      <c r="D97" s="32" t="s">
        <v>628</v>
      </c>
      <c r="E97" s="32" t="s">
        <v>629</v>
      </c>
      <c r="F97" s="32" t="s">
        <v>212</v>
      </c>
      <c r="G97" s="32" t="s">
        <v>326</v>
      </c>
      <c r="H97" s="32" t="s">
        <v>214</v>
      </c>
      <c r="I97" s="32" t="s">
        <v>294</v>
      </c>
      <c r="J97" s="32" t="s">
        <v>630</v>
      </c>
      <c r="K97" s="32" t="s">
        <v>214</v>
      </c>
      <c r="L97" s="32" t="s">
        <v>631</v>
      </c>
      <c r="M97" s="44" t="s">
        <v>249</v>
      </c>
    </row>
    <row r="98" spans="2:13" x14ac:dyDescent="0.3">
      <c r="B98" s="32" t="s">
        <v>195</v>
      </c>
      <c r="C98" s="32" t="s">
        <v>230</v>
      </c>
      <c r="D98" s="32" t="s">
        <v>632</v>
      </c>
      <c r="E98" s="32" t="s">
        <v>633</v>
      </c>
      <c r="F98" s="32" t="s">
        <v>212</v>
      </c>
      <c r="G98" s="32" t="s">
        <v>326</v>
      </c>
      <c r="H98" s="32" t="s">
        <v>214</v>
      </c>
      <c r="I98" s="32" t="s">
        <v>294</v>
      </c>
      <c r="J98" s="32" t="s">
        <v>634</v>
      </c>
      <c r="K98" s="32" t="s">
        <v>214</v>
      </c>
      <c r="L98" s="32" t="s">
        <v>635</v>
      </c>
      <c r="M98" s="44" t="s">
        <v>249</v>
      </c>
    </row>
    <row r="99" spans="2:13" x14ac:dyDescent="0.3">
      <c r="B99" s="32" t="s">
        <v>195</v>
      </c>
      <c r="C99" s="32" t="s">
        <v>196</v>
      </c>
      <c r="D99" s="32" t="s">
        <v>636</v>
      </c>
      <c r="E99" s="32" t="s">
        <v>637</v>
      </c>
      <c r="F99" s="32" t="s">
        <v>212</v>
      </c>
      <c r="G99" s="32" t="s">
        <v>552</v>
      </c>
      <c r="H99" s="32" t="s">
        <v>214</v>
      </c>
      <c r="I99" s="32" t="s">
        <v>212</v>
      </c>
      <c r="J99" s="32" t="s">
        <v>289</v>
      </c>
      <c r="K99" s="32" t="s">
        <v>394</v>
      </c>
      <c r="L99" s="32" t="s">
        <v>638</v>
      </c>
      <c r="M99" s="44" t="s">
        <v>249</v>
      </c>
    </row>
    <row r="100" spans="2:13" x14ac:dyDescent="0.3">
      <c r="B100" s="32" t="s">
        <v>195</v>
      </c>
      <c r="C100" s="32" t="s">
        <v>196</v>
      </c>
      <c r="D100" s="32" t="s">
        <v>639</v>
      </c>
      <c r="E100" s="32" t="s">
        <v>286</v>
      </c>
      <c r="F100" s="32" t="s">
        <v>212</v>
      </c>
      <c r="G100" s="32" t="s">
        <v>552</v>
      </c>
      <c r="H100" s="32" t="s">
        <v>214</v>
      </c>
      <c r="I100" s="32" t="s">
        <v>212</v>
      </c>
      <c r="J100" s="32" t="s">
        <v>289</v>
      </c>
      <c r="K100" s="32" t="s">
        <v>290</v>
      </c>
      <c r="L100" s="32" t="s">
        <v>640</v>
      </c>
      <c r="M100" s="44" t="s">
        <v>249</v>
      </c>
    </row>
    <row r="101" spans="2:13" x14ac:dyDescent="0.3">
      <c r="B101" s="32" t="s">
        <v>195</v>
      </c>
      <c r="C101" s="32" t="s">
        <v>255</v>
      </c>
      <c r="D101" s="32" t="s">
        <v>242</v>
      </c>
      <c r="E101" s="32" t="s">
        <v>641</v>
      </c>
      <c r="F101" s="32" t="s">
        <v>257</v>
      </c>
      <c r="G101" s="32" t="s">
        <v>555</v>
      </c>
      <c r="H101" s="32" t="s">
        <v>556</v>
      </c>
      <c r="I101" s="32" t="s">
        <v>257</v>
      </c>
      <c r="J101" s="32" t="s">
        <v>642</v>
      </c>
      <c r="K101" s="32" t="s">
        <v>214</v>
      </c>
      <c r="L101" s="32" t="s">
        <v>641</v>
      </c>
      <c r="M101" s="44" t="s">
        <v>249</v>
      </c>
    </row>
    <row r="102" spans="2:13" x14ac:dyDescent="0.3">
      <c r="B102" s="32" t="s">
        <v>195</v>
      </c>
      <c r="C102" s="32" t="s">
        <v>230</v>
      </c>
      <c r="D102" s="32" t="s">
        <v>643</v>
      </c>
      <c r="E102" s="32" t="s">
        <v>644</v>
      </c>
      <c r="F102" s="32" t="s">
        <v>212</v>
      </c>
      <c r="G102" s="32" t="s">
        <v>645</v>
      </c>
      <c r="H102" s="32" t="s">
        <v>214</v>
      </c>
      <c r="I102" s="32" t="s">
        <v>227</v>
      </c>
      <c r="J102" s="32" t="s">
        <v>646</v>
      </c>
      <c r="K102" s="32" t="s">
        <v>214</v>
      </c>
      <c r="L102" s="32" t="s">
        <v>643</v>
      </c>
      <c r="M102" s="44" t="s">
        <v>251</v>
      </c>
    </row>
    <row r="103" spans="2:13" x14ac:dyDescent="0.3">
      <c r="B103" s="32" t="s">
        <v>195</v>
      </c>
      <c r="C103" s="32" t="s">
        <v>230</v>
      </c>
      <c r="D103" s="32" t="s">
        <v>647</v>
      </c>
      <c r="E103" s="32" t="s">
        <v>648</v>
      </c>
      <c r="F103" s="32" t="s">
        <v>280</v>
      </c>
      <c r="G103" s="32" t="s">
        <v>649</v>
      </c>
      <c r="H103" s="32" t="s">
        <v>214</v>
      </c>
      <c r="I103" s="32" t="s">
        <v>417</v>
      </c>
      <c r="J103" s="32" t="s">
        <v>650</v>
      </c>
      <c r="K103" s="32" t="s">
        <v>214</v>
      </c>
      <c r="L103" s="32" t="s">
        <v>651</v>
      </c>
      <c r="M103" s="44" t="s">
        <v>249</v>
      </c>
    </row>
    <row r="104" spans="2:13" x14ac:dyDescent="0.3">
      <c r="B104" s="32" t="s">
        <v>195</v>
      </c>
      <c r="C104" s="32" t="s">
        <v>255</v>
      </c>
      <c r="D104" s="32" t="s">
        <v>652</v>
      </c>
      <c r="E104" s="32" t="s">
        <v>653</v>
      </c>
      <c r="F104" s="32" t="s">
        <v>257</v>
      </c>
      <c r="G104" s="32" t="s">
        <v>654</v>
      </c>
      <c r="H104" s="32" t="s">
        <v>655</v>
      </c>
      <c r="I104" s="32" t="s">
        <v>257</v>
      </c>
      <c r="J104" s="32" t="s">
        <v>656</v>
      </c>
      <c r="K104" s="32" t="s">
        <v>214</v>
      </c>
      <c r="L104" s="32" t="s">
        <v>657</v>
      </c>
      <c r="M104" s="44" t="s">
        <v>249</v>
      </c>
    </row>
    <row r="105" spans="2:13" x14ac:dyDescent="0.3">
      <c r="B105" s="32" t="s">
        <v>195</v>
      </c>
      <c r="C105" s="32" t="s">
        <v>230</v>
      </c>
      <c r="D105" s="32" t="s">
        <v>658</v>
      </c>
      <c r="E105" s="32" t="s">
        <v>659</v>
      </c>
      <c r="F105" s="32" t="s">
        <v>280</v>
      </c>
      <c r="G105" s="32" t="s">
        <v>660</v>
      </c>
      <c r="H105" s="32" t="s">
        <v>214</v>
      </c>
      <c r="I105" s="32" t="s">
        <v>417</v>
      </c>
      <c r="J105" s="32" t="s">
        <v>661</v>
      </c>
      <c r="K105" s="32" t="s">
        <v>214</v>
      </c>
      <c r="L105" s="32" t="s">
        <v>662</v>
      </c>
      <c r="M105" s="44" t="s">
        <v>249</v>
      </c>
    </row>
    <row r="106" spans="2:13" x14ac:dyDescent="0.3">
      <c r="B106" s="32" t="s">
        <v>195</v>
      </c>
      <c r="C106" s="32" t="s">
        <v>196</v>
      </c>
      <c r="D106" s="32" t="s">
        <v>663</v>
      </c>
      <c r="E106" s="32" t="s">
        <v>664</v>
      </c>
      <c r="F106" s="32" t="s">
        <v>375</v>
      </c>
      <c r="G106" s="32" t="s">
        <v>376</v>
      </c>
      <c r="H106" s="32" t="s">
        <v>214</v>
      </c>
      <c r="I106" s="32" t="s">
        <v>280</v>
      </c>
      <c r="J106" s="32" t="s">
        <v>377</v>
      </c>
      <c r="K106" s="32" t="s">
        <v>589</v>
      </c>
      <c r="L106" s="32" t="s">
        <v>665</v>
      </c>
      <c r="M106" s="44" t="s">
        <v>249</v>
      </c>
    </row>
    <row r="107" spans="2:13" x14ac:dyDescent="0.3">
      <c r="B107" s="32" t="s">
        <v>195</v>
      </c>
      <c r="C107" s="32" t="s">
        <v>196</v>
      </c>
      <c r="D107" s="32" t="s">
        <v>666</v>
      </c>
      <c r="E107" s="32" t="s">
        <v>667</v>
      </c>
      <c r="F107" s="32" t="s">
        <v>375</v>
      </c>
      <c r="G107" s="32" t="s">
        <v>376</v>
      </c>
      <c r="H107" s="32" t="s">
        <v>214</v>
      </c>
      <c r="I107" s="32" t="s">
        <v>280</v>
      </c>
      <c r="J107" s="32" t="s">
        <v>377</v>
      </c>
      <c r="K107" s="32" t="s">
        <v>668</v>
      </c>
      <c r="L107" s="32" t="s">
        <v>669</v>
      </c>
      <c r="M107" s="44" t="s">
        <v>249</v>
      </c>
    </row>
    <row r="108" spans="2:13" x14ac:dyDescent="0.3">
      <c r="B108" s="32" t="s">
        <v>195</v>
      </c>
      <c r="C108" s="32" t="s">
        <v>196</v>
      </c>
      <c r="D108" s="32" t="s">
        <v>670</v>
      </c>
      <c r="E108" s="32" t="s">
        <v>671</v>
      </c>
      <c r="F108" s="32" t="s">
        <v>375</v>
      </c>
      <c r="G108" s="32" t="s">
        <v>376</v>
      </c>
      <c r="H108" s="32" t="s">
        <v>214</v>
      </c>
      <c r="I108" s="32" t="s">
        <v>280</v>
      </c>
      <c r="J108" s="32" t="s">
        <v>393</v>
      </c>
      <c r="K108" s="32" t="s">
        <v>579</v>
      </c>
      <c r="L108" s="32" t="s">
        <v>672</v>
      </c>
      <c r="M108" s="44" t="s">
        <v>249</v>
      </c>
    </row>
    <row r="109" spans="2:13" x14ac:dyDescent="0.3">
      <c r="B109" s="32" t="s">
        <v>195</v>
      </c>
      <c r="C109" s="32" t="s">
        <v>196</v>
      </c>
      <c r="D109" s="32" t="s">
        <v>673</v>
      </c>
      <c r="E109" s="32" t="s">
        <v>674</v>
      </c>
      <c r="F109" s="32" t="s">
        <v>375</v>
      </c>
      <c r="G109" s="32" t="s">
        <v>376</v>
      </c>
      <c r="H109" s="32" t="s">
        <v>214</v>
      </c>
      <c r="I109" s="32" t="s">
        <v>280</v>
      </c>
      <c r="J109" s="32" t="s">
        <v>393</v>
      </c>
      <c r="K109" s="32" t="s">
        <v>494</v>
      </c>
      <c r="L109" s="32" t="s">
        <v>675</v>
      </c>
      <c r="M109" s="44" t="s">
        <v>249</v>
      </c>
    </row>
    <row r="110" spans="2:13" x14ac:dyDescent="0.3">
      <c r="B110" s="32" t="s">
        <v>195</v>
      </c>
      <c r="C110" s="32" t="s">
        <v>230</v>
      </c>
      <c r="D110" s="32" t="s">
        <v>278</v>
      </c>
      <c r="E110" s="32" t="s">
        <v>676</v>
      </c>
      <c r="F110" s="32" t="s">
        <v>280</v>
      </c>
      <c r="G110" s="32" t="s">
        <v>281</v>
      </c>
      <c r="H110" s="32" t="s">
        <v>214</v>
      </c>
      <c r="I110" s="32" t="s">
        <v>282</v>
      </c>
      <c r="J110" s="32" t="s">
        <v>677</v>
      </c>
      <c r="K110" s="32" t="s">
        <v>214</v>
      </c>
      <c r="L110" s="32" t="s">
        <v>678</v>
      </c>
      <c r="M110" s="44" t="s">
        <v>249</v>
      </c>
    </row>
    <row r="111" spans="2:13" x14ac:dyDescent="0.3">
      <c r="B111" s="32" t="s">
        <v>195</v>
      </c>
      <c r="C111" s="32" t="s">
        <v>230</v>
      </c>
      <c r="D111" s="32" t="s">
        <v>679</v>
      </c>
      <c r="E111" s="32" t="s">
        <v>680</v>
      </c>
      <c r="F111" s="32" t="s">
        <v>212</v>
      </c>
      <c r="G111" s="32" t="s">
        <v>293</v>
      </c>
      <c r="H111" s="32" t="s">
        <v>214</v>
      </c>
      <c r="I111" s="32" t="s">
        <v>294</v>
      </c>
      <c r="J111" s="32" t="s">
        <v>681</v>
      </c>
      <c r="K111" s="32" t="s">
        <v>214</v>
      </c>
      <c r="L111" s="32" t="s">
        <v>682</v>
      </c>
      <c r="M111" s="44" t="s">
        <v>249</v>
      </c>
    </row>
    <row r="112" spans="2:13" x14ac:dyDescent="0.3">
      <c r="B112" s="32" t="s">
        <v>195</v>
      </c>
      <c r="C112" s="32" t="s">
        <v>230</v>
      </c>
      <c r="D112" s="32" t="s">
        <v>297</v>
      </c>
      <c r="E112" s="32" t="s">
        <v>298</v>
      </c>
      <c r="F112" s="32" t="s">
        <v>212</v>
      </c>
      <c r="G112" s="32" t="s">
        <v>293</v>
      </c>
      <c r="H112" s="32" t="s">
        <v>214</v>
      </c>
      <c r="I112" s="32" t="s">
        <v>294</v>
      </c>
      <c r="J112" s="32" t="s">
        <v>683</v>
      </c>
      <c r="K112" s="32" t="s">
        <v>214</v>
      </c>
      <c r="L112" s="32" t="s">
        <v>300</v>
      </c>
      <c r="M112" s="44" t="s">
        <v>249</v>
      </c>
    </row>
    <row r="113" spans="2:13" x14ac:dyDescent="0.3">
      <c r="B113" s="32" t="s">
        <v>195</v>
      </c>
      <c r="C113" s="32" t="s">
        <v>230</v>
      </c>
      <c r="D113" s="32" t="s">
        <v>401</v>
      </c>
      <c r="E113" s="32" t="s">
        <v>402</v>
      </c>
      <c r="F113" s="32" t="s">
        <v>212</v>
      </c>
      <c r="G113" s="32" t="s">
        <v>293</v>
      </c>
      <c r="H113" s="32" t="s">
        <v>214</v>
      </c>
      <c r="I113" s="32" t="s">
        <v>294</v>
      </c>
      <c r="J113" s="32" t="s">
        <v>684</v>
      </c>
      <c r="K113" s="32" t="s">
        <v>214</v>
      </c>
      <c r="L113" s="32" t="s">
        <v>404</v>
      </c>
      <c r="M113" s="44" t="s">
        <v>249</v>
      </c>
    </row>
    <row r="114" spans="2:13" x14ac:dyDescent="0.3">
      <c r="B114" s="32" t="s">
        <v>195</v>
      </c>
      <c r="C114" s="32" t="s">
        <v>230</v>
      </c>
      <c r="D114" s="32" t="s">
        <v>301</v>
      </c>
      <c r="E114" s="32" t="s">
        <v>302</v>
      </c>
      <c r="F114" s="32" t="s">
        <v>212</v>
      </c>
      <c r="G114" s="32" t="s">
        <v>293</v>
      </c>
      <c r="H114" s="32" t="s">
        <v>214</v>
      </c>
      <c r="I114" s="32" t="s">
        <v>294</v>
      </c>
      <c r="J114" s="32" t="s">
        <v>685</v>
      </c>
      <c r="K114" s="32" t="s">
        <v>214</v>
      </c>
      <c r="L114" s="32" t="s">
        <v>304</v>
      </c>
      <c r="M114" s="44" t="s">
        <v>249</v>
      </c>
    </row>
    <row r="115" spans="2:13" x14ac:dyDescent="0.3">
      <c r="B115" s="32" t="s">
        <v>238</v>
      </c>
      <c r="C115" s="32" t="s">
        <v>196</v>
      </c>
      <c r="D115" s="32" t="s">
        <v>686</v>
      </c>
      <c r="E115" s="32" t="s">
        <v>687</v>
      </c>
      <c r="F115" s="32" t="s">
        <v>212</v>
      </c>
      <c r="G115" s="32" t="s">
        <v>308</v>
      </c>
      <c r="H115" s="32" t="s">
        <v>214</v>
      </c>
      <c r="I115" s="32" t="s">
        <v>212</v>
      </c>
      <c r="J115" s="32" t="s">
        <v>688</v>
      </c>
      <c r="K115" s="32" t="s">
        <v>214</v>
      </c>
      <c r="L115" s="32" t="s">
        <v>689</v>
      </c>
      <c r="M115" s="44" t="s">
        <v>250</v>
      </c>
    </row>
    <row r="116" spans="2:13" x14ac:dyDescent="0.3">
      <c r="B116" s="32" t="s">
        <v>195</v>
      </c>
      <c r="C116" s="32" t="s">
        <v>230</v>
      </c>
      <c r="D116" s="32" t="s">
        <v>690</v>
      </c>
      <c r="E116" s="32" t="s">
        <v>691</v>
      </c>
      <c r="F116" s="32" t="s">
        <v>212</v>
      </c>
      <c r="G116" s="32" t="s">
        <v>326</v>
      </c>
      <c r="H116" s="32" t="s">
        <v>214</v>
      </c>
      <c r="I116" s="32" t="s">
        <v>294</v>
      </c>
      <c r="J116" s="32" t="s">
        <v>692</v>
      </c>
      <c r="K116" s="32" t="s">
        <v>214</v>
      </c>
      <c r="L116" s="32" t="s">
        <v>693</v>
      </c>
      <c r="M116" s="44" t="s">
        <v>249</v>
      </c>
    </row>
    <row r="117" spans="2:13" x14ac:dyDescent="0.3">
      <c r="B117" s="32" t="s">
        <v>195</v>
      </c>
      <c r="C117" s="32" t="s">
        <v>230</v>
      </c>
      <c r="D117" s="32" t="s">
        <v>694</v>
      </c>
      <c r="E117" s="32" t="s">
        <v>695</v>
      </c>
      <c r="F117" s="32" t="s">
        <v>355</v>
      </c>
      <c r="G117" s="32" t="s">
        <v>696</v>
      </c>
      <c r="H117" s="32" t="s">
        <v>214</v>
      </c>
      <c r="I117" s="32" t="s">
        <v>294</v>
      </c>
      <c r="J117" s="32" t="s">
        <v>457</v>
      </c>
      <c r="K117" s="32" t="s">
        <v>214</v>
      </c>
      <c r="L117" s="32" t="s">
        <v>697</v>
      </c>
      <c r="M117" s="44" t="s">
        <v>249</v>
      </c>
    </row>
    <row r="118" spans="2:13" x14ac:dyDescent="0.3">
      <c r="B118" s="32" t="s">
        <v>238</v>
      </c>
      <c r="C118" s="32" t="s">
        <v>196</v>
      </c>
      <c r="D118" s="32" t="s">
        <v>698</v>
      </c>
      <c r="E118" s="32" t="s">
        <v>699</v>
      </c>
      <c r="F118" s="32" t="s">
        <v>212</v>
      </c>
      <c r="G118" s="32" t="s">
        <v>700</v>
      </c>
      <c r="H118" s="32" t="s">
        <v>214</v>
      </c>
      <c r="I118" s="32" t="s">
        <v>212</v>
      </c>
      <c r="J118" s="32" t="s">
        <v>701</v>
      </c>
      <c r="K118" s="32" t="s">
        <v>214</v>
      </c>
      <c r="L118" s="32" t="s">
        <v>702</v>
      </c>
      <c r="M118" s="44" t="s">
        <v>250</v>
      </c>
    </row>
    <row r="119" spans="2:13" x14ac:dyDescent="0.3">
      <c r="B119" s="32" t="s">
        <v>238</v>
      </c>
      <c r="C119" s="32" t="s">
        <v>196</v>
      </c>
      <c r="D119" s="32" t="s">
        <v>703</v>
      </c>
      <c r="E119" s="32" t="s">
        <v>704</v>
      </c>
      <c r="F119" s="32" t="s">
        <v>212</v>
      </c>
      <c r="G119" s="32" t="s">
        <v>705</v>
      </c>
      <c r="H119" s="32" t="s">
        <v>214</v>
      </c>
      <c r="I119" s="32" t="s">
        <v>212</v>
      </c>
      <c r="J119" s="32" t="s">
        <v>706</v>
      </c>
      <c r="K119" s="32" t="s">
        <v>214</v>
      </c>
      <c r="L119" s="32" t="s">
        <v>707</v>
      </c>
      <c r="M119" s="44" t="s">
        <v>250</v>
      </c>
    </row>
    <row r="120" spans="2:13" x14ac:dyDescent="0.3">
      <c r="B120" s="32" t="s">
        <v>195</v>
      </c>
      <c r="C120" s="32" t="s">
        <v>255</v>
      </c>
      <c r="D120" s="32" t="s">
        <v>242</v>
      </c>
      <c r="E120" s="32" t="s">
        <v>708</v>
      </c>
      <c r="F120" s="32" t="s">
        <v>257</v>
      </c>
      <c r="G120" s="32" t="s">
        <v>709</v>
      </c>
      <c r="H120" s="32" t="s">
        <v>710</v>
      </c>
      <c r="I120" s="32" t="s">
        <v>257</v>
      </c>
      <c r="J120" s="32" t="s">
        <v>711</v>
      </c>
      <c r="K120" s="32" t="s">
        <v>214</v>
      </c>
      <c r="L120" s="32" t="s">
        <v>708</v>
      </c>
      <c r="M120" s="44" t="s">
        <v>249</v>
      </c>
    </row>
    <row r="121" spans="2:13" x14ac:dyDescent="0.3">
      <c r="B121" s="32" t="s">
        <v>195</v>
      </c>
      <c r="C121" s="32" t="s">
        <v>196</v>
      </c>
      <c r="D121" s="32" t="s">
        <v>712</v>
      </c>
      <c r="E121" s="32" t="s">
        <v>713</v>
      </c>
      <c r="F121" s="32" t="s">
        <v>257</v>
      </c>
      <c r="G121" s="32" t="s">
        <v>714</v>
      </c>
      <c r="H121" s="32" t="s">
        <v>214</v>
      </c>
      <c r="I121" s="32" t="s">
        <v>257</v>
      </c>
      <c r="J121" s="32" t="s">
        <v>715</v>
      </c>
      <c r="K121" s="32" t="s">
        <v>214</v>
      </c>
      <c r="L121" s="32" t="s">
        <v>716</v>
      </c>
      <c r="M121" s="44" t="s">
        <v>249</v>
      </c>
    </row>
    <row r="122" spans="2:13" x14ac:dyDescent="0.3">
      <c r="B122" s="32" t="s">
        <v>238</v>
      </c>
      <c r="C122" s="32" t="s">
        <v>196</v>
      </c>
      <c r="D122" s="32" t="s">
        <v>469</v>
      </c>
      <c r="E122" s="32" t="s">
        <v>717</v>
      </c>
      <c r="F122" s="32" t="s">
        <v>212</v>
      </c>
      <c r="G122" s="32" t="s">
        <v>718</v>
      </c>
      <c r="H122" s="32" t="s">
        <v>214</v>
      </c>
      <c r="I122" s="32" t="s">
        <v>212</v>
      </c>
      <c r="J122" s="32" t="s">
        <v>719</v>
      </c>
      <c r="K122" s="32" t="s">
        <v>214</v>
      </c>
      <c r="L122" s="32" t="s">
        <v>720</v>
      </c>
      <c r="M122" s="44" t="s">
        <v>250</v>
      </c>
    </row>
    <row r="123" spans="2:13" x14ac:dyDescent="0.3">
      <c r="B123" s="32" t="s">
        <v>195</v>
      </c>
      <c r="C123" s="32" t="s">
        <v>230</v>
      </c>
      <c r="D123" s="32" t="s">
        <v>721</v>
      </c>
      <c r="E123" s="32" t="s">
        <v>722</v>
      </c>
      <c r="F123" s="32" t="s">
        <v>355</v>
      </c>
      <c r="G123" s="32" t="s">
        <v>365</v>
      </c>
      <c r="H123" s="32" t="s">
        <v>214</v>
      </c>
      <c r="I123" s="32" t="s">
        <v>294</v>
      </c>
      <c r="J123" s="32" t="s">
        <v>457</v>
      </c>
      <c r="K123" s="32" t="s">
        <v>214</v>
      </c>
      <c r="L123" s="32" t="s">
        <v>723</v>
      </c>
      <c r="M123" s="44" t="s">
        <v>249</v>
      </c>
    </row>
    <row r="124" spans="2:13" x14ac:dyDescent="0.3">
      <c r="B124" s="32" t="s">
        <v>238</v>
      </c>
      <c r="C124" s="32" t="s">
        <v>196</v>
      </c>
      <c r="D124" s="32" t="s">
        <v>724</v>
      </c>
      <c r="E124" s="32" t="s">
        <v>725</v>
      </c>
      <c r="F124" s="32" t="s">
        <v>212</v>
      </c>
      <c r="G124" s="32" t="s">
        <v>275</v>
      </c>
      <c r="H124" s="32" t="s">
        <v>214</v>
      </c>
      <c r="I124" s="32" t="s">
        <v>212</v>
      </c>
      <c r="J124" s="32" t="s">
        <v>726</v>
      </c>
      <c r="K124" s="32" t="s">
        <v>214</v>
      </c>
      <c r="L124" s="32" t="s">
        <v>727</v>
      </c>
      <c r="M124" s="44" t="s">
        <v>250</v>
      </c>
    </row>
    <row r="125" spans="2:13" x14ac:dyDescent="0.3">
      <c r="B125" s="32" t="s">
        <v>195</v>
      </c>
      <c r="C125" s="32" t="s">
        <v>196</v>
      </c>
      <c r="D125" s="32" t="s">
        <v>728</v>
      </c>
      <c r="E125" s="32" t="s">
        <v>395</v>
      </c>
      <c r="F125" s="32" t="s">
        <v>375</v>
      </c>
      <c r="G125" s="32" t="s">
        <v>376</v>
      </c>
      <c r="H125" s="32" t="s">
        <v>214</v>
      </c>
      <c r="I125" s="32" t="s">
        <v>280</v>
      </c>
      <c r="J125" s="32" t="s">
        <v>393</v>
      </c>
      <c r="K125" s="32" t="s">
        <v>385</v>
      </c>
      <c r="L125" s="32" t="s">
        <v>729</v>
      </c>
      <c r="M125" s="44" t="s">
        <v>249</v>
      </c>
    </row>
    <row r="126" spans="2:13" x14ac:dyDescent="0.3">
      <c r="B126" s="32" t="s">
        <v>195</v>
      </c>
      <c r="C126" s="32" t="s">
        <v>230</v>
      </c>
      <c r="D126" s="32" t="s">
        <v>730</v>
      </c>
      <c r="E126" s="32" t="s">
        <v>731</v>
      </c>
      <c r="F126" s="32" t="s">
        <v>212</v>
      </c>
      <c r="G126" s="32" t="s">
        <v>293</v>
      </c>
      <c r="H126" s="32" t="s">
        <v>214</v>
      </c>
      <c r="I126" s="32" t="s">
        <v>294</v>
      </c>
      <c r="J126" s="32" t="s">
        <v>732</v>
      </c>
      <c r="K126" s="32" t="s">
        <v>214</v>
      </c>
      <c r="L126" s="32" t="s">
        <v>733</v>
      </c>
      <c r="M126" s="44" t="s">
        <v>249</v>
      </c>
    </row>
    <row r="127" spans="2:13" x14ac:dyDescent="0.3">
      <c r="B127" s="32" t="s">
        <v>195</v>
      </c>
      <c r="C127" s="32" t="s">
        <v>230</v>
      </c>
      <c r="D127" s="32" t="s">
        <v>297</v>
      </c>
      <c r="E127" s="32" t="s">
        <v>298</v>
      </c>
      <c r="F127" s="32" t="s">
        <v>212</v>
      </c>
      <c r="G127" s="32" t="s">
        <v>293</v>
      </c>
      <c r="H127" s="32" t="s">
        <v>214</v>
      </c>
      <c r="I127" s="32" t="s">
        <v>294</v>
      </c>
      <c r="J127" s="32" t="s">
        <v>734</v>
      </c>
      <c r="K127" s="32" t="s">
        <v>214</v>
      </c>
      <c r="L127" s="32" t="s">
        <v>300</v>
      </c>
      <c r="M127" s="44" t="s">
        <v>249</v>
      </c>
    </row>
    <row r="128" spans="2:13" x14ac:dyDescent="0.3">
      <c r="B128" s="32" t="s">
        <v>195</v>
      </c>
      <c r="C128" s="32" t="s">
        <v>230</v>
      </c>
      <c r="D128" s="32" t="s">
        <v>679</v>
      </c>
      <c r="E128" s="32" t="s">
        <v>680</v>
      </c>
      <c r="F128" s="32" t="s">
        <v>212</v>
      </c>
      <c r="G128" s="32" t="s">
        <v>293</v>
      </c>
      <c r="H128" s="32" t="s">
        <v>214</v>
      </c>
      <c r="I128" s="32" t="s">
        <v>294</v>
      </c>
      <c r="J128" s="32" t="s">
        <v>735</v>
      </c>
      <c r="K128" s="32" t="s">
        <v>214</v>
      </c>
      <c r="L128" s="32" t="s">
        <v>682</v>
      </c>
      <c r="M128" s="44" t="s">
        <v>249</v>
      </c>
    </row>
    <row r="129" spans="2:13" x14ac:dyDescent="0.3">
      <c r="B129" s="32" t="s">
        <v>195</v>
      </c>
      <c r="C129" s="32" t="s">
        <v>255</v>
      </c>
      <c r="D129" s="32" t="s">
        <v>242</v>
      </c>
      <c r="E129" s="32" t="s">
        <v>736</v>
      </c>
      <c r="F129" s="32" t="s">
        <v>257</v>
      </c>
      <c r="G129" s="32" t="s">
        <v>737</v>
      </c>
      <c r="H129" s="32" t="s">
        <v>738</v>
      </c>
      <c r="I129" s="32" t="s">
        <v>257</v>
      </c>
      <c r="J129" s="32" t="s">
        <v>739</v>
      </c>
      <c r="K129" s="32" t="s">
        <v>214</v>
      </c>
      <c r="L129" s="32" t="s">
        <v>736</v>
      </c>
      <c r="M129" s="44" t="s">
        <v>249</v>
      </c>
    </row>
    <row r="130" spans="2:13" x14ac:dyDescent="0.3">
      <c r="B130" s="32" t="s">
        <v>195</v>
      </c>
      <c r="C130" s="32" t="s">
        <v>230</v>
      </c>
      <c r="D130" s="32" t="s">
        <v>740</v>
      </c>
      <c r="E130" s="32" t="s">
        <v>741</v>
      </c>
      <c r="F130" s="32" t="s">
        <v>212</v>
      </c>
      <c r="G130" s="32" t="s">
        <v>321</v>
      </c>
      <c r="H130" s="32" t="s">
        <v>214</v>
      </c>
      <c r="I130" s="32" t="s">
        <v>257</v>
      </c>
      <c r="J130" s="32" t="s">
        <v>742</v>
      </c>
      <c r="K130" s="32" t="s">
        <v>214</v>
      </c>
      <c r="L130" s="32" t="s">
        <v>743</v>
      </c>
      <c r="M130" s="44" t="s">
        <v>249</v>
      </c>
    </row>
    <row r="131" spans="2:13" x14ac:dyDescent="0.3">
      <c r="B131" s="32" t="s">
        <v>195</v>
      </c>
      <c r="C131" s="32" t="s">
        <v>230</v>
      </c>
      <c r="D131" s="32" t="s">
        <v>744</v>
      </c>
      <c r="E131" s="32" t="s">
        <v>703</v>
      </c>
      <c r="F131" s="32" t="s">
        <v>212</v>
      </c>
      <c r="G131" s="32" t="s">
        <v>326</v>
      </c>
      <c r="H131" s="32" t="s">
        <v>214</v>
      </c>
      <c r="I131" s="32" t="s">
        <v>294</v>
      </c>
      <c r="J131" s="32" t="s">
        <v>745</v>
      </c>
      <c r="K131" s="32" t="s">
        <v>214</v>
      </c>
      <c r="L131" s="32" t="s">
        <v>746</v>
      </c>
      <c r="M131" s="44" t="s">
        <v>249</v>
      </c>
    </row>
    <row r="132" spans="2:13" x14ac:dyDescent="0.3">
      <c r="B132" s="32" t="s">
        <v>195</v>
      </c>
      <c r="C132" s="32" t="s">
        <v>230</v>
      </c>
      <c r="D132" s="32" t="s">
        <v>747</v>
      </c>
      <c r="E132" s="32" t="s">
        <v>748</v>
      </c>
      <c r="F132" s="32" t="s">
        <v>212</v>
      </c>
      <c r="G132" s="32" t="s">
        <v>326</v>
      </c>
      <c r="H132" s="32" t="s">
        <v>214</v>
      </c>
      <c r="I132" s="32" t="s">
        <v>294</v>
      </c>
      <c r="J132" s="32" t="s">
        <v>749</v>
      </c>
      <c r="K132" s="32" t="s">
        <v>214</v>
      </c>
      <c r="L132" s="32" t="s">
        <v>750</v>
      </c>
      <c r="M132" s="44" t="s">
        <v>249</v>
      </c>
    </row>
    <row r="133" spans="2:13" x14ac:dyDescent="0.3">
      <c r="B133" s="32" t="s">
        <v>195</v>
      </c>
      <c r="C133" s="32" t="s">
        <v>230</v>
      </c>
      <c r="D133" s="32" t="s">
        <v>751</v>
      </c>
      <c r="E133" s="32" t="s">
        <v>752</v>
      </c>
      <c r="F133" s="32" t="s">
        <v>212</v>
      </c>
      <c r="G133" s="32" t="s">
        <v>326</v>
      </c>
      <c r="H133" s="32" t="s">
        <v>214</v>
      </c>
      <c r="I133" s="32" t="s">
        <v>294</v>
      </c>
      <c r="J133" s="32" t="s">
        <v>753</v>
      </c>
      <c r="K133" s="32" t="s">
        <v>214</v>
      </c>
      <c r="L133" s="32" t="s">
        <v>754</v>
      </c>
      <c r="M133" s="44" t="s">
        <v>249</v>
      </c>
    </row>
    <row r="134" spans="2:13" x14ac:dyDescent="0.3">
      <c r="B134" s="32" t="s">
        <v>195</v>
      </c>
      <c r="C134" s="32" t="s">
        <v>230</v>
      </c>
      <c r="D134" s="32" t="s">
        <v>755</v>
      </c>
      <c r="E134" s="32" t="s">
        <v>756</v>
      </c>
      <c r="F134" s="32" t="s">
        <v>280</v>
      </c>
      <c r="G134" s="32" t="s">
        <v>757</v>
      </c>
      <c r="H134" s="32" t="s">
        <v>214</v>
      </c>
      <c r="I134" s="32" t="s">
        <v>417</v>
      </c>
      <c r="J134" s="32" t="s">
        <v>650</v>
      </c>
      <c r="K134" s="32" t="s">
        <v>214</v>
      </c>
      <c r="L134" s="32" t="s">
        <v>758</v>
      </c>
      <c r="M134" s="44" t="s">
        <v>249</v>
      </c>
    </row>
    <row r="135" spans="2:13" x14ac:dyDescent="0.3">
      <c r="B135" s="32" t="s">
        <v>238</v>
      </c>
      <c r="C135" s="32" t="s">
        <v>196</v>
      </c>
      <c r="D135" s="32" t="s">
        <v>759</v>
      </c>
      <c r="E135" s="32" t="s">
        <v>760</v>
      </c>
      <c r="F135" s="32" t="s">
        <v>212</v>
      </c>
      <c r="G135" s="32" t="s">
        <v>761</v>
      </c>
      <c r="H135" s="32" t="s">
        <v>214</v>
      </c>
      <c r="I135" s="32" t="s">
        <v>762</v>
      </c>
      <c r="J135" s="32" t="s">
        <v>763</v>
      </c>
      <c r="K135" s="32" t="s">
        <v>214</v>
      </c>
      <c r="L135" s="32" t="s">
        <v>764</v>
      </c>
      <c r="M135" s="44" t="s">
        <v>251</v>
      </c>
    </row>
    <row r="136" spans="2:13" x14ac:dyDescent="0.3">
      <c r="B136" s="32" t="s">
        <v>195</v>
      </c>
      <c r="C136" s="32" t="s">
        <v>230</v>
      </c>
      <c r="D136" s="32" t="s">
        <v>765</v>
      </c>
      <c r="E136" s="32" t="s">
        <v>722</v>
      </c>
      <c r="F136" s="32" t="s">
        <v>355</v>
      </c>
      <c r="G136" s="32" t="s">
        <v>696</v>
      </c>
      <c r="H136" s="32" t="s">
        <v>214</v>
      </c>
      <c r="I136" s="32" t="s">
        <v>294</v>
      </c>
      <c r="J136" s="32" t="s">
        <v>766</v>
      </c>
      <c r="K136" s="32" t="s">
        <v>214</v>
      </c>
      <c r="L136" s="32" t="s">
        <v>767</v>
      </c>
      <c r="M136" s="44" t="s">
        <v>249</v>
      </c>
    </row>
    <row r="137" spans="2:13" x14ac:dyDescent="0.3">
      <c r="B137" s="32" t="s">
        <v>195</v>
      </c>
      <c r="C137" s="32" t="s">
        <v>196</v>
      </c>
      <c r="D137" s="32" t="s">
        <v>768</v>
      </c>
      <c r="E137" s="32" t="s">
        <v>769</v>
      </c>
      <c r="F137" s="32" t="s">
        <v>257</v>
      </c>
      <c r="G137" s="32" t="s">
        <v>714</v>
      </c>
      <c r="H137" s="32" t="s">
        <v>214</v>
      </c>
      <c r="I137" s="32" t="s">
        <v>257</v>
      </c>
      <c r="J137" s="32" t="s">
        <v>770</v>
      </c>
      <c r="K137" s="32" t="s">
        <v>214</v>
      </c>
      <c r="L137" s="32" t="s">
        <v>771</v>
      </c>
      <c r="M137" s="44" t="s">
        <v>249</v>
      </c>
    </row>
    <row r="138" spans="2:13" x14ac:dyDescent="0.3">
      <c r="B138" s="32" t="s">
        <v>195</v>
      </c>
      <c r="C138" s="32" t="s">
        <v>230</v>
      </c>
      <c r="D138" s="32" t="s">
        <v>772</v>
      </c>
      <c r="E138" s="32" t="s">
        <v>773</v>
      </c>
      <c r="F138" s="32" t="s">
        <v>355</v>
      </c>
      <c r="G138" s="32" t="s">
        <v>560</v>
      </c>
      <c r="H138" s="32" t="s">
        <v>214</v>
      </c>
      <c r="I138" s="32" t="s">
        <v>294</v>
      </c>
      <c r="J138" s="32" t="s">
        <v>774</v>
      </c>
      <c r="K138" s="32" t="s">
        <v>214</v>
      </c>
      <c r="L138" s="32" t="s">
        <v>775</v>
      </c>
      <c r="M138" s="44" t="s">
        <v>249</v>
      </c>
    </row>
    <row r="139" spans="2:13" x14ac:dyDescent="0.3">
      <c r="B139" s="32" t="s">
        <v>195</v>
      </c>
      <c r="C139" s="32" t="s">
        <v>230</v>
      </c>
      <c r="D139" s="32" t="s">
        <v>245</v>
      </c>
      <c r="E139" s="32" t="s">
        <v>208</v>
      </c>
      <c r="F139" s="32" t="s">
        <v>212</v>
      </c>
      <c r="G139" s="32" t="s">
        <v>213</v>
      </c>
      <c r="H139" s="32" t="s">
        <v>214</v>
      </c>
      <c r="I139" s="32" t="s">
        <v>227</v>
      </c>
      <c r="J139" s="32" t="s">
        <v>228</v>
      </c>
      <c r="K139" s="32" t="s">
        <v>214</v>
      </c>
      <c r="L139" s="32" t="s">
        <v>245</v>
      </c>
      <c r="M139" s="44" t="s">
        <v>251</v>
      </c>
    </row>
    <row r="140" spans="2:13" x14ac:dyDescent="0.3">
      <c r="B140" s="32" t="s">
        <v>195</v>
      </c>
      <c r="C140" s="32" t="s">
        <v>196</v>
      </c>
      <c r="D140" s="32" t="s">
        <v>245</v>
      </c>
      <c r="E140" s="32" t="s">
        <v>208</v>
      </c>
      <c r="F140" s="32" t="s">
        <v>212</v>
      </c>
      <c r="G140" s="32" t="s">
        <v>213</v>
      </c>
      <c r="H140" s="32" t="s">
        <v>214</v>
      </c>
      <c r="I140" s="32" t="s">
        <v>227</v>
      </c>
      <c r="J140" s="32" t="s">
        <v>228</v>
      </c>
      <c r="K140" s="32" t="s">
        <v>214</v>
      </c>
      <c r="L140" s="32" t="s">
        <v>245</v>
      </c>
      <c r="M140" s="44" t="s">
        <v>251</v>
      </c>
    </row>
    <row r="141" spans="2:13" x14ac:dyDescent="0.3">
      <c r="B141" s="32" t="s">
        <v>195</v>
      </c>
      <c r="C141" s="32" t="s">
        <v>255</v>
      </c>
      <c r="D141" s="32" t="s">
        <v>242</v>
      </c>
      <c r="E141" s="32" t="s">
        <v>776</v>
      </c>
      <c r="F141" s="32" t="s">
        <v>257</v>
      </c>
      <c r="G141" s="32" t="s">
        <v>777</v>
      </c>
      <c r="H141" s="32" t="s">
        <v>778</v>
      </c>
      <c r="I141" s="32" t="s">
        <v>257</v>
      </c>
      <c r="J141" s="32" t="s">
        <v>779</v>
      </c>
      <c r="K141" s="32" t="s">
        <v>214</v>
      </c>
      <c r="L141" s="32" t="s">
        <v>776</v>
      </c>
      <c r="M141" s="44" t="s">
        <v>249</v>
      </c>
    </row>
    <row r="142" spans="2:13" x14ac:dyDescent="0.3">
      <c r="B142" s="32" t="s">
        <v>238</v>
      </c>
      <c r="C142" s="32" t="s">
        <v>196</v>
      </c>
      <c r="D142" s="32" t="s">
        <v>780</v>
      </c>
      <c r="E142" s="32" t="s">
        <v>781</v>
      </c>
      <c r="F142" s="32" t="s">
        <v>212</v>
      </c>
      <c r="G142" s="32" t="s">
        <v>275</v>
      </c>
      <c r="H142" s="32" t="s">
        <v>214</v>
      </c>
      <c r="I142" s="32" t="s">
        <v>212</v>
      </c>
      <c r="J142" s="32" t="s">
        <v>782</v>
      </c>
      <c r="K142" s="32" t="s">
        <v>214</v>
      </c>
      <c r="L142" s="32" t="s">
        <v>783</v>
      </c>
      <c r="M142" s="44" t="s">
        <v>250</v>
      </c>
    </row>
    <row r="143" spans="2:13" x14ac:dyDescent="0.3">
      <c r="B143" s="32" t="s">
        <v>238</v>
      </c>
      <c r="C143" s="32" t="s">
        <v>196</v>
      </c>
      <c r="D143" s="32" t="s">
        <v>784</v>
      </c>
      <c r="E143" s="32" t="s">
        <v>785</v>
      </c>
      <c r="F143" s="32" t="s">
        <v>212</v>
      </c>
      <c r="G143" s="32" t="s">
        <v>275</v>
      </c>
      <c r="H143" s="32" t="s">
        <v>214</v>
      </c>
      <c r="I143" s="32" t="s">
        <v>212</v>
      </c>
      <c r="J143" s="32" t="s">
        <v>786</v>
      </c>
      <c r="K143" s="32" t="s">
        <v>214</v>
      </c>
      <c r="L143" s="32" t="s">
        <v>787</v>
      </c>
      <c r="M143" s="44" t="s">
        <v>250</v>
      </c>
    </row>
    <row r="144" spans="2:13" x14ac:dyDescent="0.3">
      <c r="B144" s="32" t="s">
        <v>238</v>
      </c>
      <c r="C144" s="32" t="s">
        <v>196</v>
      </c>
      <c r="D144" s="32" t="s">
        <v>788</v>
      </c>
      <c r="E144" s="32" t="s">
        <v>359</v>
      </c>
      <c r="F144" s="32" t="s">
        <v>212</v>
      </c>
      <c r="G144" s="32" t="s">
        <v>789</v>
      </c>
      <c r="H144" s="32" t="s">
        <v>214</v>
      </c>
      <c r="I144" s="32" t="s">
        <v>212</v>
      </c>
      <c r="J144" s="32" t="s">
        <v>790</v>
      </c>
      <c r="K144" s="32" t="s">
        <v>214</v>
      </c>
      <c r="L144" s="32" t="s">
        <v>791</v>
      </c>
      <c r="M144" s="44" t="s">
        <v>250</v>
      </c>
    </row>
    <row r="145" spans="2:13" x14ac:dyDescent="0.3">
      <c r="B145" s="32" t="s">
        <v>238</v>
      </c>
      <c r="C145" s="32" t="s">
        <v>196</v>
      </c>
      <c r="D145" s="32" t="s">
        <v>792</v>
      </c>
      <c r="E145" s="32" t="s">
        <v>239</v>
      </c>
      <c r="F145" s="32" t="s">
        <v>212</v>
      </c>
      <c r="G145" s="32" t="s">
        <v>240</v>
      </c>
      <c r="H145" s="32" t="s">
        <v>214</v>
      </c>
      <c r="I145" s="32" t="s">
        <v>212</v>
      </c>
      <c r="J145" s="32" t="s">
        <v>241</v>
      </c>
      <c r="K145" s="32" t="s">
        <v>214</v>
      </c>
      <c r="L145" s="32" t="s">
        <v>793</v>
      </c>
      <c r="M145" s="44" t="s">
        <v>250</v>
      </c>
    </row>
    <row r="146" spans="2:13" x14ac:dyDescent="0.3">
      <c r="B146" s="32" t="s">
        <v>195</v>
      </c>
      <c r="C146" s="32" t="s">
        <v>230</v>
      </c>
      <c r="D146" s="32" t="s">
        <v>245</v>
      </c>
      <c r="E146" s="32" t="s">
        <v>208</v>
      </c>
      <c r="F146" s="32" t="s">
        <v>212</v>
      </c>
      <c r="G146" s="32" t="s">
        <v>213</v>
      </c>
      <c r="H146" s="32" t="s">
        <v>214</v>
      </c>
      <c r="I146" s="32" t="s">
        <v>227</v>
      </c>
      <c r="J146" s="32" t="s">
        <v>228</v>
      </c>
      <c r="K146" s="32" t="s">
        <v>214</v>
      </c>
      <c r="L146" s="32" t="s">
        <v>245</v>
      </c>
      <c r="M146" s="44" t="s">
        <v>251</v>
      </c>
    </row>
    <row r="147" spans="2:13" x14ac:dyDescent="0.3">
      <c r="B147" s="32" t="s">
        <v>195</v>
      </c>
      <c r="C147" s="32" t="s">
        <v>196</v>
      </c>
      <c r="D147" s="32" t="s">
        <v>245</v>
      </c>
      <c r="E147" s="32" t="s">
        <v>208</v>
      </c>
      <c r="F147" s="32" t="s">
        <v>212</v>
      </c>
      <c r="G147" s="32" t="s">
        <v>213</v>
      </c>
      <c r="H147" s="32" t="s">
        <v>214</v>
      </c>
      <c r="I147" s="32" t="s">
        <v>227</v>
      </c>
      <c r="J147" s="32" t="s">
        <v>228</v>
      </c>
      <c r="K147" s="32" t="s">
        <v>214</v>
      </c>
      <c r="L147" s="32" t="s">
        <v>245</v>
      </c>
      <c r="M147" s="44" t="s">
        <v>251</v>
      </c>
    </row>
    <row r="148" spans="2:13" x14ac:dyDescent="0.3">
      <c r="B148" s="32" t="s">
        <v>195</v>
      </c>
      <c r="C148" s="32" t="s">
        <v>196</v>
      </c>
      <c r="D148" s="32" t="s">
        <v>794</v>
      </c>
      <c r="E148" s="32" t="s">
        <v>795</v>
      </c>
      <c r="F148" s="32" t="s">
        <v>375</v>
      </c>
      <c r="G148" s="32" t="s">
        <v>376</v>
      </c>
      <c r="H148" s="32" t="s">
        <v>214</v>
      </c>
      <c r="I148" s="32" t="s">
        <v>280</v>
      </c>
      <c r="J148" s="32" t="s">
        <v>377</v>
      </c>
      <c r="K148" s="32" t="s">
        <v>796</v>
      </c>
      <c r="L148" s="32" t="s">
        <v>797</v>
      </c>
      <c r="M148" s="44" t="s">
        <v>249</v>
      </c>
    </row>
    <row r="149" spans="2:13" x14ac:dyDescent="0.3">
      <c r="B149" s="32" t="s">
        <v>195</v>
      </c>
      <c r="C149" s="32" t="s">
        <v>196</v>
      </c>
      <c r="D149" s="32" t="s">
        <v>798</v>
      </c>
      <c r="E149" s="32" t="s">
        <v>359</v>
      </c>
      <c r="F149" s="32" t="s">
        <v>375</v>
      </c>
      <c r="G149" s="32" t="s">
        <v>376</v>
      </c>
      <c r="H149" s="32" t="s">
        <v>214</v>
      </c>
      <c r="I149" s="32" t="s">
        <v>280</v>
      </c>
      <c r="J149" s="32" t="s">
        <v>377</v>
      </c>
      <c r="K149" s="32" t="s">
        <v>799</v>
      </c>
      <c r="L149" s="32" t="s">
        <v>703</v>
      </c>
      <c r="M149" s="44" t="s">
        <v>249</v>
      </c>
    </row>
    <row r="150" spans="2:13" x14ac:dyDescent="0.3">
      <c r="B150" s="32" t="s">
        <v>195</v>
      </c>
      <c r="C150" s="32" t="s">
        <v>196</v>
      </c>
      <c r="D150" s="32" t="s">
        <v>800</v>
      </c>
      <c r="E150" s="32" t="s">
        <v>801</v>
      </c>
      <c r="F150" s="32" t="s">
        <v>375</v>
      </c>
      <c r="G150" s="32" t="s">
        <v>376</v>
      </c>
      <c r="H150" s="32" t="s">
        <v>214</v>
      </c>
      <c r="I150" s="32" t="s">
        <v>280</v>
      </c>
      <c r="J150" s="32" t="s">
        <v>393</v>
      </c>
      <c r="K150" s="32" t="s">
        <v>290</v>
      </c>
      <c r="L150" s="32" t="s">
        <v>802</v>
      </c>
      <c r="M150" s="44" t="s">
        <v>249</v>
      </c>
    </row>
    <row r="151" spans="2:13" x14ac:dyDescent="0.3">
      <c r="B151" s="32" t="s">
        <v>195</v>
      </c>
      <c r="C151" s="32" t="s">
        <v>196</v>
      </c>
      <c r="D151" s="32" t="s">
        <v>673</v>
      </c>
      <c r="E151" s="32" t="s">
        <v>674</v>
      </c>
      <c r="F151" s="32" t="s">
        <v>375</v>
      </c>
      <c r="G151" s="32" t="s">
        <v>376</v>
      </c>
      <c r="H151" s="32" t="s">
        <v>214</v>
      </c>
      <c r="I151" s="32" t="s">
        <v>280</v>
      </c>
      <c r="J151" s="32" t="s">
        <v>393</v>
      </c>
      <c r="K151" s="32" t="s">
        <v>668</v>
      </c>
      <c r="L151" s="32" t="s">
        <v>675</v>
      </c>
      <c r="M151" s="44" t="s">
        <v>249</v>
      </c>
    </row>
    <row r="152" spans="2:13" x14ac:dyDescent="0.3">
      <c r="B152" s="32" t="s">
        <v>195</v>
      </c>
      <c r="C152" s="32" t="s">
        <v>196</v>
      </c>
      <c r="D152" s="32" t="s">
        <v>803</v>
      </c>
      <c r="E152" s="32" t="s">
        <v>804</v>
      </c>
      <c r="F152" s="32" t="s">
        <v>375</v>
      </c>
      <c r="G152" s="32" t="s">
        <v>376</v>
      </c>
      <c r="H152" s="32" t="s">
        <v>214</v>
      </c>
      <c r="I152" s="32" t="s">
        <v>280</v>
      </c>
      <c r="J152" s="32" t="s">
        <v>393</v>
      </c>
      <c r="K152" s="32" t="s">
        <v>796</v>
      </c>
      <c r="L152" s="32" t="s">
        <v>805</v>
      </c>
      <c r="M152" s="44" t="s">
        <v>249</v>
      </c>
    </row>
    <row r="153" spans="2:13" x14ac:dyDescent="0.3">
      <c r="B153" s="32" t="s">
        <v>195</v>
      </c>
      <c r="C153" s="32" t="s">
        <v>196</v>
      </c>
      <c r="D153" s="32" t="s">
        <v>638</v>
      </c>
      <c r="E153" s="32" t="s">
        <v>637</v>
      </c>
      <c r="F153" s="32" t="s">
        <v>287</v>
      </c>
      <c r="G153" s="32" t="s">
        <v>288</v>
      </c>
      <c r="H153" s="32" t="s">
        <v>214</v>
      </c>
      <c r="I153" s="32" t="s">
        <v>212</v>
      </c>
      <c r="J153" s="32" t="s">
        <v>289</v>
      </c>
      <c r="K153" s="32" t="s">
        <v>394</v>
      </c>
      <c r="L153" s="32" t="s">
        <v>636</v>
      </c>
      <c r="M153" s="44" t="s">
        <v>249</v>
      </c>
    </row>
    <row r="154" spans="2:13" x14ac:dyDescent="0.3">
      <c r="B154" s="32" t="s">
        <v>195</v>
      </c>
      <c r="C154" s="32" t="s">
        <v>230</v>
      </c>
      <c r="D154" s="32" t="s">
        <v>603</v>
      </c>
      <c r="E154" s="32" t="s">
        <v>806</v>
      </c>
      <c r="F154" s="32" t="s">
        <v>212</v>
      </c>
      <c r="G154" s="32" t="s">
        <v>293</v>
      </c>
      <c r="H154" s="32" t="s">
        <v>214</v>
      </c>
      <c r="I154" s="32" t="s">
        <v>294</v>
      </c>
      <c r="J154" s="32" t="s">
        <v>807</v>
      </c>
      <c r="K154" s="32" t="s">
        <v>214</v>
      </c>
      <c r="L154" s="32" t="s">
        <v>808</v>
      </c>
      <c r="M154" s="44" t="s">
        <v>249</v>
      </c>
    </row>
    <row r="155" spans="2:13" x14ac:dyDescent="0.3">
      <c r="B155" s="32" t="s">
        <v>195</v>
      </c>
      <c r="C155" s="32" t="s">
        <v>230</v>
      </c>
      <c r="D155" s="32" t="s">
        <v>510</v>
      </c>
      <c r="E155" s="32" t="s">
        <v>511</v>
      </c>
      <c r="F155" s="32" t="s">
        <v>212</v>
      </c>
      <c r="G155" s="32" t="s">
        <v>293</v>
      </c>
      <c r="H155" s="32" t="s">
        <v>214</v>
      </c>
      <c r="I155" s="32" t="s">
        <v>294</v>
      </c>
      <c r="J155" s="32" t="s">
        <v>809</v>
      </c>
      <c r="K155" s="32" t="s">
        <v>214</v>
      </c>
      <c r="L155" s="32" t="s">
        <v>513</v>
      </c>
      <c r="M155" s="44" t="s">
        <v>249</v>
      </c>
    </row>
    <row r="156" spans="2:13" x14ac:dyDescent="0.3">
      <c r="B156" s="32" t="s">
        <v>195</v>
      </c>
      <c r="C156" s="32" t="s">
        <v>230</v>
      </c>
      <c r="D156" s="32" t="s">
        <v>297</v>
      </c>
      <c r="E156" s="32" t="s">
        <v>298</v>
      </c>
      <c r="F156" s="32" t="s">
        <v>212</v>
      </c>
      <c r="G156" s="32" t="s">
        <v>293</v>
      </c>
      <c r="H156" s="32" t="s">
        <v>214</v>
      </c>
      <c r="I156" s="32" t="s">
        <v>294</v>
      </c>
      <c r="J156" s="32" t="s">
        <v>810</v>
      </c>
      <c r="K156" s="32" t="s">
        <v>214</v>
      </c>
      <c r="L156" s="32" t="s">
        <v>300</v>
      </c>
      <c r="M156" s="44" t="s">
        <v>249</v>
      </c>
    </row>
    <row r="157" spans="2:13" x14ac:dyDescent="0.3">
      <c r="B157" s="32" t="s">
        <v>195</v>
      </c>
      <c r="C157" s="32" t="s">
        <v>230</v>
      </c>
      <c r="D157" s="32" t="s">
        <v>297</v>
      </c>
      <c r="E157" s="32" t="s">
        <v>298</v>
      </c>
      <c r="F157" s="32" t="s">
        <v>212</v>
      </c>
      <c r="G157" s="32" t="s">
        <v>293</v>
      </c>
      <c r="H157" s="32" t="s">
        <v>214</v>
      </c>
      <c r="I157" s="32" t="s">
        <v>294</v>
      </c>
      <c r="J157" s="32" t="s">
        <v>811</v>
      </c>
      <c r="K157" s="32" t="s">
        <v>214</v>
      </c>
      <c r="L157" s="32" t="s">
        <v>300</v>
      </c>
      <c r="M157" s="44" t="s">
        <v>249</v>
      </c>
    </row>
    <row r="158" spans="2:13" x14ac:dyDescent="0.3">
      <c r="B158" s="32" t="s">
        <v>238</v>
      </c>
      <c r="C158" s="32" t="s">
        <v>196</v>
      </c>
      <c r="D158" s="32" t="s">
        <v>812</v>
      </c>
      <c r="E158" s="32" t="s">
        <v>813</v>
      </c>
      <c r="F158" s="32" t="s">
        <v>212</v>
      </c>
      <c r="G158" s="32" t="s">
        <v>407</v>
      </c>
      <c r="H158" s="32" t="s">
        <v>214</v>
      </c>
      <c r="I158" s="32" t="s">
        <v>212</v>
      </c>
      <c r="J158" s="32" t="s">
        <v>814</v>
      </c>
      <c r="K158" s="32" t="s">
        <v>214</v>
      </c>
      <c r="L158" s="32" t="s">
        <v>815</v>
      </c>
      <c r="M158" s="44" t="s">
        <v>250</v>
      </c>
    </row>
    <row r="159" spans="2:13" x14ac:dyDescent="0.3">
      <c r="B159" s="32" t="s">
        <v>238</v>
      </c>
      <c r="C159" s="32" t="s">
        <v>196</v>
      </c>
      <c r="D159" s="32" t="s">
        <v>612</v>
      </c>
      <c r="E159" s="32" t="s">
        <v>613</v>
      </c>
      <c r="F159" s="32" t="s">
        <v>212</v>
      </c>
      <c r="G159" s="32" t="s">
        <v>308</v>
      </c>
      <c r="H159" s="32" t="s">
        <v>214</v>
      </c>
      <c r="I159" s="32" t="s">
        <v>212</v>
      </c>
      <c r="J159" s="32" t="s">
        <v>816</v>
      </c>
      <c r="K159" s="32" t="s">
        <v>214</v>
      </c>
      <c r="L159" s="32" t="s">
        <v>615</v>
      </c>
      <c r="M159" s="44" t="s">
        <v>250</v>
      </c>
    </row>
    <row r="160" spans="2:13" x14ac:dyDescent="0.3">
      <c r="B160" s="32" t="s">
        <v>238</v>
      </c>
      <c r="C160" s="32" t="s">
        <v>196</v>
      </c>
      <c r="D160" s="32" t="s">
        <v>817</v>
      </c>
      <c r="E160" s="32" t="s">
        <v>818</v>
      </c>
      <c r="F160" s="32" t="s">
        <v>212</v>
      </c>
      <c r="G160" s="32" t="s">
        <v>308</v>
      </c>
      <c r="H160" s="32" t="s">
        <v>214</v>
      </c>
      <c r="I160" s="32" t="s">
        <v>212</v>
      </c>
      <c r="J160" s="32" t="s">
        <v>819</v>
      </c>
      <c r="K160" s="32" t="s">
        <v>214</v>
      </c>
      <c r="L160" s="32" t="s">
        <v>820</v>
      </c>
      <c r="M160" s="44" t="s">
        <v>250</v>
      </c>
    </row>
    <row r="161" spans="2:13" x14ac:dyDescent="0.3">
      <c r="B161" s="32" t="s">
        <v>238</v>
      </c>
      <c r="C161" s="32" t="s">
        <v>196</v>
      </c>
      <c r="D161" s="32" t="s">
        <v>821</v>
      </c>
      <c r="E161" s="32" t="s">
        <v>822</v>
      </c>
      <c r="F161" s="32" t="s">
        <v>212</v>
      </c>
      <c r="G161" s="32" t="s">
        <v>308</v>
      </c>
      <c r="H161" s="32" t="s">
        <v>214</v>
      </c>
      <c r="I161" s="32" t="s">
        <v>212</v>
      </c>
      <c r="J161" s="32" t="s">
        <v>823</v>
      </c>
      <c r="K161" s="32" t="s">
        <v>214</v>
      </c>
      <c r="L161" s="32" t="s">
        <v>824</v>
      </c>
      <c r="M161" s="44" t="s">
        <v>250</v>
      </c>
    </row>
    <row r="162" spans="2:13" x14ac:dyDescent="0.3">
      <c r="B162" s="32" t="s">
        <v>195</v>
      </c>
      <c r="C162" s="32" t="s">
        <v>230</v>
      </c>
      <c r="D162" s="32" t="s">
        <v>825</v>
      </c>
      <c r="E162" s="32" t="s">
        <v>826</v>
      </c>
      <c r="F162" s="32" t="s">
        <v>212</v>
      </c>
      <c r="G162" s="32" t="s">
        <v>326</v>
      </c>
      <c r="H162" s="32" t="s">
        <v>214</v>
      </c>
      <c r="I162" s="32" t="s">
        <v>294</v>
      </c>
      <c r="J162" s="32" t="s">
        <v>827</v>
      </c>
      <c r="K162" s="32" t="s">
        <v>214</v>
      </c>
      <c r="L162" s="32" t="s">
        <v>828</v>
      </c>
      <c r="M162" s="44" t="s">
        <v>249</v>
      </c>
    </row>
    <row r="163" spans="2:13" x14ac:dyDescent="0.3">
      <c r="B163" s="32" t="s">
        <v>195</v>
      </c>
      <c r="C163" s="32" t="s">
        <v>230</v>
      </c>
      <c r="D163" s="32" t="s">
        <v>829</v>
      </c>
      <c r="E163" s="32" t="s">
        <v>621</v>
      </c>
      <c r="F163" s="32" t="s">
        <v>212</v>
      </c>
      <c r="G163" s="32" t="s">
        <v>326</v>
      </c>
      <c r="H163" s="32" t="s">
        <v>214</v>
      </c>
      <c r="I163" s="32" t="s">
        <v>294</v>
      </c>
      <c r="J163" s="32" t="s">
        <v>830</v>
      </c>
      <c r="K163" s="32" t="s">
        <v>214</v>
      </c>
      <c r="L163" s="32" t="s">
        <v>831</v>
      </c>
      <c r="M163" s="44" t="s">
        <v>249</v>
      </c>
    </row>
    <row r="164" spans="2:13" x14ac:dyDescent="0.3">
      <c r="B164" s="32" t="s">
        <v>195</v>
      </c>
      <c r="C164" s="32" t="s">
        <v>230</v>
      </c>
      <c r="D164" s="32" t="s">
        <v>832</v>
      </c>
      <c r="E164" s="32" t="s">
        <v>833</v>
      </c>
      <c r="F164" s="32" t="s">
        <v>212</v>
      </c>
      <c r="G164" s="32" t="s">
        <v>326</v>
      </c>
      <c r="H164" s="32" t="s">
        <v>214</v>
      </c>
      <c r="I164" s="32" t="s">
        <v>294</v>
      </c>
      <c r="J164" s="32" t="s">
        <v>834</v>
      </c>
      <c r="K164" s="32" t="s">
        <v>214</v>
      </c>
      <c r="L164" s="32" t="s">
        <v>835</v>
      </c>
      <c r="M164" s="44" t="s">
        <v>249</v>
      </c>
    </row>
    <row r="165" spans="2:13" x14ac:dyDescent="0.3">
      <c r="B165" s="32" t="s">
        <v>238</v>
      </c>
      <c r="C165" s="32" t="s">
        <v>196</v>
      </c>
      <c r="D165" s="32" t="s">
        <v>836</v>
      </c>
      <c r="E165" s="32" t="s">
        <v>837</v>
      </c>
      <c r="F165" s="32" t="s">
        <v>212</v>
      </c>
      <c r="G165" s="32" t="s">
        <v>838</v>
      </c>
      <c r="H165" s="32" t="s">
        <v>214</v>
      </c>
      <c r="I165" s="32" t="s">
        <v>212</v>
      </c>
      <c r="J165" s="32" t="s">
        <v>839</v>
      </c>
      <c r="K165" s="32" t="s">
        <v>214</v>
      </c>
      <c r="L165" s="32" t="s">
        <v>840</v>
      </c>
      <c r="M165" s="44" t="s">
        <v>250</v>
      </c>
    </row>
    <row r="166" spans="2:13" x14ac:dyDescent="0.3">
      <c r="B166" s="32" t="s">
        <v>195</v>
      </c>
      <c r="C166" s="32" t="s">
        <v>230</v>
      </c>
      <c r="D166" s="32" t="s">
        <v>841</v>
      </c>
      <c r="E166" s="32" t="s">
        <v>842</v>
      </c>
      <c r="F166" s="32" t="s">
        <v>280</v>
      </c>
      <c r="G166" s="32" t="s">
        <v>843</v>
      </c>
      <c r="H166" s="32" t="s">
        <v>214</v>
      </c>
      <c r="I166" s="32" t="s">
        <v>844</v>
      </c>
      <c r="J166" s="32" t="s">
        <v>845</v>
      </c>
      <c r="K166" s="32" t="s">
        <v>214</v>
      </c>
      <c r="L166" s="32" t="s">
        <v>846</v>
      </c>
      <c r="M166" s="44" t="s">
        <v>249</v>
      </c>
    </row>
    <row r="167" spans="2:13" x14ac:dyDescent="0.3">
      <c r="B167" s="32" t="s">
        <v>195</v>
      </c>
      <c r="C167" s="32" t="s">
        <v>230</v>
      </c>
      <c r="D167" s="32" t="s">
        <v>847</v>
      </c>
      <c r="E167" s="32" t="s">
        <v>848</v>
      </c>
      <c r="F167" s="32" t="s">
        <v>280</v>
      </c>
      <c r="G167" s="32" t="s">
        <v>843</v>
      </c>
      <c r="H167" s="32" t="s">
        <v>214</v>
      </c>
      <c r="I167" s="32" t="s">
        <v>844</v>
      </c>
      <c r="J167" s="32" t="s">
        <v>849</v>
      </c>
      <c r="K167" s="32" t="s">
        <v>214</v>
      </c>
      <c r="L167" s="32" t="s">
        <v>850</v>
      </c>
      <c r="M167" s="44" t="s">
        <v>249</v>
      </c>
    </row>
    <row r="168" spans="2:13" x14ac:dyDescent="0.3">
      <c r="B168" s="32" t="s">
        <v>195</v>
      </c>
      <c r="C168" s="32" t="s">
        <v>255</v>
      </c>
      <c r="D168" s="32" t="s">
        <v>242</v>
      </c>
      <c r="E168" s="32" t="s">
        <v>851</v>
      </c>
      <c r="F168" s="32" t="s">
        <v>257</v>
      </c>
      <c r="G168" s="32" t="s">
        <v>852</v>
      </c>
      <c r="H168" s="32" t="s">
        <v>853</v>
      </c>
      <c r="I168" s="32" t="s">
        <v>257</v>
      </c>
      <c r="J168" s="32" t="s">
        <v>854</v>
      </c>
      <c r="K168" s="32" t="s">
        <v>214</v>
      </c>
      <c r="L168" s="32" t="s">
        <v>851</v>
      </c>
      <c r="M168" s="44" t="s">
        <v>249</v>
      </c>
    </row>
    <row r="169" spans="2:13" x14ac:dyDescent="0.3">
      <c r="B169" s="32" t="s">
        <v>195</v>
      </c>
      <c r="C169" s="32" t="s">
        <v>255</v>
      </c>
      <c r="D169" s="32" t="s">
        <v>242</v>
      </c>
      <c r="E169" s="32" t="s">
        <v>855</v>
      </c>
      <c r="F169" s="32" t="s">
        <v>257</v>
      </c>
      <c r="G169" s="32" t="s">
        <v>852</v>
      </c>
      <c r="H169" s="32" t="s">
        <v>853</v>
      </c>
      <c r="I169" s="32" t="s">
        <v>257</v>
      </c>
      <c r="J169" s="32" t="s">
        <v>856</v>
      </c>
      <c r="K169" s="32" t="s">
        <v>214</v>
      </c>
      <c r="L169" s="32" t="s">
        <v>855</v>
      </c>
      <c r="M169" s="44" t="s">
        <v>249</v>
      </c>
    </row>
    <row r="170" spans="2:13" x14ac:dyDescent="0.3">
      <c r="B170" s="32" t="s">
        <v>195</v>
      </c>
      <c r="C170" s="32" t="s">
        <v>255</v>
      </c>
      <c r="D170" s="32" t="s">
        <v>242</v>
      </c>
      <c r="E170" s="32" t="s">
        <v>855</v>
      </c>
      <c r="F170" s="32" t="s">
        <v>257</v>
      </c>
      <c r="G170" s="32" t="s">
        <v>852</v>
      </c>
      <c r="H170" s="32" t="s">
        <v>853</v>
      </c>
      <c r="I170" s="32" t="s">
        <v>257</v>
      </c>
      <c r="J170" s="32" t="s">
        <v>857</v>
      </c>
      <c r="K170" s="32" t="s">
        <v>214</v>
      </c>
      <c r="L170" s="32" t="s">
        <v>855</v>
      </c>
      <c r="M170" s="44" t="s">
        <v>249</v>
      </c>
    </row>
    <row r="171" spans="2:13" x14ac:dyDescent="0.3">
      <c r="B171" s="32" t="s">
        <v>195</v>
      </c>
      <c r="C171" s="32" t="s">
        <v>230</v>
      </c>
      <c r="D171" s="32" t="s">
        <v>858</v>
      </c>
      <c r="E171" s="32" t="s">
        <v>859</v>
      </c>
      <c r="F171" s="32" t="s">
        <v>280</v>
      </c>
      <c r="G171" s="32" t="s">
        <v>860</v>
      </c>
      <c r="H171" s="32" t="s">
        <v>214</v>
      </c>
      <c r="I171" s="32" t="s">
        <v>417</v>
      </c>
      <c r="J171" s="32" t="s">
        <v>444</v>
      </c>
      <c r="K171" s="32" t="s">
        <v>214</v>
      </c>
      <c r="L171" s="32" t="s">
        <v>861</v>
      </c>
      <c r="M171" s="44" t="s">
        <v>249</v>
      </c>
    </row>
    <row r="172" spans="2:13" x14ac:dyDescent="0.3">
      <c r="B172" s="32" t="s">
        <v>238</v>
      </c>
      <c r="C172" s="32" t="s">
        <v>196</v>
      </c>
      <c r="D172" s="32" t="s">
        <v>862</v>
      </c>
      <c r="E172" s="32" t="s">
        <v>863</v>
      </c>
      <c r="F172" s="32" t="s">
        <v>212</v>
      </c>
      <c r="G172" s="32" t="s">
        <v>864</v>
      </c>
      <c r="H172" s="32" t="s">
        <v>214</v>
      </c>
      <c r="I172" s="32" t="s">
        <v>212</v>
      </c>
      <c r="J172" s="32" t="s">
        <v>865</v>
      </c>
      <c r="K172" s="32" t="s">
        <v>214</v>
      </c>
      <c r="L172" s="32" t="s">
        <v>866</v>
      </c>
      <c r="M172" s="44" t="s">
        <v>250</v>
      </c>
    </row>
    <row r="173" spans="2:13" x14ac:dyDescent="0.3">
      <c r="B173" s="32" t="s">
        <v>195</v>
      </c>
      <c r="C173" s="32" t="s">
        <v>230</v>
      </c>
      <c r="D173" s="32" t="s">
        <v>867</v>
      </c>
      <c r="E173" s="32" t="s">
        <v>868</v>
      </c>
      <c r="F173" s="32" t="s">
        <v>280</v>
      </c>
      <c r="G173" s="32" t="s">
        <v>843</v>
      </c>
      <c r="H173" s="32" t="s">
        <v>214</v>
      </c>
      <c r="I173" s="32" t="s">
        <v>844</v>
      </c>
      <c r="J173" s="32" t="s">
        <v>869</v>
      </c>
      <c r="K173" s="32" t="s">
        <v>214</v>
      </c>
      <c r="L173" s="32" t="s">
        <v>870</v>
      </c>
      <c r="M173" s="44" t="s">
        <v>249</v>
      </c>
    </row>
    <row r="174" spans="2:13" x14ac:dyDescent="0.3">
      <c r="B174" s="32" t="s">
        <v>195</v>
      </c>
      <c r="C174" s="32" t="s">
        <v>230</v>
      </c>
      <c r="D174" s="32" t="s">
        <v>871</v>
      </c>
      <c r="E174" s="32" t="s">
        <v>872</v>
      </c>
      <c r="F174" s="32" t="s">
        <v>280</v>
      </c>
      <c r="G174" s="32" t="s">
        <v>873</v>
      </c>
      <c r="H174" s="32" t="s">
        <v>214</v>
      </c>
      <c r="I174" s="32" t="s">
        <v>417</v>
      </c>
      <c r="J174" s="32" t="s">
        <v>661</v>
      </c>
      <c r="K174" s="32" t="s">
        <v>214</v>
      </c>
      <c r="L174" s="32" t="s">
        <v>874</v>
      </c>
      <c r="M174" s="44" t="s">
        <v>249</v>
      </c>
    </row>
    <row r="175" spans="2:13" x14ac:dyDescent="0.3">
      <c r="B175" s="32" t="s">
        <v>195</v>
      </c>
      <c r="C175" s="32" t="s">
        <v>255</v>
      </c>
      <c r="D175" s="32" t="s">
        <v>388</v>
      </c>
      <c r="E175" s="32" t="s">
        <v>875</v>
      </c>
      <c r="F175" s="32" t="s">
        <v>257</v>
      </c>
      <c r="G175" s="32" t="s">
        <v>876</v>
      </c>
      <c r="H175" s="32" t="s">
        <v>877</v>
      </c>
      <c r="I175" s="32" t="s">
        <v>257</v>
      </c>
      <c r="J175" s="32" t="s">
        <v>878</v>
      </c>
      <c r="K175" s="32" t="s">
        <v>214</v>
      </c>
      <c r="L175" s="32" t="s">
        <v>879</v>
      </c>
      <c r="M175" s="44" t="s">
        <v>249</v>
      </c>
    </row>
    <row r="176" spans="2:13" x14ac:dyDescent="0.3">
      <c r="B176" s="32" t="s">
        <v>238</v>
      </c>
      <c r="C176" s="32" t="s">
        <v>196</v>
      </c>
      <c r="D176" s="32" t="s">
        <v>880</v>
      </c>
      <c r="E176" s="32" t="s">
        <v>450</v>
      </c>
      <c r="F176" s="32" t="s">
        <v>212</v>
      </c>
      <c r="G176" s="32" t="s">
        <v>881</v>
      </c>
      <c r="H176" s="32" t="s">
        <v>214</v>
      </c>
      <c r="I176" s="32" t="s">
        <v>212</v>
      </c>
      <c r="J176" s="32" t="s">
        <v>882</v>
      </c>
      <c r="K176" s="32" t="s">
        <v>214</v>
      </c>
      <c r="L176" s="32" t="s">
        <v>883</v>
      </c>
      <c r="M176" s="44" t="s">
        <v>250</v>
      </c>
    </row>
    <row r="177" spans="2:13" x14ac:dyDescent="0.3">
      <c r="B177" s="32" t="s">
        <v>238</v>
      </c>
      <c r="C177" s="32" t="s">
        <v>196</v>
      </c>
      <c r="D177" s="32" t="s">
        <v>884</v>
      </c>
      <c r="E177" s="32" t="s">
        <v>798</v>
      </c>
      <c r="F177" s="32" t="s">
        <v>212</v>
      </c>
      <c r="G177" s="32" t="s">
        <v>885</v>
      </c>
      <c r="H177" s="32" t="s">
        <v>214</v>
      </c>
      <c r="I177" s="32" t="s">
        <v>212</v>
      </c>
      <c r="J177" s="32" t="s">
        <v>886</v>
      </c>
      <c r="K177" s="32" t="s">
        <v>214</v>
      </c>
      <c r="L177" s="32" t="s">
        <v>887</v>
      </c>
      <c r="M177" s="44" t="s">
        <v>250</v>
      </c>
    </row>
    <row r="178" spans="2:13" x14ac:dyDescent="0.3">
      <c r="B178" s="32" t="s">
        <v>195</v>
      </c>
      <c r="C178" s="32" t="s">
        <v>255</v>
      </c>
      <c r="D178" s="32" t="s">
        <v>242</v>
      </c>
      <c r="E178" s="32" t="s">
        <v>855</v>
      </c>
      <c r="F178" s="32" t="s">
        <v>257</v>
      </c>
      <c r="G178" s="32" t="s">
        <v>852</v>
      </c>
      <c r="H178" s="32" t="s">
        <v>853</v>
      </c>
      <c r="I178" s="32" t="s">
        <v>257</v>
      </c>
      <c r="J178" s="32" t="s">
        <v>888</v>
      </c>
      <c r="K178" s="32" t="s">
        <v>214</v>
      </c>
      <c r="L178" s="32" t="s">
        <v>855</v>
      </c>
      <c r="M178" s="44" t="s">
        <v>249</v>
      </c>
    </row>
    <row r="179" spans="2:13" x14ac:dyDescent="0.3">
      <c r="B179" s="32" t="s">
        <v>195</v>
      </c>
      <c r="C179" s="32" t="s">
        <v>255</v>
      </c>
      <c r="D179" s="32" t="s">
        <v>889</v>
      </c>
      <c r="E179" s="32" t="s">
        <v>890</v>
      </c>
      <c r="F179" s="32" t="s">
        <v>257</v>
      </c>
      <c r="G179" s="32" t="s">
        <v>876</v>
      </c>
      <c r="H179" s="32" t="s">
        <v>877</v>
      </c>
      <c r="I179" s="32" t="s">
        <v>257</v>
      </c>
      <c r="J179" s="32" t="s">
        <v>891</v>
      </c>
      <c r="K179" s="32" t="s">
        <v>214</v>
      </c>
      <c r="L179" s="32" t="s">
        <v>892</v>
      </c>
      <c r="M179" s="44" t="s">
        <v>249</v>
      </c>
    </row>
    <row r="180" spans="2:13" x14ac:dyDescent="0.3">
      <c r="B180" s="32" t="s">
        <v>195</v>
      </c>
      <c r="C180" s="32" t="s">
        <v>230</v>
      </c>
      <c r="D180" s="32" t="s">
        <v>893</v>
      </c>
      <c r="E180" s="32" t="s">
        <v>894</v>
      </c>
      <c r="F180" s="32" t="s">
        <v>355</v>
      </c>
      <c r="G180" s="32" t="s">
        <v>895</v>
      </c>
      <c r="H180" s="32" t="s">
        <v>214</v>
      </c>
      <c r="I180" s="32" t="s">
        <v>294</v>
      </c>
      <c r="J180" s="32" t="s">
        <v>896</v>
      </c>
      <c r="K180" s="32" t="s">
        <v>214</v>
      </c>
      <c r="L180" s="32" t="s">
        <v>470</v>
      </c>
      <c r="M180" s="44" t="s">
        <v>249</v>
      </c>
    </row>
  </sheetData>
  <autoFilter ref="B9:M18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H41"/>
  <sheetViews>
    <sheetView showGridLines="0" topLeftCell="C26" zoomScale="80" zoomScaleNormal="80" workbookViewId="0">
      <selection activeCell="G29" sqref="G29"/>
    </sheetView>
  </sheetViews>
  <sheetFormatPr defaultRowHeight="14.4" x14ac:dyDescent="0.3"/>
  <cols>
    <col min="2" max="2" width="45.33203125" bestFit="1" customWidth="1"/>
    <col min="3" max="3" width="33.77734375" customWidth="1"/>
    <col min="4" max="4" width="37.5546875" customWidth="1"/>
    <col min="5" max="5" width="15.21875" customWidth="1"/>
    <col min="6" max="6" width="38.77734375" customWidth="1"/>
    <col min="7" max="7" width="65.44140625" customWidth="1"/>
    <col min="8" max="8" width="56" style="28" customWidth="1"/>
  </cols>
  <sheetData>
    <row r="1" spans="1:8" x14ac:dyDescent="0.3">
      <c r="H1"/>
    </row>
    <row r="2" spans="1:8" x14ac:dyDescent="0.3">
      <c r="H2"/>
    </row>
    <row r="3" spans="1:8" x14ac:dyDescent="0.3">
      <c r="H3"/>
    </row>
    <row r="4" spans="1:8" x14ac:dyDescent="0.3">
      <c r="H4"/>
    </row>
    <row r="5" spans="1:8" x14ac:dyDescent="0.3">
      <c r="A5" s="1" t="s">
        <v>1374</v>
      </c>
      <c r="H5"/>
    </row>
    <row r="6" spans="1:8" x14ac:dyDescent="0.3">
      <c r="A6" s="2"/>
      <c r="B6" s="2"/>
      <c r="C6" s="2"/>
      <c r="D6" s="2"/>
      <c r="H6"/>
    </row>
    <row r="7" spans="1:8" x14ac:dyDescent="0.3">
      <c r="A7" s="2"/>
      <c r="B7" s="2"/>
      <c r="C7" s="2"/>
      <c r="D7" s="2"/>
      <c r="H7"/>
    </row>
    <row r="8" spans="1:8" x14ac:dyDescent="0.3">
      <c r="A8" s="2"/>
      <c r="B8" s="2"/>
      <c r="C8" s="2"/>
      <c r="D8" s="2"/>
      <c r="H8"/>
    </row>
    <row r="9" spans="1:8" x14ac:dyDescent="0.3">
      <c r="H9"/>
    </row>
    <row r="10" spans="1:8" x14ac:dyDescent="0.3">
      <c r="H10"/>
    </row>
    <row r="11" spans="1:8" x14ac:dyDescent="0.3">
      <c r="A11" s="1" t="s">
        <v>3</v>
      </c>
      <c r="H11"/>
    </row>
    <row r="12" spans="1:8" x14ac:dyDescent="0.3">
      <c r="A12" s="2"/>
      <c r="B12" s="2"/>
      <c r="C12" s="2"/>
      <c r="D12" s="2"/>
      <c r="H12"/>
    </row>
    <row r="13" spans="1:8" x14ac:dyDescent="0.3">
      <c r="A13" s="2"/>
      <c r="B13" s="2"/>
      <c r="C13" s="2"/>
      <c r="D13" s="2"/>
      <c r="H13"/>
    </row>
    <row r="14" spans="1:8" x14ac:dyDescent="0.3">
      <c r="A14" s="2"/>
      <c r="B14" s="2"/>
      <c r="C14" s="2"/>
      <c r="D14" s="2"/>
      <c r="H14"/>
    </row>
    <row r="15" spans="1:8" x14ac:dyDescent="0.3">
      <c r="H15"/>
    </row>
    <row r="16" spans="1:8" x14ac:dyDescent="0.3">
      <c r="H16"/>
    </row>
    <row r="17" spans="1:8" x14ac:dyDescent="0.3">
      <c r="A17" s="4" t="s">
        <v>11</v>
      </c>
      <c r="B17" s="48" t="s">
        <v>12</v>
      </c>
      <c r="C17" s="4" t="s">
        <v>13</v>
      </c>
      <c r="D17" s="48" t="s">
        <v>14</v>
      </c>
      <c r="E17" s="4" t="s">
        <v>15</v>
      </c>
      <c r="F17" s="4" t="s">
        <v>16</v>
      </c>
      <c r="G17" s="4" t="s">
        <v>17</v>
      </c>
      <c r="H17" s="4" t="s">
        <v>18</v>
      </c>
    </row>
    <row r="18" spans="1:8" s="3" customFormat="1" ht="26.4" customHeight="1" x14ac:dyDescent="0.3">
      <c r="A18" s="6" t="s">
        <v>19</v>
      </c>
      <c r="B18" s="74" t="s">
        <v>1159</v>
      </c>
      <c r="C18" s="71"/>
      <c r="D18" s="71"/>
      <c r="E18" s="70"/>
      <c r="F18" s="72"/>
      <c r="G18" s="73"/>
      <c r="H18" s="72"/>
    </row>
    <row r="19" spans="1:8" s="3" customFormat="1" ht="81" customHeight="1" x14ac:dyDescent="0.3">
      <c r="A19" s="6"/>
      <c r="B19" s="7" t="s">
        <v>907</v>
      </c>
      <c r="C19" s="7" t="s">
        <v>910</v>
      </c>
      <c r="D19" s="9" t="s">
        <v>1457</v>
      </c>
      <c r="E19" s="10" t="s">
        <v>23</v>
      </c>
      <c r="F19" s="11" t="s">
        <v>24</v>
      </c>
      <c r="G19" s="11" t="s">
        <v>1375</v>
      </c>
      <c r="H19" s="8" t="s">
        <v>911</v>
      </c>
    </row>
    <row r="20" spans="1:8" s="3" customFormat="1" ht="81" customHeight="1" x14ac:dyDescent="0.3">
      <c r="A20" s="6"/>
      <c r="B20" s="7" t="s">
        <v>907</v>
      </c>
      <c r="C20" s="50" t="s">
        <v>916</v>
      </c>
      <c r="D20" s="9" t="s">
        <v>1457</v>
      </c>
      <c r="E20" s="18" t="s">
        <v>64</v>
      </c>
      <c r="F20" s="12" t="s">
        <v>1299</v>
      </c>
      <c r="G20" s="11" t="s">
        <v>1376</v>
      </c>
      <c r="H20" s="8" t="s">
        <v>917</v>
      </c>
    </row>
    <row r="21" spans="1:8" s="3" customFormat="1" ht="81" customHeight="1" x14ac:dyDescent="0.3">
      <c r="A21" s="6"/>
      <c r="B21" s="7" t="s">
        <v>907</v>
      </c>
      <c r="C21" s="50" t="s">
        <v>912</v>
      </c>
      <c r="D21" s="9" t="s">
        <v>1457</v>
      </c>
      <c r="E21" s="10" t="s">
        <v>23</v>
      </c>
      <c r="F21" s="11" t="s">
        <v>24</v>
      </c>
      <c r="G21" s="13" t="s">
        <v>23</v>
      </c>
      <c r="H21" s="8" t="s">
        <v>913</v>
      </c>
    </row>
    <row r="22" spans="1:8" s="3" customFormat="1" ht="81" customHeight="1" x14ac:dyDescent="0.3">
      <c r="A22" s="6"/>
      <c r="B22" s="7" t="s">
        <v>907</v>
      </c>
      <c r="C22" s="50" t="s">
        <v>914</v>
      </c>
      <c r="D22" s="9" t="s">
        <v>1457</v>
      </c>
      <c r="E22" s="10" t="s">
        <v>23</v>
      </c>
      <c r="F22" s="11" t="s">
        <v>24</v>
      </c>
      <c r="G22" s="13" t="s">
        <v>23</v>
      </c>
      <c r="H22" s="8" t="s">
        <v>915</v>
      </c>
    </row>
    <row r="23" spans="1:8" s="3" customFormat="1" ht="27" customHeight="1" x14ac:dyDescent="0.3">
      <c r="A23" s="6" t="s">
        <v>27</v>
      </c>
      <c r="B23" s="74" t="s">
        <v>922</v>
      </c>
      <c r="C23" s="73"/>
      <c r="D23" s="75"/>
      <c r="E23" s="74"/>
      <c r="F23" s="73"/>
      <c r="G23" s="73"/>
      <c r="H23" s="73"/>
    </row>
    <row r="24" spans="1:8" s="3" customFormat="1" ht="84" customHeight="1" x14ac:dyDescent="0.3">
      <c r="A24" s="6"/>
      <c r="B24" s="7" t="s">
        <v>921</v>
      </c>
      <c r="C24" s="9" t="s">
        <v>918</v>
      </c>
      <c r="D24" s="9" t="s">
        <v>919</v>
      </c>
      <c r="E24" s="10" t="s">
        <v>23</v>
      </c>
      <c r="F24" s="11" t="s">
        <v>44</v>
      </c>
      <c r="G24" s="13" t="s">
        <v>23</v>
      </c>
      <c r="H24" s="8" t="s">
        <v>920</v>
      </c>
    </row>
    <row r="25" spans="1:8" s="3" customFormat="1" ht="84" customHeight="1" x14ac:dyDescent="0.3">
      <c r="A25" s="6"/>
      <c r="B25" s="7" t="s">
        <v>926</v>
      </c>
      <c r="C25" s="9" t="s">
        <v>923</v>
      </c>
      <c r="D25" s="9" t="s">
        <v>924</v>
      </c>
      <c r="E25" s="10" t="s">
        <v>23</v>
      </c>
      <c r="F25" s="11" t="s">
        <v>44</v>
      </c>
      <c r="G25" s="13" t="s">
        <v>23</v>
      </c>
      <c r="H25" s="8" t="s">
        <v>925</v>
      </c>
    </row>
    <row r="26" spans="1:8" s="3" customFormat="1" ht="84" customHeight="1" x14ac:dyDescent="0.3">
      <c r="A26" s="6"/>
      <c r="B26" s="7" t="s">
        <v>929</v>
      </c>
      <c r="C26" s="9" t="s">
        <v>928</v>
      </c>
      <c r="D26" s="9" t="s">
        <v>1155</v>
      </c>
      <c r="E26" s="10" t="s">
        <v>23</v>
      </c>
      <c r="F26" s="11" t="s">
        <v>44</v>
      </c>
      <c r="G26" s="13" t="s">
        <v>23</v>
      </c>
      <c r="H26" s="8" t="s">
        <v>927</v>
      </c>
    </row>
    <row r="27" spans="1:8" s="3" customFormat="1" ht="95.4" customHeight="1" x14ac:dyDescent="0.3">
      <c r="A27" s="6" t="s">
        <v>1154</v>
      </c>
      <c r="B27" s="7" t="s">
        <v>1152</v>
      </c>
      <c r="C27" s="9" t="s">
        <v>1157</v>
      </c>
      <c r="D27" s="9" t="s">
        <v>1153</v>
      </c>
      <c r="E27" s="10" t="s">
        <v>23</v>
      </c>
      <c r="F27" s="11" t="s">
        <v>44</v>
      </c>
      <c r="G27" s="13" t="s">
        <v>23</v>
      </c>
      <c r="H27" s="8" t="s">
        <v>1156</v>
      </c>
    </row>
    <row r="28" spans="1:8" s="3" customFormat="1" ht="27" customHeight="1" x14ac:dyDescent="0.3">
      <c r="A28" s="6" t="s">
        <v>1318</v>
      </c>
      <c r="B28" s="74" t="s">
        <v>941</v>
      </c>
      <c r="C28" s="75"/>
      <c r="D28" s="75"/>
      <c r="E28" s="74"/>
      <c r="F28" s="73"/>
      <c r="G28" s="73"/>
      <c r="H28" s="73"/>
    </row>
    <row r="29" spans="1:8" s="3" customFormat="1" ht="90" customHeight="1" x14ac:dyDescent="0.3">
      <c r="A29" s="6"/>
      <c r="B29" s="7" t="s">
        <v>937</v>
      </c>
      <c r="C29" s="9" t="s">
        <v>938</v>
      </c>
      <c r="D29" s="9" t="s">
        <v>1309</v>
      </c>
      <c r="E29" s="10" t="s">
        <v>23</v>
      </c>
      <c r="F29" s="11" t="s">
        <v>44</v>
      </c>
      <c r="G29" s="12" t="s">
        <v>1323</v>
      </c>
      <c r="H29" s="8" t="s">
        <v>1089</v>
      </c>
    </row>
    <row r="30" spans="1:8" s="3" customFormat="1" ht="111" customHeight="1" x14ac:dyDescent="0.3">
      <c r="A30" s="6"/>
      <c r="B30" s="7" t="s">
        <v>939</v>
      </c>
      <c r="C30" s="9" t="s">
        <v>940</v>
      </c>
      <c r="D30" s="9" t="s">
        <v>1310</v>
      </c>
      <c r="E30" s="10" t="s">
        <v>23</v>
      </c>
      <c r="F30" s="11" t="s">
        <v>1324</v>
      </c>
      <c r="G30" s="67" t="s">
        <v>1325</v>
      </c>
      <c r="H30" s="8" t="s">
        <v>1107</v>
      </c>
    </row>
    <row r="31" spans="1:8" s="3" customFormat="1" ht="90" customHeight="1" x14ac:dyDescent="0.3">
      <c r="A31" s="6" t="s">
        <v>1319</v>
      </c>
      <c r="B31" s="7" t="s">
        <v>930</v>
      </c>
      <c r="C31" s="9" t="s">
        <v>931</v>
      </c>
      <c r="D31" s="9" t="s">
        <v>932</v>
      </c>
      <c r="E31" s="10" t="s">
        <v>23</v>
      </c>
      <c r="F31" s="11" t="s">
        <v>44</v>
      </c>
      <c r="G31" s="13" t="s">
        <v>23</v>
      </c>
      <c r="H31" s="8" t="s">
        <v>933</v>
      </c>
    </row>
    <row r="32" spans="1:8" s="3" customFormat="1" ht="54.6" customHeight="1" x14ac:dyDescent="0.3">
      <c r="A32" s="6" t="s">
        <v>934</v>
      </c>
      <c r="B32" s="74" t="s">
        <v>935</v>
      </c>
      <c r="C32" s="72" t="s">
        <v>1305</v>
      </c>
      <c r="D32" s="71"/>
      <c r="E32" s="71"/>
      <c r="F32" s="71"/>
      <c r="G32" s="81" t="s">
        <v>1328</v>
      </c>
      <c r="H32" s="72" t="s">
        <v>1327</v>
      </c>
    </row>
    <row r="33" spans="1:8" s="3" customFormat="1" ht="73.8" customHeight="1" x14ac:dyDescent="0.3">
      <c r="A33" s="6" t="s">
        <v>936</v>
      </c>
      <c r="B33" s="7" t="s">
        <v>1320</v>
      </c>
      <c r="C33" s="9" t="s">
        <v>1321</v>
      </c>
      <c r="D33" s="9" t="s">
        <v>1322</v>
      </c>
      <c r="E33" s="10" t="s">
        <v>23</v>
      </c>
      <c r="F33" s="11" t="s">
        <v>44</v>
      </c>
      <c r="G33" s="13" t="s">
        <v>23</v>
      </c>
      <c r="H33" s="11" t="s">
        <v>1317</v>
      </c>
    </row>
    <row r="34" spans="1:8" s="3" customFormat="1" ht="27.6" customHeight="1" x14ac:dyDescent="0.3">
      <c r="A34" s="6" t="s">
        <v>942</v>
      </c>
      <c r="B34" s="74" t="s">
        <v>1311</v>
      </c>
      <c r="C34" s="72"/>
      <c r="D34" s="71"/>
      <c r="E34" s="70"/>
      <c r="F34" s="72"/>
      <c r="G34" s="73"/>
      <c r="H34" s="72"/>
    </row>
    <row r="35" spans="1:8" s="3" customFormat="1" ht="90" customHeight="1" x14ac:dyDescent="0.3">
      <c r="A35" s="6" t="s">
        <v>1312</v>
      </c>
      <c r="B35" s="80" t="s">
        <v>100</v>
      </c>
      <c r="C35" s="50" t="s">
        <v>101</v>
      </c>
      <c r="D35" s="9" t="s">
        <v>22</v>
      </c>
      <c r="E35" s="18" t="s">
        <v>64</v>
      </c>
      <c r="F35" s="11" t="s">
        <v>1326</v>
      </c>
      <c r="G35" s="12" t="s">
        <v>1377</v>
      </c>
      <c r="H35" s="8" t="s">
        <v>1151</v>
      </c>
    </row>
    <row r="36" spans="1:8" s="3" customFormat="1" ht="90" customHeight="1" x14ac:dyDescent="0.3">
      <c r="A36" s="6" t="s">
        <v>1313</v>
      </c>
      <c r="B36" s="82" t="s">
        <v>1315</v>
      </c>
      <c r="C36" s="11" t="s">
        <v>1329</v>
      </c>
      <c r="D36" s="82" t="s">
        <v>1308</v>
      </c>
      <c r="E36" s="10" t="s">
        <v>23</v>
      </c>
      <c r="F36" s="11" t="s">
        <v>44</v>
      </c>
      <c r="G36" s="13" t="s">
        <v>1330</v>
      </c>
      <c r="H36" s="11" t="s">
        <v>1331</v>
      </c>
    </row>
    <row r="37" spans="1:8" s="3" customFormat="1" ht="90" customHeight="1" x14ac:dyDescent="0.3">
      <c r="A37" s="6" t="s">
        <v>1314</v>
      </c>
      <c r="B37" s="7" t="s">
        <v>1307</v>
      </c>
      <c r="C37" s="11" t="s">
        <v>1306</v>
      </c>
      <c r="D37" s="9" t="s">
        <v>1316</v>
      </c>
      <c r="E37" s="10" t="s">
        <v>23</v>
      </c>
      <c r="F37" s="11" t="s">
        <v>44</v>
      </c>
      <c r="G37" s="12" t="s">
        <v>1355</v>
      </c>
      <c r="H37" s="8" t="s">
        <v>1356</v>
      </c>
    </row>
    <row r="38" spans="1:8" x14ac:dyDescent="0.3">
      <c r="A38" s="76"/>
      <c r="B38" s="77"/>
      <c r="C38" s="27"/>
      <c r="D38" s="27"/>
      <c r="E38" s="27"/>
      <c r="F38" s="27"/>
    </row>
    <row r="41" spans="1:8" x14ac:dyDescent="0.3">
      <c r="C41" s="29"/>
    </row>
  </sheetData>
  <autoFilter ref="A17:H37"/>
  <conditionalFormatting sqref="E21">
    <cfRule type="containsText" dxfId="334" priority="198" operator="containsText" text="Por iniciar">
      <formula>NOT(ISERROR(SEARCH("Por iniciar",E21)))</formula>
    </cfRule>
    <cfRule type="containsText" dxfId="333" priority="199" operator="containsText" text="Wip">
      <formula>NOT(ISERROR(SEARCH("Wip",E21)))</formula>
    </cfRule>
    <cfRule type="containsText" dxfId="332" priority="200" operator="containsText" text="Concluído">
      <formula>NOT(ISERROR(SEARCH("Concluído",E21)))</formula>
    </cfRule>
  </conditionalFormatting>
  <conditionalFormatting sqref="E21">
    <cfRule type="containsText" dxfId="331" priority="196" operator="containsText" text="Bloqueado">
      <formula>NOT(ISERROR(SEARCH("Bloqueado",E21)))</formula>
    </cfRule>
  </conditionalFormatting>
  <conditionalFormatting sqref="E21">
    <cfRule type="containsText" dxfId="330" priority="197" operator="containsText" text="Cancelado">
      <formula>NOT(ISERROR(SEARCH("Cancelado",E21)))</formula>
    </cfRule>
  </conditionalFormatting>
  <conditionalFormatting sqref="E22">
    <cfRule type="containsText" dxfId="329" priority="193" operator="containsText" text="Por iniciar">
      <formula>NOT(ISERROR(SEARCH("Por iniciar",E22)))</formula>
    </cfRule>
    <cfRule type="containsText" dxfId="328" priority="194" operator="containsText" text="Wip">
      <formula>NOT(ISERROR(SEARCH("Wip",E22)))</formula>
    </cfRule>
    <cfRule type="containsText" dxfId="327" priority="195" operator="containsText" text="Concluído">
      <formula>NOT(ISERROR(SEARCH("Concluído",E22)))</formula>
    </cfRule>
  </conditionalFormatting>
  <conditionalFormatting sqref="E22">
    <cfRule type="containsText" dxfId="326" priority="191" operator="containsText" text="Bloqueado">
      <formula>NOT(ISERROR(SEARCH("Bloqueado",E22)))</formula>
    </cfRule>
  </conditionalFormatting>
  <conditionalFormatting sqref="E22">
    <cfRule type="containsText" dxfId="325" priority="192" operator="containsText" text="Cancelado">
      <formula>NOT(ISERROR(SEARCH("Cancelado",E22)))</formula>
    </cfRule>
  </conditionalFormatting>
  <conditionalFormatting sqref="E24">
    <cfRule type="containsText" dxfId="324" priority="168" operator="containsText" text="Por iniciar">
      <formula>NOT(ISERROR(SEARCH("Por iniciar",E24)))</formula>
    </cfRule>
    <cfRule type="containsText" dxfId="323" priority="169" operator="containsText" text="Wip">
      <formula>NOT(ISERROR(SEARCH("Wip",E24)))</formula>
    </cfRule>
    <cfRule type="containsText" dxfId="322" priority="170" operator="containsText" text="Concluído">
      <formula>NOT(ISERROR(SEARCH("Concluído",E24)))</formula>
    </cfRule>
  </conditionalFormatting>
  <conditionalFormatting sqref="E24">
    <cfRule type="containsText" dxfId="321" priority="166" operator="containsText" text="Bloqueado">
      <formula>NOT(ISERROR(SEARCH("Bloqueado",E24)))</formula>
    </cfRule>
  </conditionalFormatting>
  <conditionalFormatting sqref="E24">
    <cfRule type="containsText" dxfId="320" priority="167" operator="containsText" text="Cancelado">
      <formula>NOT(ISERROR(SEARCH("Cancelado",E24)))</formula>
    </cfRule>
  </conditionalFormatting>
  <conditionalFormatting sqref="E18">
    <cfRule type="containsText" dxfId="319" priority="178" operator="containsText" text="Por iniciar">
      <formula>NOT(ISERROR(SEARCH("Por iniciar",E18)))</formula>
    </cfRule>
    <cfRule type="containsText" dxfId="318" priority="179" operator="containsText" text="Wip">
      <formula>NOT(ISERROR(SEARCH("Wip",E18)))</formula>
    </cfRule>
    <cfRule type="containsText" dxfId="317" priority="180" operator="containsText" text="Concluído">
      <formula>NOT(ISERROR(SEARCH("Concluído",E18)))</formula>
    </cfRule>
  </conditionalFormatting>
  <conditionalFormatting sqref="E18">
    <cfRule type="containsText" dxfId="316" priority="176" operator="containsText" text="Bloqueado">
      <formula>NOT(ISERROR(SEARCH("Bloqueado",E18)))</formula>
    </cfRule>
  </conditionalFormatting>
  <conditionalFormatting sqref="E18">
    <cfRule type="containsText" dxfId="315" priority="177" operator="containsText" text="Cancelado">
      <formula>NOT(ISERROR(SEARCH("Cancelado",E18)))</formula>
    </cfRule>
  </conditionalFormatting>
  <conditionalFormatting sqref="E26">
    <cfRule type="containsText" dxfId="314" priority="153" operator="containsText" text="Por iniciar">
      <formula>NOT(ISERROR(SEARCH("Por iniciar",E26)))</formula>
    </cfRule>
    <cfRule type="containsText" dxfId="313" priority="154" operator="containsText" text="Wip">
      <formula>NOT(ISERROR(SEARCH("Wip",E26)))</formula>
    </cfRule>
    <cfRule type="containsText" dxfId="312" priority="155" operator="containsText" text="Concluído">
      <formula>NOT(ISERROR(SEARCH("Concluído",E26)))</formula>
    </cfRule>
  </conditionalFormatting>
  <conditionalFormatting sqref="E26">
    <cfRule type="containsText" dxfId="311" priority="151" operator="containsText" text="Bloqueado">
      <formula>NOT(ISERROR(SEARCH("Bloqueado",E26)))</formula>
    </cfRule>
  </conditionalFormatting>
  <conditionalFormatting sqref="E26">
    <cfRule type="containsText" dxfId="310" priority="152" operator="containsText" text="Cancelado">
      <formula>NOT(ISERROR(SEARCH("Cancelado",E26)))</formula>
    </cfRule>
  </conditionalFormatting>
  <conditionalFormatting sqref="E25">
    <cfRule type="containsText" dxfId="309" priority="158" operator="containsText" text="Por iniciar">
      <formula>NOT(ISERROR(SEARCH("Por iniciar",E25)))</formula>
    </cfRule>
    <cfRule type="containsText" dxfId="308" priority="159" operator="containsText" text="Wip">
      <formula>NOT(ISERROR(SEARCH("Wip",E25)))</formula>
    </cfRule>
    <cfRule type="containsText" dxfId="307" priority="160" operator="containsText" text="Concluído">
      <formula>NOT(ISERROR(SEARCH("Concluído",E25)))</formula>
    </cfRule>
  </conditionalFormatting>
  <conditionalFormatting sqref="E25">
    <cfRule type="containsText" dxfId="306" priority="156" operator="containsText" text="Bloqueado">
      <formula>NOT(ISERROR(SEARCH("Bloqueado",E25)))</formula>
    </cfRule>
  </conditionalFormatting>
  <conditionalFormatting sqref="E25">
    <cfRule type="containsText" dxfId="305" priority="157" operator="containsText" text="Cancelado">
      <formula>NOT(ISERROR(SEARCH("Cancelado",E25)))</formula>
    </cfRule>
  </conditionalFormatting>
  <conditionalFormatting sqref="E31">
    <cfRule type="containsText" dxfId="304" priority="148" operator="containsText" text="Por iniciar">
      <formula>NOT(ISERROR(SEARCH("Por iniciar",E31)))</formula>
    </cfRule>
    <cfRule type="containsText" dxfId="303" priority="149" operator="containsText" text="Wip">
      <formula>NOT(ISERROR(SEARCH("Wip",E31)))</formula>
    </cfRule>
    <cfRule type="containsText" dxfId="302" priority="150" operator="containsText" text="Concluído">
      <formula>NOT(ISERROR(SEARCH("Concluído",E31)))</formula>
    </cfRule>
  </conditionalFormatting>
  <conditionalFormatting sqref="E31">
    <cfRule type="containsText" dxfId="301" priority="146" operator="containsText" text="Bloqueado">
      <formula>NOT(ISERROR(SEARCH("Bloqueado",E31)))</formula>
    </cfRule>
  </conditionalFormatting>
  <conditionalFormatting sqref="E31">
    <cfRule type="containsText" dxfId="300" priority="147" operator="containsText" text="Cancelado">
      <formula>NOT(ISERROR(SEARCH("Cancelado",E31)))</formula>
    </cfRule>
  </conditionalFormatting>
  <conditionalFormatting sqref="E34">
    <cfRule type="containsText" dxfId="299" priority="133" operator="containsText" text="Por iniciar">
      <formula>NOT(ISERROR(SEARCH("Por iniciar",E34)))</formula>
    </cfRule>
    <cfRule type="containsText" dxfId="298" priority="134" operator="containsText" text="Wip">
      <formula>NOT(ISERROR(SEARCH("Wip",E34)))</formula>
    </cfRule>
    <cfRule type="containsText" dxfId="297" priority="135" operator="containsText" text="Concluído">
      <formula>NOT(ISERROR(SEARCH("Concluído",E34)))</formula>
    </cfRule>
  </conditionalFormatting>
  <conditionalFormatting sqref="E34">
    <cfRule type="containsText" dxfId="296" priority="131" operator="containsText" text="Bloqueado">
      <formula>NOT(ISERROR(SEARCH("Bloqueado",E34)))</formula>
    </cfRule>
  </conditionalFormatting>
  <conditionalFormatting sqref="E34">
    <cfRule type="containsText" dxfId="295" priority="132" operator="containsText" text="Cancelado">
      <formula>NOT(ISERROR(SEARCH("Cancelado",E34)))</formula>
    </cfRule>
  </conditionalFormatting>
  <conditionalFormatting sqref="E28">
    <cfRule type="containsText" dxfId="294" priority="93" operator="containsText" text="Por iniciar">
      <formula>NOT(ISERROR(SEARCH("Por iniciar",E28)))</formula>
    </cfRule>
    <cfRule type="containsText" dxfId="293" priority="94" operator="containsText" text="Wip">
      <formula>NOT(ISERROR(SEARCH("Wip",E28)))</formula>
    </cfRule>
    <cfRule type="containsText" dxfId="292" priority="95" operator="containsText" text="Concluído">
      <formula>NOT(ISERROR(SEARCH("Concluído",E28)))</formula>
    </cfRule>
  </conditionalFormatting>
  <conditionalFormatting sqref="E28">
    <cfRule type="containsText" dxfId="291" priority="91" operator="containsText" text="Bloqueado">
      <formula>NOT(ISERROR(SEARCH("Bloqueado",E28)))</formula>
    </cfRule>
  </conditionalFormatting>
  <conditionalFormatting sqref="E28">
    <cfRule type="containsText" dxfId="290" priority="92" operator="containsText" text="Cancelado">
      <formula>NOT(ISERROR(SEARCH("Cancelado",E28)))</formula>
    </cfRule>
  </conditionalFormatting>
  <conditionalFormatting sqref="E23">
    <cfRule type="containsText" dxfId="289" priority="83" operator="containsText" text="Por iniciar">
      <formula>NOT(ISERROR(SEARCH("Por iniciar",E23)))</formula>
    </cfRule>
    <cfRule type="containsText" dxfId="288" priority="84" operator="containsText" text="Wip">
      <formula>NOT(ISERROR(SEARCH("Wip",E23)))</formula>
    </cfRule>
    <cfRule type="containsText" dxfId="287" priority="85" operator="containsText" text="Concluído">
      <formula>NOT(ISERROR(SEARCH("Concluído",E23)))</formula>
    </cfRule>
  </conditionalFormatting>
  <conditionalFormatting sqref="E23">
    <cfRule type="containsText" dxfId="286" priority="81" operator="containsText" text="Bloqueado">
      <formula>NOT(ISERROR(SEARCH("Bloqueado",E23)))</formula>
    </cfRule>
  </conditionalFormatting>
  <conditionalFormatting sqref="E23">
    <cfRule type="containsText" dxfId="285" priority="82" operator="containsText" text="Cancelado">
      <formula>NOT(ISERROR(SEARCH("Cancelado",E23)))</formula>
    </cfRule>
  </conditionalFormatting>
  <conditionalFormatting sqref="E29">
    <cfRule type="containsText" dxfId="284" priority="68" operator="containsText" text="Por iniciar">
      <formula>NOT(ISERROR(SEARCH("Por iniciar",E29)))</formula>
    </cfRule>
    <cfRule type="containsText" dxfId="283" priority="69" operator="containsText" text="Wip">
      <formula>NOT(ISERROR(SEARCH("Wip",E29)))</formula>
    </cfRule>
    <cfRule type="containsText" dxfId="282" priority="70" operator="containsText" text="Concluído">
      <formula>NOT(ISERROR(SEARCH("Concluído",E29)))</formula>
    </cfRule>
  </conditionalFormatting>
  <conditionalFormatting sqref="E29">
    <cfRule type="containsText" dxfId="281" priority="66" operator="containsText" text="Bloqueado">
      <formula>NOT(ISERROR(SEARCH("Bloqueado",E29)))</formula>
    </cfRule>
  </conditionalFormatting>
  <conditionalFormatting sqref="E29">
    <cfRule type="containsText" dxfId="280" priority="67" operator="containsText" text="Cancelado">
      <formula>NOT(ISERROR(SEARCH("Cancelado",E29)))</formula>
    </cfRule>
  </conditionalFormatting>
  <conditionalFormatting sqref="E27">
    <cfRule type="containsText" dxfId="279" priority="63" operator="containsText" text="Por iniciar">
      <formula>NOT(ISERROR(SEARCH("Por iniciar",E27)))</formula>
    </cfRule>
    <cfRule type="containsText" dxfId="278" priority="64" operator="containsText" text="Wip">
      <formula>NOT(ISERROR(SEARCH("Wip",E27)))</formula>
    </cfRule>
    <cfRule type="containsText" dxfId="277" priority="65" operator="containsText" text="Concluído">
      <formula>NOT(ISERROR(SEARCH("Concluído",E27)))</formula>
    </cfRule>
  </conditionalFormatting>
  <conditionalFormatting sqref="E27">
    <cfRule type="containsText" dxfId="276" priority="61" operator="containsText" text="Bloqueado">
      <formula>NOT(ISERROR(SEARCH("Bloqueado",E27)))</formula>
    </cfRule>
  </conditionalFormatting>
  <conditionalFormatting sqref="E27">
    <cfRule type="containsText" dxfId="275" priority="62" operator="containsText" text="Cancelado">
      <formula>NOT(ISERROR(SEARCH("Cancelado",E27)))</formula>
    </cfRule>
  </conditionalFormatting>
  <conditionalFormatting sqref="E20">
    <cfRule type="containsText" dxfId="274" priority="58" operator="containsText" text="Por iniciar">
      <formula>NOT(ISERROR(SEARCH("Por iniciar",E20)))</formula>
    </cfRule>
    <cfRule type="containsText" dxfId="273" priority="59" operator="containsText" text="Wip">
      <formula>NOT(ISERROR(SEARCH("Wip",E20)))</formula>
    </cfRule>
    <cfRule type="containsText" dxfId="272" priority="60" operator="containsText" text="Concluído">
      <formula>NOT(ISERROR(SEARCH("Concluído",E20)))</formula>
    </cfRule>
  </conditionalFormatting>
  <conditionalFormatting sqref="E20">
    <cfRule type="containsText" dxfId="271" priority="56" operator="containsText" text="Bloqueado">
      <formula>NOT(ISERROR(SEARCH("Bloqueado",E20)))</formula>
    </cfRule>
  </conditionalFormatting>
  <conditionalFormatting sqref="E20">
    <cfRule type="containsText" dxfId="270" priority="57" operator="containsText" text="Cancelado">
      <formula>NOT(ISERROR(SEARCH("Cancelado",E20)))</formula>
    </cfRule>
  </conditionalFormatting>
  <conditionalFormatting sqref="E30">
    <cfRule type="containsText" dxfId="269" priority="53" operator="containsText" text="Por iniciar">
      <formula>NOT(ISERROR(SEARCH("Por iniciar",E30)))</formula>
    </cfRule>
    <cfRule type="containsText" dxfId="268" priority="54" operator="containsText" text="Wip">
      <formula>NOT(ISERROR(SEARCH("Wip",E30)))</formula>
    </cfRule>
    <cfRule type="containsText" dxfId="267" priority="55" operator="containsText" text="Concluído">
      <formula>NOT(ISERROR(SEARCH("Concluído",E30)))</formula>
    </cfRule>
  </conditionalFormatting>
  <conditionalFormatting sqref="E30">
    <cfRule type="containsText" dxfId="266" priority="51" operator="containsText" text="Bloqueado">
      <formula>NOT(ISERROR(SEARCH("Bloqueado",E30)))</formula>
    </cfRule>
  </conditionalFormatting>
  <conditionalFormatting sqref="E30">
    <cfRule type="containsText" dxfId="265" priority="52" operator="containsText" text="Cancelado">
      <formula>NOT(ISERROR(SEARCH("Cancelado",E30)))</formula>
    </cfRule>
  </conditionalFormatting>
  <conditionalFormatting sqref="E33">
    <cfRule type="containsText" dxfId="264" priority="28" operator="containsText" text="Por iniciar">
      <formula>NOT(ISERROR(SEARCH("Por iniciar",E33)))</formula>
    </cfRule>
    <cfRule type="containsText" dxfId="263" priority="29" operator="containsText" text="Wip">
      <formula>NOT(ISERROR(SEARCH("Wip",E33)))</formula>
    </cfRule>
    <cfRule type="containsText" dxfId="262" priority="30" operator="containsText" text="Concluído">
      <formula>NOT(ISERROR(SEARCH("Concluído",E33)))</formula>
    </cfRule>
  </conditionalFormatting>
  <conditionalFormatting sqref="E33">
    <cfRule type="containsText" dxfId="261" priority="26" operator="containsText" text="Bloqueado">
      <formula>NOT(ISERROR(SEARCH("Bloqueado",E33)))</formula>
    </cfRule>
  </conditionalFormatting>
  <conditionalFormatting sqref="E33">
    <cfRule type="containsText" dxfId="260" priority="27" operator="containsText" text="Cancelado">
      <formula>NOT(ISERROR(SEARCH("Cancelado",E33)))</formula>
    </cfRule>
  </conditionalFormatting>
  <conditionalFormatting sqref="E36">
    <cfRule type="containsText" dxfId="259" priority="18" operator="containsText" text="Por iniciar">
      <formula>NOT(ISERROR(SEARCH("Por iniciar",E36)))</formula>
    </cfRule>
    <cfRule type="containsText" dxfId="258" priority="19" operator="containsText" text="Wip">
      <formula>NOT(ISERROR(SEARCH("Wip",E36)))</formula>
    </cfRule>
    <cfRule type="containsText" dxfId="257" priority="20" operator="containsText" text="Concluído">
      <formula>NOT(ISERROR(SEARCH("Concluído",E36)))</formula>
    </cfRule>
  </conditionalFormatting>
  <conditionalFormatting sqref="E36">
    <cfRule type="containsText" dxfId="256" priority="16" operator="containsText" text="Bloqueado">
      <formula>NOT(ISERROR(SEARCH("Bloqueado",E36)))</formula>
    </cfRule>
  </conditionalFormatting>
  <conditionalFormatting sqref="E36">
    <cfRule type="containsText" dxfId="255" priority="17" operator="containsText" text="Cancelado">
      <formula>NOT(ISERROR(SEARCH("Cancelado",E36)))</formula>
    </cfRule>
  </conditionalFormatting>
  <conditionalFormatting sqref="E37">
    <cfRule type="containsText" dxfId="254" priority="13" operator="containsText" text="Por iniciar">
      <formula>NOT(ISERROR(SEARCH("Por iniciar",E37)))</formula>
    </cfRule>
    <cfRule type="containsText" dxfId="253" priority="14" operator="containsText" text="Wip">
      <formula>NOT(ISERROR(SEARCH("Wip",E37)))</formula>
    </cfRule>
    <cfRule type="containsText" dxfId="252" priority="15" operator="containsText" text="Concluído">
      <formula>NOT(ISERROR(SEARCH("Concluído",E37)))</formula>
    </cfRule>
  </conditionalFormatting>
  <conditionalFormatting sqref="E37">
    <cfRule type="containsText" dxfId="251" priority="11" operator="containsText" text="Bloqueado">
      <formula>NOT(ISERROR(SEARCH("Bloqueado",E37)))</formula>
    </cfRule>
  </conditionalFormatting>
  <conditionalFormatting sqref="E37">
    <cfRule type="containsText" dxfId="250" priority="12" operator="containsText" text="Cancelado">
      <formula>NOT(ISERROR(SEARCH("Cancelado",E37)))</formula>
    </cfRule>
  </conditionalFormatting>
  <conditionalFormatting sqref="E35">
    <cfRule type="containsText" dxfId="249" priority="8" operator="containsText" text="Por iniciar">
      <formula>NOT(ISERROR(SEARCH("Por iniciar",E35)))</formula>
    </cfRule>
    <cfRule type="containsText" dxfId="248" priority="9" operator="containsText" text="Wip">
      <formula>NOT(ISERROR(SEARCH("Wip",E35)))</formula>
    </cfRule>
    <cfRule type="containsText" dxfId="247" priority="10" operator="containsText" text="Concluído">
      <formula>NOT(ISERROR(SEARCH("Concluído",E35)))</formula>
    </cfRule>
  </conditionalFormatting>
  <conditionalFormatting sqref="E35">
    <cfRule type="containsText" dxfId="246" priority="6" operator="containsText" text="Bloqueado">
      <formula>NOT(ISERROR(SEARCH("Bloqueado",E35)))</formula>
    </cfRule>
  </conditionalFormatting>
  <conditionalFormatting sqref="E35">
    <cfRule type="containsText" dxfId="245" priority="7" operator="containsText" text="Cancelado">
      <formula>NOT(ISERROR(SEARCH("Cancelado",E35)))</formula>
    </cfRule>
  </conditionalFormatting>
  <conditionalFormatting sqref="E19">
    <cfRule type="containsText" dxfId="244" priority="1" operator="containsText" text="Bloqueado">
      <formula>NOT(ISERROR(SEARCH("Bloqueado",E19)))</formula>
    </cfRule>
  </conditionalFormatting>
  <conditionalFormatting sqref="E19">
    <cfRule type="containsText" dxfId="243" priority="3" operator="containsText" text="Por iniciar">
      <formula>NOT(ISERROR(SEARCH("Por iniciar",E19)))</formula>
    </cfRule>
    <cfRule type="containsText" dxfId="242" priority="4" operator="containsText" text="Wip">
      <formula>NOT(ISERROR(SEARCH("Wip",E19)))</formula>
    </cfRule>
    <cfRule type="containsText" dxfId="241" priority="5" operator="containsText" text="Concluído">
      <formula>NOT(ISERROR(SEARCH("Concluído",E19)))</formula>
    </cfRule>
  </conditionalFormatting>
  <conditionalFormatting sqref="E19">
    <cfRule type="containsText" dxfId="240" priority="2" operator="containsText" text="Cancelado">
      <formula>NOT(ISERROR(SEARCH("Cancelado",E19)))</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B1:W95"/>
  <sheetViews>
    <sheetView showGridLines="0" workbookViewId="0">
      <selection sqref="A1:XFD6"/>
    </sheetView>
  </sheetViews>
  <sheetFormatPr defaultRowHeight="14.4" x14ac:dyDescent="0.3"/>
  <cols>
    <col min="1" max="1" width="2.109375" style="32" customWidth="1"/>
    <col min="2" max="2" width="13.44140625" style="32" bestFit="1" customWidth="1"/>
    <col min="3" max="3" width="9.21875" style="32" bestFit="1" customWidth="1"/>
    <col min="4" max="4" width="8.44140625" style="32" customWidth="1"/>
    <col min="5" max="5" width="12" style="32" bestFit="1" customWidth="1"/>
    <col min="6" max="6" width="16.109375" style="32" customWidth="1"/>
    <col min="7" max="7" width="9.109375" style="32" customWidth="1"/>
    <col min="8" max="8" width="8.77734375" style="32" customWidth="1"/>
    <col min="9" max="9" width="12" style="32" customWidth="1"/>
    <col min="10" max="10" width="16.109375" style="32" customWidth="1"/>
    <col min="11" max="11" width="10.33203125" style="32" customWidth="1"/>
    <col min="12" max="12" width="12.5546875" style="32" customWidth="1"/>
    <col min="13" max="13" width="12.77734375" style="32" customWidth="1"/>
    <col min="14" max="14" width="9.33203125" style="32" customWidth="1"/>
    <col min="15" max="15" width="10.5546875" style="32" customWidth="1"/>
    <col min="16" max="16" width="9.6640625" style="32" customWidth="1"/>
    <col min="17" max="17" width="20.6640625" style="32" customWidth="1"/>
    <col min="18" max="18" width="10.33203125" style="32" customWidth="1"/>
    <col min="19" max="19" width="9.109375" style="32" customWidth="1"/>
    <col min="20" max="20" width="6.88671875" style="32" customWidth="1"/>
    <col min="21" max="21" width="9.6640625" style="32" bestFit="1" customWidth="1"/>
    <col min="22" max="22" width="21.77734375" style="32" bestFit="1" customWidth="1"/>
    <col min="23" max="23" width="10.33203125" style="32" customWidth="1"/>
    <col min="24" max="16384" width="8.88671875" style="32"/>
  </cols>
  <sheetData>
    <row r="1" spans="2:23" customFormat="1" x14ac:dyDescent="0.3">
      <c r="B1" s="51" t="s">
        <v>960</v>
      </c>
      <c r="C1" s="52"/>
      <c r="D1" s="52"/>
      <c r="E1" s="52"/>
      <c r="F1" s="52"/>
      <c r="G1" s="52"/>
      <c r="H1" s="52"/>
      <c r="I1" s="52"/>
      <c r="J1" s="52"/>
    </row>
    <row r="2" spans="2:23" customFormat="1" x14ac:dyDescent="0.3"/>
    <row r="3" spans="2:23" customFormat="1" x14ac:dyDescent="0.3">
      <c r="B3" s="57" t="s">
        <v>976</v>
      </c>
      <c r="C3" s="58"/>
      <c r="D3" s="58"/>
      <c r="E3" s="58"/>
      <c r="F3" s="66"/>
      <c r="G3" s="66"/>
      <c r="H3" s="66"/>
      <c r="I3" s="66"/>
      <c r="J3" s="66"/>
    </row>
    <row r="4" spans="2:23" customFormat="1" x14ac:dyDescent="0.3">
      <c r="B4" s="59"/>
      <c r="C4" s="60"/>
      <c r="D4" s="60"/>
      <c r="E4" s="60"/>
    </row>
    <row r="5" spans="2:23" s="3" customFormat="1" x14ac:dyDescent="0.3">
      <c r="B5" s="61" t="s">
        <v>1297</v>
      </c>
      <c r="C5" s="62"/>
      <c r="D5" s="62"/>
      <c r="E5" s="62"/>
      <c r="F5" s="62"/>
      <c r="G5" s="62"/>
      <c r="H5" s="62"/>
      <c r="I5" s="62"/>
      <c r="J5" s="63"/>
      <c r="K5" s="60"/>
    </row>
    <row r="6" spans="2:23" s="3" customFormat="1" x14ac:dyDescent="0.3">
      <c r="B6" s="64" t="s">
        <v>1298</v>
      </c>
      <c r="C6" s="58"/>
      <c r="D6" s="58"/>
      <c r="E6" s="58"/>
      <c r="F6" s="58"/>
      <c r="G6" s="58"/>
      <c r="H6" s="58"/>
      <c r="I6" s="58"/>
      <c r="J6" s="65"/>
      <c r="K6" s="60"/>
    </row>
    <row r="7" spans="2:23" s="3" customFormat="1" x14ac:dyDescent="0.3">
      <c r="B7" s="56"/>
    </row>
    <row r="8" spans="2:23" x14ac:dyDescent="0.3">
      <c r="B8" s="54" t="s">
        <v>128</v>
      </c>
      <c r="C8" s="54" t="s">
        <v>943</v>
      </c>
      <c r="D8" s="54" t="s">
        <v>944</v>
      </c>
      <c r="E8" s="54" t="s">
        <v>945</v>
      </c>
      <c r="F8" s="54" t="s">
        <v>946</v>
      </c>
      <c r="G8" s="54" t="s">
        <v>152</v>
      </c>
      <c r="H8" s="54" t="s">
        <v>153</v>
      </c>
      <c r="I8" s="54" t="s">
        <v>154</v>
      </c>
      <c r="J8" s="54" t="s">
        <v>947</v>
      </c>
      <c r="K8" s="54" t="s">
        <v>948</v>
      </c>
      <c r="L8" s="54" t="s">
        <v>949</v>
      </c>
      <c r="M8" s="54" t="s">
        <v>950</v>
      </c>
      <c r="N8" s="54" t="s">
        <v>951</v>
      </c>
      <c r="O8" s="54" t="s">
        <v>952</v>
      </c>
      <c r="P8" s="54" t="s">
        <v>953</v>
      </c>
      <c r="Q8" s="54" t="s">
        <v>954</v>
      </c>
      <c r="R8" s="54" t="s">
        <v>955</v>
      </c>
      <c r="S8" s="54" t="s">
        <v>956</v>
      </c>
      <c r="T8" s="54" t="s">
        <v>130</v>
      </c>
      <c r="U8" s="54" t="s">
        <v>957</v>
      </c>
      <c r="V8" s="54" t="s">
        <v>192</v>
      </c>
      <c r="W8" s="54" t="s">
        <v>193</v>
      </c>
    </row>
    <row r="9" spans="2:23" x14ac:dyDescent="0.3">
      <c r="B9" s="32" t="s">
        <v>194</v>
      </c>
      <c r="C9" s="40" t="s">
        <v>211</v>
      </c>
      <c r="D9" s="40" t="s">
        <v>212</v>
      </c>
      <c r="E9" s="40" t="s">
        <v>961</v>
      </c>
      <c r="F9" s="40" t="s">
        <v>214</v>
      </c>
      <c r="G9" s="40" t="s">
        <v>211</v>
      </c>
      <c r="H9" s="40" t="s">
        <v>212</v>
      </c>
      <c r="I9" s="40" t="s">
        <v>962</v>
      </c>
      <c r="J9" s="40" t="s">
        <v>963</v>
      </c>
      <c r="K9" s="32" t="s">
        <v>964</v>
      </c>
      <c r="L9" s="32" t="s">
        <v>202</v>
      </c>
      <c r="M9" s="32" t="s">
        <v>202</v>
      </c>
      <c r="N9" s="38" t="s">
        <v>965</v>
      </c>
      <c r="O9" s="32" t="s">
        <v>966</v>
      </c>
      <c r="R9" s="32" t="s">
        <v>242</v>
      </c>
      <c r="S9" s="32" t="s">
        <v>242</v>
      </c>
      <c r="T9" s="32" t="s">
        <v>196</v>
      </c>
      <c r="U9" s="32" t="s">
        <v>958</v>
      </c>
      <c r="V9" s="32" t="s">
        <v>959</v>
      </c>
      <c r="W9" s="32" t="s">
        <v>967</v>
      </c>
    </row>
    <row r="10" spans="2:23" x14ac:dyDescent="0.3">
      <c r="B10" s="32" t="s">
        <v>194</v>
      </c>
      <c r="C10" s="40" t="s">
        <v>211</v>
      </c>
      <c r="D10" s="40" t="s">
        <v>212</v>
      </c>
      <c r="E10" s="40" t="s">
        <v>961</v>
      </c>
      <c r="F10" s="40" t="s">
        <v>214</v>
      </c>
      <c r="G10" s="40" t="s">
        <v>211</v>
      </c>
      <c r="H10" s="40" t="s">
        <v>212</v>
      </c>
      <c r="I10" s="40" t="s">
        <v>962</v>
      </c>
      <c r="J10" s="40" t="s">
        <v>963</v>
      </c>
      <c r="K10" s="32" t="s">
        <v>964</v>
      </c>
      <c r="L10" s="32" t="s">
        <v>202</v>
      </c>
      <c r="M10" s="32" t="s">
        <v>202</v>
      </c>
      <c r="N10" s="40" t="s">
        <v>972</v>
      </c>
      <c r="O10" s="32" t="s">
        <v>966</v>
      </c>
      <c r="R10" s="32" t="s">
        <v>242</v>
      </c>
      <c r="S10" s="32" t="s">
        <v>242</v>
      </c>
      <c r="T10" s="32" t="s">
        <v>196</v>
      </c>
      <c r="U10" s="32" t="s">
        <v>958</v>
      </c>
      <c r="V10" s="32" t="s">
        <v>959</v>
      </c>
      <c r="W10" s="32" t="s">
        <v>967</v>
      </c>
    </row>
    <row r="11" spans="2:23" x14ac:dyDescent="0.3">
      <c r="B11" s="32" t="s">
        <v>194</v>
      </c>
      <c r="C11" s="32" t="s">
        <v>211</v>
      </c>
      <c r="D11" s="32" t="s">
        <v>212</v>
      </c>
      <c r="E11" s="32" t="s">
        <v>968</v>
      </c>
      <c r="F11" s="32" t="s">
        <v>214</v>
      </c>
      <c r="G11" s="32" t="s">
        <v>211</v>
      </c>
      <c r="H11" s="32" t="s">
        <v>212</v>
      </c>
      <c r="I11" s="32" t="s">
        <v>969</v>
      </c>
      <c r="J11" s="32" t="s">
        <v>970</v>
      </c>
      <c r="K11" s="32" t="s">
        <v>971</v>
      </c>
      <c r="L11" s="32" t="s">
        <v>202</v>
      </c>
      <c r="M11" s="32" t="s">
        <v>202</v>
      </c>
      <c r="N11" s="32" t="s">
        <v>972</v>
      </c>
      <c r="O11" s="32" t="s">
        <v>966</v>
      </c>
      <c r="R11" s="32" t="s">
        <v>242</v>
      </c>
      <c r="S11" s="32" t="s">
        <v>242</v>
      </c>
      <c r="T11" s="32" t="s">
        <v>196</v>
      </c>
      <c r="U11" s="32" t="s">
        <v>958</v>
      </c>
      <c r="V11" s="32" t="s">
        <v>959</v>
      </c>
      <c r="W11" s="32" t="s">
        <v>967</v>
      </c>
    </row>
    <row r="12" spans="2:23" x14ac:dyDescent="0.3">
      <c r="B12" s="32" t="s">
        <v>194</v>
      </c>
      <c r="C12" s="32" t="s">
        <v>211</v>
      </c>
      <c r="D12" s="32" t="s">
        <v>212</v>
      </c>
      <c r="E12" s="32" t="s">
        <v>968</v>
      </c>
      <c r="F12" s="32" t="s">
        <v>214</v>
      </c>
      <c r="G12" s="32" t="s">
        <v>211</v>
      </c>
      <c r="H12" s="32" t="s">
        <v>212</v>
      </c>
      <c r="I12" s="32" t="s">
        <v>969</v>
      </c>
      <c r="J12" s="32" t="s">
        <v>970</v>
      </c>
      <c r="K12" s="32" t="s">
        <v>971</v>
      </c>
      <c r="L12" s="32" t="s">
        <v>202</v>
      </c>
      <c r="M12" s="32" t="s">
        <v>202</v>
      </c>
      <c r="N12" s="32" t="s">
        <v>965</v>
      </c>
      <c r="O12" s="32" t="s">
        <v>966</v>
      </c>
      <c r="R12" s="32" t="s">
        <v>242</v>
      </c>
      <c r="S12" s="32" t="s">
        <v>242</v>
      </c>
      <c r="T12" s="32" t="s">
        <v>196</v>
      </c>
      <c r="U12" s="32" t="s">
        <v>958</v>
      </c>
      <c r="V12" s="32" t="s">
        <v>959</v>
      </c>
      <c r="W12" s="32" t="s">
        <v>967</v>
      </c>
    </row>
    <row r="13" spans="2:23" x14ac:dyDescent="0.3">
      <c r="B13" s="32" t="s">
        <v>194</v>
      </c>
      <c r="C13" s="40" t="s">
        <v>211</v>
      </c>
      <c r="D13" s="40" t="s">
        <v>212</v>
      </c>
      <c r="E13" s="40" t="s">
        <v>973</v>
      </c>
      <c r="F13" s="40" t="s">
        <v>214</v>
      </c>
      <c r="G13" s="40" t="s">
        <v>211</v>
      </c>
      <c r="H13" s="40" t="s">
        <v>212</v>
      </c>
      <c r="I13" s="40" t="s">
        <v>974</v>
      </c>
      <c r="J13" s="40" t="s">
        <v>963</v>
      </c>
      <c r="K13" s="32" t="s">
        <v>975</v>
      </c>
      <c r="L13" s="32" t="s">
        <v>202</v>
      </c>
      <c r="M13" s="32" t="s">
        <v>202</v>
      </c>
      <c r="N13" s="32" t="s">
        <v>972</v>
      </c>
      <c r="O13" s="32" t="s">
        <v>966</v>
      </c>
      <c r="R13" s="32" t="s">
        <v>242</v>
      </c>
      <c r="S13" s="32" t="s">
        <v>242</v>
      </c>
      <c r="T13" s="32" t="s">
        <v>196</v>
      </c>
      <c r="U13" s="32" t="s">
        <v>958</v>
      </c>
      <c r="V13" s="32" t="s">
        <v>959</v>
      </c>
      <c r="W13" s="32" t="s">
        <v>967</v>
      </c>
    </row>
    <row r="14" spans="2:23" x14ac:dyDescent="0.3">
      <c r="B14" s="32" t="s">
        <v>194</v>
      </c>
      <c r="C14" s="40" t="s">
        <v>211</v>
      </c>
      <c r="D14" s="40" t="s">
        <v>212</v>
      </c>
      <c r="E14" s="40" t="s">
        <v>973</v>
      </c>
      <c r="F14" s="40" t="s">
        <v>214</v>
      </c>
      <c r="G14" s="40" t="s">
        <v>211</v>
      </c>
      <c r="H14" s="40" t="s">
        <v>212</v>
      </c>
      <c r="I14" s="40" t="s">
        <v>974</v>
      </c>
      <c r="J14" s="40" t="s">
        <v>963</v>
      </c>
      <c r="K14" s="32" t="s">
        <v>975</v>
      </c>
      <c r="L14" s="32" t="s">
        <v>202</v>
      </c>
      <c r="M14" s="32" t="s">
        <v>202</v>
      </c>
      <c r="N14" s="32" t="s">
        <v>965</v>
      </c>
      <c r="O14" s="32" t="s">
        <v>966</v>
      </c>
      <c r="R14" s="32" t="s">
        <v>242</v>
      </c>
      <c r="S14" s="32" t="s">
        <v>242</v>
      </c>
      <c r="T14" s="32" t="s">
        <v>196</v>
      </c>
      <c r="U14" s="32" t="s">
        <v>958</v>
      </c>
      <c r="V14" s="32" t="s">
        <v>959</v>
      </c>
      <c r="W14" s="32" t="s">
        <v>967</v>
      </c>
    </row>
    <row r="16" spans="2:23" customFormat="1" x14ac:dyDescent="0.3">
      <c r="B16" s="57" t="s">
        <v>1106</v>
      </c>
      <c r="C16" s="58"/>
      <c r="D16" s="58"/>
      <c r="E16" s="58"/>
      <c r="F16" s="66"/>
      <c r="G16" s="66"/>
      <c r="H16" s="66"/>
      <c r="I16" s="66"/>
      <c r="J16" s="66"/>
    </row>
    <row r="17" spans="2:18" customFormat="1" x14ac:dyDescent="0.3">
      <c r="B17" s="59"/>
      <c r="C17" s="60"/>
      <c r="D17" s="60"/>
      <c r="E17" s="60"/>
    </row>
    <row r="18" spans="2:18" s="3" customFormat="1" x14ac:dyDescent="0.3">
      <c r="B18" s="61" t="s">
        <v>1088</v>
      </c>
      <c r="C18" s="62"/>
      <c r="D18" s="62"/>
      <c r="E18" s="62"/>
      <c r="F18" s="62"/>
      <c r="G18" s="62"/>
      <c r="H18" s="62"/>
      <c r="I18" s="62"/>
      <c r="J18" s="63"/>
    </row>
    <row r="19" spans="2:18" s="3" customFormat="1" x14ac:dyDescent="0.3">
      <c r="B19" s="64" t="s">
        <v>1300</v>
      </c>
      <c r="C19" s="58"/>
      <c r="D19" s="58"/>
      <c r="E19" s="58"/>
      <c r="F19" s="58"/>
      <c r="G19" s="58"/>
      <c r="H19" s="58"/>
      <c r="I19" s="58"/>
      <c r="J19" s="65"/>
    </row>
    <row r="21" spans="2:18" x14ac:dyDescent="0.3">
      <c r="B21" s="54" t="s">
        <v>128</v>
      </c>
      <c r="C21" s="54" t="s">
        <v>152</v>
      </c>
      <c r="D21" s="54" t="s">
        <v>153</v>
      </c>
      <c r="E21" s="54" t="s">
        <v>154</v>
      </c>
      <c r="F21" s="54" t="s">
        <v>947</v>
      </c>
      <c r="G21" s="54" t="s">
        <v>160</v>
      </c>
      <c r="H21" s="54" t="s">
        <v>161</v>
      </c>
      <c r="I21" s="54" t="s">
        <v>136</v>
      </c>
      <c r="J21" s="54" t="s">
        <v>977</v>
      </c>
      <c r="K21" s="54" t="s">
        <v>167</v>
      </c>
      <c r="L21" s="54" t="s">
        <v>178</v>
      </c>
      <c r="M21" s="54" t="s">
        <v>164</v>
      </c>
      <c r="N21" s="54" t="s">
        <v>978</v>
      </c>
      <c r="O21" s="54" t="s">
        <v>130</v>
      </c>
      <c r="P21" s="54" t="s">
        <v>957</v>
      </c>
      <c r="Q21" s="54" t="s">
        <v>192</v>
      </c>
      <c r="R21" s="54" t="s">
        <v>193</v>
      </c>
    </row>
    <row r="22" spans="2:18" x14ac:dyDescent="0.3">
      <c r="B22" s="32" t="s">
        <v>194</v>
      </c>
      <c r="C22" s="32" t="s">
        <v>979</v>
      </c>
      <c r="D22" s="32" t="s">
        <v>257</v>
      </c>
      <c r="E22" s="32" t="s">
        <v>980</v>
      </c>
      <c r="F22" s="32" t="s">
        <v>981</v>
      </c>
      <c r="G22" s="32" t="s">
        <v>982</v>
      </c>
      <c r="H22" s="32" t="s">
        <v>983</v>
      </c>
      <c r="I22" s="32" t="s">
        <v>984</v>
      </c>
      <c r="J22" s="32" t="s">
        <v>985</v>
      </c>
      <c r="K22" s="32" t="s">
        <v>40</v>
      </c>
      <c r="L22" s="32" t="s">
        <v>986</v>
      </c>
      <c r="M22" s="32" t="s">
        <v>987</v>
      </c>
      <c r="O22" s="32" t="s">
        <v>255</v>
      </c>
      <c r="P22" s="32" t="s">
        <v>958</v>
      </c>
      <c r="Q22" s="32" t="s">
        <v>988</v>
      </c>
      <c r="R22" s="32" t="s">
        <v>967</v>
      </c>
    </row>
    <row r="23" spans="2:18" x14ac:dyDescent="0.3">
      <c r="B23" s="32" t="s">
        <v>194</v>
      </c>
      <c r="C23" s="32" t="s">
        <v>979</v>
      </c>
      <c r="D23" s="32" t="s">
        <v>257</v>
      </c>
      <c r="E23" s="32" t="s">
        <v>980</v>
      </c>
      <c r="F23" s="32" t="s">
        <v>981</v>
      </c>
      <c r="G23" s="32" t="s">
        <v>982</v>
      </c>
      <c r="H23" s="32" t="s">
        <v>983</v>
      </c>
      <c r="I23" s="32" t="s">
        <v>984</v>
      </c>
      <c r="J23" s="32" t="s">
        <v>985</v>
      </c>
      <c r="K23" s="32" t="s">
        <v>40</v>
      </c>
      <c r="L23" s="32" t="s">
        <v>986</v>
      </c>
      <c r="M23" s="32" t="s">
        <v>989</v>
      </c>
      <c r="O23" s="32" t="s">
        <v>255</v>
      </c>
      <c r="P23" s="32" t="s">
        <v>958</v>
      </c>
      <c r="Q23" s="32" t="s">
        <v>988</v>
      </c>
      <c r="R23" s="32" t="s">
        <v>967</v>
      </c>
    </row>
    <row r="24" spans="2:18" x14ac:dyDescent="0.3">
      <c r="B24" s="32" t="s">
        <v>194</v>
      </c>
      <c r="C24" s="40" t="s">
        <v>979</v>
      </c>
      <c r="D24" s="40" t="s">
        <v>257</v>
      </c>
      <c r="E24" s="40" t="s">
        <v>1005</v>
      </c>
      <c r="F24" s="40" t="s">
        <v>1006</v>
      </c>
      <c r="G24" s="32" t="s">
        <v>982</v>
      </c>
      <c r="H24" s="32" t="s">
        <v>983</v>
      </c>
      <c r="I24" s="32" t="s">
        <v>1007</v>
      </c>
      <c r="J24" s="32" t="s">
        <v>1008</v>
      </c>
      <c r="K24" s="32" t="s">
        <v>40</v>
      </c>
      <c r="L24" s="32" t="s">
        <v>986</v>
      </c>
      <c r="M24" s="40" t="s">
        <v>1009</v>
      </c>
      <c r="O24" s="40" t="s">
        <v>255</v>
      </c>
      <c r="P24" s="32" t="s">
        <v>958</v>
      </c>
      <c r="Q24" s="32" t="s">
        <v>988</v>
      </c>
      <c r="R24" s="32" t="s">
        <v>967</v>
      </c>
    </row>
    <row r="25" spans="2:18" x14ac:dyDescent="0.3">
      <c r="B25" s="32" t="s">
        <v>194</v>
      </c>
      <c r="C25" s="40" t="s">
        <v>979</v>
      </c>
      <c r="D25" s="40" t="s">
        <v>257</v>
      </c>
      <c r="E25" s="40" t="s">
        <v>1005</v>
      </c>
      <c r="F25" s="40" t="s">
        <v>1006</v>
      </c>
      <c r="G25" s="32" t="s">
        <v>982</v>
      </c>
      <c r="H25" s="32" t="s">
        <v>983</v>
      </c>
      <c r="I25" s="32" t="s">
        <v>1007</v>
      </c>
      <c r="J25" s="32" t="s">
        <v>1008</v>
      </c>
      <c r="K25" s="32" t="s">
        <v>40</v>
      </c>
      <c r="L25" s="32" t="s">
        <v>986</v>
      </c>
      <c r="M25" s="38" t="s">
        <v>987</v>
      </c>
      <c r="O25" s="40" t="s">
        <v>255</v>
      </c>
      <c r="P25" s="32" t="s">
        <v>958</v>
      </c>
      <c r="Q25" s="32" t="s">
        <v>988</v>
      </c>
      <c r="R25" s="32" t="s">
        <v>967</v>
      </c>
    </row>
    <row r="26" spans="2:18" x14ac:dyDescent="0.3">
      <c r="B26" s="32" t="s">
        <v>194</v>
      </c>
      <c r="C26" s="32" t="s">
        <v>979</v>
      </c>
      <c r="D26" s="32" t="s">
        <v>257</v>
      </c>
      <c r="E26" s="32" t="s">
        <v>1000</v>
      </c>
      <c r="F26" s="32" t="s">
        <v>1001</v>
      </c>
      <c r="G26" s="32" t="s">
        <v>982</v>
      </c>
      <c r="H26" s="32" t="s">
        <v>1002</v>
      </c>
      <c r="I26" s="32" t="s">
        <v>1003</v>
      </c>
      <c r="J26" s="32" t="s">
        <v>1004</v>
      </c>
      <c r="K26" s="32" t="s">
        <v>40</v>
      </c>
      <c r="L26" s="32" t="s">
        <v>986</v>
      </c>
      <c r="M26" s="32" t="s">
        <v>999</v>
      </c>
      <c r="O26" s="32" t="s">
        <v>255</v>
      </c>
      <c r="P26" s="32" t="s">
        <v>958</v>
      </c>
      <c r="Q26" s="32" t="s">
        <v>988</v>
      </c>
      <c r="R26" s="32" t="s">
        <v>967</v>
      </c>
    </row>
    <row r="27" spans="2:18" x14ac:dyDescent="0.3">
      <c r="B27" s="32" t="s">
        <v>194</v>
      </c>
      <c r="C27" s="32" t="s">
        <v>979</v>
      </c>
      <c r="D27" s="32" t="s">
        <v>257</v>
      </c>
      <c r="E27" s="32" t="s">
        <v>1000</v>
      </c>
      <c r="F27" s="32" t="s">
        <v>1001</v>
      </c>
      <c r="G27" s="32" t="s">
        <v>982</v>
      </c>
      <c r="H27" s="32" t="s">
        <v>1002</v>
      </c>
      <c r="I27" s="32" t="s">
        <v>1003</v>
      </c>
      <c r="J27" s="32" t="s">
        <v>1004</v>
      </c>
      <c r="K27" s="32" t="s">
        <v>40</v>
      </c>
      <c r="L27" s="32" t="s">
        <v>986</v>
      </c>
      <c r="M27" s="32" t="s">
        <v>987</v>
      </c>
      <c r="O27" s="32" t="s">
        <v>255</v>
      </c>
      <c r="P27" s="32" t="s">
        <v>958</v>
      </c>
      <c r="Q27" s="32" t="s">
        <v>988</v>
      </c>
      <c r="R27" s="32" t="s">
        <v>967</v>
      </c>
    </row>
    <row r="28" spans="2:18" x14ac:dyDescent="0.3">
      <c r="B28" s="32" t="s">
        <v>194</v>
      </c>
      <c r="C28" s="40" t="s">
        <v>979</v>
      </c>
      <c r="D28" s="40" t="s">
        <v>257</v>
      </c>
      <c r="E28" s="40" t="s">
        <v>1015</v>
      </c>
      <c r="F28" s="40" t="s">
        <v>1016</v>
      </c>
      <c r="G28" s="32" t="s">
        <v>982</v>
      </c>
      <c r="H28" s="32" t="s">
        <v>983</v>
      </c>
      <c r="I28" s="32" t="s">
        <v>1003</v>
      </c>
      <c r="J28" s="32" t="s">
        <v>1017</v>
      </c>
      <c r="K28" s="32" t="s">
        <v>40</v>
      </c>
      <c r="L28" s="32" t="s">
        <v>986</v>
      </c>
      <c r="M28" s="40" t="s">
        <v>1009</v>
      </c>
      <c r="O28" s="40" t="s">
        <v>255</v>
      </c>
      <c r="P28" s="32" t="s">
        <v>958</v>
      </c>
      <c r="Q28" s="32" t="s">
        <v>988</v>
      </c>
      <c r="R28" s="32" t="s">
        <v>967</v>
      </c>
    </row>
    <row r="29" spans="2:18" x14ac:dyDescent="0.3">
      <c r="B29" s="32" t="s">
        <v>194</v>
      </c>
      <c r="C29" s="40" t="s">
        <v>979</v>
      </c>
      <c r="D29" s="40" t="s">
        <v>257</v>
      </c>
      <c r="E29" s="40" t="s">
        <v>1015</v>
      </c>
      <c r="F29" s="40" t="s">
        <v>1016</v>
      </c>
      <c r="G29" s="32" t="s">
        <v>982</v>
      </c>
      <c r="H29" s="32" t="s">
        <v>983</v>
      </c>
      <c r="I29" s="32" t="s">
        <v>1003</v>
      </c>
      <c r="J29" s="32" t="s">
        <v>1017</v>
      </c>
      <c r="K29" s="32" t="s">
        <v>40</v>
      </c>
      <c r="L29" s="32" t="s">
        <v>986</v>
      </c>
      <c r="M29" s="38" t="s">
        <v>987</v>
      </c>
      <c r="O29" s="40" t="s">
        <v>255</v>
      </c>
      <c r="P29" s="32" t="s">
        <v>958</v>
      </c>
      <c r="Q29" s="32" t="s">
        <v>988</v>
      </c>
      <c r="R29" s="32" t="s">
        <v>967</v>
      </c>
    </row>
    <row r="30" spans="2:18" x14ac:dyDescent="0.3">
      <c r="B30" s="32" t="s">
        <v>194</v>
      </c>
      <c r="C30" s="32" t="s">
        <v>979</v>
      </c>
      <c r="D30" s="32" t="s">
        <v>257</v>
      </c>
      <c r="E30" s="32" t="s">
        <v>990</v>
      </c>
      <c r="F30" s="32" t="s">
        <v>991</v>
      </c>
      <c r="G30" s="32" t="s">
        <v>982</v>
      </c>
      <c r="H30" s="32" t="s">
        <v>983</v>
      </c>
      <c r="I30" s="32" t="s">
        <v>992</v>
      </c>
      <c r="J30" s="32" t="s">
        <v>993</v>
      </c>
      <c r="K30" s="32" t="s">
        <v>40</v>
      </c>
      <c r="L30" s="32" t="s">
        <v>986</v>
      </c>
      <c r="M30" s="32" t="s">
        <v>987</v>
      </c>
      <c r="O30" s="32" t="s">
        <v>255</v>
      </c>
      <c r="P30" s="32" t="s">
        <v>958</v>
      </c>
      <c r="Q30" s="32" t="s">
        <v>988</v>
      </c>
      <c r="R30" s="32" t="s">
        <v>967</v>
      </c>
    </row>
    <row r="31" spans="2:18" x14ac:dyDescent="0.3">
      <c r="B31" s="32" t="s">
        <v>194</v>
      </c>
      <c r="C31" s="32" t="s">
        <v>979</v>
      </c>
      <c r="D31" s="32" t="s">
        <v>257</v>
      </c>
      <c r="E31" s="32" t="s">
        <v>994</v>
      </c>
      <c r="F31" s="32" t="s">
        <v>981</v>
      </c>
      <c r="G31" s="32" t="s">
        <v>982</v>
      </c>
      <c r="H31" s="32" t="s">
        <v>983</v>
      </c>
      <c r="I31" s="32" t="s">
        <v>984</v>
      </c>
      <c r="J31" s="32" t="s">
        <v>985</v>
      </c>
      <c r="K31" s="32" t="s">
        <v>40</v>
      </c>
      <c r="L31" s="32" t="s">
        <v>986</v>
      </c>
      <c r="M31" s="32" t="s">
        <v>989</v>
      </c>
      <c r="O31" s="32" t="s">
        <v>255</v>
      </c>
      <c r="P31" s="32" t="s">
        <v>958</v>
      </c>
      <c r="Q31" s="32" t="s">
        <v>988</v>
      </c>
      <c r="R31" s="32" t="s">
        <v>967</v>
      </c>
    </row>
    <row r="32" spans="2:18" x14ac:dyDescent="0.3">
      <c r="B32" s="32" t="s">
        <v>194</v>
      </c>
      <c r="C32" s="32" t="s">
        <v>979</v>
      </c>
      <c r="D32" s="32" t="s">
        <v>257</v>
      </c>
      <c r="E32" s="32" t="s">
        <v>995</v>
      </c>
      <c r="F32" s="32" t="s">
        <v>996</v>
      </c>
      <c r="G32" s="32" t="s">
        <v>982</v>
      </c>
      <c r="H32" s="32" t="s">
        <v>983</v>
      </c>
      <c r="I32" s="32" t="s">
        <v>997</v>
      </c>
      <c r="J32" s="32" t="s">
        <v>998</v>
      </c>
      <c r="K32" s="32" t="s">
        <v>40</v>
      </c>
      <c r="L32" s="32" t="s">
        <v>986</v>
      </c>
      <c r="M32" s="32" t="s">
        <v>999</v>
      </c>
      <c r="O32" s="32" t="s">
        <v>255</v>
      </c>
      <c r="P32" s="32" t="s">
        <v>958</v>
      </c>
      <c r="Q32" s="32" t="s">
        <v>988</v>
      </c>
      <c r="R32" s="32" t="s">
        <v>967</v>
      </c>
    </row>
    <row r="33" spans="2:18" x14ac:dyDescent="0.3">
      <c r="B33" s="32" t="s">
        <v>194</v>
      </c>
      <c r="C33" s="32" t="s">
        <v>979</v>
      </c>
      <c r="D33" s="32" t="s">
        <v>257</v>
      </c>
      <c r="E33" s="32" t="s">
        <v>1010</v>
      </c>
      <c r="F33" s="32" t="s">
        <v>1011</v>
      </c>
      <c r="G33" s="32" t="s">
        <v>982</v>
      </c>
      <c r="H33" s="32" t="s">
        <v>1012</v>
      </c>
      <c r="I33" s="32" t="s">
        <v>1013</v>
      </c>
      <c r="J33" s="32" t="s">
        <v>1014</v>
      </c>
      <c r="K33" s="32" t="s">
        <v>40</v>
      </c>
      <c r="L33" s="32" t="s">
        <v>986</v>
      </c>
      <c r="M33" s="32" t="s">
        <v>987</v>
      </c>
      <c r="O33" s="32" t="s">
        <v>255</v>
      </c>
      <c r="P33" s="32" t="s">
        <v>958</v>
      </c>
      <c r="Q33" s="32" t="s">
        <v>988</v>
      </c>
      <c r="R33" s="32" t="s">
        <v>967</v>
      </c>
    </row>
    <row r="34" spans="2:18" x14ac:dyDescent="0.3">
      <c r="B34" s="32" t="s">
        <v>194</v>
      </c>
      <c r="C34" s="32" t="s">
        <v>979</v>
      </c>
      <c r="D34" s="32" t="s">
        <v>257</v>
      </c>
      <c r="E34" s="32" t="s">
        <v>1018</v>
      </c>
      <c r="F34" s="32" t="s">
        <v>1019</v>
      </c>
      <c r="G34" s="32" t="s">
        <v>982</v>
      </c>
      <c r="H34" s="32" t="s">
        <v>1002</v>
      </c>
      <c r="I34" s="32" t="s">
        <v>1020</v>
      </c>
      <c r="J34" s="32" t="s">
        <v>1021</v>
      </c>
      <c r="K34" s="32" t="s">
        <v>40</v>
      </c>
      <c r="L34" s="32" t="s">
        <v>986</v>
      </c>
      <c r="M34" s="32" t="s">
        <v>987</v>
      </c>
      <c r="O34" s="32" t="s">
        <v>255</v>
      </c>
      <c r="P34" s="32" t="s">
        <v>958</v>
      </c>
      <c r="Q34" s="32" t="s">
        <v>988</v>
      </c>
      <c r="R34" s="32" t="s">
        <v>967</v>
      </c>
    </row>
    <row r="35" spans="2:18" x14ac:dyDescent="0.3">
      <c r="B35" s="32" t="s">
        <v>194</v>
      </c>
      <c r="C35" s="32" t="s">
        <v>979</v>
      </c>
      <c r="D35" s="32" t="s">
        <v>257</v>
      </c>
      <c r="E35" s="32" t="s">
        <v>1022</v>
      </c>
      <c r="F35" s="32" t="s">
        <v>1023</v>
      </c>
      <c r="G35" s="32" t="s">
        <v>982</v>
      </c>
      <c r="H35" s="32" t="s">
        <v>983</v>
      </c>
      <c r="I35" s="32" t="s">
        <v>1024</v>
      </c>
      <c r="J35" s="32" t="s">
        <v>1025</v>
      </c>
      <c r="K35" s="32" t="s">
        <v>40</v>
      </c>
      <c r="L35" s="32" t="s">
        <v>986</v>
      </c>
      <c r="M35" s="32" t="s">
        <v>987</v>
      </c>
      <c r="O35" s="32" t="s">
        <v>255</v>
      </c>
      <c r="P35" s="32" t="s">
        <v>958</v>
      </c>
      <c r="Q35" s="32" t="s">
        <v>988</v>
      </c>
      <c r="R35" s="32" t="s">
        <v>967</v>
      </c>
    </row>
    <row r="36" spans="2:18" x14ac:dyDescent="0.3">
      <c r="B36" s="32" t="s">
        <v>194</v>
      </c>
      <c r="C36" s="32" t="s">
        <v>979</v>
      </c>
      <c r="D36" s="32" t="s">
        <v>257</v>
      </c>
      <c r="E36" s="32" t="s">
        <v>1026</v>
      </c>
      <c r="F36" s="32" t="s">
        <v>1027</v>
      </c>
      <c r="G36" s="32" t="s">
        <v>982</v>
      </c>
      <c r="H36" s="32" t="s">
        <v>983</v>
      </c>
      <c r="I36" s="32" t="s">
        <v>1007</v>
      </c>
      <c r="J36" s="32" t="s">
        <v>1008</v>
      </c>
      <c r="K36" s="32" t="s">
        <v>40</v>
      </c>
      <c r="L36" s="32" t="s">
        <v>986</v>
      </c>
      <c r="M36" s="32" t="s">
        <v>1009</v>
      </c>
      <c r="O36" s="32" t="s">
        <v>255</v>
      </c>
      <c r="P36" s="32" t="s">
        <v>958</v>
      </c>
      <c r="Q36" s="32" t="s">
        <v>988</v>
      </c>
      <c r="R36" s="32" t="s">
        <v>967</v>
      </c>
    </row>
    <row r="37" spans="2:18" x14ac:dyDescent="0.3">
      <c r="B37" s="32" t="s">
        <v>194</v>
      </c>
      <c r="C37" s="32" t="s">
        <v>979</v>
      </c>
      <c r="D37" s="32" t="s">
        <v>257</v>
      </c>
      <c r="E37" s="32" t="s">
        <v>1028</v>
      </c>
      <c r="F37" s="32" t="s">
        <v>981</v>
      </c>
      <c r="G37" s="32" t="s">
        <v>982</v>
      </c>
      <c r="H37" s="32" t="s">
        <v>983</v>
      </c>
      <c r="I37" s="32" t="s">
        <v>984</v>
      </c>
      <c r="J37" s="32" t="s">
        <v>985</v>
      </c>
      <c r="K37" s="32" t="s">
        <v>40</v>
      </c>
      <c r="L37" s="32" t="s">
        <v>986</v>
      </c>
      <c r="M37" s="32" t="s">
        <v>987</v>
      </c>
      <c r="O37" s="32" t="s">
        <v>255</v>
      </c>
      <c r="P37" s="32" t="s">
        <v>958</v>
      </c>
      <c r="Q37" s="32" t="s">
        <v>988</v>
      </c>
      <c r="R37" s="32" t="s">
        <v>967</v>
      </c>
    </row>
    <row r="38" spans="2:18" x14ac:dyDescent="0.3">
      <c r="B38" s="32" t="s">
        <v>194</v>
      </c>
      <c r="C38" s="32" t="s">
        <v>979</v>
      </c>
      <c r="D38" s="32" t="s">
        <v>257</v>
      </c>
      <c r="E38" s="32" t="s">
        <v>1029</v>
      </c>
      <c r="F38" s="32" t="s">
        <v>1030</v>
      </c>
      <c r="G38" s="32" t="s">
        <v>982</v>
      </c>
      <c r="H38" s="32" t="s">
        <v>983</v>
      </c>
      <c r="I38" s="32" t="s">
        <v>1007</v>
      </c>
      <c r="J38" s="32" t="s">
        <v>1008</v>
      </c>
      <c r="K38" s="32" t="s">
        <v>40</v>
      </c>
      <c r="L38" s="32" t="s">
        <v>986</v>
      </c>
      <c r="M38" s="32" t="s">
        <v>987</v>
      </c>
      <c r="O38" s="32" t="s">
        <v>255</v>
      </c>
      <c r="P38" s="32" t="s">
        <v>958</v>
      </c>
      <c r="Q38" s="32" t="s">
        <v>988</v>
      </c>
      <c r="R38" s="32" t="s">
        <v>967</v>
      </c>
    </row>
    <row r="39" spans="2:18" x14ac:dyDescent="0.3">
      <c r="B39" s="32" t="s">
        <v>194</v>
      </c>
      <c r="C39" s="32" t="s">
        <v>979</v>
      </c>
      <c r="D39" s="32" t="s">
        <v>257</v>
      </c>
      <c r="E39" s="32" t="s">
        <v>1028</v>
      </c>
      <c r="F39" s="32" t="s">
        <v>981</v>
      </c>
      <c r="G39" s="32" t="s">
        <v>982</v>
      </c>
      <c r="H39" s="32" t="s">
        <v>983</v>
      </c>
      <c r="I39" s="32" t="s">
        <v>984</v>
      </c>
      <c r="J39" s="32" t="s">
        <v>985</v>
      </c>
      <c r="K39" s="32" t="s">
        <v>40</v>
      </c>
      <c r="L39" s="32" t="s">
        <v>986</v>
      </c>
      <c r="M39" s="32" t="s">
        <v>989</v>
      </c>
      <c r="O39" s="32" t="s">
        <v>255</v>
      </c>
      <c r="P39" s="32" t="s">
        <v>958</v>
      </c>
      <c r="Q39" s="32" t="s">
        <v>988</v>
      </c>
      <c r="R39" s="32" t="s">
        <v>967</v>
      </c>
    </row>
    <row r="40" spans="2:18" x14ac:dyDescent="0.3">
      <c r="B40" s="32" t="s">
        <v>194</v>
      </c>
      <c r="C40" s="32" t="s">
        <v>979</v>
      </c>
      <c r="D40" s="32" t="s">
        <v>257</v>
      </c>
      <c r="E40" s="32" t="s">
        <v>1031</v>
      </c>
      <c r="F40" s="32" t="s">
        <v>1032</v>
      </c>
      <c r="G40" s="32" t="s">
        <v>982</v>
      </c>
      <c r="H40" s="32" t="s">
        <v>983</v>
      </c>
      <c r="I40" s="32" t="s">
        <v>1033</v>
      </c>
      <c r="J40" s="32" t="s">
        <v>1034</v>
      </c>
      <c r="K40" s="32" t="s">
        <v>40</v>
      </c>
      <c r="L40" s="32" t="s">
        <v>986</v>
      </c>
      <c r="M40" s="32" t="s">
        <v>987</v>
      </c>
      <c r="O40" s="32" t="s">
        <v>255</v>
      </c>
      <c r="P40" s="32" t="s">
        <v>958</v>
      </c>
      <c r="Q40" s="32" t="s">
        <v>988</v>
      </c>
      <c r="R40" s="32" t="s">
        <v>967</v>
      </c>
    </row>
    <row r="41" spans="2:18" x14ac:dyDescent="0.3">
      <c r="B41" s="32" t="s">
        <v>194</v>
      </c>
      <c r="C41" s="32" t="s">
        <v>979</v>
      </c>
      <c r="D41" s="32" t="s">
        <v>257</v>
      </c>
      <c r="E41" s="32" t="s">
        <v>1035</v>
      </c>
      <c r="F41" s="32" t="s">
        <v>991</v>
      </c>
      <c r="G41" s="32" t="s">
        <v>982</v>
      </c>
      <c r="H41" s="32" t="s">
        <v>983</v>
      </c>
      <c r="I41" s="32" t="s">
        <v>992</v>
      </c>
      <c r="J41" s="32" t="s">
        <v>993</v>
      </c>
      <c r="K41" s="32" t="s">
        <v>40</v>
      </c>
      <c r="L41" s="32" t="s">
        <v>986</v>
      </c>
      <c r="M41" s="32" t="s">
        <v>1009</v>
      </c>
      <c r="O41" s="32" t="s">
        <v>255</v>
      </c>
      <c r="P41" s="32" t="s">
        <v>958</v>
      </c>
      <c r="Q41" s="32" t="s">
        <v>988</v>
      </c>
      <c r="R41" s="32" t="s">
        <v>967</v>
      </c>
    </row>
    <row r="42" spans="2:18" x14ac:dyDescent="0.3">
      <c r="B42" s="32" t="s">
        <v>194</v>
      </c>
      <c r="C42" s="32" t="s">
        <v>979</v>
      </c>
      <c r="D42" s="32" t="s">
        <v>257</v>
      </c>
      <c r="E42" s="32" t="s">
        <v>1035</v>
      </c>
      <c r="F42" s="32" t="s">
        <v>991</v>
      </c>
      <c r="G42" s="32" t="s">
        <v>982</v>
      </c>
      <c r="H42" s="32" t="s">
        <v>983</v>
      </c>
      <c r="I42" s="32" t="s">
        <v>992</v>
      </c>
      <c r="J42" s="32" t="s">
        <v>993</v>
      </c>
      <c r="K42" s="32" t="s">
        <v>40</v>
      </c>
      <c r="L42" s="32" t="s">
        <v>986</v>
      </c>
      <c r="M42" s="32" t="s">
        <v>987</v>
      </c>
      <c r="O42" s="32" t="s">
        <v>255</v>
      </c>
      <c r="P42" s="32" t="s">
        <v>958</v>
      </c>
      <c r="Q42" s="32" t="s">
        <v>988</v>
      </c>
      <c r="R42" s="32" t="s">
        <v>967</v>
      </c>
    </row>
    <row r="43" spans="2:18" x14ac:dyDescent="0.3">
      <c r="B43" s="32" t="s">
        <v>194</v>
      </c>
      <c r="C43" s="32" t="s">
        <v>979</v>
      </c>
      <c r="D43" s="32" t="s">
        <v>257</v>
      </c>
      <c r="E43" s="32" t="s">
        <v>1036</v>
      </c>
      <c r="F43" s="32" t="s">
        <v>1037</v>
      </c>
      <c r="G43" s="32" t="s">
        <v>982</v>
      </c>
      <c r="H43" s="32" t="s">
        <v>983</v>
      </c>
      <c r="I43" s="32" t="s">
        <v>1007</v>
      </c>
      <c r="J43" s="32" t="s">
        <v>1038</v>
      </c>
      <c r="K43" s="32" t="s">
        <v>40</v>
      </c>
      <c r="L43" s="32" t="s">
        <v>986</v>
      </c>
      <c r="M43" s="32" t="s">
        <v>987</v>
      </c>
      <c r="O43" s="32" t="s">
        <v>255</v>
      </c>
      <c r="P43" s="32" t="s">
        <v>958</v>
      </c>
      <c r="Q43" s="32" t="s">
        <v>988</v>
      </c>
      <c r="R43" s="32" t="s">
        <v>967</v>
      </c>
    </row>
    <row r="44" spans="2:18" x14ac:dyDescent="0.3">
      <c r="B44" s="32" t="s">
        <v>194</v>
      </c>
      <c r="C44" s="32" t="s">
        <v>979</v>
      </c>
      <c r="D44" s="32" t="s">
        <v>257</v>
      </c>
      <c r="E44" s="32" t="s">
        <v>1039</v>
      </c>
      <c r="F44" s="32" t="s">
        <v>1040</v>
      </c>
      <c r="G44" s="32" t="s">
        <v>982</v>
      </c>
      <c r="H44" s="32" t="s">
        <v>983</v>
      </c>
      <c r="I44" s="32" t="s">
        <v>1003</v>
      </c>
      <c r="J44" s="32" t="s">
        <v>1004</v>
      </c>
      <c r="K44" s="32" t="s">
        <v>40</v>
      </c>
      <c r="L44" s="32" t="s">
        <v>986</v>
      </c>
      <c r="M44" s="32" t="s">
        <v>1009</v>
      </c>
      <c r="O44" s="32" t="s">
        <v>255</v>
      </c>
      <c r="P44" s="32" t="s">
        <v>958</v>
      </c>
      <c r="Q44" s="32" t="s">
        <v>988</v>
      </c>
      <c r="R44" s="32" t="s">
        <v>967</v>
      </c>
    </row>
    <row r="45" spans="2:18" x14ac:dyDescent="0.3">
      <c r="B45" s="32" t="s">
        <v>194</v>
      </c>
      <c r="C45" s="32" t="s">
        <v>979</v>
      </c>
      <c r="D45" s="32" t="s">
        <v>257</v>
      </c>
      <c r="E45" s="32" t="s">
        <v>1041</v>
      </c>
      <c r="F45" s="32" t="s">
        <v>1042</v>
      </c>
      <c r="G45" s="32" t="s">
        <v>982</v>
      </c>
      <c r="H45" s="32" t="s">
        <v>983</v>
      </c>
      <c r="I45" s="32" t="s">
        <v>1007</v>
      </c>
      <c r="J45" s="32" t="s">
        <v>1043</v>
      </c>
      <c r="K45" s="32" t="s">
        <v>40</v>
      </c>
      <c r="L45" s="32" t="s">
        <v>986</v>
      </c>
      <c r="M45" s="32" t="s">
        <v>1009</v>
      </c>
      <c r="O45" s="32" t="s">
        <v>255</v>
      </c>
      <c r="P45" s="32" t="s">
        <v>958</v>
      </c>
      <c r="Q45" s="32" t="s">
        <v>988</v>
      </c>
      <c r="R45" s="32" t="s">
        <v>967</v>
      </c>
    </row>
    <row r="46" spans="2:18" x14ac:dyDescent="0.3">
      <c r="B46" s="32" t="s">
        <v>194</v>
      </c>
      <c r="C46" s="32" t="s">
        <v>979</v>
      </c>
      <c r="D46" s="32" t="s">
        <v>257</v>
      </c>
      <c r="E46" s="32" t="s">
        <v>1044</v>
      </c>
      <c r="F46" s="32" t="s">
        <v>1045</v>
      </c>
      <c r="G46" s="32" t="s">
        <v>982</v>
      </c>
      <c r="H46" s="32" t="s">
        <v>1002</v>
      </c>
      <c r="I46" s="32" t="s">
        <v>1046</v>
      </c>
      <c r="J46" s="32" t="s">
        <v>1047</v>
      </c>
      <c r="K46" s="32" t="s">
        <v>40</v>
      </c>
      <c r="L46" s="32" t="s">
        <v>986</v>
      </c>
      <c r="M46" s="32" t="s">
        <v>987</v>
      </c>
      <c r="O46" s="32" t="s">
        <v>255</v>
      </c>
      <c r="P46" s="32" t="s">
        <v>958</v>
      </c>
      <c r="Q46" s="32" t="s">
        <v>988</v>
      </c>
      <c r="R46" s="32" t="s">
        <v>967</v>
      </c>
    </row>
    <row r="47" spans="2:18" x14ac:dyDescent="0.3">
      <c r="B47" s="32" t="s">
        <v>194</v>
      </c>
      <c r="C47" s="32" t="s">
        <v>979</v>
      </c>
      <c r="D47" s="32" t="s">
        <v>257</v>
      </c>
      <c r="E47" s="32" t="s">
        <v>1044</v>
      </c>
      <c r="F47" s="32" t="s">
        <v>1045</v>
      </c>
      <c r="G47" s="32" t="s">
        <v>982</v>
      </c>
      <c r="H47" s="32" t="s">
        <v>1002</v>
      </c>
      <c r="I47" s="32" t="s">
        <v>1046</v>
      </c>
      <c r="J47" s="32" t="s">
        <v>1047</v>
      </c>
      <c r="K47" s="32" t="s">
        <v>40</v>
      </c>
      <c r="L47" s="32" t="s">
        <v>986</v>
      </c>
      <c r="M47" s="32" t="s">
        <v>989</v>
      </c>
      <c r="O47" s="32" t="s">
        <v>255</v>
      </c>
      <c r="P47" s="32" t="s">
        <v>958</v>
      </c>
      <c r="Q47" s="32" t="s">
        <v>988</v>
      </c>
      <c r="R47" s="32" t="s">
        <v>967</v>
      </c>
    </row>
    <row r="48" spans="2:18" x14ac:dyDescent="0.3">
      <c r="B48" s="32" t="s">
        <v>194</v>
      </c>
      <c r="C48" s="32" t="s">
        <v>979</v>
      </c>
      <c r="D48" s="32" t="s">
        <v>257</v>
      </c>
      <c r="E48" s="32" t="s">
        <v>1048</v>
      </c>
      <c r="F48" s="32" t="s">
        <v>1049</v>
      </c>
      <c r="G48" s="32" t="s">
        <v>982</v>
      </c>
      <c r="H48" s="32" t="s">
        <v>983</v>
      </c>
      <c r="I48" s="32" t="s">
        <v>1024</v>
      </c>
      <c r="J48" s="32" t="s">
        <v>1050</v>
      </c>
      <c r="K48" s="32" t="s">
        <v>40</v>
      </c>
      <c r="L48" s="32" t="s">
        <v>986</v>
      </c>
      <c r="M48" s="32" t="s">
        <v>987</v>
      </c>
      <c r="O48" s="32" t="s">
        <v>255</v>
      </c>
      <c r="P48" s="32" t="s">
        <v>958</v>
      </c>
      <c r="Q48" s="32" t="s">
        <v>988</v>
      </c>
      <c r="R48" s="32" t="s">
        <v>967</v>
      </c>
    </row>
    <row r="49" spans="2:18" x14ac:dyDescent="0.3">
      <c r="B49" s="32" t="s">
        <v>194</v>
      </c>
      <c r="C49" s="32" t="s">
        <v>979</v>
      </c>
      <c r="D49" s="32" t="s">
        <v>257</v>
      </c>
      <c r="E49" s="32" t="s">
        <v>1051</v>
      </c>
      <c r="F49" s="32" t="s">
        <v>1052</v>
      </c>
      <c r="G49" s="32" t="s">
        <v>982</v>
      </c>
      <c r="H49" s="32" t="s">
        <v>1002</v>
      </c>
      <c r="I49" s="32" t="s">
        <v>1033</v>
      </c>
      <c r="J49" s="32" t="s">
        <v>1034</v>
      </c>
      <c r="K49" s="32" t="s">
        <v>40</v>
      </c>
      <c r="L49" s="32" t="s">
        <v>986</v>
      </c>
      <c r="M49" s="32" t="s">
        <v>987</v>
      </c>
      <c r="O49" s="32" t="s">
        <v>255</v>
      </c>
      <c r="P49" s="32" t="s">
        <v>958</v>
      </c>
      <c r="Q49" s="32" t="s">
        <v>988</v>
      </c>
      <c r="R49" s="32" t="s">
        <v>967</v>
      </c>
    </row>
    <row r="50" spans="2:18" x14ac:dyDescent="0.3">
      <c r="B50" s="32" t="s">
        <v>194</v>
      </c>
      <c r="C50" s="32" t="s">
        <v>979</v>
      </c>
      <c r="D50" s="32" t="s">
        <v>257</v>
      </c>
      <c r="E50" s="32" t="s">
        <v>1048</v>
      </c>
      <c r="F50" s="32" t="s">
        <v>1049</v>
      </c>
      <c r="G50" s="32" t="s">
        <v>982</v>
      </c>
      <c r="H50" s="32" t="s">
        <v>983</v>
      </c>
      <c r="I50" s="32" t="s">
        <v>1024</v>
      </c>
      <c r="J50" s="32" t="s">
        <v>1050</v>
      </c>
      <c r="K50" s="32" t="s">
        <v>40</v>
      </c>
      <c r="L50" s="32" t="s">
        <v>986</v>
      </c>
      <c r="M50" s="32" t="s">
        <v>999</v>
      </c>
      <c r="O50" s="32" t="s">
        <v>255</v>
      </c>
      <c r="P50" s="32" t="s">
        <v>958</v>
      </c>
      <c r="Q50" s="32" t="s">
        <v>988</v>
      </c>
      <c r="R50" s="32" t="s">
        <v>967</v>
      </c>
    </row>
    <row r="51" spans="2:18" x14ac:dyDescent="0.3">
      <c r="B51" s="32" t="s">
        <v>194</v>
      </c>
      <c r="C51" s="32" t="s">
        <v>979</v>
      </c>
      <c r="D51" s="32" t="s">
        <v>257</v>
      </c>
      <c r="E51" s="32" t="s">
        <v>1053</v>
      </c>
      <c r="F51" s="32" t="s">
        <v>1054</v>
      </c>
      <c r="G51" s="32" t="s">
        <v>982</v>
      </c>
      <c r="H51" s="32" t="s">
        <v>1012</v>
      </c>
      <c r="I51" s="32" t="s">
        <v>1055</v>
      </c>
      <c r="J51" s="32" t="s">
        <v>1056</v>
      </c>
      <c r="K51" s="32" t="s">
        <v>40</v>
      </c>
      <c r="L51" s="32" t="s">
        <v>986</v>
      </c>
      <c r="M51" s="32" t="s">
        <v>987</v>
      </c>
      <c r="O51" s="32" t="s">
        <v>255</v>
      </c>
      <c r="P51" s="32" t="s">
        <v>958</v>
      </c>
      <c r="Q51" s="32" t="s">
        <v>988</v>
      </c>
      <c r="R51" s="32" t="s">
        <v>967</v>
      </c>
    </row>
    <row r="52" spans="2:18" x14ac:dyDescent="0.3">
      <c r="B52" s="32" t="s">
        <v>194</v>
      </c>
      <c r="C52" s="32" t="s">
        <v>979</v>
      </c>
      <c r="D52" s="32" t="s">
        <v>257</v>
      </c>
      <c r="E52" s="32" t="s">
        <v>1057</v>
      </c>
      <c r="F52" s="32" t="s">
        <v>1058</v>
      </c>
      <c r="G52" s="32" t="s">
        <v>982</v>
      </c>
      <c r="H52" s="32" t="s">
        <v>1002</v>
      </c>
      <c r="I52" s="32" t="s">
        <v>1007</v>
      </c>
      <c r="J52" s="32" t="s">
        <v>1008</v>
      </c>
      <c r="K52" s="32" t="s">
        <v>40</v>
      </c>
      <c r="L52" s="32" t="s">
        <v>986</v>
      </c>
      <c r="M52" s="32" t="s">
        <v>1009</v>
      </c>
      <c r="O52" s="32" t="s">
        <v>255</v>
      </c>
      <c r="P52" s="32" t="s">
        <v>958</v>
      </c>
      <c r="Q52" s="32" t="s">
        <v>988</v>
      </c>
      <c r="R52" s="32" t="s">
        <v>967</v>
      </c>
    </row>
    <row r="53" spans="2:18" x14ac:dyDescent="0.3">
      <c r="B53" s="32" t="s">
        <v>194</v>
      </c>
      <c r="C53" s="32" t="s">
        <v>979</v>
      </c>
      <c r="D53" s="32" t="s">
        <v>257</v>
      </c>
      <c r="E53" s="32" t="s">
        <v>1010</v>
      </c>
      <c r="F53" s="32" t="s">
        <v>1011</v>
      </c>
      <c r="G53" s="32" t="s">
        <v>982</v>
      </c>
      <c r="H53" s="32" t="s">
        <v>1012</v>
      </c>
      <c r="I53" s="32" t="s">
        <v>1013</v>
      </c>
      <c r="J53" s="32" t="s">
        <v>1014</v>
      </c>
      <c r="K53" s="32" t="s">
        <v>40</v>
      </c>
      <c r="L53" s="32" t="s">
        <v>986</v>
      </c>
      <c r="M53" s="32" t="s">
        <v>989</v>
      </c>
      <c r="O53" s="32" t="s">
        <v>255</v>
      </c>
      <c r="P53" s="32" t="s">
        <v>958</v>
      </c>
      <c r="Q53" s="32" t="s">
        <v>988</v>
      </c>
      <c r="R53" s="32" t="s">
        <v>967</v>
      </c>
    </row>
    <row r="54" spans="2:18" x14ac:dyDescent="0.3">
      <c r="B54" s="32" t="s">
        <v>194</v>
      </c>
      <c r="C54" s="32" t="s">
        <v>979</v>
      </c>
      <c r="D54" s="32" t="s">
        <v>257</v>
      </c>
      <c r="E54" s="32" t="s">
        <v>1059</v>
      </c>
      <c r="F54" s="32" t="s">
        <v>1030</v>
      </c>
      <c r="G54" s="32" t="s">
        <v>982</v>
      </c>
      <c r="H54" s="32" t="s">
        <v>983</v>
      </c>
      <c r="I54" s="32" t="s">
        <v>1007</v>
      </c>
      <c r="J54" s="32" t="s">
        <v>1008</v>
      </c>
      <c r="K54" s="32" t="s">
        <v>40</v>
      </c>
      <c r="L54" s="32" t="s">
        <v>986</v>
      </c>
      <c r="M54" s="32" t="s">
        <v>1009</v>
      </c>
      <c r="O54" s="32" t="s">
        <v>255</v>
      </c>
      <c r="P54" s="32" t="s">
        <v>958</v>
      </c>
      <c r="Q54" s="32" t="s">
        <v>988</v>
      </c>
      <c r="R54" s="32" t="s">
        <v>967</v>
      </c>
    </row>
    <row r="55" spans="2:18" x14ac:dyDescent="0.3">
      <c r="B55" s="32" t="s">
        <v>194</v>
      </c>
      <c r="C55" s="32" t="s">
        <v>979</v>
      </c>
      <c r="D55" s="32" t="s">
        <v>257</v>
      </c>
      <c r="E55" s="32" t="s">
        <v>1060</v>
      </c>
      <c r="F55" s="32" t="s">
        <v>1030</v>
      </c>
      <c r="G55" s="32" t="s">
        <v>982</v>
      </c>
      <c r="H55" s="32" t="s">
        <v>983</v>
      </c>
      <c r="I55" s="32" t="s">
        <v>1007</v>
      </c>
      <c r="J55" s="32" t="s">
        <v>1008</v>
      </c>
      <c r="K55" s="32" t="s">
        <v>40</v>
      </c>
      <c r="L55" s="32" t="s">
        <v>986</v>
      </c>
      <c r="M55" s="32" t="s">
        <v>1009</v>
      </c>
      <c r="O55" s="32" t="s">
        <v>255</v>
      </c>
      <c r="P55" s="32" t="s">
        <v>958</v>
      </c>
      <c r="Q55" s="32" t="s">
        <v>988</v>
      </c>
      <c r="R55" s="32" t="s">
        <v>967</v>
      </c>
    </row>
    <row r="56" spans="2:18" x14ac:dyDescent="0.3">
      <c r="B56" s="32" t="s">
        <v>194</v>
      </c>
      <c r="C56" s="32" t="s">
        <v>979</v>
      </c>
      <c r="D56" s="32" t="s">
        <v>257</v>
      </c>
      <c r="E56" s="32" t="s">
        <v>1061</v>
      </c>
      <c r="F56" s="32" t="s">
        <v>1062</v>
      </c>
      <c r="G56" s="32" t="s">
        <v>982</v>
      </c>
      <c r="H56" s="32" t="s">
        <v>983</v>
      </c>
      <c r="I56" s="32" t="s">
        <v>1003</v>
      </c>
      <c r="J56" s="32" t="s">
        <v>1017</v>
      </c>
      <c r="K56" s="32" t="s">
        <v>40</v>
      </c>
      <c r="L56" s="32" t="s">
        <v>986</v>
      </c>
      <c r="M56" s="32" t="s">
        <v>1009</v>
      </c>
      <c r="O56" s="32" t="s">
        <v>255</v>
      </c>
      <c r="P56" s="32" t="s">
        <v>958</v>
      </c>
      <c r="Q56" s="32" t="s">
        <v>988</v>
      </c>
      <c r="R56" s="32" t="s">
        <v>967</v>
      </c>
    </row>
    <row r="57" spans="2:18" x14ac:dyDescent="0.3">
      <c r="B57" s="32" t="s">
        <v>194</v>
      </c>
      <c r="C57" s="32" t="s">
        <v>979</v>
      </c>
      <c r="D57" s="32" t="s">
        <v>257</v>
      </c>
      <c r="E57" s="32" t="s">
        <v>994</v>
      </c>
      <c r="F57" s="32" t="s">
        <v>981</v>
      </c>
      <c r="G57" s="32" t="s">
        <v>982</v>
      </c>
      <c r="H57" s="32" t="s">
        <v>983</v>
      </c>
      <c r="I57" s="32" t="s">
        <v>984</v>
      </c>
      <c r="J57" s="32" t="s">
        <v>985</v>
      </c>
      <c r="K57" s="32" t="s">
        <v>40</v>
      </c>
      <c r="L57" s="32" t="s">
        <v>986</v>
      </c>
      <c r="M57" s="32" t="s">
        <v>987</v>
      </c>
      <c r="O57" s="32" t="s">
        <v>255</v>
      </c>
      <c r="P57" s="32" t="s">
        <v>958</v>
      </c>
      <c r="Q57" s="32" t="s">
        <v>988</v>
      </c>
      <c r="R57" s="32" t="s">
        <v>967</v>
      </c>
    </row>
    <row r="58" spans="2:18" x14ac:dyDescent="0.3">
      <c r="B58" s="32" t="s">
        <v>194</v>
      </c>
      <c r="C58" s="32" t="s">
        <v>979</v>
      </c>
      <c r="D58" s="32" t="s">
        <v>257</v>
      </c>
      <c r="E58" s="32" t="s">
        <v>995</v>
      </c>
      <c r="F58" s="32" t="s">
        <v>996</v>
      </c>
      <c r="G58" s="32" t="s">
        <v>982</v>
      </c>
      <c r="H58" s="32" t="s">
        <v>983</v>
      </c>
      <c r="I58" s="32" t="s">
        <v>997</v>
      </c>
      <c r="J58" s="32" t="s">
        <v>998</v>
      </c>
      <c r="K58" s="32" t="s">
        <v>40</v>
      </c>
      <c r="L58" s="32" t="s">
        <v>986</v>
      </c>
      <c r="M58" s="32" t="s">
        <v>987</v>
      </c>
      <c r="O58" s="32" t="s">
        <v>255</v>
      </c>
      <c r="P58" s="32" t="s">
        <v>958</v>
      </c>
      <c r="Q58" s="32" t="s">
        <v>988</v>
      </c>
      <c r="R58" s="32" t="s">
        <v>967</v>
      </c>
    </row>
    <row r="59" spans="2:18" x14ac:dyDescent="0.3">
      <c r="B59" s="32" t="s">
        <v>194</v>
      </c>
      <c r="C59" s="32" t="s">
        <v>979</v>
      </c>
      <c r="D59" s="32" t="s">
        <v>257</v>
      </c>
      <c r="E59" s="32" t="s">
        <v>990</v>
      </c>
      <c r="F59" s="32" t="s">
        <v>991</v>
      </c>
      <c r="G59" s="32" t="s">
        <v>982</v>
      </c>
      <c r="H59" s="32" t="s">
        <v>983</v>
      </c>
      <c r="I59" s="32" t="s">
        <v>992</v>
      </c>
      <c r="J59" s="32" t="s">
        <v>993</v>
      </c>
      <c r="K59" s="32" t="s">
        <v>40</v>
      </c>
      <c r="L59" s="32" t="s">
        <v>986</v>
      </c>
      <c r="M59" s="32" t="s">
        <v>1009</v>
      </c>
      <c r="O59" s="32" t="s">
        <v>255</v>
      </c>
      <c r="P59" s="32" t="s">
        <v>958</v>
      </c>
      <c r="Q59" s="32" t="s">
        <v>988</v>
      </c>
      <c r="R59" s="32" t="s">
        <v>967</v>
      </c>
    </row>
    <row r="60" spans="2:18" x14ac:dyDescent="0.3">
      <c r="B60" s="32" t="s">
        <v>194</v>
      </c>
      <c r="C60" s="32" t="s">
        <v>979</v>
      </c>
      <c r="D60" s="32" t="s">
        <v>257</v>
      </c>
      <c r="E60" s="32" t="s">
        <v>1063</v>
      </c>
      <c r="F60" s="32" t="s">
        <v>1037</v>
      </c>
      <c r="G60" s="32" t="s">
        <v>982</v>
      </c>
      <c r="H60" s="32" t="s">
        <v>983</v>
      </c>
      <c r="I60" s="32" t="s">
        <v>1007</v>
      </c>
      <c r="J60" s="32" t="s">
        <v>1038</v>
      </c>
      <c r="K60" s="32" t="s">
        <v>40</v>
      </c>
      <c r="L60" s="32" t="s">
        <v>986</v>
      </c>
      <c r="M60" s="32" t="s">
        <v>987</v>
      </c>
      <c r="O60" s="32" t="s">
        <v>255</v>
      </c>
      <c r="P60" s="32" t="s">
        <v>958</v>
      </c>
      <c r="Q60" s="32" t="s">
        <v>988</v>
      </c>
      <c r="R60" s="32" t="s">
        <v>967</v>
      </c>
    </row>
    <row r="61" spans="2:18" x14ac:dyDescent="0.3">
      <c r="B61" s="32" t="s">
        <v>194</v>
      </c>
      <c r="C61" s="32" t="s">
        <v>979</v>
      </c>
      <c r="D61" s="32" t="s">
        <v>257</v>
      </c>
      <c r="E61" s="32" t="s">
        <v>1022</v>
      </c>
      <c r="F61" s="32" t="s">
        <v>1023</v>
      </c>
      <c r="G61" s="32" t="s">
        <v>982</v>
      </c>
      <c r="H61" s="32" t="s">
        <v>983</v>
      </c>
      <c r="I61" s="32" t="s">
        <v>1024</v>
      </c>
      <c r="J61" s="32" t="s">
        <v>1025</v>
      </c>
      <c r="K61" s="32" t="s">
        <v>40</v>
      </c>
      <c r="L61" s="32" t="s">
        <v>986</v>
      </c>
      <c r="M61" s="32" t="s">
        <v>1009</v>
      </c>
      <c r="O61" s="32" t="s">
        <v>255</v>
      </c>
      <c r="P61" s="32" t="s">
        <v>958</v>
      </c>
      <c r="Q61" s="32" t="s">
        <v>988</v>
      </c>
      <c r="R61" s="32" t="s">
        <v>967</v>
      </c>
    </row>
    <row r="62" spans="2:18" x14ac:dyDescent="0.3">
      <c r="B62" s="32" t="s">
        <v>194</v>
      </c>
      <c r="C62" s="32" t="s">
        <v>979</v>
      </c>
      <c r="D62" s="32" t="s">
        <v>257</v>
      </c>
      <c r="E62" s="32" t="s">
        <v>1026</v>
      </c>
      <c r="F62" s="32" t="s">
        <v>1027</v>
      </c>
      <c r="G62" s="32" t="s">
        <v>982</v>
      </c>
      <c r="H62" s="32" t="s">
        <v>983</v>
      </c>
      <c r="I62" s="32" t="s">
        <v>1007</v>
      </c>
      <c r="J62" s="32" t="s">
        <v>1008</v>
      </c>
      <c r="K62" s="32" t="s">
        <v>40</v>
      </c>
      <c r="L62" s="32" t="s">
        <v>986</v>
      </c>
      <c r="M62" s="32" t="s">
        <v>987</v>
      </c>
      <c r="O62" s="32" t="s">
        <v>255</v>
      </c>
      <c r="P62" s="32" t="s">
        <v>958</v>
      </c>
      <c r="Q62" s="32" t="s">
        <v>988</v>
      </c>
      <c r="R62" s="32" t="s">
        <v>967</v>
      </c>
    </row>
    <row r="63" spans="2:18" x14ac:dyDescent="0.3">
      <c r="B63" s="32" t="s">
        <v>194</v>
      </c>
      <c r="C63" s="32" t="s">
        <v>979</v>
      </c>
      <c r="D63" s="32" t="s">
        <v>257</v>
      </c>
      <c r="E63" s="32" t="s">
        <v>1064</v>
      </c>
      <c r="F63" s="32" t="s">
        <v>1065</v>
      </c>
      <c r="G63" s="32" t="s">
        <v>982</v>
      </c>
      <c r="H63" s="32" t="s">
        <v>1002</v>
      </c>
      <c r="I63" s="32" t="s">
        <v>1066</v>
      </c>
      <c r="J63" s="32" t="s">
        <v>1067</v>
      </c>
      <c r="K63" s="32" t="s">
        <v>40</v>
      </c>
      <c r="L63" s="32" t="s">
        <v>986</v>
      </c>
      <c r="M63" s="32" t="s">
        <v>987</v>
      </c>
      <c r="O63" s="32" t="s">
        <v>255</v>
      </c>
      <c r="P63" s="32" t="s">
        <v>958</v>
      </c>
      <c r="Q63" s="32" t="s">
        <v>988</v>
      </c>
      <c r="R63" s="32" t="s">
        <v>967</v>
      </c>
    </row>
    <row r="64" spans="2:18" x14ac:dyDescent="0.3">
      <c r="B64" s="32" t="s">
        <v>194</v>
      </c>
      <c r="C64" s="32" t="s">
        <v>979</v>
      </c>
      <c r="D64" s="32" t="s">
        <v>257</v>
      </c>
      <c r="E64" s="32" t="s">
        <v>1039</v>
      </c>
      <c r="F64" s="32" t="s">
        <v>1040</v>
      </c>
      <c r="G64" s="32" t="s">
        <v>982</v>
      </c>
      <c r="H64" s="32" t="s">
        <v>983</v>
      </c>
      <c r="I64" s="32" t="s">
        <v>1003</v>
      </c>
      <c r="J64" s="32" t="s">
        <v>1004</v>
      </c>
      <c r="K64" s="32" t="s">
        <v>40</v>
      </c>
      <c r="L64" s="32" t="s">
        <v>986</v>
      </c>
      <c r="M64" s="32" t="s">
        <v>987</v>
      </c>
      <c r="O64" s="32" t="s">
        <v>255</v>
      </c>
      <c r="P64" s="32" t="s">
        <v>958</v>
      </c>
      <c r="Q64" s="32" t="s">
        <v>988</v>
      </c>
      <c r="R64" s="32" t="s">
        <v>967</v>
      </c>
    </row>
    <row r="65" spans="2:18" x14ac:dyDescent="0.3">
      <c r="B65" s="32" t="s">
        <v>194</v>
      </c>
      <c r="C65" s="32" t="s">
        <v>979</v>
      </c>
      <c r="D65" s="32" t="s">
        <v>257</v>
      </c>
      <c r="E65" s="32" t="s">
        <v>1064</v>
      </c>
      <c r="F65" s="32" t="s">
        <v>1065</v>
      </c>
      <c r="G65" s="32" t="s">
        <v>982</v>
      </c>
      <c r="H65" s="32" t="s">
        <v>1002</v>
      </c>
      <c r="I65" s="32" t="s">
        <v>1066</v>
      </c>
      <c r="J65" s="32" t="s">
        <v>1067</v>
      </c>
      <c r="K65" s="32" t="s">
        <v>40</v>
      </c>
      <c r="L65" s="32" t="s">
        <v>986</v>
      </c>
      <c r="M65" s="32" t="s">
        <v>989</v>
      </c>
      <c r="O65" s="32" t="s">
        <v>255</v>
      </c>
      <c r="P65" s="32" t="s">
        <v>958</v>
      </c>
      <c r="Q65" s="32" t="s">
        <v>988</v>
      </c>
      <c r="R65" s="32" t="s">
        <v>967</v>
      </c>
    </row>
    <row r="66" spans="2:18" x14ac:dyDescent="0.3">
      <c r="B66" s="32" t="s">
        <v>194</v>
      </c>
      <c r="C66" s="32" t="s">
        <v>979</v>
      </c>
      <c r="D66" s="32" t="s">
        <v>257</v>
      </c>
      <c r="E66" s="32" t="s">
        <v>1068</v>
      </c>
      <c r="F66" s="32" t="s">
        <v>1027</v>
      </c>
      <c r="G66" s="32" t="s">
        <v>982</v>
      </c>
      <c r="H66" s="32" t="s">
        <v>983</v>
      </c>
      <c r="I66" s="32" t="s">
        <v>1007</v>
      </c>
      <c r="J66" s="32" t="s">
        <v>1008</v>
      </c>
      <c r="K66" s="32" t="s">
        <v>40</v>
      </c>
      <c r="L66" s="32" t="s">
        <v>986</v>
      </c>
      <c r="M66" s="32" t="s">
        <v>987</v>
      </c>
      <c r="O66" s="32" t="s">
        <v>255</v>
      </c>
      <c r="P66" s="32" t="s">
        <v>958</v>
      </c>
      <c r="Q66" s="32" t="s">
        <v>988</v>
      </c>
      <c r="R66" s="32" t="s">
        <v>967</v>
      </c>
    </row>
    <row r="67" spans="2:18" x14ac:dyDescent="0.3">
      <c r="B67" s="32" t="s">
        <v>194</v>
      </c>
      <c r="C67" s="32" t="s">
        <v>979</v>
      </c>
      <c r="D67" s="32" t="s">
        <v>257</v>
      </c>
      <c r="E67" s="32" t="s">
        <v>1057</v>
      </c>
      <c r="F67" s="32" t="s">
        <v>1058</v>
      </c>
      <c r="G67" s="32" t="s">
        <v>982</v>
      </c>
      <c r="H67" s="32" t="s">
        <v>1002</v>
      </c>
      <c r="I67" s="32" t="s">
        <v>1007</v>
      </c>
      <c r="J67" s="32" t="s">
        <v>1008</v>
      </c>
      <c r="K67" s="32" t="s">
        <v>40</v>
      </c>
      <c r="L67" s="32" t="s">
        <v>986</v>
      </c>
      <c r="M67" s="32" t="s">
        <v>987</v>
      </c>
      <c r="O67" s="32" t="s">
        <v>255</v>
      </c>
      <c r="P67" s="32" t="s">
        <v>958</v>
      </c>
      <c r="Q67" s="32" t="s">
        <v>988</v>
      </c>
      <c r="R67" s="32" t="s">
        <v>967</v>
      </c>
    </row>
    <row r="68" spans="2:18" x14ac:dyDescent="0.3">
      <c r="B68" s="32" t="s">
        <v>194</v>
      </c>
      <c r="C68" s="32" t="s">
        <v>979</v>
      </c>
      <c r="D68" s="32" t="s">
        <v>257</v>
      </c>
      <c r="E68" s="32" t="s">
        <v>1069</v>
      </c>
      <c r="F68" s="32" t="s">
        <v>1070</v>
      </c>
      <c r="G68" s="32" t="s">
        <v>982</v>
      </c>
      <c r="H68" s="32" t="s">
        <v>1002</v>
      </c>
      <c r="I68" s="32" t="s">
        <v>1007</v>
      </c>
      <c r="J68" s="32" t="s">
        <v>1008</v>
      </c>
      <c r="K68" s="32" t="s">
        <v>40</v>
      </c>
      <c r="L68" s="32" t="s">
        <v>986</v>
      </c>
      <c r="M68" s="32" t="s">
        <v>987</v>
      </c>
      <c r="O68" s="32" t="s">
        <v>255</v>
      </c>
      <c r="P68" s="32" t="s">
        <v>958</v>
      </c>
      <c r="Q68" s="32" t="s">
        <v>988</v>
      </c>
      <c r="R68" s="32" t="s">
        <v>967</v>
      </c>
    </row>
    <row r="69" spans="2:18" x14ac:dyDescent="0.3">
      <c r="B69" s="32" t="s">
        <v>194</v>
      </c>
      <c r="C69" s="32" t="s">
        <v>979</v>
      </c>
      <c r="D69" s="32" t="s">
        <v>257</v>
      </c>
      <c r="E69" s="32" t="s">
        <v>1051</v>
      </c>
      <c r="F69" s="32" t="s">
        <v>1052</v>
      </c>
      <c r="G69" s="32" t="s">
        <v>982</v>
      </c>
      <c r="H69" s="32" t="s">
        <v>1002</v>
      </c>
      <c r="I69" s="32" t="s">
        <v>1033</v>
      </c>
      <c r="J69" s="32" t="s">
        <v>1034</v>
      </c>
      <c r="K69" s="32" t="s">
        <v>40</v>
      </c>
      <c r="L69" s="32" t="s">
        <v>986</v>
      </c>
      <c r="M69" s="32" t="s">
        <v>999</v>
      </c>
      <c r="O69" s="32" t="s">
        <v>255</v>
      </c>
      <c r="P69" s="32" t="s">
        <v>958</v>
      </c>
      <c r="Q69" s="32" t="s">
        <v>988</v>
      </c>
      <c r="R69" s="32" t="s">
        <v>967</v>
      </c>
    </row>
    <row r="70" spans="2:18" x14ac:dyDescent="0.3">
      <c r="B70" s="32" t="s">
        <v>194</v>
      </c>
      <c r="C70" s="32" t="s">
        <v>979</v>
      </c>
      <c r="D70" s="32" t="s">
        <v>257</v>
      </c>
      <c r="E70" s="32" t="s">
        <v>1071</v>
      </c>
      <c r="F70" s="32" t="s">
        <v>1072</v>
      </c>
      <c r="G70" s="32" t="s">
        <v>982</v>
      </c>
      <c r="H70" s="32" t="s">
        <v>983</v>
      </c>
      <c r="I70" s="32" t="s">
        <v>1024</v>
      </c>
      <c r="J70" s="32" t="s">
        <v>1025</v>
      </c>
      <c r="K70" s="32" t="s">
        <v>40</v>
      </c>
      <c r="L70" s="32" t="s">
        <v>986</v>
      </c>
      <c r="M70" s="32" t="s">
        <v>999</v>
      </c>
      <c r="O70" s="32" t="s">
        <v>255</v>
      </c>
      <c r="P70" s="32" t="s">
        <v>958</v>
      </c>
      <c r="Q70" s="32" t="s">
        <v>988</v>
      </c>
      <c r="R70" s="32" t="s">
        <v>967</v>
      </c>
    </row>
    <row r="71" spans="2:18" x14ac:dyDescent="0.3">
      <c r="B71" s="32" t="s">
        <v>194</v>
      </c>
      <c r="C71" s="32" t="s">
        <v>979</v>
      </c>
      <c r="D71" s="32" t="s">
        <v>257</v>
      </c>
      <c r="E71" s="32" t="s">
        <v>1029</v>
      </c>
      <c r="F71" s="32" t="s">
        <v>1030</v>
      </c>
      <c r="G71" s="32" t="s">
        <v>982</v>
      </c>
      <c r="H71" s="32" t="s">
        <v>983</v>
      </c>
      <c r="I71" s="32" t="s">
        <v>1007</v>
      </c>
      <c r="J71" s="32" t="s">
        <v>1008</v>
      </c>
      <c r="K71" s="32" t="s">
        <v>40</v>
      </c>
      <c r="L71" s="32" t="s">
        <v>986</v>
      </c>
      <c r="M71" s="32" t="s">
        <v>1009</v>
      </c>
      <c r="O71" s="32" t="s">
        <v>255</v>
      </c>
      <c r="P71" s="32" t="s">
        <v>958</v>
      </c>
      <c r="Q71" s="32" t="s">
        <v>988</v>
      </c>
      <c r="R71" s="32" t="s">
        <v>967</v>
      </c>
    </row>
    <row r="72" spans="2:18" x14ac:dyDescent="0.3">
      <c r="B72" s="32" t="s">
        <v>194</v>
      </c>
      <c r="C72" s="32" t="s">
        <v>979</v>
      </c>
      <c r="D72" s="32" t="s">
        <v>257</v>
      </c>
      <c r="E72" s="32" t="s">
        <v>1073</v>
      </c>
      <c r="F72" s="32" t="s">
        <v>1074</v>
      </c>
      <c r="G72" s="32" t="s">
        <v>982</v>
      </c>
      <c r="H72" s="32" t="s">
        <v>1012</v>
      </c>
      <c r="I72" s="32" t="s">
        <v>1003</v>
      </c>
      <c r="J72" s="32" t="s">
        <v>1075</v>
      </c>
      <c r="K72" s="32" t="s">
        <v>40</v>
      </c>
      <c r="L72" s="32" t="s">
        <v>986</v>
      </c>
      <c r="M72" s="32" t="s">
        <v>1009</v>
      </c>
      <c r="O72" s="32" t="s">
        <v>255</v>
      </c>
      <c r="P72" s="32" t="s">
        <v>958</v>
      </c>
      <c r="Q72" s="32" t="s">
        <v>988</v>
      </c>
      <c r="R72" s="32" t="s">
        <v>967</v>
      </c>
    </row>
    <row r="73" spans="2:18" x14ac:dyDescent="0.3">
      <c r="B73" s="32" t="s">
        <v>194</v>
      </c>
      <c r="C73" s="32" t="s">
        <v>979</v>
      </c>
      <c r="D73" s="32" t="s">
        <v>257</v>
      </c>
      <c r="E73" s="32" t="s">
        <v>1073</v>
      </c>
      <c r="F73" s="32" t="s">
        <v>1074</v>
      </c>
      <c r="G73" s="32" t="s">
        <v>982</v>
      </c>
      <c r="H73" s="32" t="s">
        <v>1012</v>
      </c>
      <c r="I73" s="32" t="s">
        <v>1003</v>
      </c>
      <c r="J73" s="32" t="s">
        <v>1075</v>
      </c>
      <c r="K73" s="32" t="s">
        <v>40</v>
      </c>
      <c r="L73" s="32" t="s">
        <v>986</v>
      </c>
      <c r="M73" s="32" t="s">
        <v>987</v>
      </c>
      <c r="O73" s="32" t="s">
        <v>255</v>
      </c>
      <c r="P73" s="32" t="s">
        <v>958</v>
      </c>
      <c r="Q73" s="32" t="s">
        <v>988</v>
      </c>
      <c r="R73" s="32" t="s">
        <v>967</v>
      </c>
    </row>
    <row r="74" spans="2:18" x14ac:dyDescent="0.3">
      <c r="B74" s="32" t="s">
        <v>194</v>
      </c>
      <c r="C74" s="32" t="s">
        <v>979</v>
      </c>
      <c r="D74" s="32" t="s">
        <v>257</v>
      </c>
      <c r="E74" s="32" t="s">
        <v>1076</v>
      </c>
      <c r="F74" s="32" t="s">
        <v>1030</v>
      </c>
      <c r="G74" s="32" t="s">
        <v>982</v>
      </c>
      <c r="H74" s="32" t="s">
        <v>983</v>
      </c>
      <c r="I74" s="32" t="s">
        <v>1007</v>
      </c>
      <c r="J74" s="32" t="s">
        <v>1008</v>
      </c>
      <c r="K74" s="32" t="s">
        <v>40</v>
      </c>
      <c r="L74" s="32" t="s">
        <v>986</v>
      </c>
      <c r="M74" s="32" t="s">
        <v>1009</v>
      </c>
      <c r="O74" s="32" t="s">
        <v>255</v>
      </c>
      <c r="P74" s="32" t="s">
        <v>958</v>
      </c>
      <c r="Q74" s="32" t="s">
        <v>988</v>
      </c>
      <c r="R74" s="32" t="s">
        <v>967</v>
      </c>
    </row>
    <row r="75" spans="2:18" x14ac:dyDescent="0.3">
      <c r="B75" s="32" t="s">
        <v>194</v>
      </c>
      <c r="C75" s="32" t="s">
        <v>979</v>
      </c>
      <c r="D75" s="32" t="s">
        <v>257</v>
      </c>
      <c r="E75" s="32" t="s">
        <v>1076</v>
      </c>
      <c r="F75" s="32" t="s">
        <v>1030</v>
      </c>
      <c r="G75" s="32" t="s">
        <v>982</v>
      </c>
      <c r="H75" s="32" t="s">
        <v>983</v>
      </c>
      <c r="I75" s="32" t="s">
        <v>1007</v>
      </c>
      <c r="J75" s="32" t="s">
        <v>1008</v>
      </c>
      <c r="K75" s="32" t="s">
        <v>40</v>
      </c>
      <c r="L75" s="32" t="s">
        <v>986</v>
      </c>
      <c r="M75" s="32" t="s">
        <v>987</v>
      </c>
      <c r="O75" s="32" t="s">
        <v>255</v>
      </c>
      <c r="P75" s="32" t="s">
        <v>958</v>
      </c>
      <c r="Q75" s="32" t="s">
        <v>988</v>
      </c>
      <c r="R75" s="32" t="s">
        <v>967</v>
      </c>
    </row>
    <row r="76" spans="2:18" x14ac:dyDescent="0.3">
      <c r="B76" s="32" t="s">
        <v>194</v>
      </c>
      <c r="C76" s="32" t="s">
        <v>979</v>
      </c>
      <c r="D76" s="32" t="s">
        <v>257</v>
      </c>
      <c r="E76" s="32" t="s">
        <v>1077</v>
      </c>
      <c r="F76" s="32" t="s">
        <v>1078</v>
      </c>
      <c r="G76" s="32" t="s">
        <v>982</v>
      </c>
      <c r="H76" s="32" t="s">
        <v>1002</v>
      </c>
      <c r="I76" s="32" t="s">
        <v>1079</v>
      </c>
      <c r="J76" s="32" t="s">
        <v>1080</v>
      </c>
      <c r="K76" s="32" t="s">
        <v>40</v>
      </c>
      <c r="L76" s="32" t="s">
        <v>986</v>
      </c>
      <c r="M76" s="32" t="s">
        <v>989</v>
      </c>
      <c r="O76" s="32" t="s">
        <v>255</v>
      </c>
      <c r="P76" s="32" t="s">
        <v>958</v>
      </c>
      <c r="Q76" s="32" t="s">
        <v>988</v>
      </c>
      <c r="R76" s="32" t="s">
        <v>967</v>
      </c>
    </row>
    <row r="77" spans="2:18" x14ac:dyDescent="0.3">
      <c r="B77" s="32" t="s">
        <v>194</v>
      </c>
      <c r="C77" s="32" t="s">
        <v>979</v>
      </c>
      <c r="D77" s="32" t="s">
        <v>257</v>
      </c>
      <c r="E77" s="32" t="s">
        <v>1077</v>
      </c>
      <c r="F77" s="32" t="s">
        <v>1078</v>
      </c>
      <c r="G77" s="32" t="s">
        <v>982</v>
      </c>
      <c r="H77" s="32" t="s">
        <v>1002</v>
      </c>
      <c r="I77" s="32" t="s">
        <v>1079</v>
      </c>
      <c r="J77" s="32" t="s">
        <v>1080</v>
      </c>
      <c r="K77" s="32" t="s">
        <v>40</v>
      </c>
      <c r="L77" s="32" t="s">
        <v>986</v>
      </c>
      <c r="M77" s="32" t="s">
        <v>987</v>
      </c>
      <c r="O77" s="32" t="s">
        <v>255</v>
      </c>
      <c r="P77" s="32" t="s">
        <v>958</v>
      </c>
      <c r="Q77" s="32" t="s">
        <v>988</v>
      </c>
      <c r="R77" s="32" t="s">
        <v>967</v>
      </c>
    </row>
    <row r="78" spans="2:18" x14ac:dyDescent="0.3">
      <c r="B78" s="32" t="s">
        <v>194</v>
      </c>
      <c r="C78" s="32" t="s">
        <v>979</v>
      </c>
      <c r="D78" s="32" t="s">
        <v>257</v>
      </c>
      <c r="E78" s="32" t="s">
        <v>1041</v>
      </c>
      <c r="F78" s="32" t="s">
        <v>1042</v>
      </c>
      <c r="G78" s="32" t="s">
        <v>982</v>
      </c>
      <c r="H78" s="32" t="s">
        <v>983</v>
      </c>
      <c r="I78" s="32" t="s">
        <v>1007</v>
      </c>
      <c r="J78" s="32" t="s">
        <v>1043</v>
      </c>
      <c r="K78" s="32" t="s">
        <v>40</v>
      </c>
      <c r="L78" s="32" t="s">
        <v>986</v>
      </c>
      <c r="M78" s="32" t="s">
        <v>987</v>
      </c>
      <c r="O78" s="32" t="s">
        <v>255</v>
      </c>
      <c r="P78" s="32" t="s">
        <v>958</v>
      </c>
      <c r="Q78" s="32" t="s">
        <v>988</v>
      </c>
      <c r="R78" s="32" t="s">
        <v>967</v>
      </c>
    </row>
    <row r="79" spans="2:18" x14ac:dyDescent="0.3">
      <c r="B79" s="32" t="s">
        <v>194</v>
      </c>
      <c r="C79" s="32" t="s">
        <v>979</v>
      </c>
      <c r="D79" s="32" t="s">
        <v>257</v>
      </c>
      <c r="E79" s="32" t="s">
        <v>1036</v>
      </c>
      <c r="F79" s="32" t="s">
        <v>1037</v>
      </c>
      <c r="G79" s="32" t="s">
        <v>982</v>
      </c>
      <c r="H79" s="32" t="s">
        <v>983</v>
      </c>
      <c r="I79" s="32" t="s">
        <v>1007</v>
      </c>
      <c r="J79" s="32" t="s">
        <v>1038</v>
      </c>
      <c r="K79" s="32" t="s">
        <v>40</v>
      </c>
      <c r="L79" s="32" t="s">
        <v>986</v>
      </c>
      <c r="M79" s="32" t="s">
        <v>1009</v>
      </c>
      <c r="O79" s="32" t="s">
        <v>255</v>
      </c>
      <c r="P79" s="32" t="s">
        <v>958</v>
      </c>
      <c r="Q79" s="32" t="s">
        <v>988</v>
      </c>
      <c r="R79" s="32" t="s">
        <v>967</v>
      </c>
    </row>
    <row r="80" spans="2:18" x14ac:dyDescent="0.3">
      <c r="B80" s="32" t="s">
        <v>194</v>
      </c>
      <c r="C80" s="32" t="s">
        <v>979</v>
      </c>
      <c r="D80" s="32" t="s">
        <v>257</v>
      </c>
      <c r="E80" s="32" t="s">
        <v>1081</v>
      </c>
      <c r="F80" s="32" t="s">
        <v>1030</v>
      </c>
      <c r="G80" s="32" t="s">
        <v>982</v>
      </c>
      <c r="H80" s="32" t="s">
        <v>983</v>
      </c>
      <c r="I80" s="32" t="s">
        <v>1007</v>
      </c>
      <c r="J80" s="32" t="s">
        <v>1008</v>
      </c>
      <c r="K80" s="32" t="s">
        <v>40</v>
      </c>
      <c r="L80" s="32" t="s">
        <v>986</v>
      </c>
      <c r="M80" s="32" t="s">
        <v>1009</v>
      </c>
      <c r="O80" s="32" t="s">
        <v>255</v>
      </c>
      <c r="P80" s="32" t="s">
        <v>958</v>
      </c>
      <c r="Q80" s="32" t="s">
        <v>988</v>
      </c>
      <c r="R80" s="32" t="s">
        <v>967</v>
      </c>
    </row>
    <row r="81" spans="2:18" x14ac:dyDescent="0.3">
      <c r="B81" s="32" t="s">
        <v>194</v>
      </c>
      <c r="C81" s="32" t="s">
        <v>979</v>
      </c>
      <c r="D81" s="32" t="s">
        <v>257</v>
      </c>
      <c r="E81" s="32" t="s">
        <v>1061</v>
      </c>
      <c r="F81" s="32" t="s">
        <v>1062</v>
      </c>
      <c r="G81" s="32" t="s">
        <v>982</v>
      </c>
      <c r="H81" s="32" t="s">
        <v>983</v>
      </c>
      <c r="I81" s="32" t="s">
        <v>1003</v>
      </c>
      <c r="J81" s="32" t="s">
        <v>1017</v>
      </c>
      <c r="K81" s="32" t="s">
        <v>40</v>
      </c>
      <c r="L81" s="32" t="s">
        <v>986</v>
      </c>
      <c r="M81" s="32" t="s">
        <v>987</v>
      </c>
      <c r="O81" s="32" t="s">
        <v>255</v>
      </c>
      <c r="P81" s="32" t="s">
        <v>958</v>
      </c>
      <c r="Q81" s="32" t="s">
        <v>988</v>
      </c>
      <c r="R81" s="32" t="s">
        <v>967</v>
      </c>
    </row>
    <row r="82" spans="2:18" x14ac:dyDescent="0.3">
      <c r="B82" s="32" t="s">
        <v>194</v>
      </c>
      <c r="C82" s="32" t="s">
        <v>979</v>
      </c>
      <c r="D82" s="32" t="s">
        <v>257</v>
      </c>
      <c r="E82" s="32" t="s">
        <v>1081</v>
      </c>
      <c r="F82" s="32" t="s">
        <v>1030</v>
      </c>
      <c r="G82" s="32" t="s">
        <v>982</v>
      </c>
      <c r="H82" s="32" t="s">
        <v>983</v>
      </c>
      <c r="I82" s="32" t="s">
        <v>1007</v>
      </c>
      <c r="J82" s="32" t="s">
        <v>1008</v>
      </c>
      <c r="K82" s="32" t="s">
        <v>40</v>
      </c>
      <c r="L82" s="32" t="s">
        <v>986</v>
      </c>
      <c r="M82" s="32" t="s">
        <v>987</v>
      </c>
      <c r="O82" s="32" t="s">
        <v>255</v>
      </c>
      <c r="P82" s="32" t="s">
        <v>958</v>
      </c>
      <c r="Q82" s="32" t="s">
        <v>988</v>
      </c>
      <c r="R82" s="32" t="s">
        <v>967</v>
      </c>
    </row>
    <row r="83" spans="2:18" x14ac:dyDescent="0.3">
      <c r="B83" s="32" t="s">
        <v>194</v>
      </c>
      <c r="C83" s="32" t="s">
        <v>979</v>
      </c>
      <c r="D83" s="32" t="s">
        <v>257</v>
      </c>
      <c r="E83" s="32" t="s">
        <v>1082</v>
      </c>
      <c r="F83" s="32" t="s">
        <v>1062</v>
      </c>
      <c r="G83" s="32" t="s">
        <v>982</v>
      </c>
      <c r="H83" s="32" t="s">
        <v>983</v>
      </c>
      <c r="I83" s="32" t="s">
        <v>1033</v>
      </c>
      <c r="J83" s="32" t="s">
        <v>1083</v>
      </c>
      <c r="K83" s="32" t="s">
        <v>40</v>
      </c>
      <c r="L83" s="32" t="s">
        <v>986</v>
      </c>
      <c r="M83" s="32" t="s">
        <v>1009</v>
      </c>
      <c r="O83" s="32" t="s">
        <v>255</v>
      </c>
      <c r="P83" s="32" t="s">
        <v>958</v>
      </c>
      <c r="Q83" s="32" t="s">
        <v>988</v>
      </c>
      <c r="R83" s="32" t="s">
        <v>967</v>
      </c>
    </row>
    <row r="84" spans="2:18" x14ac:dyDescent="0.3">
      <c r="B84" s="32" t="s">
        <v>194</v>
      </c>
      <c r="C84" s="32" t="s">
        <v>979</v>
      </c>
      <c r="D84" s="32" t="s">
        <v>257</v>
      </c>
      <c r="E84" s="32" t="s">
        <v>1031</v>
      </c>
      <c r="F84" s="32" t="s">
        <v>1032</v>
      </c>
      <c r="G84" s="32" t="s">
        <v>982</v>
      </c>
      <c r="H84" s="32" t="s">
        <v>983</v>
      </c>
      <c r="I84" s="32" t="s">
        <v>1033</v>
      </c>
      <c r="J84" s="32" t="s">
        <v>1034</v>
      </c>
      <c r="K84" s="32" t="s">
        <v>40</v>
      </c>
      <c r="L84" s="32" t="s">
        <v>986</v>
      </c>
      <c r="M84" s="32" t="s">
        <v>1009</v>
      </c>
      <c r="O84" s="32" t="s">
        <v>255</v>
      </c>
      <c r="P84" s="32" t="s">
        <v>958</v>
      </c>
      <c r="Q84" s="32" t="s">
        <v>988</v>
      </c>
      <c r="R84" s="32" t="s">
        <v>967</v>
      </c>
    </row>
    <row r="85" spans="2:18" x14ac:dyDescent="0.3">
      <c r="B85" s="32" t="s">
        <v>194</v>
      </c>
      <c r="C85" s="32" t="s">
        <v>979</v>
      </c>
      <c r="D85" s="32" t="s">
        <v>257</v>
      </c>
      <c r="E85" s="32" t="s">
        <v>1071</v>
      </c>
      <c r="F85" s="32" t="s">
        <v>1072</v>
      </c>
      <c r="G85" s="32" t="s">
        <v>982</v>
      </c>
      <c r="H85" s="32" t="s">
        <v>983</v>
      </c>
      <c r="I85" s="32" t="s">
        <v>1024</v>
      </c>
      <c r="J85" s="32" t="s">
        <v>1025</v>
      </c>
      <c r="K85" s="32" t="s">
        <v>40</v>
      </c>
      <c r="L85" s="32" t="s">
        <v>986</v>
      </c>
      <c r="M85" s="32" t="s">
        <v>987</v>
      </c>
      <c r="O85" s="32" t="s">
        <v>255</v>
      </c>
      <c r="P85" s="32" t="s">
        <v>958</v>
      </c>
      <c r="Q85" s="32" t="s">
        <v>988</v>
      </c>
      <c r="R85" s="32" t="s">
        <v>967</v>
      </c>
    </row>
    <row r="86" spans="2:18" x14ac:dyDescent="0.3">
      <c r="B86" s="32" t="s">
        <v>194</v>
      </c>
      <c r="C86" s="32" t="s">
        <v>979</v>
      </c>
      <c r="D86" s="32" t="s">
        <v>257</v>
      </c>
      <c r="E86" s="32" t="s">
        <v>1018</v>
      </c>
      <c r="F86" s="32" t="s">
        <v>1019</v>
      </c>
      <c r="G86" s="32" t="s">
        <v>982</v>
      </c>
      <c r="H86" s="32" t="s">
        <v>1002</v>
      </c>
      <c r="I86" s="32" t="s">
        <v>1020</v>
      </c>
      <c r="J86" s="32" t="s">
        <v>1021</v>
      </c>
      <c r="K86" s="32" t="s">
        <v>40</v>
      </c>
      <c r="L86" s="32" t="s">
        <v>986</v>
      </c>
      <c r="M86" s="32" t="s">
        <v>989</v>
      </c>
      <c r="O86" s="32" t="s">
        <v>255</v>
      </c>
      <c r="P86" s="32" t="s">
        <v>958</v>
      </c>
      <c r="Q86" s="32" t="s">
        <v>988</v>
      </c>
      <c r="R86" s="32" t="s">
        <v>967</v>
      </c>
    </row>
    <row r="87" spans="2:18" x14ac:dyDescent="0.3">
      <c r="B87" s="32" t="s">
        <v>194</v>
      </c>
      <c r="C87" s="32" t="s">
        <v>979</v>
      </c>
      <c r="D87" s="32" t="s">
        <v>257</v>
      </c>
      <c r="E87" s="32" t="s">
        <v>1068</v>
      </c>
      <c r="F87" s="32" t="s">
        <v>1027</v>
      </c>
      <c r="G87" s="32" t="s">
        <v>982</v>
      </c>
      <c r="H87" s="32" t="s">
        <v>983</v>
      </c>
      <c r="I87" s="32" t="s">
        <v>1007</v>
      </c>
      <c r="J87" s="32" t="s">
        <v>1008</v>
      </c>
      <c r="K87" s="32" t="s">
        <v>40</v>
      </c>
      <c r="L87" s="32" t="s">
        <v>986</v>
      </c>
      <c r="M87" s="32" t="s">
        <v>999</v>
      </c>
      <c r="O87" s="32" t="s">
        <v>255</v>
      </c>
      <c r="P87" s="32" t="s">
        <v>958</v>
      </c>
      <c r="Q87" s="32" t="s">
        <v>988</v>
      </c>
      <c r="R87" s="32" t="s">
        <v>967</v>
      </c>
    </row>
    <row r="88" spans="2:18" x14ac:dyDescent="0.3">
      <c r="B88" s="32" t="s">
        <v>194</v>
      </c>
      <c r="C88" s="32" t="s">
        <v>979</v>
      </c>
      <c r="D88" s="32" t="s">
        <v>257</v>
      </c>
      <c r="E88" s="32" t="s">
        <v>1063</v>
      </c>
      <c r="F88" s="32" t="s">
        <v>1037</v>
      </c>
      <c r="G88" s="32" t="s">
        <v>982</v>
      </c>
      <c r="H88" s="32" t="s">
        <v>983</v>
      </c>
      <c r="I88" s="32" t="s">
        <v>1007</v>
      </c>
      <c r="J88" s="32" t="s">
        <v>1038</v>
      </c>
      <c r="K88" s="32" t="s">
        <v>40</v>
      </c>
      <c r="L88" s="32" t="s">
        <v>986</v>
      </c>
      <c r="M88" s="32" t="s">
        <v>1009</v>
      </c>
      <c r="O88" s="32" t="s">
        <v>255</v>
      </c>
      <c r="P88" s="32" t="s">
        <v>958</v>
      </c>
      <c r="Q88" s="32" t="s">
        <v>988</v>
      </c>
      <c r="R88" s="32" t="s">
        <v>967</v>
      </c>
    </row>
    <row r="89" spans="2:18" x14ac:dyDescent="0.3">
      <c r="B89" s="32" t="s">
        <v>194</v>
      </c>
      <c r="C89" s="32" t="s">
        <v>979</v>
      </c>
      <c r="D89" s="32" t="s">
        <v>257</v>
      </c>
      <c r="E89" s="32" t="s">
        <v>1059</v>
      </c>
      <c r="F89" s="32" t="s">
        <v>1030</v>
      </c>
      <c r="G89" s="32" t="s">
        <v>982</v>
      </c>
      <c r="H89" s="32" t="s">
        <v>983</v>
      </c>
      <c r="I89" s="32" t="s">
        <v>1007</v>
      </c>
      <c r="J89" s="32" t="s">
        <v>1008</v>
      </c>
      <c r="K89" s="32" t="s">
        <v>40</v>
      </c>
      <c r="L89" s="32" t="s">
        <v>986</v>
      </c>
      <c r="M89" s="32" t="s">
        <v>987</v>
      </c>
      <c r="O89" s="32" t="s">
        <v>255</v>
      </c>
      <c r="P89" s="32" t="s">
        <v>958</v>
      </c>
      <c r="Q89" s="32" t="s">
        <v>988</v>
      </c>
      <c r="R89" s="32" t="s">
        <v>967</v>
      </c>
    </row>
    <row r="90" spans="2:18" x14ac:dyDescent="0.3">
      <c r="B90" s="32" t="s">
        <v>194</v>
      </c>
      <c r="C90" s="32" t="s">
        <v>979</v>
      </c>
      <c r="D90" s="32" t="s">
        <v>257</v>
      </c>
      <c r="E90" s="32" t="s">
        <v>1060</v>
      </c>
      <c r="F90" s="32" t="s">
        <v>1030</v>
      </c>
      <c r="G90" s="32" t="s">
        <v>982</v>
      </c>
      <c r="H90" s="32" t="s">
        <v>983</v>
      </c>
      <c r="I90" s="32" t="s">
        <v>1007</v>
      </c>
      <c r="J90" s="32" t="s">
        <v>1008</v>
      </c>
      <c r="K90" s="32" t="s">
        <v>40</v>
      </c>
      <c r="L90" s="32" t="s">
        <v>986</v>
      </c>
      <c r="M90" s="32" t="s">
        <v>987</v>
      </c>
      <c r="O90" s="32" t="s">
        <v>255</v>
      </c>
      <c r="P90" s="32" t="s">
        <v>958</v>
      </c>
      <c r="Q90" s="32" t="s">
        <v>988</v>
      </c>
      <c r="R90" s="32" t="s">
        <v>967</v>
      </c>
    </row>
    <row r="91" spans="2:18" x14ac:dyDescent="0.3">
      <c r="B91" s="32" t="s">
        <v>194</v>
      </c>
      <c r="C91" s="32" t="s">
        <v>979</v>
      </c>
      <c r="D91" s="32" t="s">
        <v>257</v>
      </c>
      <c r="E91" s="32" t="s">
        <v>1084</v>
      </c>
      <c r="F91" s="32" t="s">
        <v>1085</v>
      </c>
      <c r="G91" s="32" t="s">
        <v>982</v>
      </c>
      <c r="H91" s="32" t="s">
        <v>983</v>
      </c>
      <c r="I91" s="32" t="s">
        <v>1086</v>
      </c>
      <c r="J91" s="32" t="s">
        <v>1087</v>
      </c>
      <c r="K91" s="32" t="s">
        <v>40</v>
      </c>
      <c r="L91" s="32" t="s">
        <v>986</v>
      </c>
      <c r="M91" s="32" t="s">
        <v>987</v>
      </c>
      <c r="O91" s="32" t="s">
        <v>255</v>
      </c>
      <c r="P91" s="32" t="s">
        <v>958</v>
      </c>
      <c r="Q91" s="32" t="s">
        <v>988</v>
      </c>
      <c r="R91" s="32" t="s">
        <v>967</v>
      </c>
    </row>
    <row r="92" spans="2:18" x14ac:dyDescent="0.3">
      <c r="B92" s="32" t="s">
        <v>194</v>
      </c>
      <c r="C92" s="32" t="s">
        <v>979</v>
      </c>
      <c r="D92" s="32" t="s">
        <v>257</v>
      </c>
      <c r="E92" s="32" t="s">
        <v>1069</v>
      </c>
      <c r="F92" s="32" t="s">
        <v>1070</v>
      </c>
      <c r="G92" s="32" t="s">
        <v>982</v>
      </c>
      <c r="H92" s="32" t="s">
        <v>1002</v>
      </c>
      <c r="I92" s="32" t="s">
        <v>1007</v>
      </c>
      <c r="J92" s="32" t="s">
        <v>1008</v>
      </c>
      <c r="K92" s="32" t="s">
        <v>40</v>
      </c>
      <c r="L92" s="32" t="s">
        <v>986</v>
      </c>
      <c r="M92" s="32" t="s">
        <v>999</v>
      </c>
      <c r="O92" s="32" t="s">
        <v>255</v>
      </c>
      <c r="P92" s="32" t="s">
        <v>958</v>
      </c>
      <c r="Q92" s="32" t="s">
        <v>988</v>
      </c>
      <c r="R92" s="32" t="s">
        <v>967</v>
      </c>
    </row>
    <row r="93" spans="2:18" x14ac:dyDescent="0.3">
      <c r="B93" s="32" t="s">
        <v>194</v>
      </c>
      <c r="C93" s="32" t="s">
        <v>979</v>
      </c>
      <c r="D93" s="32" t="s">
        <v>257</v>
      </c>
      <c r="E93" s="32" t="s">
        <v>1082</v>
      </c>
      <c r="F93" s="32" t="s">
        <v>1062</v>
      </c>
      <c r="G93" s="32" t="s">
        <v>982</v>
      </c>
      <c r="H93" s="32" t="s">
        <v>983</v>
      </c>
      <c r="I93" s="32" t="s">
        <v>1033</v>
      </c>
      <c r="J93" s="32" t="s">
        <v>1083</v>
      </c>
      <c r="K93" s="32" t="s">
        <v>40</v>
      </c>
      <c r="L93" s="32" t="s">
        <v>986</v>
      </c>
      <c r="M93" s="32" t="s">
        <v>987</v>
      </c>
      <c r="O93" s="32" t="s">
        <v>255</v>
      </c>
      <c r="P93" s="32" t="s">
        <v>958</v>
      </c>
      <c r="Q93" s="32" t="s">
        <v>988</v>
      </c>
      <c r="R93" s="32" t="s">
        <v>967</v>
      </c>
    </row>
    <row r="94" spans="2:18" x14ac:dyDescent="0.3">
      <c r="B94" s="32" t="s">
        <v>194</v>
      </c>
      <c r="C94" s="32" t="s">
        <v>979</v>
      </c>
      <c r="D94" s="32" t="s">
        <v>257</v>
      </c>
      <c r="E94" s="32" t="s">
        <v>1053</v>
      </c>
      <c r="F94" s="32" t="s">
        <v>1054</v>
      </c>
      <c r="G94" s="32" t="s">
        <v>982</v>
      </c>
      <c r="H94" s="32" t="s">
        <v>1012</v>
      </c>
      <c r="I94" s="32" t="s">
        <v>1055</v>
      </c>
      <c r="J94" s="32" t="s">
        <v>1056</v>
      </c>
      <c r="K94" s="32" t="s">
        <v>40</v>
      </c>
      <c r="L94" s="32" t="s">
        <v>986</v>
      </c>
      <c r="M94" s="32" t="s">
        <v>1009</v>
      </c>
      <c r="O94" s="32" t="s">
        <v>255</v>
      </c>
      <c r="P94" s="32" t="s">
        <v>958</v>
      </c>
      <c r="Q94" s="32" t="s">
        <v>988</v>
      </c>
      <c r="R94" s="32" t="s">
        <v>967</v>
      </c>
    </row>
    <row r="95" spans="2:18" x14ac:dyDescent="0.3">
      <c r="B95" s="32" t="s">
        <v>194</v>
      </c>
      <c r="C95" s="32" t="s">
        <v>979</v>
      </c>
      <c r="D95" s="32" t="s">
        <v>257</v>
      </c>
      <c r="E95" s="32" t="s">
        <v>1084</v>
      </c>
      <c r="F95" s="32" t="s">
        <v>1085</v>
      </c>
      <c r="G95" s="32" t="s">
        <v>982</v>
      </c>
      <c r="H95" s="32" t="s">
        <v>983</v>
      </c>
      <c r="I95" s="32" t="s">
        <v>1086</v>
      </c>
      <c r="J95" s="32" t="s">
        <v>1087</v>
      </c>
      <c r="K95" s="32" t="s">
        <v>40</v>
      </c>
      <c r="L95" s="32" t="s">
        <v>986</v>
      </c>
      <c r="M95" s="32" t="s">
        <v>989</v>
      </c>
      <c r="O95" s="32" t="s">
        <v>255</v>
      </c>
      <c r="P95" s="32" t="s">
        <v>958</v>
      </c>
      <c r="Q95" s="32" t="s">
        <v>988</v>
      </c>
      <c r="R95" s="32" t="s">
        <v>967</v>
      </c>
    </row>
  </sheetData>
  <autoFilter ref="B21:R95"/>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B1:CE23"/>
  <sheetViews>
    <sheetView showGridLines="0" workbookViewId="0">
      <selection activeCell="F1" sqref="F1"/>
    </sheetView>
  </sheetViews>
  <sheetFormatPr defaultRowHeight="14.4" x14ac:dyDescent="0.3"/>
  <cols>
    <col min="1" max="1" width="2.109375" style="32" customWidth="1"/>
    <col min="2" max="2" width="15.44140625" style="32" bestFit="1" customWidth="1"/>
    <col min="3" max="3" width="17.6640625" style="32" customWidth="1"/>
    <col min="4" max="4" width="14.33203125" style="32" bestFit="1" customWidth="1"/>
    <col min="5" max="5" width="16.109375" style="32" bestFit="1" customWidth="1"/>
    <col min="6" max="6" width="14.21875" style="32" bestFit="1" customWidth="1"/>
    <col min="7" max="7" width="17.44140625" style="32" bestFit="1" customWidth="1"/>
    <col min="8" max="8" width="17" style="32" bestFit="1" customWidth="1"/>
    <col min="9" max="9" width="16.109375" style="32" bestFit="1" customWidth="1"/>
    <col min="10" max="10" width="17.6640625" style="32" bestFit="1" customWidth="1"/>
    <col min="11" max="11" width="16.21875" style="32" bestFit="1" customWidth="1"/>
    <col min="12" max="12" width="43.6640625" style="32" bestFit="1" customWidth="1"/>
    <col min="13" max="13" width="17.21875" style="32" bestFit="1" customWidth="1"/>
    <col min="14" max="14" width="16" style="32" customWidth="1"/>
    <col min="15" max="15" width="14.5546875" style="32" bestFit="1" customWidth="1"/>
    <col min="16" max="16" width="21.77734375" style="32" bestFit="1" customWidth="1"/>
    <col min="17" max="17" width="16.88671875" style="32" bestFit="1" customWidth="1"/>
    <col min="18" max="20" width="15.6640625" style="32" bestFit="1" customWidth="1"/>
    <col min="21" max="21" width="15.5546875" style="32" bestFit="1" customWidth="1"/>
    <col min="22" max="22" width="15.21875" style="32" bestFit="1" customWidth="1"/>
    <col min="23" max="23" width="16.33203125" style="32" bestFit="1" customWidth="1"/>
    <col min="24" max="24" width="14" style="32" bestFit="1" customWidth="1"/>
    <col min="25" max="25" width="15.33203125" style="32" bestFit="1" customWidth="1"/>
    <col min="26" max="26" width="15.88671875" style="32" bestFit="1" customWidth="1"/>
    <col min="27" max="27" width="14.77734375" style="32" bestFit="1" customWidth="1"/>
    <col min="28" max="28" width="16" style="32" bestFit="1" customWidth="1"/>
    <col min="29" max="29" width="16.33203125" style="32" bestFit="1" customWidth="1"/>
    <col min="30" max="30" width="14.5546875" style="32" bestFit="1" customWidth="1"/>
    <col min="31" max="31" width="16" style="32" bestFit="1" customWidth="1"/>
    <col min="32" max="32" width="16.44140625" style="32" bestFit="1" customWidth="1"/>
    <col min="33" max="33" width="14.77734375" style="32" bestFit="1" customWidth="1"/>
    <col min="34" max="34" width="15.5546875" style="32" bestFit="1" customWidth="1"/>
    <col min="35" max="35" width="14.44140625" style="32" bestFit="1" customWidth="1"/>
    <col min="36" max="36" width="15.44140625" style="32" bestFit="1" customWidth="1"/>
    <col min="37" max="37" width="16.5546875" style="32" bestFit="1" customWidth="1"/>
    <col min="38" max="38" width="17.6640625" style="32" bestFit="1" customWidth="1"/>
    <col min="39" max="39" width="16.109375" style="32" bestFit="1" customWidth="1"/>
    <col min="40" max="40" width="16" style="32" bestFit="1" customWidth="1"/>
    <col min="41" max="41" width="16.44140625" style="32" bestFit="1" customWidth="1"/>
    <col min="42" max="42" width="17.44140625" style="32" bestFit="1" customWidth="1"/>
    <col min="43" max="43" width="15.21875" style="32" bestFit="1" customWidth="1"/>
    <col min="44" max="44" width="15.6640625" style="32" bestFit="1" customWidth="1"/>
    <col min="45" max="45" width="16.109375" style="32" bestFit="1" customWidth="1"/>
    <col min="46" max="46" width="16.88671875" style="32" bestFit="1" customWidth="1"/>
    <col min="47" max="47" width="16.109375" style="32" bestFit="1" customWidth="1"/>
    <col min="48" max="48" width="14.5546875" style="32" bestFit="1" customWidth="1"/>
    <col min="49" max="49" width="15.21875" style="32" bestFit="1" customWidth="1"/>
    <col min="50" max="50" width="15.88671875" style="32" bestFit="1" customWidth="1"/>
    <col min="51" max="51" width="16.5546875" style="32" bestFit="1" customWidth="1"/>
    <col min="52" max="52" width="15" style="32" bestFit="1" customWidth="1"/>
    <col min="53" max="53" width="15.6640625" style="32" bestFit="1" customWidth="1"/>
    <col min="54" max="54" width="15.5546875" style="32" bestFit="1" customWidth="1"/>
    <col min="55" max="55" width="16.21875" style="32" bestFit="1" customWidth="1"/>
    <col min="56" max="56" width="15.109375" style="32" bestFit="1" customWidth="1"/>
    <col min="57" max="57" width="15.77734375" style="32" bestFit="1" customWidth="1"/>
    <col min="58" max="58" width="16.77734375" style="32" bestFit="1" customWidth="1"/>
    <col min="59" max="59" width="17.5546875" style="32" bestFit="1" customWidth="1"/>
    <col min="60" max="60" width="18.109375" style="32" bestFit="1" customWidth="1"/>
    <col min="61" max="61" width="15.77734375" style="32" bestFit="1" customWidth="1"/>
    <col min="62" max="62" width="15.33203125" style="32" bestFit="1" customWidth="1"/>
    <col min="63" max="63" width="15" style="32" bestFit="1" customWidth="1"/>
    <col min="64" max="64" width="15.6640625" style="32" bestFit="1" customWidth="1"/>
    <col min="65" max="65" width="16.5546875" style="32" bestFit="1" customWidth="1"/>
    <col min="66" max="66" width="16.6640625" style="32" bestFit="1" customWidth="1"/>
    <col min="67" max="67" width="15.21875" style="32" bestFit="1" customWidth="1"/>
    <col min="68" max="68" width="16.21875" style="32" bestFit="1" customWidth="1"/>
    <col min="69" max="69" width="15.77734375" style="32" bestFit="1" customWidth="1"/>
    <col min="70" max="70" width="17.33203125" style="32" bestFit="1" customWidth="1"/>
    <col min="71" max="71" width="17.6640625" style="32" bestFit="1" customWidth="1"/>
    <col min="72" max="72" width="17" style="32" bestFit="1" customWidth="1"/>
    <col min="73" max="73" width="15.33203125" style="32" bestFit="1" customWidth="1"/>
    <col min="74" max="74" width="15.109375" style="32" bestFit="1" customWidth="1"/>
    <col min="75" max="76" width="12.77734375" style="32" bestFit="1" customWidth="1"/>
    <col min="77" max="77" width="16.77734375" style="32" bestFit="1" customWidth="1"/>
    <col min="78" max="78" width="15.33203125" style="32" bestFit="1" customWidth="1"/>
    <col min="79" max="79" width="17.88671875" style="32" bestFit="1" customWidth="1"/>
    <col min="80" max="80" width="17.5546875" style="32" bestFit="1" customWidth="1"/>
    <col min="81" max="81" width="4.6640625" style="32" customWidth="1"/>
    <col min="82" max="82" width="14.109375" style="32" bestFit="1" customWidth="1"/>
    <col min="83" max="83" width="19.44140625" style="32" bestFit="1" customWidth="1"/>
    <col min="84" max="16384" width="8.88671875" style="32"/>
  </cols>
  <sheetData>
    <row r="1" spans="2:83" customFormat="1" x14ac:dyDescent="0.3">
      <c r="B1" s="51" t="s">
        <v>1105</v>
      </c>
      <c r="C1" s="52"/>
      <c r="D1" s="52"/>
      <c r="E1" s="52"/>
      <c r="F1" s="52"/>
      <c r="G1" s="52"/>
      <c r="H1" s="52"/>
    </row>
    <row r="2" spans="2:83" customFormat="1" x14ac:dyDescent="0.3"/>
    <row r="3" spans="2:83" customFormat="1" x14ac:dyDescent="0.3">
      <c r="B3" s="57" t="s">
        <v>1158</v>
      </c>
      <c r="C3" s="58"/>
      <c r="D3" s="58"/>
      <c r="E3" s="58"/>
      <c r="F3" s="66"/>
      <c r="G3" s="66"/>
      <c r="H3" s="66"/>
    </row>
    <row r="4" spans="2:83" customFormat="1" x14ac:dyDescent="0.3">
      <c r="B4" s="59"/>
      <c r="C4" s="60"/>
      <c r="D4" s="60"/>
      <c r="E4" s="60"/>
    </row>
    <row r="5" spans="2:83" s="3" customFormat="1" x14ac:dyDescent="0.3">
      <c r="B5" s="61" t="s">
        <v>1304</v>
      </c>
      <c r="C5" s="62"/>
      <c r="D5" s="62"/>
      <c r="E5" s="62"/>
      <c r="F5" s="62"/>
      <c r="G5" s="62"/>
      <c r="H5" s="63"/>
    </row>
    <row r="6" spans="2:83" s="3" customFormat="1" x14ac:dyDescent="0.3">
      <c r="B6" s="64" t="s">
        <v>1301</v>
      </c>
      <c r="C6" s="58"/>
      <c r="D6" s="58"/>
      <c r="E6" s="58"/>
      <c r="F6" s="58"/>
      <c r="G6" s="58"/>
      <c r="H6" s="65"/>
    </row>
    <row r="7" spans="2:83" s="3" customFormat="1" x14ac:dyDescent="0.3">
      <c r="B7" s="56"/>
    </row>
    <row r="8" spans="2:83" x14ac:dyDescent="0.3">
      <c r="B8" s="54" t="s">
        <v>152</v>
      </c>
      <c r="C8" s="54" t="s">
        <v>153</v>
      </c>
      <c r="D8" s="54" t="s">
        <v>154</v>
      </c>
      <c r="E8" s="54" t="s">
        <v>947</v>
      </c>
      <c r="F8" s="54" t="s">
        <v>1090</v>
      </c>
      <c r="G8" s="54" t="s">
        <v>189</v>
      </c>
      <c r="H8" s="54" t="s">
        <v>190</v>
      </c>
      <c r="I8" s="54" t="s">
        <v>191</v>
      </c>
      <c r="J8" s="54" t="s">
        <v>1091</v>
      </c>
      <c r="K8" s="54" t="s">
        <v>948</v>
      </c>
      <c r="L8" s="54" t="s">
        <v>949</v>
      </c>
      <c r="M8" s="54" t="s">
        <v>950</v>
      </c>
      <c r="N8" s="54" t="s">
        <v>130</v>
      </c>
      <c r="O8" s="54" t="s">
        <v>957</v>
      </c>
      <c r="P8" s="54" t="s">
        <v>192</v>
      </c>
      <c r="Q8" s="54" t="s">
        <v>193</v>
      </c>
      <c r="R8" s="54" t="s">
        <v>1092</v>
      </c>
    </row>
    <row r="9" spans="2:83" x14ac:dyDescent="0.3">
      <c r="B9" s="32" t="s">
        <v>979</v>
      </c>
      <c r="C9" s="32" t="s">
        <v>257</v>
      </c>
      <c r="D9" s="32" t="s">
        <v>1096</v>
      </c>
      <c r="E9" s="32" t="s">
        <v>963</v>
      </c>
      <c r="F9" s="32" t="s">
        <v>979</v>
      </c>
      <c r="G9" s="32" t="s">
        <v>257</v>
      </c>
      <c r="H9" s="32" t="s">
        <v>1096</v>
      </c>
      <c r="I9" s="32" t="s">
        <v>963</v>
      </c>
      <c r="K9" s="32" t="s">
        <v>1097</v>
      </c>
      <c r="L9" s="32" t="s">
        <v>202</v>
      </c>
      <c r="M9" s="32" t="s">
        <v>1098</v>
      </c>
      <c r="N9" s="32" t="s">
        <v>255</v>
      </c>
      <c r="O9" s="32" t="s">
        <v>958</v>
      </c>
      <c r="P9" s="32" t="s">
        <v>1093</v>
      </c>
      <c r="Q9" s="32" t="s">
        <v>967</v>
      </c>
      <c r="R9" s="32" t="s">
        <v>1095</v>
      </c>
    </row>
    <row r="10" spans="2:83" x14ac:dyDescent="0.3">
      <c r="B10" s="32" t="s">
        <v>979</v>
      </c>
      <c r="C10" s="32" t="s">
        <v>257</v>
      </c>
      <c r="D10" s="32" t="s">
        <v>1099</v>
      </c>
      <c r="E10" s="32" t="s">
        <v>963</v>
      </c>
      <c r="F10" s="32" t="s">
        <v>979</v>
      </c>
      <c r="G10" s="32" t="s">
        <v>257</v>
      </c>
      <c r="H10" s="32" t="s">
        <v>1099</v>
      </c>
      <c r="I10" s="32" t="s">
        <v>963</v>
      </c>
      <c r="K10" s="32" t="s">
        <v>1100</v>
      </c>
      <c r="L10" s="32" t="s">
        <v>202</v>
      </c>
      <c r="M10" s="32" t="s">
        <v>1101</v>
      </c>
      <c r="N10" s="32" t="s">
        <v>255</v>
      </c>
      <c r="O10" s="32" t="s">
        <v>958</v>
      </c>
      <c r="P10" s="32" t="s">
        <v>1093</v>
      </c>
      <c r="Q10" s="32" t="s">
        <v>967</v>
      </c>
      <c r="R10" s="32" t="s">
        <v>1095</v>
      </c>
    </row>
    <row r="11" spans="2:83" x14ac:dyDescent="0.3">
      <c r="B11" s="32" t="s">
        <v>979</v>
      </c>
      <c r="C11" s="32" t="s">
        <v>257</v>
      </c>
      <c r="D11" s="32" t="s">
        <v>1102</v>
      </c>
      <c r="E11" s="32" t="s">
        <v>963</v>
      </c>
      <c r="F11" s="32" t="s">
        <v>979</v>
      </c>
      <c r="G11" s="32" t="s">
        <v>257</v>
      </c>
      <c r="H11" s="32" t="s">
        <v>1102</v>
      </c>
      <c r="I11" s="32" t="s">
        <v>963</v>
      </c>
      <c r="K11" s="32" t="s">
        <v>1103</v>
      </c>
      <c r="L11" s="32" t="s">
        <v>202</v>
      </c>
      <c r="M11" s="32" t="s">
        <v>1104</v>
      </c>
      <c r="N11" s="32" t="s">
        <v>255</v>
      </c>
      <c r="O11" s="32" t="s">
        <v>958</v>
      </c>
      <c r="P11" s="32" t="s">
        <v>1093</v>
      </c>
      <c r="Q11" s="32" t="s">
        <v>967</v>
      </c>
      <c r="R11" s="32" t="s">
        <v>1095</v>
      </c>
    </row>
    <row r="13" spans="2:83" x14ac:dyDescent="0.3">
      <c r="B13" s="54" t="s">
        <v>1296</v>
      </c>
      <c r="C13" s="53"/>
      <c r="D13" s="53"/>
      <c r="E13" s="53"/>
      <c r="F13" s="53"/>
      <c r="G13" s="53"/>
      <c r="H13" s="53"/>
    </row>
    <row r="14" spans="2:83" x14ac:dyDescent="0.3">
      <c r="B14" s="54"/>
      <c r="C14" s="53"/>
      <c r="D14" s="53"/>
      <c r="E14" s="53"/>
      <c r="F14" s="53"/>
      <c r="G14" s="53"/>
      <c r="H14" s="53"/>
    </row>
    <row r="15" spans="2:83" x14ac:dyDescent="0.3">
      <c r="B15" s="54" t="s">
        <v>1160</v>
      </c>
      <c r="C15" s="54" t="s">
        <v>1161</v>
      </c>
      <c r="D15" s="54" t="s">
        <v>1162</v>
      </c>
      <c r="E15" s="54" t="s">
        <v>1163</v>
      </c>
      <c r="F15" s="54" t="s">
        <v>1164</v>
      </c>
      <c r="G15" s="54" t="s">
        <v>1165</v>
      </c>
      <c r="H15" s="54" t="s">
        <v>1166</v>
      </c>
      <c r="I15" s="54" t="s">
        <v>1167</v>
      </c>
      <c r="J15" s="54" t="s">
        <v>1168</v>
      </c>
      <c r="K15" s="54" t="s">
        <v>1169</v>
      </c>
      <c r="L15" s="54" t="s">
        <v>1170</v>
      </c>
      <c r="M15" s="54" t="s">
        <v>1171</v>
      </c>
      <c r="N15" s="54" t="s">
        <v>1172</v>
      </c>
      <c r="O15" s="54" t="s">
        <v>1173</v>
      </c>
      <c r="P15" s="54" t="s">
        <v>1174</v>
      </c>
      <c r="Q15" s="54" t="s">
        <v>1175</v>
      </c>
      <c r="R15" s="54" t="s">
        <v>1176</v>
      </c>
      <c r="S15" s="54" t="s">
        <v>1177</v>
      </c>
      <c r="T15" s="54" t="s">
        <v>1178</v>
      </c>
      <c r="U15" s="54" t="s">
        <v>1179</v>
      </c>
      <c r="V15" s="54" t="s">
        <v>1180</v>
      </c>
      <c r="W15" s="54" t="s">
        <v>1181</v>
      </c>
      <c r="X15" s="54" t="s">
        <v>1182</v>
      </c>
      <c r="Y15" s="54" t="s">
        <v>1183</v>
      </c>
      <c r="Z15" s="54" t="s">
        <v>1184</v>
      </c>
      <c r="AA15" s="54" t="s">
        <v>1185</v>
      </c>
      <c r="AB15" s="54" t="s">
        <v>1186</v>
      </c>
      <c r="AC15" s="54" t="s">
        <v>1187</v>
      </c>
      <c r="AD15" s="54" t="s">
        <v>1188</v>
      </c>
      <c r="AE15" s="54" t="s">
        <v>1189</v>
      </c>
      <c r="AF15" s="54" t="s">
        <v>1190</v>
      </c>
      <c r="AG15" s="54" t="s">
        <v>1191</v>
      </c>
      <c r="AH15" s="54" t="s">
        <v>1192</v>
      </c>
      <c r="AI15" s="54" t="s">
        <v>1193</v>
      </c>
      <c r="AJ15" s="54" t="s">
        <v>1194</v>
      </c>
      <c r="AK15" s="54" t="s">
        <v>1195</v>
      </c>
      <c r="AL15" s="54" t="s">
        <v>1196</v>
      </c>
      <c r="AM15" s="54" t="s">
        <v>1197</v>
      </c>
      <c r="AN15" s="54" t="s">
        <v>1198</v>
      </c>
      <c r="AO15" s="54" t="s">
        <v>1199</v>
      </c>
      <c r="AP15" s="54" t="s">
        <v>1200</v>
      </c>
      <c r="AQ15" s="54" t="s">
        <v>1201</v>
      </c>
      <c r="AR15" s="54" t="s">
        <v>1202</v>
      </c>
      <c r="AS15" s="54" t="s">
        <v>1203</v>
      </c>
      <c r="AT15" s="54" t="s">
        <v>1204</v>
      </c>
      <c r="AU15" s="54" t="s">
        <v>1205</v>
      </c>
      <c r="AV15" s="54" t="s">
        <v>1206</v>
      </c>
      <c r="AW15" s="54" t="s">
        <v>1207</v>
      </c>
      <c r="AX15" s="54" t="s">
        <v>1208</v>
      </c>
      <c r="AY15" s="54" t="s">
        <v>1209</v>
      </c>
      <c r="AZ15" s="54" t="s">
        <v>1210</v>
      </c>
      <c r="BA15" s="54" t="s">
        <v>1211</v>
      </c>
      <c r="BB15" s="54" t="s">
        <v>1212</v>
      </c>
      <c r="BC15" s="54" t="s">
        <v>1213</v>
      </c>
      <c r="BD15" s="54" t="s">
        <v>1214</v>
      </c>
      <c r="BE15" s="54" t="s">
        <v>1215</v>
      </c>
      <c r="BF15" s="54" t="s">
        <v>1216</v>
      </c>
      <c r="BG15" s="54" t="s">
        <v>1217</v>
      </c>
      <c r="BH15" s="54" t="s">
        <v>1218</v>
      </c>
      <c r="BI15" s="54" t="s">
        <v>1219</v>
      </c>
      <c r="BJ15" s="54" t="s">
        <v>1220</v>
      </c>
      <c r="BK15" s="54" t="s">
        <v>1221</v>
      </c>
      <c r="BL15" s="54" t="s">
        <v>1222</v>
      </c>
      <c r="BM15" s="54" t="s">
        <v>1223</v>
      </c>
      <c r="BN15" s="54" t="s">
        <v>1224</v>
      </c>
      <c r="BO15" s="54" t="s">
        <v>1225</v>
      </c>
      <c r="BP15" s="54" t="s">
        <v>1226</v>
      </c>
      <c r="BQ15" s="54" t="s">
        <v>1227</v>
      </c>
      <c r="BR15" s="54" t="s">
        <v>1228</v>
      </c>
      <c r="BS15" s="54" t="s">
        <v>1229</v>
      </c>
      <c r="BT15" s="54" t="s">
        <v>1230</v>
      </c>
      <c r="BU15" s="54" t="s">
        <v>1231</v>
      </c>
      <c r="BV15" s="54" t="s">
        <v>1232</v>
      </c>
      <c r="BW15" s="54" t="s">
        <v>1233</v>
      </c>
      <c r="BX15" s="54" t="s">
        <v>1234</v>
      </c>
      <c r="BY15" s="54" t="s">
        <v>1235</v>
      </c>
      <c r="BZ15" s="54" t="s">
        <v>1236</v>
      </c>
      <c r="CA15" s="54" t="s">
        <v>1237</v>
      </c>
      <c r="CB15" s="54" t="s">
        <v>1238</v>
      </c>
      <c r="CC15" s="54" t="s">
        <v>1239</v>
      </c>
      <c r="CD15" s="54" t="s">
        <v>1240</v>
      </c>
      <c r="CE15" s="54" t="s">
        <v>1241</v>
      </c>
    </row>
    <row r="16" spans="2:83" x14ac:dyDescent="0.3">
      <c r="B16" s="32" t="s">
        <v>967</v>
      </c>
      <c r="C16" s="32" t="s">
        <v>1242</v>
      </c>
      <c r="D16" s="32" t="s">
        <v>93</v>
      </c>
      <c r="E16" s="32" t="s">
        <v>119</v>
      </c>
      <c r="F16" s="32" t="s">
        <v>93</v>
      </c>
      <c r="G16" s="55" t="s">
        <v>1243</v>
      </c>
      <c r="H16" s="32" t="s">
        <v>982</v>
      </c>
      <c r="I16" s="40" t="s">
        <v>257</v>
      </c>
      <c r="J16" s="40" t="s">
        <v>1096</v>
      </c>
      <c r="K16" s="40" t="s">
        <v>1244</v>
      </c>
      <c r="L16" s="32" t="s">
        <v>1245</v>
      </c>
      <c r="M16" s="32" t="s">
        <v>983</v>
      </c>
      <c r="N16" s="32" t="s">
        <v>986</v>
      </c>
      <c r="O16" s="32" t="s">
        <v>1246</v>
      </c>
      <c r="P16" s="32" t="s">
        <v>1247</v>
      </c>
      <c r="T16" s="32" t="s">
        <v>211</v>
      </c>
      <c r="U16" s="32" t="s">
        <v>1248</v>
      </c>
      <c r="V16" s="32" t="s">
        <v>1249</v>
      </c>
      <c r="X16" s="32" t="s">
        <v>1250</v>
      </c>
      <c r="Y16" s="32" t="s">
        <v>1251</v>
      </c>
      <c r="Z16" s="32" t="s">
        <v>1252</v>
      </c>
      <c r="AC16" s="32" t="s">
        <v>1253</v>
      </c>
      <c r="AD16" s="32" t="s">
        <v>1254</v>
      </c>
      <c r="AE16" s="32" t="s">
        <v>68</v>
      </c>
      <c r="AF16" s="32" t="s">
        <v>1255</v>
      </c>
      <c r="AJ16" s="32" t="s">
        <v>1256</v>
      </c>
      <c r="AK16" s="32" t="s">
        <v>1097</v>
      </c>
      <c r="AL16" s="32" t="s">
        <v>1098</v>
      </c>
      <c r="AX16" s="32" t="s">
        <v>226</v>
      </c>
      <c r="AY16" s="32" t="s">
        <v>1257</v>
      </c>
      <c r="AZ16" s="32" t="s">
        <v>226</v>
      </c>
      <c r="BA16" s="32" t="s">
        <v>226</v>
      </c>
      <c r="BD16" s="32" t="s">
        <v>199</v>
      </c>
      <c r="BE16" s="32" t="s">
        <v>199</v>
      </c>
      <c r="BF16" s="32" t="s">
        <v>199</v>
      </c>
      <c r="BG16" s="32" t="s">
        <v>199</v>
      </c>
      <c r="BH16" s="32" t="s">
        <v>242</v>
      </c>
      <c r="BI16" s="32" t="s">
        <v>80</v>
      </c>
      <c r="BJ16" s="32" t="s">
        <v>1258</v>
      </c>
      <c r="BK16" s="32" t="s">
        <v>242</v>
      </c>
      <c r="BL16" s="32" t="s">
        <v>242</v>
      </c>
      <c r="BM16" s="32" t="s">
        <v>242</v>
      </c>
      <c r="BN16" s="32" t="s">
        <v>242</v>
      </c>
      <c r="BO16" s="32" t="s">
        <v>242</v>
      </c>
      <c r="BP16" s="32" t="s">
        <v>242</v>
      </c>
      <c r="BQ16" s="32" t="s">
        <v>242</v>
      </c>
      <c r="BS16" s="32" t="s">
        <v>1258</v>
      </c>
      <c r="BT16" s="32" t="s">
        <v>242</v>
      </c>
      <c r="BX16" s="32" t="s">
        <v>1259</v>
      </c>
      <c r="BZ16" s="32" t="s">
        <v>1260</v>
      </c>
      <c r="CA16" s="32" t="s">
        <v>211</v>
      </c>
      <c r="CD16" s="32" t="s">
        <v>967</v>
      </c>
      <c r="CE16" s="32" t="s">
        <v>1261</v>
      </c>
    </row>
    <row r="17" spans="2:83" x14ac:dyDescent="0.3">
      <c r="B17" s="32" t="s">
        <v>967</v>
      </c>
      <c r="C17" s="32" t="s">
        <v>1262</v>
      </c>
      <c r="D17" s="32" t="s">
        <v>119</v>
      </c>
      <c r="E17" s="32" t="s">
        <v>119</v>
      </c>
      <c r="F17" s="32" t="s">
        <v>93</v>
      </c>
      <c r="G17" s="55" t="s">
        <v>1243</v>
      </c>
      <c r="H17" s="32" t="s">
        <v>982</v>
      </c>
      <c r="I17" s="40" t="s">
        <v>257</v>
      </c>
      <c r="J17" s="40" t="s">
        <v>1096</v>
      </c>
      <c r="K17" s="40" t="s">
        <v>1244</v>
      </c>
      <c r="L17" s="32" t="s">
        <v>1245</v>
      </c>
      <c r="M17" s="32" t="s">
        <v>983</v>
      </c>
      <c r="N17" s="32" t="s">
        <v>986</v>
      </c>
      <c r="O17" s="32" t="s">
        <v>1246</v>
      </c>
      <c r="P17" s="32" t="s">
        <v>1247</v>
      </c>
      <c r="T17" s="32" t="s">
        <v>211</v>
      </c>
      <c r="U17" s="32" t="s">
        <v>1248</v>
      </c>
      <c r="V17" s="32" t="s">
        <v>1249</v>
      </c>
      <c r="X17" s="32" t="s">
        <v>1250</v>
      </c>
      <c r="Y17" s="32" t="s">
        <v>1251</v>
      </c>
      <c r="Z17" s="32" t="s">
        <v>1263</v>
      </c>
      <c r="AC17" s="32" t="s">
        <v>1264</v>
      </c>
      <c r="AD17" s="32" t="s">
        <v>1265</v>
      </c>
      <c r="AE17" s="32" t="s">
        <v>32</v>
      </c>
      <c r="AF17" s="32" t="s">
        <v>1255</v>
      </c>
      <c r="AJ17" s="32" t="s">
        <v>1256</v>
      </c>
      <c r="AK17" s="32" t="s">
        <v>1097</v>
      </c>
      <c r="AL17" s="32" t="s">
        <v>1098</v>
      </c>
      <c r="AN17" s="32" t="s">
        <v>1097</v>
      </c>
      <c r="AO17" s="32" t="s">
        <v>1266</v>
      </c>
      <c r="AQ17" s="32" t="s">
        <v>1267</v>
      </c>
      <c r="AX17" s="32" t="s">
        <v>226</v>
      </c>
      <c r="AY17" s="32" t="s">
        <v>1257</v>
      </c>
      <c r="AZ17" s="32" t="s">
        <v>226</v>
      </c>
      <c r="BA17" s="32" t="s">
        <v>226</v>
      </c>
      <c r="BD17" s="32" t="s">
        <v>199</v>
      </c>
      <c r="BE17" s="32" t="s">
        <v>199</v>
      </c>
      <c r="BF17" s="32" t="s">
        <v>199</v>
      </c>
      <c r="BG17" s="32" t="s">
        <v>199</v>
      </c>
      <c r="BH17" s="32" t="s">
        <v>242</v>
      </c>
      <c r="BI17" s="32" t="s">
        <v>80</v>
      </c>
      <c r="BJ17" s="32" t="s">
        <v>1268</v>
      </c>
      <c r="BK17" s="32" t="s">
        <v>242</v>
      </c>
      <c r="BL17" s="32" t="s">
        <v>242</v>
      </c>
      <c r="BM17" s="32" t="s">
        <v>242</v>
      </c>
      <c r="BN17" s="32" t="s">
        <v>242</v>
      </c>
      <c r="BO17" s="32" t="s">
        <v>242</v>
      </c>
      <c r="BP17" s="32" t="s">
        <v>242</v>
      </c>
      <c r="BQ17" s="32" t="s">
        <v>242</v>
      </c>
      <c r="BS17" s="32" t="s">
        <v>1268</v>
      </c>
      <c r="BT17" s="32" t="s">
        <v>242</v>
      </c>
      <c r="BX17" s="32" t="s">
        <v>1259</v>
      </c>
      <c r="BZ17" s="32" t="s">
        <v>1260</v>
      </c>
      <c r="CA17" s="32" t="s">
        <v>211</v>
      </c>
      <c r="CD17" s="32" t="s">
        <v>967</v>
      </c>
      <c r="CE17" s="32" t="s">
        <v>1261</v>
      </c>
    </row>
    <row r="18" spans="2:83" x14ac:dyDescent="0.3">
      <c r="B18" s="32" t="s">
        <v>967</v>
      </c>
      <c r="C18" s="32" t="s">
        <v>1262</v>
      </c>
      <c r="D18" s="32" t="s">
        <v>119</v>
      </c>
      <c r="E18" s="32" t="s">
        <v>119</v>
      </c>
      <c r="F18" s="32" t="s">
        <v>93</v>
      </c>
      <c r="G18" s="55" t="s">
        <v>1243</v>
      </c>
      <c r="H18" s="32" t="s">
        <v>982</v>
      </c>
      <c r="I18" s="32" t="s">
        <v>257</v>
      </c>
      <c r="J18" s="32" t="s">
        <v>1099</v>
      </c>
      <c r="K18" s="32" t="s">
        <v>1269</v>
      </c>
      <c r="L18" s="32" t="s">
        <v>1270</v>
      </c>
      <c r="M18" s="32" t="s">
        <v>983</v>
      </c>
      <c r="N18" s="32" t="s">
        <v>986</v>
      </c>
      <c r="O18" s="32" t="s">
        <v>1246</v>
      </c>
      <c r="P18" s="32" t="s">
        <v>1247</v>
      </c>
      <c r="T18" s="32" t="s">
        <v>211</v>
      </c>
      <c r="U18" s="32" t="s">
        <v>1271</v>
      </c>
      <c r="V18" s="32" t="s">
        <v>1249</v>
      </c>
      <c r="X18" s="32" t="s">
        <v>1250</v>
      </c>
      <c r="Y18" s="32" t="s">
        <v>1251</v>
      </c>
      <c r="Z18" s="32" t="s">
        <v>1263</v>
      </c>
      <c r="AC18" s="32" t="s">
        <v>1264</v>
      </c>
      <c r="AD18" s="32" t="s">
        <v>1265</v>
      </c>
      <c r="AE18" s="32" t="s">
        <v>32</v>
      </c>
      <c r="AF18" s="32" t="s">
        <v>1255</v>
      </c>
      <c r="AJ18" s="32" t="s">
        <v>1256</v>
      </c>
      <c r="AK18" s="32" t="s">
        <v>1100</v>
      </c>
      <c r="AL18" s="32" t="s">
        <v>1101</v>
      </c>
      <c r="AN18" s="32" t="s">
        <v>1100</v>
      </c>
      <c r="AO18" s="32" t="s">
        <v>1266</v>
      </c>
      <c r="AQ18" s="32" t="s">
        <v>1267</v>
      </c>
      <c r="AX18" s="32" t="s">
        <v>226</v>
      </c>
      <c r="AY18" s="32" t="s">
        <v>1272</v>
      </c>
      <c r="AZ18" s="32" t="s">
        <v>226</v>
      </c>
      <c r="BA18" s="32" t="s">
        <v>226</v>
      </c>
      <c r="BD18" s="32" t="s">
        <v>199</v>
      </c>
      <c r="BE18" s="32" t="s">
        <v>199</v>
      </c>
      <c r="BF18" s="32" t="s">
        <v>199</v>
      </c>
      <c r="BG18" s="32" t="s">
        <v>199</v>
      </c>
      <c r="BH18" s="32" t="s">
        <v>242</v>
      </c>
      <c r="BI18" s="32" t="s">
        <v>80</v>
      </c>
      <c r="BJ18" s="32" t="s">
        <v>1273</v>
      </c>
      <c r="BK18" s="32" t="s">
        <v>242</v>
      </c>
      <c r="BL18" s="32" t="s">
        <v>242</v>
      </c>
      <c r="BM18" s="32" t="s">
        <v>242</v>
      </c>
      <c r="BN18" s="32" t="s">
        <v>242</v>
      </c>
      <c r="BO18" s="32" t="s">
        <v>242</v>
      </c>
      <c r="BP18" s="32" t="s">
        <v>242</v>
      </c>
      <c r="BQ18" s="32" t="s">
        <v>242</v>
      </c>
      <c r="BS18" s="32" t="s">
        <v>1273</v>
      </c>
      <c r="BT18" s="32" t="s">
        <v>242</v>
      </c>
      <c r="BX18" s="32" t="s">
        <v>1274</v>
      </c>
      <c r="BZ18" s="32" t="s">
        <v>1260</v>
      </c>
      <c r="CA18" s="32" t="s">
        <v>211</v>
      </c>
      <c r="CD18" s="32" t="s">
        <v>967</v>
      </c>
      <c r="CE18" s="32" t="s">
        <v>1261</v>
      </c>
    </row>
    <row r="19" spans="2:83" x14ac:dyDescent="0.3">
      <c r="B19" s="32" t="s">
        <v>967</v>
      </c>
      <c r="C19" s="32" t="s">
        <v>1242</v>
      </c>
      <c r="D19" s="32" t="s">
        <v>93</v>
      </c>
      <c r="E19" s="32" t="s">
        <v>119</v>
      </c>
      <c r="F19" s="32" t="s">
        <v>93</v>
      </c>
      <c r="G19" s="55" t="s">
        <v>1243</v>
      </c>
      <c r="H19" s="32" t="s">
        <v>982</v>
      </c>
      <c r="I19" s="32" t="s">
        <v>257</v>
      </c>
      <c r="J19" s="32" t="s">
        <v>1099</v>
      </c>
      <c r="K19" s="32" t="s">
        <v>1269</v>
      </c>
      <c r="L19" s="32" t="s">
        <v>1270</v>
      </c>
      <c r="M19" s="32" t="s">
        <v>983</v>
      </c>
      <c r="N19" s="32" t="s">
        <v>986</v>
      </c>
      <c r="O19" s="32" t="s">
        <v>1246</v>
      </c>
      <c r="P19" s="32" t="s">
        <v>1247</v>
      </c>
      <c r="T19" s="32" t="s">
        <v>211</v>
      </c>
      <c r="U19" s="32" t="s">
        <v>1271</v>
      </c>
      <c r="V19" s="32" t="s">
        <v>1249</v>
      </c>
      <c r="X19" s="32" t="s">
        <v>1250</v>
      </c>
      <c r="Y19" s="32" t="s">
        <v>1251</v>
      </c>
      <c r="Z19" s="32" t="s">
        <v>1252</v>
      </c>
      <c r="AC19" s="32" t="s">
        <v>1253</v>
      </c>
      <c r="AD19" s="32" t="s">
        <v>1254</v>
      </c>
      <c r="AE19" s="32" t="s">
        <v>68</v>
      </c>
      <c r="AF19" s="32" t="s">
        <v>1255</v>
      </c>
      <c r="AJ19" s="32" t="s">
        <v>1256</v>
      </c>
      <c r="AK19" s="32" t="s">
        <v>1100</v>
      </c>
      <c r="AL19" s="32" t="s">
        <v>1101</v>
      </c>
      <c r="AX19" s="32" t="s">
        <v>226</v>
      </c>
      <c r="AY19" s="32" t="s">
        <v>1272</v>
      </c>
      <c r="AZ19" s="32" t="s">
        <v>226</v>
      </c>
      <c r="BA19" s="32" t="s">
        <v>226</v>
      </c>
      <c r="BD19" s="32" t="s">
        <v>199</v>
      </c>
      <c r="BE19" s="32" t="s">
        <v>199</v>
      </c>
      <c r="BF19" s="32" t="s">
        <v>199</v>
      </c>
      <c r="BG19" s="32" t="s">
        <v>199</v>
      </c>
      <c r="BH19" s="32" t="s">
        <v>242</v>
      </c>
      <c r="BI19" s="32" t="s">
        <v>80</v>
      </c>
      <c r="BJ19" s="32" t="s">
        <v>1275</v>
      </c>
      <c r="BK19" s="32" t="s">
        <v>242</v>
      </c>
      <c r="BL19" s="32" t="s">
        <v>242</v>
      </c>
      <c r="BM19" s="32" t="s">
        <v>242</v>
      </c>
      <c r="BN19" s="32" t="s">
        <v>242</v>
      </c>
      <c r="BO19" s="32" t="s">
        <v>242</v>
      </c>
      <c r="BP19" s="32" t="s">
        <v>242</v>
      </c>
      <c r="BQ19" s="32" t="s">
        <v>242</v>
      </c>
      <c r="BS19" s="32" t="s">
        <v>1275</v>
      </c>
      <c r="BT19" s="32" t="s">
        <v>242</v>
      </c>
      <c r="BX19" s="32" t="s">
        <v>1274</v>
      </c>
      <c r="BZ19" s="32" t="s">
        <v>1260</v>
      </c>
      <c r="CA19" s="32" t="s">
        <v>211</v>
      </c>
      <c r="CD19" s="32" t="s">
        <v>967</v>
      </c>
      <c r="CE19" s="32" t="s">
        <v>1261</v>
      </c>
    </row>
    <row r="20" spans="2:83" x14ac:dyDescent="0.3">
      <c r="B20" s="32" t="s">
        <v>967</v>
      </c>
      <c r="C20" s="32" t="s">
        <v>1276</v>
      </c>
      <c r="D20" s="32" t="s">
        <v>93</v>
      </c>
      <c r="E20" s="32" t="s">
        <v>119</v>
      </c>
      <c r="F20" s="32" t="s">
        <v>93</v>
      </c>
      <c r="G20" s="55" t="s">
        <v>1243</v>
      </c>
      <c r="H20" s="32" t="s">
        <v>982</v>
      </c>
      <c r="I20" s="40" t="s">
        <v>257</v>
      </c>
      <c r="J20" s="40" t="s">
        <v>1102</v>
      </c>
      <c r="K20" s="40" t="s">
        <v>1277</v>
      </c>
      <c r="L20" s="32" t="s">
        <v>1278</v>
      </c>
      <c r="M20" s="32" t="s">
        <v>983</v>
      </c>
      <c r="N20" s="32" t="s">
        <v>986</v>
      </c>
      <c r="O20" s="32" t="s">
        <v>194</v>
      </c>
      <c r="P20" s="32" t="s">
        <v>1247</v>
      </c>
      <c r="T20" s="32" t="s">
        <v>211</v>
      </c>
      <c r="U20" s="32" t="s">
        <v>1279</v>
      </c>
      <c r="V20" s="32" t="s">
        <v>1249</v>
      </c>
      <c r="X20" s="32" t="s">
        <v>1250</v>
      </c>
      <c r="Y20" s="32" t="s">
        <v>1251</v>
      </c>
      <c r="Z20" s="32" t="s">
        <v>1280</v>
      </c>
      <c r="AA20" s="32" t="s">
        <v>1281</v>
      </c>
      <c r="AC20" s="32" t="s">
        <v>1282</v>
      </c>
      <c r="AD20" s="32" t="s">
        <v>1283</v>
      </c>
      <c r="AE20" s="32" t="s">
        <v>32</v>
      </c>
      <c r="AF20" s="32" t="s">
        <v>1255</v>
      </c>
      <c r="AJ20" s="32" t="s">
        <v>1256</v>
      </c>
      <c r="AK20" s="32" t="s">
        <v>1103</v>
      </c>
      <c r="AL20" s="32" t="s">
        <v>1104</v>
      </c>
      <c r="AN20" s="32" t="s">
        <v>1284</v>
      </c>
      <c r="AO20" s="32" t="s">
        <v>1266</v>
      </c>
      <c r="AQ20" s="32" t="s">
        <v>1267</v>
      </c>
      <c r="AU20" s="32" t="s">
        <v>1285</v>
      </c>
      <c r="AX20" s="32" t="s">
        <v>226</v>
      </c>
      <c r="AY20" s="32" t="s">
        <v>1286</v>
      </c>
      <c r="AZ20" s="32" t="s">
        <v>226</v>
      </c>
      <c r="BA20" s="32" t="s">
        <v>226</v>
      </c>
      <c r="BD20" s="32" t="s">
        <v>199</v>
      </c>
      <c r="BE20" s="32" t="s">
        <v>199</v>
      </c>
      <c r="BF20" s="32" t="s">
        <v>199</v>
      </c>
      <c r="BG20" s="32" t="s">
        <v>199</v>
      </c>
      <c r="BH20" s="32" t="s">
        <v>242</v>
      </c>
      <c r="BI20" s="32" t="s">
        <v>80</v>
      </c>
      <c r="BJ20" s="32" t="s">
        <v>1287</v>
      </c>
      <c r="BK20" s="32" t="s">
        <v>1287</v>
      </c>
      <c r="BL20" s="32" t="s">
        <v>1287</v>
      </c>
      <c r="BM20" s="32" t="s">
        <v>242</v>
      </c>
      <c r="BN20" s="32" t="s">
        <v>242</v>
      </c>
      <c r="BO20" s="32" t="s">
        <v>242</v>
      </c>
      <c r="BP20" s="32" t="s">
        <v>242</v>
      </c>
      <c r="BQ20" s="32" t="s">
        <v>242</v>
      </c>
      <c r="BS20" s="32" t="s">
        <v>1287</v>
      </c>
      <c r="BT20" s="32" t="s">
        <v>242</v>
      </c>
      <c r="BX20" s="32" t="s">
        <v>1288</v>
      </c>
      <c r="BZ20" s="32" t="s">
        <v>1260</v>
      </c>
      <c r="CA20" s="32" t="s">
        <v>211</v>
      </c>
      <c r="CD20" s="32" t="s">
        <v>967</v>
      </c>
      <c r="CE20" s="32" t="s">
        <v>1261</v>
      </c>
    </row>
    <row r="21" spans="2:83" x14ac:dyDescent="0.3">
      <c r="B21" s="32" t="s">
        <v>967</v>
      </c>
      <c r="C21" s="32" t="s">
        <v>1262</v>
      </c>
      <c r="D21" s="32" t="s">
        <v>119</v>
      </c>
      <c r="E21" s="32" t="s">
        <v>119</v>
      </c>
      <c r="F21" s="32" t="s">
        <v>93</v>
      </c>
      <c r="G21" s="55" t="s">
        <v>1243</v>
      </c>
      <c r="H21" s="32" t="s">
        <v>982</v>
      </c>
      <c r="I21" s="40" t="s">
        <v>257</v>
      </c>
      <c r="J21" s="40" t="s">
        <v>1102</v>
      </c>
      <c r="K21" s="40" t="s">
        <v>1277</v>
      </c>
      <c r="L21" s="32" t="s">
        <v>1278</v>
      </c>
      <c r="M21" s="32" t="s">
        <v>983</v>
      </c>
      <c r="N21" s="32" t="s">
        <v>986</v>
      </c>
      <c r="O21" s="32" t="s">
        <v>194</v>
      </c>
      <c r="P21" s="32" t="s">
        <v>1247</v>
      </c>
      <c r="T21" s="32" t="s">
        <v>211</v>
      </c>
      <c r="U21" s="32" t="s">
        <v>1279</v>
      </c>
      <c r="V21" s="32" t="s">
        <v>1249</v>
      </c>
      <c r="X21" s="32" t="s">
        <v>1250</v>
      </c>
      <c r="Y21" s="32" t="s">
        <v>1251</v>
      </c>
      <c r="Z21" s="32" t="s">
        <v>1263</v>
      </c>
      <c r="AC21" s="32" t="s">
        <v>1264</v>
      </c>
      <c r="AD21" s="32" t="s">
        <v>1265</v>
      </c>
      <c r="AE21" s="32" t="s">
        <v>32</v>
      </c>
      <c r="AF21" s="32" t="s">
        <v>1255</v>
      </c>
      <c r="AJ21" s="32" t="s">
        <v>1256</v>
      </c>
      <c r="AK21" s="32" t="s">
        <v>1103</v>
      </c>
      <c r="AL21" s="32" t="s">
        <v>1104</v>
      </c>
      <c r="AN21" s="32" t="s">
        <v>1284</v>
      </c>
      <c r="AO21" s="32" t="s">
        <v>1266</v>
      </c>
      <c r="AQ21" s="32" t="s">
        <v>1267</v>
      </c>
      <c r="AU21" s="32" t="s">
        <v>1285</v>
      </c>
      <c r="AX21" s="32" t="s">
        <v>226</v>
      </c>
      <c r="AY21" s="32" t="s">
        <v>1286</v>
      </c>
      <c r="AZ21" s="32" t="s">
        <v>226</v>
      </c>
      <c r="BA21" s="32" t="s">
        <v>226</v>
      </c>
      <c r="BD21" s="32" t="s">
        <v>199</v>
      </c>
      <c r="BE21" s="32" t="s">
        <v>199</v>
      </c>
      <c r="BF21" s="32" t="s">
        <v>199</v>
      </c>
      <c r="BG21" s="32" t="s">
        <v>199</v>
      </c>
      <c r="BH21" s="32" t="s">
        <v>242</v>
      </c>
      <c r="BI21" s="32" t="s">
        <v>80</v>
      </c>
      <c r="BJ21" s="32" t="s">
        <v>1289</v>
      </c>
      <c r="BK21" s="32" t="s">
        <v>242</v>
      </c>
      <c r="BL21" s="32" t="s">
        <v>242</v>
      </c>
      <c r="BM21" s="32" t="s">
        <v>242</v>
      </c>
      <c r="BN21" s="32" t="s">
        <v>242</v>
      </c>
      <c r="BO21" s="32" t="s">
        <v>242</v>
      </c>
      <c r="BP21" s="32" t="s">
        <v>242</v>
      </c>
      <c r="BQ21" s="32" t="s">
        <v>242</v>
      </c>
      <c r="BS21" s="32" t="s">
        <v>1289</v>
      </c>
      <c r="BT21" s="32" t="s">
        <v>242</v>
      </c>
      <c r="BX21" s="32" t="s">
        <v>1288</v>
      </c>
      <c r="BZ21" s="32" t="s">
        <v>1260</v>
      </c>
      <c r="CA21" s="32" t="s">
        <v>211</v>
      </c>
      <c r="CD21" s="32" t="s">
        <v>967</v>
      </c>
      <c r="CE21" s="32" t="s">
        <v>1261</v>
      </c>
    </row>
    <row r="22" spans="2:83" x14ac:dyDescent="0.3">
      <c r="B22" s="32" t="s">
        <v>967</v>
      </c>
      <c r="C22" s="32" t="s">
        <v>1242</v>
      </c>
      <c r="D22" s="32" t="s">
        <v>93</v>
      </c>
      <c r="E22" s="32" t="s">
        <v>119</v>
      </c>
      <c r="F22" s="32" t="s">
        <v>93</v>
      </c>
      <c r="G22" s="55" t="s">
        <v>1243</v>
      </c>
      <c r="H22" s="32" t="s">
        <v>982</v>
      </c>
      <c r="I22" s="40" t="s">
        <v>257</v>
      </c>
      <c r="J22" s="40" t="s">
        <v>1102</v>
      </c>
      <c r="K22" s="40" t="s">
        <v>1277</v>
      </c>
      <c r="L22" s="32" t="s">
        <v>1278</v>
      </c>
      <c r="M22" s="32" t="s">
        <v>983</v>
      </c>
      <c r="N22" s="32" t="s">
        <v>986</v>
      </c>
      <c r="O22" s="32" t="s">
        <v>194</v>
      </c>
      <c r="P22" s="32" t="s">
        <v>1247</v>
      </c>
      <c r="T22" s="32" t="s">
        <v>211</v>
      </c>
      <c r="U22" s="32" t="s">
        <v>1279</v>
      </c>
      <c r="V22" s="32" t="s">
        <v>1249</v>
      </c>
      <c r="X22" s="32" t="s">
        <v>1250</v>
      </c>
      <c r="Y22" s="32" t="s">
        <v>1251</v>
      </c>
      <c r="Z22" s="32" t="s">
        <v>1252</v>
      </c>
      <c r="AC22" s="32" t="s">
        <v>1253</v>
      </c>
      <c r="AD22" s="32" t="s">
        <v>1254</v>
      </c>
      <c r="AE22" s="32" t="s">
        <v>68</v>
      </c>
      <c r="AF22" s="32" t="s">
        <v>1255</v>
      </c>
      <c r="AJ22" s="32" t="s">
        <v>1256</v>
      </c>
      <c r="AK22" s="32" t="s">
        <v>1103</v>
      </c>
      <c r="AL22" s="32" t="s">
        <v>1104</v>
      </c>
      <c r="AX22" s="32" t="s">
        <v>226</v>
      </c>
      <c r="AY22" s="32" t="s">
        <v>1286</v>
      </c>
      <c r="AZ22" s="32" t="s">
        <v>226</v>
      </c>
      <c r="BA22" s="32" t="s">
        <v>226</v>
      </c>
      <c r="BD22" s="32" t="s">
        <v>199</v>
      </c>
      <c r="BE22" s="32" t="s">
        <v>199</v>
      </c>
      <c r="BF22" s="32" t="s">
        <v>199</v>
      </c>
      <c r="BG22" s="32" t="s">
        <v>199</v>
      </c>
      <c r="BH22" s="32" t="s">
        <v>242</v>
      </c>
      <c r="BI22" s="32" t="s">
        <v>80</v>
      </c>
      <c r="BJ22" s="32" t="s">
        <v>1290</v>
      </c>
      <c r="BK22" s="32" t="s">
        <v>242</v>
      </c>
      <c r="BL22" s="32" t="s">
        <v>242</v>
      </c>
      <c r="BM22" s="32" t="s">
        <v>242</v>
      </c>
      <c r="BN22" s="32" t="s">
        <v>242</v>
      </c>
      <c r="BO22" s="32" t="s">
        <v>242</v>
      </c>
      <c r="BP22" s="32" t="s">
        <v>242</v>
      </c>
      <c r="BQ22" s="32" t="s">
        <v>242</v>
      </c>
      <c r="BS22" s="32" t="s">
        <v>1290</v>
      </c>
      <c r="BT22" s="32" t="s">
        <v>242</v>
      </c>
      <c r="BX22" s="32" t="s">
        <v>1288</v>
      </c>
      <c r="BZ22" s="32" t="s">
        <v>1260</v>
      </c>
      <c r="CA22" s="32" t="s">
        <v>211</v>
      </c>
      <c r="CD22" s="32" t="s">
        <v>967</v>
      </c>
      <c r="CE22" s="32" t="s">
        <v>1261</v>
      </c>
    </row>
    <row r="23" spans="2:83" x14ac:dyDescent="0.3">
      <c r="B23" s="32" t="s">
        <v>967</v>
      </c>
      <c r="C23" s="32" t="s">
        <v>1291</v>
      </c>
      <c r="D23" s="32" t="s">
        <v>93</v>
      </c>
      <c r="E23" s="32" t="s">
        <v>119</v>
      </c>
      <c r="F23" s="32" t="s">
        <v>93</v>
      </c>
      <c r="G23" s="55" t="s">
        <v>1243</v>
      </c>
      <c r="H23" s="32" t="s">
        <v>982</v>
      </c>
      <c r="I23" s="40" t="s">
        <v>257</v>
      </c>
      <c r="J23" s="40" t="s">
        <v>1102</v>
      </c>
      <c r="K23" s="40" t="s">
        <v>1277</v>
      </c>
      <c r="L23" s="32" t="s">
        <v>1278</v>
      </c>
      <c r="M23" s="32" t="s">
        <v>983</v>
      </c>
      <c r="N23" s="32" t="s">
        <v>986</v>
      </c>
      <c r="O23" s="32" t="s">
        <v>194</v>
      </c>
      <c r="P23" s="32" t="s">
        <v>1247</v>
      </c>
      <c r="T23" s="32" t="s">
        <v>211</v>
      </c>
      <c r="U23" s="32" t="s">
        <v>1279</v>
      </c>
      <c r="V23" s="32" t="s">
        <v>1249</v>
      </c>
      <c r="X23" s="32" t="s">
        <v>1250</v>
      </c>
      <c r="Y23" s="32" t="s">
        <v>1251</v>
      </c>
      <c r="Z23" s="32" t="s">
        <v>1292</v>
      </c>
      <c r="AA23" s="32" t="s">
        <v>1281</v>
      </c>
      <c r="AC23" s="32" t="s">
        <v>1293</v>
      </c>
      <c r="AD23" s="32" t="s">
        <v>1294</v>
      </c>
      <c r="AE23" s="32" t="s">
        <v>35</v>
      </c>
      <c r="AF23" s="32" t="s">
        <v>1255</v>
      </c>
      <c r="AJ23" s="32" t="s">
        <v>1256</v>
      </c>
      <c r="AK23" s="32" t="s">
        <v>1103</v>
      </c>
      <c r="AL23" s="32" t="s">
        <v>1104</v>
      </c>
      <c r="AN23" s="32" t="s">
        <v>1284</v>
      </c>
      <c r="AO23" s="32" t="s">
        <v>1266</v>
      </c>
      <c r="AQ23" s="32" t="s">
        <v>1267</v>
      </c>
      <c r="AU23" s="32" t="s">
        <v>1285</v>
      </c>
      <c r="AX23" s="32" t="s">
        <v>226</v>
      </c>
      <c r="AY23" s="32" t="s">
        <v>1286</v>
      </c>
      <c r="AZ23" s="32" t="s">
        <v>226</v>
      </c>
      <c r="BA23" s="32" t="s">
        <v>226</v>
      </c>
      <c r="BD23" s="32" t="s">
        <v>199</v>
      </c>
      <c r="BE23" s="32" t="s">
        <v>199</v>
      </c>
      <c r="BF23" s="32" t="s">
        <v>199</v>
      </c>
      <c r="BG23" s="32" t="s">
        <v>199</v>
      </c>
      <c r="BH23" s="32" t="s">
        <v>242</v>
      </c>
      <c r="BI23" s="32" t="s">
        <v>80</v>
      </c>
      <c r="BJ23" s="32" t="s">
        <v>1295</v>
      </c>
      <c r="BK23" s="32" t="s">
        <v>1295</v>
      </c>
      <c r="BL23" s="32" t="s">
        <v>1295</v>
      </c>
      <c r="BM23" s="32" t="s">
        <v>242</v>
      </c>
      <c r="BN23" s="32" t="s">
        <v>242</v>
      </c>
      <c r="BO23" s="32" t="s">
        <v>242</v>
      </c>
      <c r="BP23" s="32" t="s">
        <v>242</v>
      </c>
      <c r="BQ23" s="32" t="s">
        <v>242</v>
      </c>
      <c r="BS23" s="32" t="s">
        <v>1295</v>
      </c>
      <c r="BT23" s="32" t="s">
        <v>242</v>
      </c>
      <c r="BX23" s="32" t="s">
        <v>1288</v>
      </c>
      <c r="BZ23" s="32" t="s">
        <v>1260</v>
      </c>
      <c r="CA23" s="32" t="s">
        <v>211</v>
      </c>
      <c r="CD23" s="32" t="s">
        <v>967</v>
      </c>
      <c r="CE23" s="32" t="s">
        <v>1261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W20"/>
  <sheetViews>
    <sheetView showGridLines="0" workbookViewId="0">
      <selection activeCell="D6" sqref="D6"/>
    </sheetView>
  </sheetViews>
  <sheetFormatPr defaultRowHeight="14.4" x14ac:dyDescent="0.3"/>
  <cols>
    <col min="1" max="1" width="2.109375" customWidth="1"/>
    <col min="2" max="2" width="9.21875" style="32" bestFit="1" customWidth="1"/>
    <col min="3" max="3" width="7.88671875" style="32" customWidth="1"/>
    <col min="4" max="4" width="12" style="32" bestFit="1" customWidth="1"/>
    <col min="5" max="5" width="16.109375" style="32" bestFit="1" customWidth="1"/>
    <col min="6" max="6" width="9.109375" style="32" bestFit="1" customWidth="1"/>
    <col min="7" max="7" width="8.44140625" style="32" customWidth="1"/>
    <col min="8" max="8" width="12" style="32" bestFit="1" customWidth="1"/>
    <col min="9" max="9" width="16.109375" style="32" bestFit="1" customWidth="1"/>
    <col min="10" max="10" width="10.33203125" style="32" bestFit="1" customWidth="1"/>
    <col min="11" max="11" width="12.5546875" style="32" bestFit="1" customWidth="1"/>
    <col min="12" max="12" width="12.77734375" style="32" bestFit="1" customWidth="1"/>
    <col min="13" max="13" width="9.33203125" style="32" bestFit="1" customWidth="1"/>
    <col min="14" max="14" width="10.5546875" style="32" bestFit="1" customWidth="1"/>
    <col min="15" max="15" width="7.109375" style="32" customWidth="1"/>
    <col min="16" max="16" width="8.33203125" style="32" customWidth="1"/>
    <col min="17" max="17" width="8.88671875" style="32"/>
    <col min="18" max="18" width="9.109375" style="32" bestFit="1" customWidth="1"/>
    <col min="19" max="19" width="6.88671875" style="32" customWidth="1"/>
    <col min="20" max="20" width="9.6640625" style="32" bestFit="1" customWidth="1"/>
    <col min="21" max="21" width="21.77734375" style="32" bestFit="1" customWidth="1"/>
    <col min="22" max="22" width="10.33203125" style="32" bestFit="1" customWidth="1"/>
    <col min="23" max="23" width="16.77734375" style="32" bestFit="1" customWidth="1"/>
    <col min="24" max="16384" width="8.88671875" style="32"/>
  </cols>
  <sheetData>
    <row r="1" spans="2:23" customFormat="1" x14ac:dyDescent="0.3">
      <c r="B1" s="51" t="s">
        <v>1108</v>
      </c>
      <c r="C1" s="52"/>
      <c r="D1" s="52"/>
      <c r="E1" s="52"/>
      <c r="F1" s="52"/>
      <c r="G1" s="52"/>
      <c r="H1" s="52"/>
    </row>
    <row r="2" spans="2:23" customFormat="1" x14ac:dyDescent="0.3"/>
    <row r="3" spans="2:23" customFormat="1" x14ac:dyDescent="0.3">
      <c r="B3" s="57" t="s">
        <v>1109</v>
      </c>
      <c r="C3" s="58"/>
      <c r="D3" s="58"/>
      <c r="E3" s="58"/>
      <c r="F3" s="66"/>
      <c r="G3" s="66"/>
      <c r="H3" s="66"/>
    </row>
    <row r="4" spans="2:23" customFormat="1" x14ac:dyDescent="0.3">
      <c r="B4" s="59"/>
      <c r="C4" s="60"/>
      <c r="D4" s="60"/>
      <c r="E4" s="60"/>
    </row>
    <row r="5" spans="2:23" s="3" customFormat="1" x14ac:dyDescent="0.3">
      <c r="B5" s="61" t="s">
        <v>1302</v>
      </c>
      <c r="C5" s="62"/>
      <c r="D5" s="62"/>
      <c r="E5" s="62"/>
      <c r="F5" s="62"/>
      <c r="G5" s="62"/>
      <c r="H5" s="63"/>
    </row>
    <row r="6" spans="2:23" s="3" customFormat="1" x14ac:dyDescent="0.3">
      <c r="B6" s="64" t="s">
        <v>1303</v>
      </c>
      <c r="C6" s="58"/>
      <c r="D6" s="58"/>
      <c r="E6" s="58"/>
      <c r="F6" s="58"/>
      <c r="G6" s="58"/>
      <c r="H6" s="65"/>
    </row>
    <row r="7" spans="2:23" s="3" customFormat="1" x14ac:dyDescent="0.3">
      <c r="B7" s="69"/>
      <c r="C7" s="60"/>
      <c r="D7" s="60"/>
      <c r="E7" s="60"/>
      <c r="F7" s="60"/>
      <c r="G7" s="60"/>
      <c r="H7" s="60"/>
    </row>
    <row r="8" spans="2:23" s="3" customFormat="1" x14ac:dyDescent="0.3">
      <c r="B8" s="56" t="s">
        <v>1131</v>
      </c>
    </row>
    <row r="9" spans="2:23" x14ac:dyDescent="0.3">
      <c r="B9" s="54" t="s">
        <v>943</v>
      </c>
      <c r="C9" s="54" t="s">
        <v>944</v>
      </c>
      <c r="D9" s="54" t="s">
        <v>945</v>
      </c>
      <c r="E9" s="54" t="s">
        <v>946</v>
      </c>
      <c r="F9" s="54" t="s">
        <v>152</v>
      </c>
      <c r="G9" s="54" t="s">
        <v>153</v>
      </c>
      <c r="H9" s="54" t="s">
        <v>154</v>
      </c>
      <c r="I9" s="54" t="s">
        <v>947</v>
      </c>
      <c r="J9" s="54" t="s">
        <v>948</v>
      </c>
      <c r="K9" s="54" t="s">
        <v>949</v>
      </c>
      <c r="L9" s="54" t="s">
        <v>950</v>
      </c>
      <c r="M9" s="54" t="s">
        <v>951</v>
      </c>
      <c r="N9" s="54" t="s">
        <v>952</v>
      </c>
      <c r="O9" s="54" t="s">
        <v>953</v>
      </c>
      <c r="P9" s="54" t="s">
        <v>954</v>
      </c>
      <c r="Q9" s="54" t="s">
        <v>955</v>
      </c>
      <c r="R9" s="54" t="s">
        <v>956</v>
      </c>
      <c r="S9" s="54" t="s">
        <v>130</v>
      </c>
      <c r="T9" s="54" t="s">
        <v>957</v>
      </c>
      <c r="U9" s="54" t="s">
        <v>192</v>
      </c>
      <c r="V9" s="54" t="s">
        <v>193</v>
      </c>
      <c r="W9" s="54" t="s">
        <v>1110</v>
      </c>
    </row>
    <row r="10" spans="2:23" x14ac:dyDescent="0.3">
      <c r="B10" s="32" t="s">
        <v>211</v>
      </c>
      <c r="C10" s="32" t="s">
        <v>257</v>
      </c>
      <c r="D10" s="32" t="s">
        <v>1113</v>
      </c>
      <c r="E10" s="32" t="s">
        <v>214</v>
      </c>
      <c r="F10" s="32" t="s">
        <v>211</v>
      </c>
      <c r="G10" s="32" t="s">
        <v>212</v>
      </c>
      <c r="H10" s="32" t="s">
        <v>1114</v>
      </c>
      <c r="I10" s="32" t="s">
        <v>1115</v>
      </c>
      <c r="J10" s="32" t="s">
        <v>1116</v>
      </c>
      <c r="K10" s="32" t="s">
        <v>202</v>
      </c>
      <c r="L10" s="32" t="s">
        <v>202</v>
      </c>
      <c r="M10" s="32" t="s">
        <v>972</v>
      </c>
      <c r="N10" s="32" t="s">
        <v>1117</v>
      </c>
      <c r="Q10" s="32" t="s">
        <v>242</v>
      </c>
      <c r="R10" s="32" t="s">
        <v>242</v>
      </c>
      <c r="S10" s="32" t="s">
        <v>196</v>
      </c>
      <c r="T10" s="32" t="s">
        <v>958</v>
      </c>
      <c r="U10" s="32" t="s">
        <v>1111</v>
      </c>
      <c r="V10" s="32" t="s">
        <v>967</v>
      </c>
      <c r="W10" s="32" t="s">
        <v>1112</v>
      </c>
    </row>
    <row r="11" spans="2:23" x14ac:dyDescent="0.3">
      <c r="B11" s="32" t="s">
        <v>211</v>
      </c>
      <c r="C11" s="32" t="s">
        <v>355</v>
      </c>
      <c r="D11" s="32" t="s">
        <v>1118</v>
      </c>
      <c r="E11" s="32" t="s">
        <v>214</v>
      </c>
      <c r="F11" s="32" t="s">
        <v>211</v>
      </c>
      <c r="G11" s="32" t="s">
        <v>212</v>
      </c>
      <c r="H11" s="32" t="s">
        <v>1119</v>
      </c>
      <c r="I11" s="32" t="s">
        <v>963</v>
      </c>
      <c r="J11" s="32" t="s">
        <v>1120</v>
      </c>
      <c r="K11" s="32" t="s">
        <v>202</v>
      </c>
      <c r="L11" s="32" t="s">
        <v>202</v>
      </c>
      <c r="M11" s="32" t="s">
        <v>972</v>
      </c>
      <c r="N11" s="32" t="s">
        <v>1121</v>
      </c>
      <c r="Q11" s="32" t="s">
        <v>242</v>
      </c>
      <c r="R11" s="32" t="s">
        <v>242</v>
      </c>
      <c r="S11" s="32" t="s">
        <v>196</v>
      </c>
      <c r="T11" s="32" t="s">
        <v>958</v>
      </c>
      <c r="U11" s="32" t="s">
        <v>1111</v>
      </c>
      <c r="V11" s="32" t="s">
        <v>967</v>
      </c>
      <c r="W11" s="32" t="s">
        <v>1112</v>
      </c>
    </row>
    <row r="12" spans="2:23" x14ac:dyDescent="0.3">
      <c r="B12" s="32" t="s">
        <v>211</v>
      </c>
      <c r="C12" s="32" t="s">
        <v>212</v>
      </c>
      <c r="D12" s="32" t="s">
        <v>1122</v>
      </c>
      <c r="E12" s="32" t="s">
        <v>214</v>
      </c>
      <c r="F12" s="32" t="s">
        <v>211</v>
      </c>
      <c r="G12" s="32" t="s">
        <v>212</v>
      </c>
      <c r="H12" s="32" t="s">
        <v>1123</v>
      </c>
      <c r="I12" s="32" t="s">
        <v>1124</v>
      </c>
      <c r="J12" s="32" t="s">
        <v>1125</v>
      </c>
      <c r="K12" s="32" t="s">
        <v>202</v>
      </c>
      <c r="L12" s="32" t="s">
        <v>202</v>
      </c>
      <c r="M12" s="32" t="s">
        <v>972</v>
      </c>
      <c r="N12" s="32" t="s">
        <v>1126</v>
      </c>
      <c r="Q12" s="32" t="s">
        <v>242</v>
      </c>
      <c r="R12" s="32" t="s">
        <v>242</v>
      </c>
      <c r="S12" s="32" t="s">
        <v>196</v>
      </c>
      <c r="T12" s="32" t="s">
        <v>958</v>
      </c>
      <c r="U12" s="32" t="s">
        <v>1111</v>
      </c>
      <c r="V12" s="32" t="s">
        <v>967</v>
      </c>
      <c r="W12" s="32" t="s">
        <v>1112</v>
      </c>
    </row>
    <row r="13" spans="2:23" x14ac:dyDescent="0.3">
      <c r="B13" s="32" t="s">
        <v>211</v>
      </c>
      <c r="C13" s="32" t="s">
        <v>257</v>
      </c>
      <c r="D13" s="32" t="s">
        <v>1127</v>
      </c>
      <c r="E13" s="32" t="s">
        <v>214</v>
      </c>
      <c r="F13" s="32" t="s">
        <v>211</v>
      </c>
      <c r="G13" s="32" t="s">
        <v>212</v>
      </c>
      <c r="H13" s="32" t="s">
        <v>1128</v>
      </c>
      <c r="I13" s="32" t="s">
        <v>1129</v>
      </c>
      <c r="J13" s="32" t="s">
        <v>1130</v>
      </c>
      <c r="K13" s="32" t="s">
        <v>202</v>
      </c>
      <c r="L13" s="32" t="s">
        <v>202</v>
      </c>
      <c r="M13" s="32" t="s">
        <v>972</v>
      </c>
      <c r="N13" s="32" t="s">
        <v>1126</v>
      </c>
      <c r="Q13" s="32" t="s">
        <v>242</v>
      </c>
      <c r="R13" s="32" t="s">
        <v>242</v>
      </c>
      <c r="S13" s="32" t="s">
        <v>196</v>
      </c>
      <c r="T13" s="32" t="s">
        <v>958</v>
      </c>
      <c r="U13" s="32" t="s">
        <v>1111</v>
      </c>
      <c r="V13" s="32" t="s">
        <v>967</v>
      </c>
      <c r="W13" s="32" t="s">
        <v>1112</v>
      </c>
    </row>
    <row r="15" spans="2:23" x14ac:dyDescent="0.3">
      <c r="B15" s="68" t="s">
        <v>1150</v>
      </c>
    </row>
    <row r="16" spans="2:23" x14ac:dyDescent="0.3">
      <c r="B16" s="54" t="s">
        <v>943</v>
      </c>
      <c r="C16" s="54" t="s">
        <v>944</v>
      </c>
      <c r="D16" s="54" t="s">
        <v>945</v>
      </c>
      <c r="E16" s="54" t="s">
        <v>946</v>
      </c>
      <c r="F16" s="54" t="s">
        <v>152</v>
      </c>
      <c r="G16" s="54" t="s">
        <v>153</v>
      </c>
      <c r="H16" s="54" t="s">
        <v>154</v>
      </c>
      <c r="I16" s="54" t="s">
        <v>947</v>
      </c>
      <c r="J16" s="54" t="s">
        <v>948</v>
      </c>
      <c r="K16" s="54" t="s">
        <v>949</v>
      </c>
      <c r="L16" s="54" t="s">
        <v>950</v>
      </c>
      <c r="M16" s="54" t="s">
        <v>951</v>
      </c>
      <c r="N16" s="54" t="s">
        <v>952</v>
      </c>
      <c r="O16" s="54" t="s">
        <v>953</v>
      </c>
      <c r="P16" s="54" t="s">
        <v>954</v>
      </c>
      <c r="Q16" s="54" t="s">
        <v>955</v>
      </c>
      <c r="R16" s="54" t="s">
        <v>956</v>
      </c>
      <c r="S16" s="54" t="s">
        <v>130</v>
      </c>
      <c r="T16" s="54" t="s">
        <v>957</v>
      </c>
      <c r="U16" s="54" t="s">
        <v>192</v>
      </c>
      <c r="V16" s="54" t="s">
        <v>193</v>
      </c>
      <c r="W16" s="54" t="s">
        <v>1110</v>
      </c>
    </row>
    <row r="17" spans="2:23" x14ac:dyDescent="0.3">
      <c r="B17" s="32" t="s">
        <v>979</v>
      </c>
      <c r="C17" s="32" t="s">
        <v>257</v>
      </c>
      <c r="D17" s="32" t="s">
        <v>1132</v>
      </c>
      <c r="E17" s="32" t="s">
        <v>1133</v>
      </c>
      <c r="F17" s="32" t="s">
        <v>979</v>
      </c>
      <c r="G17" s="32" t="s">
        <v>257</v>
      </c>
      <c r="H17" s="32" t="s">
        <v>1132</v>
      </c>
      <c r="I17" s="32" t="s">
        <v>1124</v>
      </c>
      <c r="J17" s="32" t="s">
        <v>1134</v>
      </c>
      <c r="K17" s="32" t="s">
        <v>202</v>
      </c>
      <c r="L17" s="32" t="s">
        <v>1135</v>
      </c>
      <c r="M17" s="32" t="s">
        <v>982</v>
      </c>
      <c r="N17" s="32" t="s">
        <v>983</v>
      </c>
      <c r="P17" s="32" t="s">
        <v>199</v>
      </c>
      <c r="Q17" s="32" t="s">
        <v>1094</v>
      </c>
      <c r="R17" s="32" t="s">
        <v>1094</v>
      </c>
      <c r="S17" s="32" t="s">
        <v>255</v>
      </c>
      <c r="T17" s="32" t="s">
        <v>958</v>
      </c>
      <c r="U17" s="32" t="s">
        <v>1136</v>
      </c>
      <c r="V17" s="32" t="s">
        <v>967</v>
      </c>
      <c r="W17" s="32" t="s">
        <v>1137</v>
      </c>
    </row>
    <row r="18" spans="2:23" x14ac:dyDescent="0.3">
      <c r="B18" s="32" t="s">
        <v>979</v>
      </c>
      <c r="C18" s="32" t="s">
        <v>257</v>
      </c>
      <c r="D18" s="32" t="s">
        <v>1138</v>
      </c>
      <c r="E18" s="32" t="s">
        <v>1139</v>
      </c>
      <c r="F18" s="32" t="s">
        <v>979</v>
      </c>
      <c r="G18" s="32" t="s">
        <v>257</v>
      </c>
      <c r="H18" s="32" t="s">
        <v>1138</v>
      </c>
      <c r="I18" s="32" t="s">
        <v>1140</v>
      </c>
      <c r="J18" s="32" t="s">
        <v>1141</v>
      </c>
      <c r="K18" s="32" t="s">
        <v>202</v>
      </c>
      <c r="L18" s="32" t="s">
        <v>1142</v>
      </c>
      <c r="M18" s="32" t="s">
        <v>982</v>
      </c>
      <c r="N18" s="32" t="s">
        <v>983</v>
      </c>
      <c r="P18" s="32" t="s">
        <v>199</v>
      </c>
      <c r="Q18" s="32" t="s">
        <v>1094</v>
      </c>
      <c r="R18" s="32" t="s">
        <v>1094</v>
      </c>
      <c r="S18" s="32" t="s">
        <v>255</v>
      </c>
      <c r="T18" s="32" t="s">
        <v>958</v>
      </c>
      <c r="U18" s="32" t="s">
        <v>1136</v>
      </c>
      <c r="V18" s="32" t="s">
        <v>967</v>
      </c>
      <c r="W18" s="32" t="s">
        <v>1137</v>
      </c>
    </row>
    <row r="19" spans="2:23" x14ac:dyDescent="0.3">
      <c r="B19" s="32" t="s">
        <v>979</v>
      </c>
      <c r="C19" s="32" t="s">
        <v>257</v>
      </c>
      <c r="D19" s="32" t="s">
        <v>1143</v>
      </c>
      <c r="E19" s="32" t="s">
        <v>1144</v>
      </c>
      <c r="F19" s="32" t="s">
        <v>979</v>
      </c>
      <c r="G19" s="32" t="s">
        <v>257</v>
      </c>
      <c r="H19" s="32" t="s">
        <v>1143</v>
      </c>
      <c r="I19" s="32" t="s">
        <v>1145</v>
      </c>
      <c r="J19" s="32" t="s">
        <v>1146</v>
      </c>
      <c r="K19" s="32" t="s">
        <v>202</v>
      </c>
      <c r="L19" s="32" t="s">
        <v>1147</v>
      </c>
      <c r="M19" s="32" t="s">
        <v>982</v>
      </c>
      <c r="N19" s="32" t="s">
        <v>983</v>
      </c>
      <c r="P19" s="32" t="s">
        <v>199</v>
      </c>
      <c r="Q19" s="32" t="s">
        <v>1094</v>
      </c>
      <c r="R19" s="32" t="s">
        <v>1094</v>
      </c>
      <c r="S19" s="32" t="s">
        <v>255</v>
      </c>
      <c r="T19" s="32" t="s">
        <v>958</v>
      </c>
      <c r="U19" s="32" t="s">
        <v>1136</v>
      </c>
      <c r="V19" s="32" t="s">
        <v>967</v>
      </c>
      <c r="W19" s="32" t="s">
        <v>1137</v>
      </c>
    </row>
    <row r="20" spans="2:23" x14ac:dyDescent="0.3">
      <c r="B20" s="32" t="s">
        <v>979</v>
      </c>
      <c r="C20" s="32" t="s">
        <v>257</v>
      </c>
      <c r="D20" s="32" t="s">
        <v>1148</v>
      </c>
      <c r="E20" s="32" t="s">
        <v>1149</v>
      </c>
      <c r="F20" s="32" t="s">
        <v>979</v>
      </c>
      <c r="G20" s="32" t="s">
        <v>257</v>
      </c>
      <c r="H20" s="32" t="s">
        <v>1148</v>
      </c>
      <c r="I20" s="32" t="s">
        <v>1124</v>
      </c>
      <c r="J20" s="32" t="s">
        <v>984</v>
      </c>
      <c r="K20" s="32" t="s">
        <v>202</v>
      </c>
      <c r="L20" s="32" t="s">
        <v>985</v>
      </c>
      <c r="M20" s="32" t="s">
        <v>982</v>
      </c>
      <c r="N20" s="32" t="s">
        <v>983</v>
      </c>
      <c r="P20" s="32" t="s">
        <v>199</v>
      </c>
      <c r="Q20" s="32" t="s">
        <v>1094</v>
      </c>
      <c r="R20" s="32" t="s">
        <v>1094</v>
      </c>
      <c r="S20" s="32" t="s">
        <v>255</v>
      </c>
      <c r="T20" s="32" t="s">
        <v>958</v>
      </c>
      <c r="U20" s="32" t="s">
        <v>1136</v>
      </c>
      <c r="V20" s="32" t="s">
        <v>967</v>
      </c>
      <c r="W20" s="32" t="s">
        <v>1137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J24"/>
  <sheetViews>
    <sheetView showGridLines="0" topLeftCell="XEF31" zoomScale="90" zoomScaleNormal="90" workbookViewId="0">
      <selection activeCell="XFD59" sqref="XFD59"/>
    </sheetView>
  </sheetViews>
  <sheetFormatPr defaultRowHeight="14.4" x14ac:dyDescent="0.3"/>
  <cols>
    <col min="1" max="1" width="2.109375" style="32" customWidth="1"/>
    <col min="2" max="2" width="28.109375" style="32" customWidth="1"/>
    <col min="3" max="3" width="18.21875" style="32" customWidth="1"/>
    <col min="4" max="4" width="37.44140625" style="32" customWidth="1"/>
    <col min="5" max="5" width="16.109375" style="32" customWidth="1"/>
    <col min="6" max="6" width="37.44140625" style="32" customWidth="1"/>
    <col min="7" max="7" width="35" style="32" customWidth="1"/>
    <col min="8" max="8" width="37.44140625" style="32" bestFit="1" customWidth="1"/>
    <col min="9" max="9" width="13.44140625" style="32" customWidth="1"/>
    <col min="10" max="10" width="13.77734375" style="32" bestFit="1" customWidth="1"/>
    <col min="11" max="11" width="34.5546875" style="32" bestFit="1" customWidth="1"/>
    <col min="12" max="12" width="13.88671875" style="32" bestFit="1" customWidth="1"/>
    <col min="13" max="13" width="12.6640625" style="32" bestFit="1" customWidth="1"/>
    <col min="14" max="14" width="14.6640625" style="32" bestFit="1" customWidth="1"/>
    <col min="15" max="15" width="16.109375" style="32" bestFit="1" customWidth="1"/>
    <col min="16" max="16" width="13.77734375" style="32" bestFit="1" customWidth="1"/>
    <col min="17" max="17" width="13.109375" style="32" bestFit="1" customWidth="1"/>
    <col min="18" max="18" width="14" style="32" bestFit="1" customWidth="1"/>
    <col min="19" max="19" width="58.88671875" style="32" bestFit="1" customWidth="1"/>
    <col min="20" max="20" width="12.88671875" style="32" bestFit="1" customWidth="1"/>
    <col min="21" max="21" width="10" style="32" bestFit="1" customWidth="1"/>
    <col min="22" max="22" width="20.6640625" style="32" bestFit="1" customWidth="1"/>
    <col min="23" max="23" width="22" style="32" bestFit="1" customWidth="1"/>
    <col min="24" max="24" width="20.21875" style="32" bestFit="1" customWidth="1"/>
    <col min="25" max="25" width="12.5546875" style="32" bestFit="1" customWidth="1"/>
    <col min="26" max="26" width="15.6640625" style="32" bestFit="1" customWidth="1"/>
    <col min="27" max="27" width="19.33203125" style="32" bestFit="1" customWidth="1"/>
    <col min="28" max="28" width="17.6640625" style="32" bestFit="1" customWidth="1"/>
    <col min="29" max="29" width="13.109375" style="32" bestFit="1" customWidth="1"/>
    <col min="30" max="30" width="20.21875" style="32" bestFit="1" customWidth="1"/>
    <col min="31" max="31" width="24.88671875" style="32" bestFit="1" customWidth="1"/>
    <col min="32" max="32" width="19.6640625" style="32" bestFit="1" customWidth="1"/>
    <col min="33" max="33" width="20" style="32" bestFit="1" customWidth="1"/>
    <col min="34" max="34" width="10.33203125" style="32" bestFit="1" customWidth="1"/>
    <col min="35" max="35" width="14.109375" style="32" bestFit="1" customWidth="1"/>
    <col min="36" max="36" width="7.33203125" style="32" bestFit="1" customWidth="1"/>
    <col min="37" max="37" width="8.21875" style="32" bestFit="1" customWidth="1"/>
    <col min="38" max="38" width="8.6640625" style="32" bestFit="1" customWidth="1"/>
    <col min="39" max="39" width="6.88671875" style="32" bestFit="1" customWidth="1"/>
    <col min="40" max="40" width="7" style="32" bestFit="1" customWidth="1"/>
    <col min="41" max="41" width="7.77734375" style="32" bestFit="1" customWidth="1"/>
    <col min="42" max="42" width="11" style="32" bestFit="1" customWidth="1"/>
    <col min="43" max="43" width="8.33203125" style="32" bestFit="1" customWidth="1"/>
    <col min="44" max="44" width="5.77734375" style="32" bestFit="1" customWidth="1"/>
    <col min="45" max="45" width="4.6640625" style="32" bestFit="1" customWidth="1"/>
    <col min="46" max="46" width="6.33203125" style="32" bestFit="1" customWidth="1"/>
    <col min="47" max="47" width="8.5546875" style="32" bestFit="1" customWidth="1"/>
    <col min="48" max="48" width="7.5546875" style="32" bestFit="1" customWidth="1"/>
    <col min="49" max="49" width="7.33203125" style="32" bestFit="1" customWidth="1"/>
    <col min="50" max="50" width="7.77734375" style="32" bestFit="1" customWidth="1"/>
    <col min="51" max="51" width="9.5546875" style="32" bestFit="1" customWidth="1"/>
    <col min="52" max="52" width="9" style="32" bestFit="1" customWidth="1"/>
    <col min="53" max="53" width="9.5546875" style="32" bestFit="1" customWidth="1"/>
    <col min="54" max="54" width="4.6640625" style="32" bestFit="1" customWidth="1"/>
    <col min="55" max="55" width="14.109375" style="32" bestFit="1" customWidth="1"/>
    <col min="56" max="56" width="19.44140625" style="32" bestFit="1" customWidth="1"/>
    <col min="57" max="16384" width="8.88671875" style="32"/>
  </cols>
  <sheetData>
    <row r="1" spans="1:10" customFormat="1" x14ac:dyDescent="0.3">
      <c r="B1" s="51" t="s">
        <v>1354</v>
      </c>
      <c r="C1" s="52"/>
      <c r="D1" s="52"/>
      <c r="E1" s="52"/>
      <c r="F1" s="52"/>
      <c r="G1" s="52"/>
      <c r="H1" s="52"/>
    </row>
    <row r="2" spans="1:10" customFormat="1" x14ac:dyDescent="0.3"/>
    <row r="3" spans="1:10" s="3" customFormat="1" x14ac:dyDescent="0.3">
      <c r="B3" s="61" t="s">
        <v>1353</v>
      </c>
      <c r="C3" s="62"/>
      <c r="D3" s="62"/>
      <c r="E3" s="62"/>
      <c r="F3" s="62"/>
      <c r="G3" s="62"/>
      <c r="H3" s="63"/>
    </row>
    <row r="4" spans="1:10" s="3" customFormat="1" x14ac:dyDescent="0.3">
      <c r="B4" s="78" t="s">
        <v>1357</v>
      </c>
      <c r="C4" s="60"/>
      <c r="D4" s="60"/>
      <c r="E4" s="60"/>
      <c r="F4" s="60"/>
      <c r="G4" s="60"/>
      <c r="H4" s="79"/>
    </row>
    <row r="5" spans="1:10" s="3" customFormat="1" x14ac:dyDescent="0.3">
      <c r="B5" s="64" t="s">
        <v>1358</v>
      </c>
      <c r="C5" s="58"/>
      <c r="D5" s="58"/>
      <c r="E5" s="58"/>
      <c r="F5" s="58"/>
      <c r="G5" s="58"/>
      <c r="H5" s="65"/>
    </row>
    <row r="8" spans="1:10" x14ac:dyDescent="0.3">
      <c r="B8" s="54" t="s">
        <v>1332</v>
      </c>
      <c r="C8" s="54" t="s">
        <v>1333</v>
      </c>
      <c r="D8" s="54" t="s">
        <v>1334</v>
      </c>
      <c r="E8" s="54" t="s">
        <v>1335</v>
      </c>
      <c r="F8" s="54" t="s">
        <v>1336</v>
      </c>
      <c r="G8" s="54" t="s">
        <v>1337</v>
      </c>
      <c r="H8" s="54" t="s">
        <v>1338</v>
      </c>
      <c r="I8" s="54" t="s">
        <v>1339</v>
      </c>
      <c r="J8" s="54" t="s">
        <v>1340</v>
      </c>
    </row>
    <row r="9" spans="1:10" x14ac:dyDescent="0.3">
      <c r="B9" s="32" t="s">
        <v>1094</v>
      </c>
      <c r="C9" s="32" t="s">
        <v>1094</v>
      </c>
      <c r="D9" s="55" t="s">
        <v>1341</v>
      </c>
      <c r="E9" s="32" t="s">
        <v>1342</v>
      </c>
      <c r="F9" s="32" t="s">
        <v>1341</v>
      </c>
      <c r="G9" s="32" t="s">
        <v>1343</v>
      </c>
      <c r="H9" s="32" t="s">
        <v>1344</v>
      </c>
      <c r="I9" s="32" t="s">
        <v>1345</v>
      </c>
      <c r="J9" s="32" t="s">
        <v>1346</v>
      </c>
    </row>
    <row r="10" spans="1:10" x14ac:dyDescent="0.3">
      <c r="B10" s="32" t="s">
        <v>1094</v>
      </c>
      <c r="C10" s="32" t="s">
        <v>1094</v>
      </c>
      <c r="D10" s="40" t="s">
        <v>1347</v>
      </c>
      <c r="E10" s="32" t="s">
        <v>1342</v>
      </c>
      <c r="F10" s="32" t="s">
        <v>1347</v>
      </c>
      <c r="G10" s="32" t="s">
        <v>1348</v>
      </c>
      <c r="H10" s="32" t="s">
        <v>1349</v>
      </c>
      <c r="I10" s="32" t="s">
        <v>1345</v>
      </c>
      <c r="J10" s="32" t="s">
        <v>1346</v>
      </c>
    </row>
    <row r="11" spans="1:10" x14ac:dyDescent="0.3">
      <c r="B11" s="32" t="s">
        <v>1094</v>
      </c>
      <c r="C11" s="32" t="s">
        <v>1094</v>
      </c>
      <c r="D11" s="86" t="s">
        <v>1350</v>
      </c>
      <c r="E11" s="32" t="s">
        <v>1342</v>
      </c>
      <c r="F11" s="32" t="s">
        <v>1350</v>
      </c>
      <c r="G11" s="32" t="s">
        <v>1351</v>
      </c>
      <c r="H11" s="32" t="s">
        <v>1352</v>
      </c>
      <c r="I11" s="32" t="s">
        <v>1345</v>
      </c>
      <c r="J11" s="32" t="s">
        <v>1346</v>
      </c>
    </row>
    <row r="14" spans="1:10" x14ac:dyDescent="0.3">
      <c r="A14" s="83"/>
      <c r="B14" s="84" t="s">
        <v>1296</v>
      </c>
      <c r="C14" s="83"/>
      <c r="D14" s="83"/>
    </row>
    <row r="16" spans="1:10" x14ac:dyDescent="0.3">
      <c r="B16" s="54" t="s">
        <v>1161</v>
      </c>
      <c r="C16" s="54" t="s">
        <v>1165</v>
      </c>
      <c r="D16" s="54" t="s">
        <v>1167</v>
      </c>
      <c r="E16" s="54" t="s">
        <v>1168</v>
      </c>
      <c r="F16" s="54" t="s">
        <v>1169</v>
      </c>
    </row>
    <row r="17" spans="2:6" x14ac:dyDescent="0.3">
      <c r="B17" s="32" t="s">
        <v>1242</v>
      </c>
      <c r="C17" s="32" t="s">
        <v>1243</v>
      </c>
      <c r="D17" s="85" t="s">
        <v>257</v>
      </c>
      <c r="E17" s="85" t="s">
        <v>1096</v>
      </c>
      <c r="F17" s="85" t="s">
        <v>1244</v>
      </c>
    </row>
    <row r="18" spans="2:6" x14ac:dyDescent="0.3">
      <c r="B18" s="32" t="s">
        <v>1262</v>
      </c>
      <c r="C18" s="32" t="s">
        <v>1243</v>
      </c>
      <c r="D18" s="85" t="s">
        <v>257</v>
      </c>
      <c r="E18" s="85" t="s">
        <v>1096</v>
      </c>
      <c r="F18" s="85" t="s">
        <v>1244</v>
      </c>
    </row>
    <row r="19" spans="2:6" x14ac:dyDescent="0.3">
      <c r="B19" s="32" t="s">
        <v>1262</v>
      </c>
      <c r="C19" s="32" t="s">
        <v>1243</v>
      </c>
      <c r="D19" s="55" t="s">
        <v>257</v>
      </c>
      <c r="E19" s="55" t="s">
        <v>1099</v>
      </c>
      <c r="F19" s="55" t="s">
        <v>1269</v>
      </c>
    </row>
    <row r="20" spans="2:6" x14ac:dyDescent="0.3">
      <c r="B20" s="32" t="s">
        <v>1242</v>
      </c>
      <c r="C20" s="32" t="s">
        <v>1243</v>
      </c>
      <c r="D20" s="55" t="s">
        <v>257</v>
      </c>
      <c r="E20" s="55" t="s">
        <v>1099</v>
      </c>
      <c r="F20" s="55" t="s">
        <v>1269</v>
      </c>
    </row>
    <row r="21" spans="2:6" x14ac:dyDescent="0.3">
      <c r="B21" s="32" t="s">
        <v>1276</v>
      </c>
      <c r="C21" s="32" t="s">
        <v>1243</v>
      </c>
      <c r="D21" s="40" t="s">
        <v>257</v>
      </c>
      <c r="E21" s="40" t="s">
        <v>1102</v>
      </c>
      <c r="F21" s="40" t="s">
        <v>1277</v>
      </c>
    </row>
    <row r="22" spans="2:6" x14ac:dyDescent="0.3">
      <c r="B22" s="32" t="s">
        <v>1262</v>
      </c>
      <c r="C22" s="32" t="s">
        <v>1243</v>
      </c>
      <c r="D22" s="40" t="s">
        <v>257</v>
      </c>
      <c r="E22" s="40" t="s">
        <v>1102</v>
      </c>
      <c r="F22" s="40" t="s">
        <v>1277</v>
      </c>
    </row>
    <row r="23" spans="2:6" x14ac:dyDescent="0.3">
      <c r="B23" s="32" t="s">
        <v>1291</v>
      </c>
      <c r="C23" s="32" t="s">
        <v>1243</v>
      </c>
      <c r="D23" s="40" t="s">
        <v>257</v>
      </c>
      <c r="E23" s="40" t="s">
        <v>1102</v>
      </c>
      <c r="F23" s="40" t="s">
        <v>1277</v>
      </c>
    </row>
    <row r="24" spans="2:6" x14ac:dyDescent="0.3">
      <c r="B24" s="32" t="s">
        <v>1242</v>
      </c>
      <c r="C24" s="32" t="s">
        <v>1243</v>
      </c>
      <c r="D24" s="40" t="s">
        <v>257</v>
      </c>
      <c r="E24" s="40" t="s">
        <v>1102</v>
      </c>
      <c r="F24" s="40" t="s">
        <v>1277</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4:I51"/>
  <sheetViews>
    <sheetView showGridLines="0" topLeftCell="A19" zoomScale="80" zoomScaleNormal="80" workbookViewId="0">
      <selection activeCell="C26" sqref="C26"/>
    </sheetView>
  </sheetViews>
  <sheetFormatPr defaultRowHeight="14.4" x14ac:dyDescent="0.3"/>
  <cols>
    <col min="1" max="1" width="2.77734375" bestFit="1" customWidth="1"/>
    <col min="2" max="2" width="23.21875" bestFit="1" customWidth="1"/>
    <col min="3" max="3" width="37.33203125" bestFit="1" customWidth="1"/>
    <col min="4" max="4" width="35.21875" bestFit="1" customWidth="1"/>
    <col min="5" max="5" width="29.88671875" customWidth="1"/>
    <col min="6" max="6" width="10.33203125" customWidth="1"/>
    <col min="7" max="7" width="28.109375" bestFit="1" customWidth="1"/>
    <col min="8" max="8" width="60.5546875" customWidth="1"/>
    <col min="9" max="9" width="19.5546875" customWidth="1"/>
  </cols>
  <sheetData>
    <row r="4" spans="1:5" x14ac:dyDescent="0.3">
      <c r="B4" s="1" t="s">
        <v>0</v>
      </c>
    </row>
    <row r="5" spans="1:5" x14ac:dyDescent="0.3">
      <c r="B5" s="2" t="s">
        <v>1662</v>
      </c>
      <c r="C5" s="2"/>
      <c r="D5" s="2"/>
      <c r="E5" s="2"/>
    </row>
    <row r="6" spans="1:5" x14ac:dyDescent="0.3">
      <c r="B6" s="3"/>
    </row>
    <row r="7" spans="1:5" x14ac:dyDescent="0.3">
      <c r="B7" s="1" t="s">
        <v>3</v>
      </c>
    </row>
    <row r="8" spans="1:5" x14ac:dyDescent="0.3">
      <c r="B8" s="2" t="s">
        <v>1646</v>
      </c>
      <c r="C8" s="2"/>
      <c r="D8" s="2"/>
      <c r="E8" s="2"/>
    </row>
    <row r="9" spans="1:5" x14ac:dyDescent="0.3">
      <c r="B9" s="3"/>
    </row>
    <row r="10" spans="1:5" x14ac:dyDescent="0.3">
      <c r="B10" s="1" t="s">
        <v>7</v>
      </c>
    </row>
    <row r="11" spans="1:5" x14ac:dyDescent="0.3">
      <c r="B11" s="2" t="s">
        <v>1642</v>
      </c>
      <c r="C11" s="2"/>
      <c r="D11" s="2"/>
      <c r="E11" s="2"/>
    </row>
    <row r="12" spans="1:5" x14ac:dyDescent="0.3">
      <c r="B12" s="3"/>
    </row>
    <row r="13" spans="1:5" x14ac:dyDescent="0.3">
      <c r="B13" s="1" t="s">
        <v>1644</v>
      </c>
    </row>
    <row r="14" spans="1:5" x14ac:dyDescent="0.3">
      <c r="B14" s="2" t="s">
        <v>1643</v>
      </c>
      <c r="C14" s="2"/>
      <c r="D14" s="2"/>
      <c r="E14" s="2"/>
    </row>
    <row r="15" spans="1:5" s="3" customFormat="1" x14ac:dyDescent="0.3"/>
    <row r="16" spans="1:5" s="3" customFormat="1" x14ac:dyDescent="0.3">
      <c r="A16"/>
      <c r="B16" s="1" t="s">
        <v>1645</v>
      </c>
    </row>
    <row r="17" spans="1:9" x14ac:dyDescent="0.3">
      <c r="B17" s="2" t="s">
        <v>1647</v>
      </c>
      <c r="C17" s="2"/>
      <c r="D17" s="2"/>
      <c r="E17" s="2"/>
    </row>
    <row r="18" spans="1:9" x14ac:dyDescent="0.3">
      <c r="B18" s="3"/>
    </row>
    <row r="20" spans="1:9" x14ac:dyDescent="0.3">
      <c r="B20" s="4" t="s">
        <v>11</v>
      </c>
      <c r="C20" s="48" t="s">
        <v>12</v>
      </c>
      <c r="D20" s="4" t="s">
        <v>13</v>
      </c>
      <c r="E20" s="48" t="s">
        <v>14</v>
      </c>
      <c r="F20" s="4" t="s">
        <v>15</v>
      </c>
      <c r="G20" s="4" t="s">
        <v>16</v>
      </c>
      <c r="H20" s="4" t="s">
        <v>17</v>
      </c>
      <c r="I20" s="4" t="s">
        <v>18</v>
      </c>
    </row>
    <row r="21" spans="1:9" s="3" customFormat="1" ht="106.2" customHeight="1" x14ac:dyDescent="0.3">
      <c r="A21" s="87"/>
      <c r="B21" s="6">
        <v>323</v>
      </c>
      <c r="C21" s="9" t="s">
        <v>1372</v>
      </c>
      <c r="D21" s="9" t="s">
        <v>1373</v>
      </c>
      <c r="E21" s="9" t="s">
        <v>1444</v>
      </c>
      <c r="F21" s="10" t="s">
        <v>23</v>
      </c>
      <c r="G21" s="67" t="s">
        <v>1445</v>
      </c>
      <c r="H21" s="11" t="s">
        <v>1447</v>
      </c>
      <c r="I21" s="8" t="s">
        <v>1446</v>
      </c>
    </row>
    <row r="22" spans="1:9" ht="28.8" x14ac:dyDescent="0.3">
      <c r="B22" s="99">
        <v>325</v>
      </c>
      <c r="C22" s="100" t="s">
        <v>1371</v>
      </c>
      <c r="D22" s="101"/>
      <c r="E22" s="100"/>
      <c r="F22" s="102"/>
      <c r="G22" s="98"/>
      <c r="H22" s="103"/>
      <c r="I22" s="103"/>
    </row>
    <row r="23" spans="1:9" ht="73.2" customHeight="1" x14ac:dyDescent="0.3">
      <c r="A23" s="87"/>
      <c r="B23" s="6">
        <v>327</v>
      </c>
      <c r="C23" s="7" t="s">
        <v>1360</v>
      </c>
      <c r="D23" s="7" t="s">
        <v>1359</v>
      </c>
      <c r="E23" s="9" t="s">
        <v>1379</v>
      </c>
      <c r="F23" s="10" t="s">
        <v>23</v>
      </c>
      <c r="G23" s="67" t="s">
        <v>1380</v>
      </c>
      <c r="H23" s="13" t="s">
        <v>23</v>
      </c>
      <c r="I23" s="8" t="s">
        <v>1381</v>
      </c>
    </row>
    <row r="24" spans="1:9" ht="96.6" customHeight="1" x14ac:dyDescent="0.3">
      <c r="A24" s="87"/>
      <c r="B24" s="6">
        <v>328</v>
      </c>
      <c r="C24" s="7" t="s">
        <v>1361</v>
      </c>
      <c r="D24" s="7" t="s">
        <v>1362</v>
      </c>
      <c r="E24" s="9" t="s">
        <v>1382</v>
      </c>
      <c r="F24" s="10" t="s">
        <v>23</v>
      </c>
      <c r="G24" s="67" t="s">
        <v>1383</v>
      </c>
      <c r="H24" s="13" t="s">
        <v>23</v>
      </c>
      <c r="I24" s="8" t="s">
        <v>1389</v>
      </c>
    </row>
    <row r="25" spans="1:9" ht="82.8" customHeight="1" x14ac:dyDescent="0.3">
      <c r="A25" s="87"/>
      <c r="B25" s="6">
        <v>329</v>
      </c>
      <c r="C25" s="9" t="s">
        <v>1363</v>
      </c>
      <c r="D25" s="7" t="s">
        <v>1388</v>
      </c>
      <c r="E25" s="9" t="s">
        <v>1384</v>
      </c>
      <c r="F25" s="10" t="s">
        <v>23</v>
      </c>
      <c r="G25" s="67" t="s">
        <v>1387</v>
      </c>
      <c r="H25" s="11" t="s">
        <v>1385</v>
      </c>
      <c r="I25" s="8" t="s">
        <v>1386</v>
      </c>
    </row>
    <row r="26" spans="1:9" ht="60" customHeight="1" x14ac:dyDescent="0.3">
      <c r="A26" s="87"/>
      <c r="B26" s="6">
        <v>330</v>
      </c>
      <c r="C26" s="75" t="s">
        <v>1450</v>
      </c>
      <c r="D26" s="94"/>
      <c r="E26" s="93"/>
      <c r="F26" s="95"/>
      <c r="G26" s="73"/>
      <c r="H26" s="81"/>
      <c r="I26" s="81"/>
    </row>
    <row r="27" spans="1:9" ht="139.80000000000001" customHeight="1" x14ac:dyDescent="0.3">
      <c r="A27" s="87"/>
      <c r="B27" s="6" t="s">
        <v>1432</v>
      </c>
      <c r="C27" s="9"/>
      <c r="D27" s="7" t="s">
        <v>1364</v>
      </c>
      <c r="E27" s="9"/>
      <c r="F27" s="10" t="s">
        <v>23</v>
      </c>
      <c r="G27" s="13" t="s">
        <v>23</v>
      </c>
      <c r="H27" s="11" t="s">
        <v>1431</v>
      </c>
      <c r="I27" s="8" t="s">
        <v>1440</v>
      </c>
    </row>
    <row r="28" spans="1:9" ht="105.6" customHeight="1" x14ac:dyDescent="0.3">
      <c r="A28" s="87"/>
      <c r="B28" s="6" t="s">
        <v>1433</v>
      </c>
      <c r="C28" s="9"/>
      <c r="D28" s="9" t="s">
        <v>1437</v>
      </c>
      <c r="E28" s="9"/>
      <c r="F28" s="10" t="s">
        <v>23</v>
      </c>
      <c r="G28" s="13" t="s">
        <v>23</v>
      </c>
      <c r="H28" s="11" t="s">
        <v>1638</v>
      </c>
      <c r="I28" s="8" t="s">
        <v>1441</v>
      </c>
    </row>
    <row r="29" spans="1:9" ht="83.4" customHeight="1" x14ac:dyDescent="0.3">
      <c r="A29" s="87"/>
      <c r="B29" s="6" t="s">
        <v>1439</v>
      </c>
      <c r="C29" s="9"/>
      <c r="D29" s="9" t="s">
        <v>1438</v>
      </c>
      <c r="E29" s="9"/>
      <c r="F29" s="10" t="s">
        <v>23</v>
      </c>
      <c r="G29" s="13" t="s">
        <v>23</v>
      </c>
      <c r="H29" s="13" t="s">
        <v>23</v>
      </c>
      <c r="I29" s="8" t="s">
        <v>1441</v>
      </c>
    </row>
    <row r="30" spans="1:9" ht="102.6" customHeight="1" x14ac:dyDescent="0.3">
      <c r="A30" s="87"/>
      <c r="B30" s="6" t="s">
        <v>1448</v>
      </c>
      <c r="C30" s="9"/>
      <c r="D30" s="9" t="s">
        <v>1449</v>
      </c>
      <c r="E30" s="9"/>
      <c r="F30" s="10" t="s">
        <v>23</v>
      </c>
      <c r="G30" s="13" t="s">
        <v>23</v>
      </c>
      <c r="H30" s="11" t="s">
        <v>1639</v>
      </c>
      <c r="I30" s="8" t="s">
        <v>1533</v>
      </c>
    </row>
    <row r="31" spans="1:9" ht="42" customHeight="1" x14ac:dyDescent="0.3">
      <c r="B31" s="99">
        <v>332</v>
      </c>
      <c r="C31" s="100" t="s">
        <v>1365</v>
      </c>
      <c r="D31" s="100" t="s">
        <v>1366</v>
      </c>
      <c r="E31" s="100"/>
      <c r="F31" s="102"/>
      <c r="G31" s="98"/>
      <c r="H31" s="103"/>
      <c r="I31" s="103"/>
    </row>
    <row r="32" spans="1:9" ht="63.6" customHeight="1" x14ac:dyDescent="0.3">
      <c r="A32" s="87"/>
      <c r="B32" s="6">
        <v>333</v>
      </c>
      <c r="C32" s="9" t="s">
        <v>1367</v>
      </c>
      <c r="D32" s="7" t="s">
        <v>910</v>
      </c>
      <c r="E32" s="9"/>
      <c r="F32" s="10" t="s">
        <v>23</v>
      </c>
      <c r="G32" s="67" t="s">
        <v>1442</v>
      </c>
      <c r="H32" s="13" t="s">
        <v>23</v>
      </c>
      <c r="I32" s="8" t="s">
        <v>1443</v>
      </c>
    </row>
    <row r="33" spans="1:9" ht="43.2" x14ac:dyDescent="0.3">
      <c r="B33" s="99">
        <v>334</v>
      </c>
      <c r="C33" s="100" t="s">
        <v>1368</v>
      </c>
      <c r="D33" s="101" t="s">
        <v>1369</v>
      </c>
      <c r="E33" s="100"/>
      <c r="F33" s="102"/>
      <c r="G33" s="98"/>
      <c r="H33" s="103"/>
      <c r="I33" s="103"/>
    </row>
    <row r="34" spans="1:9" ht="28.8" x14ac:dyDescent="0.3">
      <c r="A34" s="87"/>
      <c r="B34" s="6">
        <v>335</v>
      </c>
      <c r="C34" s="75" t="s">
        <v>1370</v>
      </c>
      <c r="D34" s="70" t="s">
        <v>1362</v>
      </c>
      <c r="E34" s="71"/>
      <c r="F34" s="91"/>
      <c r="G34" s="73"/>
      <c r="H34" s="72"/>
      <c r="I34" s="72"/>
    </row>
    <row r="35" spans="1:9" ht="76.2" customHeight="1" x14ac:dyDescent="0.3">
      <c r="A35" s="87"/>
      <c r="B35" s="6" t="s">
        <v>1455</v>
      </c>
      <c r="C35" s="9" t="s">
        <v>1656</v>
      </c>
      <c r="D35" s="82" t="s">
        <v>1653</v>
      </c>
      <c r="E35" s="9" t="s">
        <v>1663</v>
      </c>
      <c r="F35" s="10" t="s">
        <v>23</v>
      </c>
      <c r="G35" s="157" t="s">
        <v>1689</v>
      </c>
      <c r="H35" s="67" t="s">
        <v>1688</v>
      </c>
      <c r="I35" s="8" t="s">
        <v>1686</v>
      </c>
    </row>
    <row r="36" spans="1:9" ht="85.2" customHeight="1" x14ac:dyDescent="0.3">
      <c r="A36" s="87"/>
      <c r="B36" s="6" t="s">
        <v>1456</v>
      </c>
      <c r="C36" s="9" t="s">
        <v>1654</v>
      </c>
      <c r="D36" s="82" t="s">
        <v>1653</v>
      </c>
      <c r="E36" s="9" t="s">
        <v>1663</v>
      </c>
      <c r="F36" s="10" t="s">
        <v>23</v>
      </c>
      <c r="G36" s="12" t="s">
        <v>1655</v>
      </c>
      <c r="H36" s="13" t="s">
        <v>23</v>
      </c>
      <c r="I36" s="8" t="s">
        <v>1652</v>
      </c>
    </row>
    <row r="37" spans="1:9" s="92" customFormat="1" x14ac:dyDescent="0.3">
      <c r="A37" s="104"/>
      <c r="B37" s="105"/>
      <c r="C37" s="106"/>
      <c r="D37" s="107"/>
      <c r="E37" s="106"/>
      <c r="F37" s="104"/>
      <c r="G37" s="108"/>
      <c r="H37" s="109"/>
      <c r="I37" s="110"/>
    </row>
    <row r="38" spans="1:9" ht="70.2" customHeight="1" x14ac:dyDescent="0.3">
      <c r="A38" s="87"/>
      <c r="B38" s="6" t="s">
        <v>19</v>
      </c>
      <c r="C38" s="9" t="s">
        <v>1451</v>
      </c>
      <c r="D38" s="82" t="s">
        <v>940</v>
      </c>
      <c r="E38" s="9" t="s">
        <v>1452</v>
      </c>
      <c r="F38" s="10" t="s">
        <v>23</v>
      </c>
      <c r="G38" s="67" t="s">
        <v>1534</v>
      </c>
      <c r="H38" s="13" t="s">
        <v>1535</v>
      </c>
      <c r="I38" s="8" t="s">
        <v>1453</v>
      </c>
    </row>
    <row r="39" spans="1:9" ht="25.8" customHeight="1" x14ac:dyDescent="0.3">
      <c r="A39" s="87"/>
      <c r="B39" s="6" t="s">
        <v>27</v>
      </c>
      <c r="C39" s="75" t="s">
        <v>1454</v>
      </c>
      <c r="D39" s="75"/>
      <c r="E39" s="75"/>
      <c r="F39" s="96"/>
      <c r="G39" s="73"/>
      <c r="H39" s="97"/>
      <c r="I39" s="73"/>
    </row>
    <row r="40" spans="1:9" ht="81" customHeight="1" x14ac:dyDescent="0.3">
      <c r="A40" s="87"/>
      <c r="B40" s="6" t="s">
        <v>1154</v>
      </c>
      <c r="C40" s="9"/>
      <c r="D40" s="7" t="s">
        <v>910</v>
      </c>
      <c r="E40" s="9" t="s">
        <v>22</v>
      </c>
      <c r="F40" s="10" t="s">
        <v>23</v>
      </c>
      <c r="G40" s="13" t="s">
        <v>23</v>
      </c>
      <c r="H40" s="13" t="s">
        <v>1648</v>
      </c>
      <c r="I40" s="8" t="s">
        <v>1492</v>
      </c>
    </row>
    <row r="41" spans="1:9" ht="76.8" customHeight="1" x14ac:dyDescent="0.3">
      <c r="A41" s="87"/>
      <c r="B41" s="6" t="s">
        <v>1461</v>
      </c>
      <c r="C41" s="9"/>
      <c r="D41" s="7" t="s">
        <v>1536</v>
      </c>
      <c r="E41" s="9" t="s">
        <v>22</v>
      </c>
      <c r="F41" s="10" t="s">
        <v>23</v>
      </c>
      <c r="G41" s="13" t="s">
        <v>23</v>
      </c>
      <c r="H41" s="13" t="s">
        <v>1648</v>
      </c>
      <c r="I41" s="8" t="s">
        <v>1501</v>
      </c>
    </row>
    <row r="42" spans="1:9" ht="43.2" customHeight="1" x14ac:dyDescent="0.3">
      <c r="A42" s="87"/>
      <c r="B42" s="6" t="s">
        <v>1462</v>
      </c>
      <c r="C42" s="9"/>
      <c r="D42" s="7" t="s">
        <v>1537</v>
      </c>
      <c r="E42" s="9" t="s">
        <v>22</v>
      </c>
      <c r="F42" s="10" t="s">
        <v>23</v>
      </c>
      <c r="G42" s="12" t="s">
        <v>1464</v>
      </c>
      <c r="H42" s="13" t="s">
        <v>23</v>
      </c>
      <c r="I42" s="8" t="s">
        <v>1538</v>
      </c>
    </row>
    <row r="43" spans="1:9" ht="43.2" customHeight="1" x14ac:dyDescent="0.3">
      <c r="A43" s="87"/>
      <c r="B43" s="6" t="s">
        <v>1541</v>
      </c>
      <c r="C43" s="9"/>
      <c r="D43" s="7" t="s">
        <v>1540</v>
      </c>
      <c r="E43" s="9" t="s">
        <v>22</v>
      </c>
      <c r="F43" s="10" t="s">
        <v>23</v>
      </c>
      <c r="G43" s="12" t="s">
        <v>1464</v>
      </c>
      <c r="H43" s="13" t="s">
        <v>23</v>
      </c>
      <c r="I43" s="8" t="s">
        <v>1539</v>
      </c>
    </row>
    <row r="44" spans="1:9" ht="64.8" customHeight="1" x14ac:dyDescent="0.3">
      <c r="A44" s="87"/>
      <c r="B44" s="6" t="s">
        <v>1543</v>
      </c>
      <c r="C44" s="9"/>
      <c r="D44" s="7" t="s">
        <v>1542</v>
      </c>
      <c r="E44" s="9" t="s">
        <v>22</v>
      </c>
      <c r="F44" s="10" t="s">
        <v>23</v>
      </c>
      <c r="G44" s="13" t="s">
        <v>23</v>
      </c>
      <c r="H44" s="13" t="s">
        <v>1648</v>
      </c>
      <c r="I44" s="8" t="s">
        <v>1544</v>
      </c>
    </row>
    <row r="45" spans="1:9" ht="43.2" customHeight="1" x14ac:dyDescent="0.3">
      <c r="A45" s="87"/>
      <c r="B45" s="6" t="s">
        <v>1546</v>
      </c>
      <c r="C45" s="9"/>
      <c r="D45" s="7" t="s">
        <v>1547</v>
      </c>
      <c r="E45" s="9" t="s">
        <v>22</v>
      </c>
      <c r="F45" s="10" t="s">
        <v>23</v>
      </c>
      <c r="G45" s="12" t="s">
        <v>1464</v>
      </c>
      <c r="H45" s="13" t="s">
        <v>1556</v>
      </c>
      <c r="I45" s="8" t="s">
        <v>1545</v>
      </c>
    </row>
    <row r="46" spans="1:9" ht="90" customHeight="1" x14ac:dyDescent="0.3">
      <c r="A46" s="87"/>
      <c r="B46" s="6" t="s">
        <v>1549</v>
      </c>
      <c r="C46" s="9"/>
      <c r="D46" s="7" t="s">
        <v>1548</v>
      </c>
      <c r="E46" s="9" t="s">
        <v>22</v>
      </c>
      <c r="F46" s="10" t="s">
        <v>23</v>
      </c>
      <c r="G46" s="13" t="s">
        <v>23</v>
      </c>
      <c r="H46" s="13" t="s">
        <v>1648</v>
      </c>
      <c r="I46" s="8" t="s">
        <v>1635</v>
      </c>
    </row>
    <row r="47" spans="1:9" ht="43.2" customHeight="1" x14ac:dyDescent="0.3">
      <c r="A47" s="87"/>
      <c r="B47" s="6" t="s">
        <v>1550</v>
      </c>
      <c r="C47" s="9"/>
      <c r="D47" s="7" t="s">
        <v>1551</v>
      </c>
      <c r="E47" s="9" t="s">
        <v>22</v>
      </c>
      <c r="F47" s="10" t="s">
        <v>23</v>
      </c>
      <c r="G47" s="12" t="s">
        <v>1464</v>
      </c>
      <c r="H47" s="13" t="s">
        <v>1556</v>
      </c>
      <c r="I47" s="8" t="s">
        <v>1552</v>
      </c>
    </row>
    <row r="48" spans="1:9" ht="35.4" customHeight="1" x14ac:dyDescent="0.3">
      <c r="A48" s="87"/>
      <c r="B48" s="6" t="s">
        <v>1553</v>
      </c>
      <c r="C48" s="9"/>
      <c r="D48" s="82" t="s">
        <v>912</v>
      </c>
      <c r="E48" s="9" t="s">
        <v>22</v>
      </c>
      <c r="F48" s="10" t="s">
        <v>23</v>
      </c>
      <c r="G48" s="12" t="s">
        <v>1464</v>
      </c>
      <c r="H48" s="13" t="s">
        <v>23</v>
      </c>
      <c r="I48" s="8" t="s">
        <v>1465</v>
      </c>
    </row>
    <row r="49" spans="1:9" ht="30.6" customHeight="1" x14ac:dyDescent="0.3">
      <c r="A49" s="87"/>
      <c r="B49" s="6" t="s">
        <v>1554</v>
      </c>
      <c r="C49" s="9"/>
      <c r="D49" s="7" t="s">
        <v>1362</v>
      </c>
      <c r="E49" s="9" t="s">
        <v>22</v>
      </c>
      <c r="F49" s="10" t="s">
        <v>23</v>
      </c>
      <c r="G49" s="12" t="s">
        <v>1464</v>
      </c>
      <c r="H49" s="13" t="s">
        <v>23</v>
      </c>
      <c r="I49" s="8" t="s">
        <v>1466</v>
      </c>
    </row>
    <row r="50" spans="1:9" ht="90.6" customHeight="1" x14ac:dyDescent="0.3">
      <c r="A50" s="87"/>
      <c r="B50" s="6" t="s">
        <v>1555</v>
      </c>
      <c r="C50" s="9"/>
      <c r="D50" s="7" t="s">
        <v>1369</v>
      </c>
      <c r="E50" s="9" t="s">
        <v>22</v>
      </c>
      <c r="F50" s="10" t="s">
        <v>23</v>
      </c>
      <c r="G50" s="13" t="s">
        <v>23</v>
      </c>
      <c r="H50" s="13" t="s">
        <v>1648</v>
      </c>
      <c r="I50" s="8" t="s">
        <v>1506</v>
      </c>
    </row>
    <row r="51" spans="1:9" ht="58.8" customHeight="1" x14ac:dyDescent="0.3">
      <c r="B51" s="6" t="s">
        <v>32</v>
      </c>
      <c r="C51" s="82" t="s">
        <v>1690</v>
      </c>
      <c r="D51" s="82" t="s">
        <v>1691</v>
      </c>
      <c r="E51" s="82" t="s">
        <v>1692</v>
      </c>
      <c r="F51" s="10" t="s">
        <v>23</v>
      </c>
      <c r="G51" s="13" t="s">
        <v>23</v>
      </c>
      <c r="H51" s="13" t="s">
        <v>23</v>
      </c>
      <c r="I51" s="11" t="s">
        <v>1693</v>
      </c>
    </row>
  </sheetData>
  <autoFilter ref="B20:I51"/>
  <conditionalFormatting sqref="F22">
    <cfRule type="containsText" dxfId="239" priority="213" operator="containsText" text="Por iniciar">
      <formula>NOT(ISERROR(SEARCH("Por iniciar",F22)))</formula>
    </cfRule>
    <cfRule type="containsText" dxfId="238" priority="214" operator="containsText" text="Wip">
      <formula>NOT(ISERROR(SEARCH("Wip",F22)))</formula>
    </cfRule>
    <cfRule type="containsText" dxfId="237" priority="215" operator="containsText" text="Concluído">
      <formula>NOT(ISERROR(SEARCH("Concluído",F22)))</formula>
    </cfRule>
  </conditionalFormatting>
  <conditionalFormatting sqref="F22">
    <cfRule type="containsText" dxfId="236" priority="211" operator="containsText" text="Bloqueado">
      <formula>NOT(ISERROR(SEARCH("Bloqueado",F22)))</formula>
    </cfRule>
  </conditionalFormatting>
  <conditionalFormatting sqref="F22">
    <cfRule type="containsText" dxfId="235" priority="212" operator="containsText" text="Cancelado">
      <formula>NOT(ISERROR(SEARCH("Cancelado",F22)))</formula>
    </cfRule>
  </conditionalFormatting>
  <conditionalFormatting sqref="F26">
    <cfRule type="containsText" dxfId="234" priority="193" operator="containsText" text="Por iniciar">
      <formula>NOT(ISERROR(SEARCH("Por iniciar",F26)))</formula>
    </cfRule>
    <cfRule type="containsText" dxfId="233" priority="194" operator="containsText" text="Wip">
      <formula>NOT(ISERROR(SEARCH("Wip",F26)))</formula>
    </cfRule>
    <cfRule type="containsText" dxfId="232" priority="195" operator="containsText" text="Concluído">
      <formula>NOT(ISERROR(SEARCH("Concluído",F26)))</formula>
    </cfRule>
  </conditionalFormatting>
  <conditionalFormatting sqref="F26">
    <cfRule type="containsText" dxfId="231" priority="191" operator="containsText" text="Bloqueado">
      <formula>NOT(ISERROR(SEARCH("Bloqueado",F26)))</formula>
    </cfRule>
  </conditionalFormatting>
  <conditionalFormatting sqref="F26">
    <cfRule type="containsText" dxfId="230" priority="192" operator="containsText" text="Cancelado">
      <formula>NOT(ISERROR(SEARCH("Cancelado",F26)))</formula>
    </cfRule>
  </conditionalFormatting>
  <conditionalFormatting sqref="F31">
    <cfRule type="containsText" dxfId="229" priority="188" operator="containsText" text="Por iniciar">
      <formula>NOT(ISERROR(SEARCH("Por iniciar",F31)))</formula>
    </cfRule>
    <cfRule type="containsText" dxfId="228" priority="189" operator="containsText" text="Wip">
      <formula>NOT(ISERROR(SEARCH("Wip",F31)))</formula>
    </cfRule>
    <cfRule type="containsText" dxfId="227" priority="190" operator="containsText" text="Concluído">
      <formula>NOT(ISERROR(SEARCH("Concluído",F31)))</formula>
    </cfRule>
  </conditionalFormatting>
  <conditionalFormatting sqref="F31">
    <cfRule type="containsText" dxfId="226" priority="186" operator="containsText" text="Bloqueado">
      <formula>NOT(ISERROR(SEARCH("Bloqueado",F31)))</formula>
    </cfRule>
  </conditionalFormatting>
  <conditionalFormatting sqref="F31">
    <cfRule type="containsText" dxfId="225" priority="187" operator="containsText" text="Cancelado">
      <formula>NOT(ISERROR(SEARCH("Cancelado",F31)))</formula>
    </cfRule>
  </conditionalFormatting>
  <conditionalFormatting sqref="F33">
    <cfRule type="containsText" dxfId="224" priority="178" operator="containsText" text="Por iniciar">
      <formula>NOT(ISERROR(SEARCH("Por iniciar",F33)))</formula>
    </cfRule>
    <cfRule type="containsText" dxfId="223" priority="179" operator="containsText" text="Wip">
      <formula>NOT(ISERROR(SEARCH("Wip",F33)))</formula>
    </cfRule>
    <cfRule type="containsText" dxfId="222" priority="180" operator="containsText" text="Concluído">
      <formula>NOT(ISERROR(SEARCH("Concluído",F33)))</formula>
    </cfRule>
  </conditionalFormatting>
  <conditionalFormatting sqref="F33">
    <cfRule type="containsText" dxfId="221" priority="176" operator="containsText" text="Bloqueado">
      <formula>NOT(ISERROR(SEARCH("Bloqueado",F33)))</formula>
    </cfRule>
  </conditionalFormatting>
  <conditionalFormatting sqref="F33">
    <cfRule type="containsText" dxfId="220" priority="177" operator="containsText" text="Cancelado">
      <formula>NOT(ISERROR(SEARCH("Cancelado",F33)))</formula>
    </cfRule>
  </conditionalFormatting>
  <conditionalFormatting sqref="F34 F37">
    <cfRule type="containsText" dxfId="219" priority="173" operator="containsText" text="Por iniciar">
      <formula>NOT(ISERROR(SEARCH("Por iniciar",F34)))</formula>
    </cfRule>
    <cfRule type="containsText" dxfId="218" priority="174" operator="containsText" text="Wip">
      <formula>NOT(ISERROR(SEARCH("Wip",F34)))</formula>
    </cfRule>
    <cfRule type="containsText" dxfId="217" priority="175" operator="containsText" text="Concluído">
      <formula>NOT(ISERROR(SEARCH("Concluído",F34)))</formula>
    </cfRule>
  </conditionalFormatting>
  <conditionalFormatting sqref="F34 F37">
    <cfRule type="containsText" dxfId="216" priority="171" operator="containsText" text="Bloqueado">
      <formula>NOT(ISERROR(SEARCH("Bloqueado",F34)))</formula>
    </cfRule>
  </conditionalFormatting>
  <conditionalFormatting sqref="F34 F37">
    <cfRule type="containsText" dxfId="215" priority="172" operator="containsText" text="Cancelado">
      <formula>NOT(ISERROR(SEARCH("Cancelado",F34)))</formula>
    </cfRule>
  </conditionalFormatting>
  <conditionalFormatting sqref="F25">
    <cfRule type="containsText" dxfId="214" priority="138" operator="containsText" text="Por iniciar">
      <formula>NOT(ISERROR(SEARCH("Por iniciar",F25)))</formula>
    </cfRule>
    <cfRule type="containsText" dxfId="213" priority="139" operator="containsText" text="Wip">
      <formula>NOT(ISERROR(SEARCH("Wip",F25)))</formula>
    </cfRule>
    <cfRule type="containsText" dxfId="212" priority="140" operator="containsText" text="Concluído">
      <formula>NOT(ISERROR(SEARCH("Concluído",F25)))</formula>
    </cfRule>
  </conditionalFormatting>
  <conditionalFormatting sqref="F25">
    <cfRule type="containsText" dxfId="211" priority="136" operator="containsText" text="Bloqueado">
      <formula>NOT(ISERROR(SEARCH("Bloqueado",F25)))</formula>
    </cfRule>
  </conditionalFormatting>
  <conditionalFormatting sqref="F25">
    <cfRule type="containsText" dxfId="210" priority="137" operator="containsText" text="Cancelado">
      <formula>NOT(ISERROR(SEARCH("Cancelado",F25)))</formula>
    </cfRule>
  </conditionalFormatting>
  <conditionalFormatting sqref="F23">
    <cfRule type="containsText" dxfId="209" priority="146" operator="containsText" text="Bloqueado">
      <formula>NOT(ISERROR(SEARCH("Bloqueado",F23)))</formula>
    </cfRule>
  </conditionalFormatting>
  <conditionalFormatting sqref="F23">
    <cfRule type="containsText" dxfId="208" priority="148" operator="containsText" text="Por iniciar">
      <formula>NOT(ISERROR(SEARCH("Por iniciar",F23)))</formula>
    </cfRule>
    <cfRule type="containsText" dxfId="207" priority="149" operator="containsText" text="Wip">
      <formula>NOT(ISERROR(SEARCH("Wip",F23)))</formula>
    </cfRule>
    <cfRule type="containsText" dxfId="206" priority="150" operator="containsText" text="Concluído">
      <formula>NOT(ISERROR(SEARCH("Concluído",F23)))</formula>
    </cfRule>
  </conditionalFormatting>
  <conditionalFormatting sqref="F23">
    <cfRule type="containsText" dxfId="205" priority="147" operator="containsText" text="Cancelado">
      <formula>NOT(ISERROR(SEARCH("Cancelado",F23)))</formula>
    </cfRule>
  </conditionalFormatting>
  <conditionalFormatting sqref="F24">
    <cfRule type="containsText" dxfId="204" priority="141" operator="containsText" text="Bloqueado">
      <formula>NOT(ISERROR(SEARCH("Bloqueado",F24)))</formula>
    </cfRule>
  </conditionalFormatting>
  <conditionalFormatting sqref="F24">
    <cfRule type="containsText" dxfId="203" priority="143" operator="containsText" text="Por iniciar">
      <formula>NOT(ISERROR(SEARCH("Por iniciar",F24)))</formula>
    </cfRule>
    <cfRule type="containsText" dxfId="202" priority="144" operator="containsText" text="Wip">
      <formula>NOT(ISERROR(SEARCH("Wip",F24)))</formula>
    </cfRule>
    <cfRule type="containsText" dxfId="201" priority="145" operator="containsText" text="Concluído">
      <formula>NOT(ISERROR(SEARCH("Concluído",F24)))</formula>
    </cfRule>
  </conditionalFormatting>
  <conditionalFormatting sqref="F24">
    <cfRule type="containsText" dxfId="200" priority="142" operator="containsText" text="Cancelado">
      <formula>NOT(ISERROR(SEARCH("Cancelado",F24)))</formula>
    </cfRule>
  </conditionalFormatting>
  <conditionalFormatting sqref="F27">
    <cfRule type="containsText" dxfId="199" priority="131" operator="containsText" text="Bloqueado">
      <formula>NOT(ISERROR(SEARCH("Bloqueado",F27)))</formula>
    </cfRule>
  </conditionalFormatting>
  <conditionalFormatting sqref="F27">
    <cfRule type="containsText" dxfId="198" priority="133" operator="containsText" text="Por iniciar">
      <formula>NOT(ISERROR(SEARCH("Por iniciar",F27)))</formula>
    </cfRule>
    <cfRule type="containsText" dxfId="197" priority="134" operator="containsText" text="Wip">
      <formula>NOT(ISERROR(SEARCH("Wip",F27)))</formula>
    </cfRule>
    <cfRule type="containsText" dxfId="196" priority="135" operator="containsText" text="Concluído">
      <formula>NOT(ISERROR(SEARCH("Concluído",F27)))</formula>
    </cfRule>
  </conditionalFormatting>
  <conditionalFormatting sqref="F27">
    <cfRule type="containsText" dxfId="195" priority="132" operator="containsText" text="Cancelado">
      <formula>NOT(ISERROR(SEARCH("Cancelado",F27)))</formula>
    </cfRule>
  </conditionalFormatting>
  <conditionalFormatting sqref="F21">
    <cfRule type="containsText" dxfId="194" priority="118" operator="containsText" text="Por iniciar">
      <formula>NOT(ISERROR(SEARCH("Por iniciar",F21)))</formula>
    </cfRule>
    <cfRule type="containsText" dxfId="193" priority="119" operator="containsText" text="Wip">
      <formula>NOT(ISERROR(SEARCH("Wip",F21)))</formula>
    </cfRule>
    <cfRule type="containsText" dxfId="192" priority="120" operator="containsText" text="Concluído">
      <formula>NOT(ISERROR(SEARCH("Concluído",F21)))</formula>
    </cfRule>
  </conditionalFormatting>
  <conditionalFormatting sqref="F21">
    <cfRule type="containsText" dxfId="191" priority="116" operator="containsText" text="Bloqueado">
      <formula>NOT(ISERROR(SEARCH("Bloqueado",F21)))</formula>
    </cfRule>
  </conditionalFormatting>
  <conditionalFormatting sqref="F21">
    <cfRule type="containsText" dxfId="190" priority="117" operator="containsText" text="Cancelado">
      <formula>NOT(ISERROR(SEARCH("Cancelado",F21)))</formula>
    </cfRule>
  </conditionalFormatting>
  <conditionalFormatting sqref="F39">
    <cfRule type="containsText" dxfId="189" priority="106" operator="containsText" text="Bloqueado">
      <formula>NOT(ISERROR(SEARCH("Bloqueado",F39)))</formula>
    </cfRule>
  </conditionalFormatting>
  <conditionalFormatting sqref="F39">
    <cfRule type="containsText" dxfId="188" priority="108" operator="containsText" text="Por iniciar">
      <formula>NOT(ISERROR(SEARCH("Por iniciar",F39)))</formula>
    </cfRule>
    <cfRule type="containsText" dxfId="187" priority="109" operator="containsText" text="Wip">
      <formula>NOT(ISERROR(SEARCH("Wip",F39)))</formula>
    </cfRule>
    <cfRule type="containsText" dxfId="186" priority="110" operator="containsText" text="Concluído">
      <formula>NOT(ISERROR(SEARCH("Concluído",F39)))</formula>
    </cfRule>
  </conditionalFormatting>
  <conditionalFormatting sqref="F39">
    <cfRule type="containsText" dxfId="185" priority="107" operator="containsText" text="Cancelado">
      <formula>NOT(ISERROR(SEARCH("Cancelado",F39)))</formula>
    </cfRule>
  </conditionalFormatting>
  <conditionalFormatting sqref="F48">
    <cfRule type="containsText" dxfId="184" priority="101" operator="containsText" text="Bloqueado">
      <formula>NOT(ISERROR(SEARCH("Bloqueado",F48)))</formula>
    </cfRule>
  </conditionalFormatting>
  <conditionalFormatting sqref="F48">
    <cfRule type="containsText" dxfId="183" priority="103" operator="containsText" text="Por iniciar">
      <formula>NOT(ISERROR(SEARCH("Por iniciar",F48)))</formula>
    </cfRule>
    <cfRule type="containsText" dxfId="182" priority="104" operator="containsText" text="Wip">
      <formula>NOT(ISERROR(SEARCH("Wip",F48)))</formula>
    </cfRule>
    <cfRule type="containsText" dxfId="181" priority="105" operator="containsText" text="Concluído">
      <formula>NOT(ISERROR(SEARCH("Concluído",F48)))</formula>
    </cfRule>
  </conditionalFormatting>
  <conditionalFormatting sqref="F48">
    <cfRule type="containsText" dxfId="180" priority="102" operator="containsText" text="Cancelado">
      <formula>NOT(ISERROR(SEARCH("Cancelado",F48)))</formula>
    </cfRule>
  </conditionalFormatting>
  <conditionalFormatting sqref="F49">
    <cfRule type="containsText" dxfId="179" priority="96" operator="containsText" text="Bloqueado">
      <formula>NOT(ISERROR(SEARCH("Bloqueado",F49)))</formula>
    </cfRule>
  </conditionalFormatting>
  <conditionalFormatting sqref="F49">
    <cfRule type="containsText" dxfId="178" priority="98" operator="containsText" text="Por iniciar">
      <formula>NOT(ISERROR(SEARCH("Por iniciar",F49)))</formula>
    </cfRule>
    <cfRule type="containsText" dxfId="177" priority="99" operator="containsText" text="Wip">
      <formula>NOT(ISERROR(SEARCH("Wip",F49)))</formula>
    </cfRule>
    <cfRule type="containsText" dxfId="176" priority="100" operator="containsText" text="Concluído">
      <formula>NOT(ISERROR(SEARCH("Concluído",F49)))</formula>
    </cfRule>
  </conditionalFormatting>
  <conditionalFormatting sqref="F49">
    <cfRule type="containsText" dxfId="175" priority="97" operator="containsText" text="Cancelado">
      <formula>NOT(ISERROR(SEARCH("Cancelado",F49)))</formula>
    </cfRule>
  </conditionalFormatting>
  <conditionalFormatting sqref="F38">
    <cfRule type="containsText" dxfId="174" priority="86" operator="containsText" text="Bloqueado">
      <formula>NOT(ISERROR(SEARCH("Bloqueado",F38)))</formula>
    </cfRule>
  </conditionalFormatting>
  <conditionalFormatting sqref="F38">
    <cfRule type="containsText" dxfId="173" priority="88" operator="containsText" text="Por iniciar">
      <formula>NOT(ISERROR(SEARCH("Por iniciar",F38)))</formula>
    </cfRule>
    <cfRule type="containsText" dxfId="172" priority="89" operator="containsText" text="Wip">
      <formula>NOT(ISERROR(SEARCH("Wip",F38)))</formula>
    </cfRule>
    <cfRule type="containsText" dxfId="171" priority="90" operator="containsText" text="Concluído">
      <formula>NOT(ISERROR(SEARCH("Concluído",F38)))</formula>
    </cfRule>
  </conditionalFormatting>
  <conditionalFormatting sqref="F38">
    <cfRule type="containsText" dxfId="170" priority="87" operator="containsText" text="Cancelado">
      <formula>NOT(ISERROR(SEARCH("Cancelado",F38)))</formula>
    </cfRule>
  </conditionalFormatting>
  <conditionalFormatting sqref="F42">
    <cfRule type="containsText" dxfId="169" priority="81" operator="containsText" text="Bloqueado">
      <formula>NOT(ISERROR(SEARCH("Bloqueado",F42)))</formula>
    </cfRule>
  </conditionalFormatting>
  <conditionalFormatting sqref="F42">
    <cfRule type="containsText" dxfId="168" priority="83" operator="containsText" text="Por iniciar">
      <formula>NOT(ISERROR(SEARCH("Por iniciar",F42)))</formula>
    </cfRule>
    <cfRule type="containsText" dxfId="167" priority="84" operator="containsText" text="Wip">
      <formula>NOT(ISERROR(SEARCH("Wip",F42)))</formula>
    </cfRule>
    <cfRule type="containsText" dxfId="166" priority="85" operator="containsText" text="Concluído">
      <formula>NOT(ISERROR(SEARCH("Concluído",F42)))</formula>
    </cfRule>
  </conditionalFormatting>
  <conditionalFormatting sqref="F42">
    <cfRule type="containsText" dxfId="165" priority="82" operator="containsText" text="Cancelado">
      <formula>NOT(ISERROR(SEARCH("Cancelado",F42)))</formula>
    </cfRule>
  </conditionalFormatting>
  <conditionalFormatting sqref="F43">
    <cfRule type="containsText" dxfId="164" priority="76" operator="containsText" text="Bloqueado">
      <formula>NOT(ISERROR(SEARCH("Bloqueado",F43)))</formula>
    </cfRule>
  </conditionalFormatting>
  <conditionalFormatting sqref="F43">
    <cfRule type="containsText" dxfId="163" priority="78" operator="containsText" text="Por iniciar">
      <formula>NOT(ISERROR(SEARCH("Por iniciar",F43)))</formula>
    </cfRule>
    <cfRule type="containsText" dxfId="162" priority="79" operator="containsText" text="Wip">
      <formula>NOT(ISERROR(SEARCH("Wip",F43)))</formula>
    </cfRule>
    <cfRule type="containsText" dxfId="161" priority="80" operator="containsText" text="Concluído">
      <formula>NOT(ISERROR(SEARCH("Concluído",F43)))</formula>
    </cfRule>
  </conditionalFormatting>
  <conditionalFormatting sqref="F43">
    <cfRule type="containsText" dxfId="160" priority="77" operator="containsText" text="Cancelado">
      <formula>NOT(ISERROR(SEARCH("Cancelado",F43)))</formula>
    </cfRule>
  </conditionalFormatting>
  <conditionalFormatting sqref="F32">
    <cfRule type="containsText" dxfId="159" priority="56" operator="containsText" text="Bloqueado">
      <formula>NOT(ISERROR(SEARCH("Bloqueado",F32)))</formula>
    </cfRule>
  </conditionalFormatting>
  <conditionalFormatting sqref="F32">
    <cfRule type="containsText" dxfId="158" priority="58" operator="containsText" text="Por iniciar">
      <formula>NOT(ISERROR(SEARCH("Por iniciar",F32)))</formula>
    </cfRule>
    <cfRule type="containsText" dxfId="157" priority="59" operator="containsText" text="Wip">
      <formula>NOT(ISERROR(SEARCH("Wip",F32)))</formula>
    </cfRule>
    <cfRule type="containsText" dxfId="156" priority="60" operator="containsText" text="Concluído">
      <formula>NOT(ISERROR(SEARCH("Concluído",F32)))</formula>
    </cfRule>
  </conditionalFormatting>
  <conditionalFormatting sqref="F32">
    <cfRule type="containsText" dxfId="155" priority="57" operator="containsText" text="Cancelado">
      <formula>NOT(ISERROR(SEARCH("Cancelado",F32)))</formula>
    </cfRule>
  </conditionalFormatting>
  <conditionalFormatting sqref="F45">
    <cfRule type="containsText" dxfId="154" priority="66" operator="containsText" text="Bloqueado">
      <formula>NOT(ISERROR(SEARCH("Bloqueado",F45)))</formula>
    </cfRule>
  </conditionalFormatting>
  <conditionalFormatting sqref="F45">
    <cfRule type="containsText" dxfId="153" priority="68" operator="containsText" text="Por iniciar">
      <formula>NOT(ISERROR(SEARCH("Por iniciar",F45)))</formula>
    </cfRule>
    <cfRule type="containsText" dxfId="152" priority="69" operator="containsText" text="Wip">
      <formula>NOT(ISERROR(SEARCH("Wip",F45)))</formula>
    </cfRule>
    <cfRule type="containsText" dxfId="151" priority="70" operator="containsText" text="Concluído">
      <formula>NOT(ISERROR(SEARCH("Concluído",F45)))</formula>
    </cfRule>
  </conditionalFormatting>
  <conditionalFormatting sqref="F45">
    <cfRule type="containsText" dxfId="150" priority="67" operator="containsText" text="Cancelado">
      <formula>NOT(ISERROR(SEARCH("Cancelado",F45)))</formula>
    </cfRule>
  </conditionalFormatting>
  <conditionalFormatting sqref="F47">
    <cfRule type="containsText" dxfId="149" priority="61" operator="containsText" text="Bloqueado">
      <formula>NOT(ISERROR(SEARCH("Bloqueado",F47)))</formula>
    </cfRule>
  </conditionalFormatting>
  <conditionalFormatting sqref="F47">
    <cfRule type="containsText" dxfId="148" priority="63" operator="containsText" text="Por iniciar">
      <formula>NOT(ISERROR(SEARCH("Por iniciar",F47)))</formula>
    </cfRule>
    <cfRule type="containsText" dxfId="147" priority="64" operator="containsText" text="Wip">
      <formula>NOT(ISERROR(SEARCH("Wip",F47)))</formula>
    </cfRule>
    <cfRule type="containsText" dxfId="146" priority="65" operator="containsText" text="Concluído">
      <formula>NOT(ISERROR(SEARCH("Concluído",F47)))</formula>
    </cfRule>
  </conditionalFormatting>
  <conditionalFormatting sqref="F47">
    <cfRule type="containsText" dxfId="145" priority="62" operator="containsText" text="Cancelado">
      <formula>NOT(ISERROR(SEARCH("Cancelado",F47)))</formula>
    </cfRule>
  </conditionalFormatting>
  <conditionalFormatting sqref="F28">
    <cfRule type="containsText" dxfId="144" priority="51" operator="containsText" text="Bloqueado">
      <formula>NOT(ISERROR(SEARCH("Bloqueado",F28)))</formula>
    </cfRule>
  </conditionalFormatting>
  <conditionalFormatting sqref="F28">
    <cfRule type="containsText" dxfId="143" priority="53" operator="containsText" text="Por iniciar">
      <formula>NOT(ISERROR(SEARCH("Por iniciar",F28)))</formula>
    </cfRule>
    <cfRule type="containsText" dxfId="142" priority="54" operator="containsText" text="Wip">
      <formula>NOT(ISERROR(SEARCH("Wip",F28)))</formula>
    </cfRule>
    <cfRule type="containsText" dxfId="141" priority="55" operator="containsText" text="Concluído">
      <formula>NOT(ISERROR(SEARCH("Concluído",F28)))</formula>
    </cfRule>
  </conditionalFormatting>
  <conditionalFormatting sqref="F28">
    <cfRule type="containsText" dxfId="140" priority="52" operator="containsText" text="Cancelado">
      <formula>NOT(ISERROR(SEARCH("Cancelado",F28)))</formula>
    </cfRule>
  </conditionalFormatting>
  <conditionalFormatting sqref="F29">
    <cfRule type="containsText" dxfId="139" priority="46" operator="containsText" text="Bloqueado">
      <formula>NOT(ISERROR(SEARCH("Bloqueado",F29)))</formula>
    </cfRule>
  </conditionalFormatting>
  <conditionalFormatting sqref="F29">
    <cfRule type="containsText" dxfId="138" priority="48" operator="containsText" text="Por iniciar">
      <formula>NOT(ISERROR(SEARCH("Por iniciar",F29)))</formula>
    </cfRule>
    <cfRule type="containsText" dxfId="137" priority="49" operator="containsText" text="Wip">
      <formula>NOT(ISERROR(SEARCH("Wip",F29)))</formula>
    </cfRule>
    <cfRule type="containsText" dxfId="136" priority="50" operator="containsText" text="Concluído">
      <formula>NOT(ISERROR(SEARCH("Concluído",F29)))</formula>
    </cfRule>
  </conditionalFormatting>
  <conditionalFormatting sqref="F29">
    <cfRule type="containsText" dxfId="135" priority="47" operator="containsText" text="Cancelado">
      <formula>NOT(ISERROR(SEARCH("Cancelado",F29)))</formula>
    </cfRule>
  </conditionalFormatting>
  <conditionalFormatting sqref="F30">
    <cfRule type="containsText" dxfId="134" priority="41" operator="containsText" text="Bloqueado">
      <formula>NOT(ISERROR(SEARCH("Bloqueado",F30)))</formula>
    </cfRule>
  </conditionalFormatting>
  <conditionalFormatting sqref="F30">
    <cfRule type="containsText" dxfId="133" priority="43" operator="containsText" text="Por iniciar">
      <formula>NOT(ISERROR(SEARCH("Por iniciar",F30)))</formula>
    </cfRule>
    <cfRule type="containsText" dxfId="132" priority="44" operator="containsText" text="Wip">
      <formula>NOT(ISERROR(SEARCH("Wip",F30)))</formula>
    </cfRule>
    <cfRule type="containsText" dxfId="131" priority="45" operator="containsText" text="Concluído">
      <formula>NOT(ISERROR(SEARCH("Concluído",F30)))</formula>
    </cfRule>
  </conditionalFormatting>
  <conditionalFormatting sqref="F30">
    <cfRule type="containsText" dxfId="130" priority="42" operator="containsText" text="Cancelado">
      <formula>NOT(ISERROR(SEARCH("Cancelado",F30)))</formula>
    </cfRule>
  </conditionalFormatting>
  <conditionalFormatting sqref="F41">
    <cfRule type="containsText" dxfId="129" priority="36" operator="containsText" text="Bloqueado">
      <formula>NOT(ISERROR(SEARCH("Bloqueado",F41)))</formula>
    </cfRule>
  </conditionalFormatting>
  <conditionalFormatting sqref="F41">
    <cfRule type="containsText" dxfId="128" priority="38" operator="containsText" text="Por iniciar">
      <formula>NOT(ISERROR(SEARCH("Por iniciar",F41)))</formula>
    </cfRule>
    <cfRule type="containsText" dxfId="127" priority="39" operator="containsText" text="Wip">
      <formula>NOT(ISERROR(SEARCH("Wip",F41)))</formula>
    </cfRule>
    <cfRule type="containsText" dxfId="126" priority="40" operator="containsText" text="Concluído">
      <formula>NOT(ISERROR(SEARCH("Concluído",F41)))</formula>
    </cfRule>
  </conditionalFormatting>
  <conditionalFormatting sqref="F41">
    <cfRule type="containsText" dxfId="125" priority="37" operator="containsText" text="Cancelado">
      <formula>NOT(ISERROR(SEARCH("Cancelado",F41)))</formula>
    </cfRule>
  </conditionalFormatting>
  <conditionalFormatting sqref="F40">
    <cfRule type="containsText" dxfId="124" priority="31" operator="containsText" text="Bloqueado">
      <formula>NOT(ISERROR(SEARCH("Bloqueado",F40)))</formula>
    </cfRule>
  </conditionalFormatting>
  <conditionalFormatting sqref="F40">
    <cfRule type="containsText" dxfId="123" priority="33" operator="containsText" text="Por iniciar">
      <formula>NOT(ISERROR(SEARCH("Por iniciar",F40)))</formula>
    </cfRule>
    <cfRule type="containsText" dxfId="122" priority="34" operator="containsText" text="Wip">
      <formula>NOT(ISERROR(SEARCH("Wip",F40)))</formula>
    </cfRule>
    <cfRule type="containsText" dxfId="121" priority="35" operator="containsText" text="Concluído">
      <formula>NOT(ISERROR(SEARCH("Concluído",F40)))</formula>
    </cfRule>
  </conditionalFormatting>
  <conditionalFormatting sqref="F40">
    <cfRule type="containsText" dxfId="120" priority="32" operator="containsText" text="Cancelado">
      <formula>NOT(ISERROR(SEARCH("Cancelado",F40)))</formula>
    </cfRule>
  </conditionalFormatting>
  <conditionalFormatting sqref="F44">
    <cfRule type="containsText" dxfId="119" priority="26" operator="containsText" text="Bloqueado">
      <formula>NOT(ISERROR(SEARCH("Bloqueado",F44)))</formula>
    </cfRule>
  </conditionalFormatting>
  <conditionalFormatting sqref="F44">
    <cfRule type="containsText" dxfId="118" priority="28" operator="containsText" text="Por iniciar">
      <formula>NOT(ISERROR(SEARCH("Por iniciar",F44)))</formula>
    </cfRule>
    <cfRule type="containsText" dxfId="117" priority="29" operator="containsText" text="Wip">
      <formula>NOT(ISERROR(SEARCH("Wip",F44)))</formula>
    </cfRule>
    <cfRule type="containsText" dxfId="116" priority="30" operator="containsText" text="Concluído">
      <formula>NOT(ISERROR(SEARCH("Concluído",F44)))</formula>
    </cfRule>
  </conditionalFormatting>
  <conditionalFormatting sqref="F44">
    <cfRule type="containsText" dxfId="115" priority="27" operator="containsText" text="Cancelado">
      <formula>NOT(ISERROR(SEARCH("Cancelado",F44)))</formula>
    </cfRule>
  </conditionalFormatting>
  <conditionalFormatting sqref="F46">
    <cfRule type="containsText" dxfId="114" priority="21" operator="containsText" text="Bloqueado">
      <formula>NOT(ISERROR(SEARCH("Bloqueado",F46)))</formula>
    </cfRule>
  </conditionalFormatting>
  <conditionalFormatting sqref="F46">
    <cfRule type="containsText" dxfId="113" priority="23" operator="containsText" text="Por iniciar">
      <formula>NOT(ISERROR(SEARCH("Por iniciar",F46)))</formula>
    </cfRule>
    <cfRule type="containsText" dxfId="112" priority="24" operator="containsText" text="Wip">
      <formula>NOT(ISERROR(SEARCH("Wip",F46)))</formula>
    </cfRule>
    <cfRule type="containsText" dxfId="111" priority="25" operator="containsText" text="Concluído">
      <formula>NOT(ISERROR(SEARCH("Concluído",F46)))</formula>
    </cfRule>
  </conditionalFormatting>
  <conditionalFormatting sqref="F46">
    <cfRule type="containsText" dxfId="110" priority="22" operator="containsText" text="Cancelado">
      <formula>NOT(ISERROR(SEARCH("Cancelado",F46)))</formula>
    </cfRule>
  </conditionalFormatting>
  <conditionalFormatting sqref="F50">
    <cfRule type="containsText" dxfId="109" priority="16" operator="containsText" text="Bloqueado">
      <formula>NOT(ISERROR(SEARCH("Bloqueado",F50)))</formula>
    </cfRule>
  </conditionalFormatting>
  <conditionalFormatting sqref="F50">
    <cfRule type="containsText" dxfId="108" priority="18" operator="containsText" text="Por iniciar">
      <formula>NOT(ISERROR(SEARCH("Por iniciar",F50)))</formula>
    </cfRule>
    <cfRule type="containsText" dxfId="107" priority="19" operator="containsText" text="Wip">
      <formula>NOT(ISERROR(SEARCH("Wip",F50)))</formula>
    </cfRule>
    <cfRule type="containsText" dxfId="106" priority="20" operator="containsText" text="Concluído">
      <formula>NOT(ISERROR(SEARCH("Concluído",F50)))</formula>
    </cfRule>
  </conditionalFormatting>
  <conditionalFormatting sqref="F50">
    <cfRule type="containsText" dxfId="105" priority="17" operator="containsText" text="Cancelado">
      <formula>NOT(ISERROR(SEARCH("Cancelado",F50)))</formula>
    </cfRule>
  </conditionalFormatting>
  <conditionalFormatting sqref="F36">
    <cfRule type="containsText" dxfId="104" priority="11" operator="containsText" text="Bloqueado">
      <formula>NOT(ISERROR(SEARCH("Bloqueado",F36)))</formula>
    </cfRule>
  </conditionalFormatting>
  <conditionalFormatting sqref="F36">
    <cfRule type="containsText" dxfId="103" priority="13" operator="containsText" text="Por iniciar">
      <formula>NOT(ISERROR(SEARCH("Por iniciar",F36)))</formula>
    </cfRule>
    <cfRule type="containsText" dxfId="102" priority="14" operator="containsText" text="Wip">
      <formula>NOT(ISERROR(SEARCH("Wip",F36)))</formula>
    </cfRule>
    <cfRule type="containsText" dxfId="101" priority="15" operator="containsText" text="Concluído">
      <formula>NOT(ISERROR(SEARCH("Concluído",F36)))</formula>
    </cfRule>
  </conditionalFormatting>
  <conditionalFormatting sqref="F36">
    <cfRule type="containsText" dxfId="100" priority="12" operator="containsText" text="Cancelado">
      <formula>NOT(ISERROR(SEARCH("Cancelado",F36)))</formula>
    </cfRule>
  </conditionalFormatting>
  <conditionalFormatting sqref="F35">
    <cfRule type="containsText" dxfId="99" priority="6" operator="containsText" text="Bloqueado">
      <formula>NOT(ISERROR(SEARCH("Bloqueado",F35)))</formula>
    </cfRule>
  </conditionalFormatting>
  <conditionalFormatting sqref="F35">
    <cfRule type="containsText" dxfId="98" priority="8" operator="containsText" text="Por iniciar">
      <formula>NOT(ISERROR(SEARCH("Por iniciar",F35)))</formula>
    </cfRule>
    <cfRule type="containsText" dxfId="97" priority="9" operator="containsText" text="Wip">
      <formula>NOT(ISERROR(SEARCH("Wip",F35)))</formula>
    </cfRule>
    <cfRule type="containsText" dxfId="96" priority="10" operator="containsText" text="Concluído">
      <formula>NOT(ISERROR(SEARCH("Concluído",F35)))</formula>
    </cfRule>
  </conditionalFormatting>
  <conditionalFormatting sqref="F35">
    <cfRule type="containsText" dxfId="95" priority="7" operator="containsText" text="Cancelado">
      <formula>NOT(ISERROR(SEARCH("Cancelado",F35)))</formula>
    </cfRule>
  </conditionalFormatting>
  <conditionalFormatting sqref="F51">
    <cfRule type="containsText" dxfId="94" priority="1" operator="containsText" text="Bloqueado">
      <formula>NOT(ISERROR(SEARCH("Bloqueado",F51)))</formula>
    </cfRule>
  </conditionalFormatting>
  <conditionalFormatting sqref="F51">
    <cfRule type="containsText" dxfId="93" priority="3" operator="containsText" text="Por iniciar">
      <formula>NOT(ISERROR(SEARCH("Por iniciar",F51)))</formula>
    </cfRule>
    <cfRule type="containsText" dxfId="92" priority="4" operator="containsText" text="Wip">
      <formula>NOT(ISERROR(SEARCH("Wip",F51)))</formula>
    </cfRule>
    <cfRule type="containsText" dxfId="91" priority="5" operator="containsText" text="Concluído">
      <formula>NOT(ISERROR(SEARCH("Concluído",F51)))</formula>
    </cfRule>
  </conditionalFormatting>
  <conditionalFormatting sqref="F51">
    <cfRule type="containsText" dxfId="90" priority="2" operator="containsText" text="Cancelado">
      <formula>NOT(ISERROR(SEARCH("Cancelado",F51)))</formula>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W19"/>
  <sheetViews>
    <sheetView showGridLines="0" workbookViewId="0">
      <selection activeCell="B21" sqref="B21"/>
    </sheetView>
  </sheetViews>
  <sheetFormatPr defaultRowHeight="14.4" x14ac:dyDescent="0.3"/>
  <cols>
    <col min="1" max="1" width="2.109375" style="32" customWidth="1"/>
    <col min="2" max="2" width="33.6640625" style="32" bestFit="1" customWidth="1"/>
    <col min="3" max="3" width="21.6640625" style="32" bestFit="1" customWidth="1"/>
    <col min="4" max="4" width="26.5546875" style="32" bestFit="1" customWidth="1"/>
    <col min="5" max="5" width="23.6640625" style="32" bestFit="1" customWidth="1"/>
    <col min="6" max="6" width="28.5546875" style="32" bestFit="1" customWidth="1"/>
    <col min="7" max="7" width="20.109375" style="32" bestFit="1" customWidth="1"/>
    <col min="8" max="8" width="25" style="32" bestFit="1" customWidth="1"/>
    <col min="9" max="9" width="22.5546875" style="32" bestFit="1" customWidth="1"/>
    <col min="10" max="10" width="27.44140625" style="32" bestFit="1" customWidth="1"/>
    <col min="11" max="11" width="22.5546875" style="32" customWidth="1"/>
    <col min="12" max="12" width="17.5546875" style="32" bestFit="1" customWidth="1"/>
    <col min="13" max="13" width="22.44140625" style="32" bestFit="1" customWidth="1"/>
    <col min="14" max="14" width="17.5546875" style="32" bestFit="1" customWidth="1"/>
    <col min="15" max="15" width="16.5546875" style="32" bestFit="1" customWidth="1"/>
    <col min="16" max="16" width="21.5546875" style="32" bestFit="1" customWidth="1"/>
    <col min="17" max="17" width="16.5546875" style="32" bestFit="1" customWidth="1"/>
    <col min="18" max="18" width="22.88671875" style="32" bestFit="1" customWidth="1"/>
    <col min="19" max="19" width="27.77734375" style="32" bestFit="1" customWidth="1"/>
    <col min="20" max="20" width="22.88671875" style="32" bestFit="1" customWidth="1"/>
    <col min="21" max="21" width="21.33203125" style="32" bestFit="1" customWidth="1"/>
    <col min="22" max="22" width="26.21875" style="32" bestFit="1" customWidth="1"/>
    <col min="23" max="23" width="21.33203125" style="32" bestFit="1" customWidth="1"/>
    <col min="24" max="24" width="13.77734375" style="32" customWidth="1"/>
    <col min="25" max="25" width="15.77734375" style="32" bestFit="1" customWidth="1"/>
    <col min="26" max="26" width="14.5546875" style="32" bestFit="1" customWidth="1"/>
    <col min="27" max="27" width="10.5546875" style="32" customWidth="1"/>
    <col min="28" max="28" width="12.44140625" style="32" bestFit="1" customWidth="1"/>
    <col min="29" max="29" width="12.33203125" style="32" customWidth="1"/>
    <col min="30" max="30" width="16.88671875" style="32" customWidth="1"/>
    <col min="31" max="31" width="11.5546875" style="32" bestFit="1" customWidth="1"/>
    <col min="32" max="32" width="11.44140625" style="32" bestFit="1" customWidth="1"/>
    <col min="33" max="33" width="16" style="32" bestFit="1" customWidth="1"/>
    <col min="34" max="34" width="17.77734375" style="32" bestFit="1" customWidth="1"/>
    <col min="35" max="35" width="17.6640625" style="32" bestFit="1" customWidth="1"/>
    <col min="36" max="36" width="22.21875" style="32" bestFit="1" customWidth="1"/>
    <col min="37" max="37" width="9.5546875" style="32" bestFit="1" customWidth="1"/>
    <col min="38" max="38" width="15.21875" style="32" bestFit="1" customWidth="1"/>
    <col min="39" max="39" width="10.5546875" style="32" bestFit="1" customWidth="1"/>
    <col min="40" max="40" width="10.33203125" style="32" bestFit="1" customWidth="1"/>
    <col min="41" max="41" width="14.44140625" style="32" bestFit="1" customWidth="1"/>
    <col min="42" max="42" width="13.44140625" style="32" bestFit="1" customWidth="1"/>
    <col min="43" max="43" width="16.6640625" style="32" bestFit="1" customWidth="1"/>
    <col min="44" max="44" width="6.6640625" style="32" customWidth="1"/>
    <col min="45" max="45" width="8.109375" style="32" customWidth="1"/>
    <col min="46" max="46" width="21.77734375" style="32" bestFit="1" customWidth="1"/>
    <col min="47" max="47" width="10.33203125" style="32" bestFit="1" customWidth="1"/>
    <col min="48" max="16384" width="8.88671875" style="32"/>
  </cols>
  <sheetData>
    <row r="1" spans="1:23" s="3" customFormat="1" x14ac:dyDescent="0.3">
      <c r="A1"/>
      <c r="B1" s="51" t="s">
        <v>1434</v>
      </c>
      <c r="C1" s="52"/>
      <c r="D1" s="52"/>
      <c r="E1" s="52"/>
    </row>
    <row r="2" spans="1:23" s="3" customFormat="1" x14ac:dyDescent="0.3">
      <c r="A2"/>
      <c r="B2"/>
      <c r="C2"/>
      <c r="D2"/>
      <c r="E2"/>
    </row>
    <row r="3" spans="1:23" s="60" customFormat="1" x14ac:dyDescent="0.3">
      <c r="A3"/>
      <c r="B3" s="57" t="s">
        <v>1435</v>
      </c>
      <c r="C3" s="58"/>
      <c r="D3" s="58"/>
      <c r="E3" s="58"/>
    </row>
    <row r="4" spans="1:23" customFormat="1" x14ac:dyDescent="0.3">
      <c r="B4" s="59"/>
      <c r="C4" s="60"/>
      <c r="D4" s="60"/>
      <c r="E4" s="60"/>
      <c r="F4" s="92"/>
      <c r="G4" s="92"/>
      <c r="H4" s="92"/>
      <c r="I4" s="92"/>
      <c r="J4" s="92"/>
    </row>
    <row r="5" spans="1:23" s="60" customFormat="1" x14ac:dyDescent="0.3">
      <c r="A5" s="3"/>
      <c r="B5" s="88" t="s">
        <v>1436</v>
      </c>
      <c r="C5" s="89"/>
      <c r="D5" s="89"/>
      <c r="E5" s="90"/>
    </row>
    <row r="6" spans="1:23" customFormat="1" x14ac:dyDescent="0.3">
      <c r="B6" s="59"/>
      <c r="C6" s="60"/>
      <c r="D6" s="60"/>
      <c r="E6" s="60"/>
    </row>
    <row r="7" spans="1:23" x14ac:dyDescent="0.3">
      <c r="B7" s="54" t="s">
        <v>1090</v>
      </c>
      <c r="C7" s="54" t="s">
        <v>189</v>
      </c>
      <c r="D7" s="54" t="s">
        <v>190</v>
      </c>
      <c r="E7" s="54" t="s">
        <v>191</v>
      </c>
      <c r="F7" s="54" t="s">
        <v>1390</v>
      </c>
      <c r="G7" s="54" t="s">
        <v>1391</v>
      </c>
      <c r="H7" s="54" t="s">
        <v>1392</v>
      </c>
      <c r="I7" s="54" t="s">
        <v>1378</v>
      </c>
      <c r="J7" s="54" t="s">
        <v>1393</v>
      </c>
      <c r="K7" s="54" t="s">
        <v>1394</v>
      </c>
      <c r="L7" s="54" t="s">
        <v>1395</v>
      </c>
      <c r="M7" s="54" t="s">
        <v>1396</v>
      </c>
      <c r="N7" s="54" t="s">
        <v>1397</v>
      </c>
      <c r="O7" s="54" t="s">
        <v>1398</v>
      </c>
      <c r="P7" s="54" t="s">
        <v>1399</v>
      </c>
      <c r="Q7" s="54" t="s">
        <v>1400</v>
      </c>
      <c r="R7" s="54" t="s">
        <v>1401</v>
      </c>
      <c r="S7" s="54" t="s">
        <v>1402</v>
      </c>
      <c r="T7" s="54" t="s">
        <v>957</v>
      </c>
      <c r="U7" s="54" t="s">
        <v>192</v>
      </c>
      <c r="V7" s="54" t="s">
        <v>193</v>
      </c>
      <c r="W7" s="54" t="s">
        <v>237</v>
      </c>
    </row>
    <row r="8" spans="1:23" x14ac:dyDescent="0.3">
      <c r="B8" s="32" t="s">
        <v>979</v>
      </c>
      <c r="C8" s="32" t="s">
        <v>257</v>
      </c>
      <c r="D8" s="32" t="s">
        <v>1099</v>
      </c>
      <c r="E8" s="32" t="s">
        <v>963</v>
      </c>
      <c r="F8" s="32" t="s">
        <v>1415</v>
      </c>
      <c r="G8" s="32" t="s">
        <v>1416</v>
      </c>
      <c r="H8" s="32" t="s">
        <v>1260</v>
      </c>
      <c r="I8" s="32" t="s">
        <v>1417</v>
      </c>
      <c r="J8" s="32" t="s">
        <v>1418</v>
      </c>
      <c r="K8" s="32" t="s">
        <v>1419</v>
      </c>
      <c r="L8" s="32" t="s">
        <v>1403</v>
      </c>
      <c r="M8" s="32" t="s">
        <v>1420</v>
      </c>
      <c r="N8" s="32" t="s">
        <v>1404</v>
      </c>
      <c r="O8" s="32" t="s">
        <v>1100</v>
      </c>
      <c r="P8" s="32" t="s">
        <v>967</v>
      </c>
      <c r="Q8" s="32" t="s">
        <v>242</v>
      </c>
      <c r="R8" s="32" t="s">
        <v>1404</v>
      </c>
      <c r="S8" s="32" t="s">
        <v>1421</v>
      </c>
      <c r="T8" s="32" t="s">
        <v>958</v>
      </c>
      <c r="U8" s="32" t="s">
        <v>1405</v>
      </c>
      <c r="V8" s="32" t="s">
        <v>967</v>
      </c>
      <c r="W8" s="32" t="s">
        <v>1406</v>
      </c>
    </row>
    <row r="9" spans="1:23" x14ac:dyDescent="0.3">
      <c r="B9" s="32" t="s">
        <v>979</v>
      </c>
      <c r="C9" s="32" t="s">
        <v>257</v>
      </c>
      <c r="D9" s="32" t="s">
        <v>1096</v>
      </c>
      <c r="E9" s="32" t="s">
        <v>963</v>
      </c>
      <c r="F9" s="32" t="s">
        <v>1422</v>
      </c>
      <c r="G9" s="32" t="s">
        <v>1416</v>
      </c>
      <c r="H9" s="32" t="s">
        <v>1260</v>
      </c>
      <c r="I9" s="32" t="s">
        <v>1423</v>
      </c>
      <c r="J9" s="32" t="s">
        <v>1424</v>
      </c>
      <c r="K9" s="32" t="s">
        <v>1425</v>
      </c>
      <c r="L9" s="32" t="s">
        <v>1407</v>
      </c>
      <c r="M9" s="32" t="s">
        <v>1408</v>
      </c>
      <c r="N9" s="32" t="s">
        <v>1409</v>
      </c>
      <c r="O9" s="32" t="s">
        <v>1097</v>
      </c>
      <c r="P9" s="32" t="s">
        <v>967</v>
      </c>
      <c r="Q9" s="32" t="s">
        <v>242</v>
      </c>
      <c r="R9" s="32" t="s">
        <v>1410</v>
      </c>
      <c r="S9" s="32" t="s">
        <v>1426</v>
      </c>
      <c r="T9" s="32" t="s">
        <v>958</v>
      </c>
      <c r="U9" s="32" t="s">
        <v>1405</v>
      </c>
      <c r="V9" s="32" t="s">
        <v>967</v>
      </c>
      <c r="W9" s="32" t="s">
        <v>1406</v>
      </c>
    </row>
    <row r="10" spans="1:23" x14ac:dyDescent="0.3">
      <c r="B10" s="32" t="s">
        <v>979</v>
      </c>
      <c r="C10" s="32" t="s">
        <v>257</v>
      </c>
      <c r="D10" s="32" t="s">
        <v>1102</v>
      </c>
      <c r="E10" s="32" t="s">
        <v>963</v>
      </c>
      <c r="F10" s="32" t="s">
        <v>1422</v>
      </c>
      <c r="G10" s="32" t="s">
        <v>1416</v>
      </c>
      <c r="H10" s="32" t="s">
        <v>1260</v>
      </c>
      <c r="I10" s="32" t="s">
        <v>1427</v>
      </c>
      <c r="J10" s="32" t="s">
        <v>1428</v>
      </c>
      <c r="K10" s="32" t="s">
        <v>1429</v>
      </c>
      <c r="L10" s="32" t="s">
        <v>1411</v>
      </c>
      <c r="M10" s="32" t="s">
        <v>1412</v>
      </c>
      <c r="N10" s="32" t="s">
        <v>1413</v>
      </c>
      <c r="O10" s="32" t="s">
        <v>1103</v>
      </c>
      <c r="P10" s="32" t="s">
        <v>967</v>
      </c>
      <c r="Q10" s="32" t="s">
        <v>242</v>
      </c>
      <c r="R10" s="32" t="s">
        <v>1414</v>
      </c>
      <c r="S10" s="32" t="s">
        <v>1103</v>
      </c>
      <c r="T10" s="32" t="s">
        <v>958</v>
      </c>
      <c r="U10" s="32" t="s">
        <v>1405</v>
      </c>
      <c r="V10" s="32" t="s">
        <v>967</v>
      </c>
      <c r="W10" s="32" t="s">
        <v>1406</v>
      </c>
    </row>
    <row r="12" spans="1:23" s="60" customFormat="1" x14ac:dyDescent="0.3">
      <c r="A12"/>
      <c r="B12" s="57" t="s">
        <v>1532</v>
      </c>
      <c r="C12" s="58"/>
      <c r="D12" s="58"/>
      <c r="E12" s="58"/>
    </row>
    <row r="13" spans="1:23" customFormat="1" x14ac:dyDescent="0.3">
      <c r="B13" s="59"/>
      <c r="C13" s="60"/>
      <c r="D13" s="60"/>
      <c r="E13" s="60"/>
      <c r="F13" s="92"/>
      <c r="G13" s="92"/>
      <c r="H13" s="92"/>
      <c r="I13" s="92"/>
      <c r="J13" s="92"/>
    </row>
    <row r="14" spans="1:23" s="60" customFormat="1" x14ac:dyDescent="0.3">
      <c r="A14" s="3"/>
      <c r="B14" s="88" t="s">
        <v>1436</v>
      </c>
      <c r="C14" s="89"/>
      <c r="D14" s="89"/>
      <c r="E14" s="90"/>
    </row>
    <row r="15" spans="1:23" customFormat="1" x14ac:dyDescent="0.3">
      <c r="B15" s="59"/>
      <c r="C15" s="60"/>
      <c r="D15" s="60"/>
      <c r="E15" s="60"/>
    </row>
    <row r="16" spans="1:23" x14ac:dyDescent="0.3">
      <c r="B16" s="54" t="s">
        <v>1090</v>
      </c>
      <c r="C16" s="54" t="s">
        <v>189</v>
      </c>
      <c r="D16" s="54" t="s">
        <v>190</v>
      </c>
      <c r="E16" s="54" t="s">
        <v>191</v>
      </c>
      <c r="F16" s="54" t="s">
        <v>1390</v>
      </c>
      <c r="G16" s="54" t="s">
        <v>1391</v>
      </c>
      <c r="H16" s="54" t="s">
        <v>1392</v>
      </c>
      <c r="I16" s="54" t="s">
        <v>1378</v>
      </c>
      <c r="J16" s="54" t="s">
        <v>1393</v>
      </c>
      <c r="K16" s="54" t="s">
        <v>1394</v>
      </c>
      <c r="L16" s="54" t="s">
        <v>1395</v>
      </c>
      <c r="M16" s="54" t="s">
        <v>1396</v>
      </c>
      <c r="N16" s="54" t="s">
        <v>1397</v>
      </c>
      <c r="O16" s="54" t="s">
        <v>1398</v>
      </c>
      <c r="P16" s="54" t="s">
        <v>1399</v>
      </c>
      <c r="Q16" s="54" t="s">
        <v>1400</v>
      </c>
      <c r="R16" s="54" t="s">
        <v>1401</v>
      </c>
      <c r="S16" s="54" t="s">
        <v>1402</v>
      </c>
      <c r="T16" s="54" t="s">
        <v>957</v>
      </c>
      <c r="U16" s="54" t="s">
        <v>192</v>
      </c>
      <c r="V16" s="54" t="s">
        <v>193</v>
      </c>
      <c r="W16" s="54" t="s">
        <v>237</v>
      </c>
    </row>
    <row r="17" spans="2:23" x14ac:dyDescent="0.3">
      <c r="B17" s="32" t="s">
        <v>979</v>
      </c>
      <c r="C17" s="32" t="s">
        <v>257</v>
      </c>
      <c r="D17" s="32" t="s">
        <v>1099</v>
      </c>
      <c r="E17" s="32" t="s">
        <v>963</v>
      </c>
      <c r="F17" s="32" t="s">
        <v>1415</v>
      </c>
      <c r="G17" s="32" t="s">
        <v>1416</v>
      </c>
      <c r="H17" s="32" t="s">
        <v>1260</v>
      </c>
      <c r="I17" s="32" t="s">
        <v>1417</v>
      </c>
      <c r="J17" s="32" t="s">
        <v>1418</v>
      </c>
      <c r="K17" s="32" t="s">
        <v>1419</v>
      </c>
      <c r="L17" s="32" t="s">
        <v>1403</v>
      </c>
      <c r="M17" s="32" t="s">
        <v>1420</v>
      </c>
      <c r="N17" s="32" t="s">
        <v>1404</v>
      </c>
      <c r="O17" s="32" t="s">
        <v>1100</v>
      </c>
      <c r="P17" s="32" t="s">
        <v>967</v>
      </c>
      <c r="Q17" s="32" t="s">
        <v>242</v>
      </c>
      <c r="R17" s="32" t="s">
        <v>1404</v>
      </c>
      <c r="S17" s="32" t="s">
        <v>1421</v>
      </c>
      <c r="T17" s="32" t="s">
        <v>958</v>
      </c>
      <c r="U17" s="32" t="s">
        <v>1405</v>
      </c>
      <c r="V17" s="32" t="s">
        <v>967</v>
      </c>
      <c r="W17" s="32" t="s">
        <v>1406</v>
      </c>
    </row>
    <row r="18" spans="2:23" x14ac:dyDescent="0.3">
      <c r="B18" s="32" t="s">
        <v>979</v>
      </c>
      <c r="C18" s="32" t="s">
        <v>257</v>
      </c>
      <c r="D18" s="32" t="s">
        <v>1096</v>
      </c>
      <c r="E18" s="32" t="s">
        <v>963</v>
      </c>
      <c r="F18" s="32" t="s">
        <v>1422</v>
      </c>
      <c r="G18" s="32" t="s">
        <v>1416</v>
      </c>
      <c r="H18" s="32" t="s">
        <v>1260</v>
      </c>
      <c r="I18" s="32" t="s">
        <v>1423</v>
      </c>
      <c r="J18" s="32" t="s">
        <v>1424</v>
      </c>
      <c r="K18" s="32" t="s">
        <v>1425</v>
      </c>
      <c r="L18" s="32" t="s">
        <v>1407</v>
      </c>
      <c r="M18" s="32" t="s">
        <v>1408</v>
      </c>
      <c r="N18" s="32" t="s">
        <v>1409</v>
      </c>
      <c r="O18" s="32" t="s">
        <v>1097</v>
      </c>
      <c r="P18" s="32" t="s">
        <v>967</v>
      </c>
      <c r="Q18" s="32" t="s">
        <v>242</v>
      </c>
      <c r="R18" s="32" t="s">
        <v>1410</v>
      </c>
      <c r="S18" s="32" t="s">
        <v>1426</v>
      </c>
      <c r="T18" s="32" t="s">
        <v>958</v>
      </c>
      <c r="U18" s="32" t="s">
        <v>1405</v>
      </c>
      <c r="V18" s="32" t="s">
        <v>967</v>
      </c>
      <c r="W18" s="32" t="s">
        <v>1406</v>
      </c>
    </row>
    <row r="19" spans="2:23" x14ac:dyDescent="0.3">
      <c r="B19" s="32" t="s">
        <v>979</v>
      </c>
      <c r="C19" s="32" t="s">
        <v>257</v>
      </c>
      <c r="D19" s="32" t="s">
        <v>1102</v>
      </c>
      <c r="E19" s="32" t="s">
        <v>963</v>
      </c>
      <c r="F19" s="32" t="s">
        <v>1422</v>
      </c>
      <c r="G19" s="32" t="s">
        <v>1416</v>
      </c>
      <c r="H19" s="32" t="s">
        <v>1260</v>
      </c>
      <c r="I19" s="32" t="s">
        <v>1427</v>
      </c>
      <c r="J19" s="32" t="s">
        <v>1428</v>
      </c>
      <c r="K19" s="32" t="s">
        <v>1429</v>
      </c>
      <c r="L19" s="32" t="s">
        <v>1411</v>
      </c>
      <c r="M19" s="32" t="s">
        <v>1412</v>
      </c>
      <c r="N19" s="32" t="s">
        <v>1413</v>
      </c>
      <c r="O19" s="32" t="s">
        <v>1103</v>
      </c>
      <c r="P19" s="32" t="s">
        <v>967</v>
      </c>
      <c r="Q19" s="32" t="s">
        <v>242</v>
      </c>
      <c r="R19" s="32" t="s">
        <v>1414</v>
      </c>
      <c r="S19" s="32" t="s">
        <v>1103</v>
      </c>
      <c r="T19" s="32" t="s">
        <v>958</v>
      </c>
      <c r="U19" s="32" t="s">
        <v>1405</v>
      </c>
      <c r="V19" s="32" t="s">
        <v>967</v>
      </c>
      <c r="W19" s="32" t="s">
        <v>1406</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Q23"/>
  <sheetViews>
    <sheetView showGridLines="0" zoomScale="84" workbookViewId="0">
      <selection activeCell="A18" sqref="A18"/>
    </sheetView>
  </sheetViews>
  <sheetFormatPr defaultRowHeight="14.4" x14ac:dyDescent="0.3"/>
  <cols>
    <col min="1" max="1" width="17.6640625" style="32" bestFit="1" customWidth="1"/>
    <col min="2" max="2" width="17.44140625" style="32" bestFit="1" customWidth="1"/>
    <col min="3" max="3" width="17.6640625" style="32" bestFit="1" customWidth="1"/>
    <col min="4" max="4" width="16.21875" style="32" bestFit="1" customWidth="1"/>
    <col min="5" max="5" width="23.5546875" style="32" customWidth="1"/>
    <col min="6" max="6" width="17.6640625" style="32" customWidth="1"/>
    <col min="7" max="7" width="21" style="32" customWidth="1"/>
    <col min="8" max="8" width="16.109375" style="32" customWidth="1"/>
    <col min="9" max="9" width="66.109375" style="32" customWidth="1"/>
    <col min="10" max="10" width="16.44140625" style="112" customWidth="1"/>
    <col min="11" max="11" width="12" style="112" customWidth="1"/>
    <col min="12" max="12" width="16.109375" style="112" customWidth="1"/>
    <col min="13" max="13" width="12.109375" style="112" bestFit="1" customWidth="1"/>
    <col min="14" max="14" width="9" style="112" bestFit="1" customWidth="1"/>
    <col min="15" max="17" width="8.88671875" style="112"/>
    <col min="18" max="16384" width="8.88671875" style="32"/>
  </cols>
  <sheetData>
    <row r="1" spans="1:17" customFormat="1" x14ac:dyDescent="0.3">
      <c r="J1" s="60"/>
      <c r="K1" s="60"/>
      <c r="L1" s="60"/>
      <c r="M1" s="60"/>
      <c r="N1" s="60"/>
      <c r="O1" s="60"/>
      <c r="P1" s="60"/>
      <c r="Q1" s="60"/>
    </row>
    <row r="2" spans="1:17" x14ac:dyDescent="0.3">
      <c r="A2" s="147" t="s">
        <v>1090</v>
      </c>
      <c r="B2" s="147" t="s">
        <v>189</v>
      </c>
      <c r="C2" s="147" t="s">
        <v>190</v>
      </c>
      <c r="D2" s="147" t="s">
        <v>191</v>
      </c>
      <c r="E2" s="147" t="s">
        <v>1636</v>
      </c>
      <c r="F2" s="147" t="s">
        <v>1679</v>
      </c>
      <c r="G2" s="147" t="s">
        <v>1680</v>
      </c>
      <c r="J2" s="111"/>
      <c r="K2" s="111"/>
      <c r="L2" s="111"/>
      <c r="M2" s="32"/>
      <c r="N2" s="32"/>
    </row>
    <row r="3" spans="1:17" x14ac:dyDescent="0.3">
      <c r="A3" s="148" t="s">
        <v>979</v>
      </c>
      <c r="B3" s="155" t="s">
        <v>257</v>
      </c>
      <c r="C3" s="155" t="s">
        <v>1657</v>
      </c>
      <c r="D3" s="150" t="s">
        <v>963</v>
      </c>
      <c r="E3" s="148" t="s">
        <v>242</v>
      </c>
      <c r="F3" s="151" t="s">
        <v>1676</v>
      </c>
      <c r="G3" s="149" t="s">
        <v>1677</v>
      </c>
      <c r="K3" s="145"/>
      <c r="M3" s="32"/>
      <c r="N3" s="32"/>
    </row>
    <row r="6" spans="1:17" x14ac:dyDescent="0.3">
      <c r="A6" s="146"/>
    </row>
    <row r="7" spans="1:17" x14ac:dyDescent="0.3">
      <c r="A7" s="182" t="s">
        <v>1296</v>
      </c>
      <c r="B7" s="183"/>
      <c r="C7" s="183"/>
      <c r="D7" s="184"/>
      <c r="E7" s="182" t="s">
        <v>1678</v>
      </c>
      <c r="F7" s="183"/>
      <c r="G7" s="183"/>
      <c r="H7" s="183"/>
      <c r="I7" s="184"/>
      <c r="P7" s="32"/>
      <c r="Q7" s="32"/>
    </row>
    <row r="8" spans="1:17" x14ac:dyDescent="0.3">
      <c r="A8" s="152" t="s">
        <v>1165</v>
      </c>
      <c r="B8" s="152" t="s">
        <v>1168</v>
      </c>
      <c r="C8" s="152" t="s">
        <v>1169</v>
      </c>
      <c r="D8" s="152" t="s">
        <v>1188</v>
      </c>
      <c r="E8" s="152" t="s">
        <v>1229</v>
      </c>
      <c r="F8" s="152" t="s">
        <v>1665</v>
      </c>
      <c r="G8" s="152" t="s">
        <v>1666</v>
      </c>
      <c r="H8" s="152" t="s">
        <v>1667</v>
      </c>
      <c r="I8" s="152" t="s">
        <v>1668</v>
      </c>
      <c r="J8" s="32"/>
      <c r="P8" s="32"/>
      <c r="Q8" s="32"/>
    </row>
    <row r="9" spans="1:17" x14ac:dyDescent="0.3">
      <c r="A9" s="153">
        <v>89</v>
      </c>
      <c r="B9" s="155" t="s">
        <v>1657</v>
      </c>
      <c r="C9" s="148" t="s">
        <v>1658</v>
      </c>
      <c r="D9" s="154">
        <v>2260042</v>
      </c>
      <c r="E9" s="156" t="s">
        <v>1659</v>
      </c>
      <c r="F9" s="153" t="s">
        <v>1669</v>
      </c>
      <c r="G9" s="153" t="s">
        <v>1670</v>
      </c>
      <c r="H9" s="153" t="s">
        <v>19</v>
      </c>
      <c r="I9" s="153" t="s">
        <v>1671</v>
      </c>
      <c r="J9" s="32"/>
      <c r="P9" s="32"/>
      <c r="Q9" s="32"/>
    </row>
    <row r="10" spans="1:17" x14ac:dyDescent="0.3">
      <c r="A10" s="153">
        <v>89</v>
      </c>
      <c r="B10" s="155" t="s">
        <v>1657</v>
      </c>
      <c r="C10" s="148" t="s">
        <v>1658</v>
      </c>
      <c r="D10" s="154">
        <v>512260042</v>
      </c>
      <c r="E10" s="153" t="s">
        <v>1660</v>
      </c>
      <c r="F10" s="153" t="s">
        <v>1669</v>
      </c>
      <c r="G10" s="153" t="s">
        <v>1670</v>
      </c>
      <c r="H10" s="153" t="s">
        <v>19</v>
      </c>
      <c r="I10" s="153" t="s">
        <v>1672</v>
      </c>
      <c r="J10" s="32"/>
      <c r="P10" s="32"/>
      <c r="Q10" s="32"/>
    </row>
    <row r="11" spans="1:17" x14ac:dyDescent="0.3">
      <c r="A11" s="153">
        <v>89</v>
      </c>
      <c r="B11" s="155" t="s">
        <v>1657</v>
      </c>
      <c r="C11" s="148" t="s">
        <v>1658</v>
      </c>
      <c r="D11" s="154">
        <v>549979900</v>
      </c>
      <c r="E11" s="153" t="s">
        <v>1661</v>
      </c>
      <c r="F11" s="153" t="s">
        <v>1673</v>
      </c>
      <c r="G11" s="153" t="s">
        <v>1674</v>
      </c>
      <c r="H11" s="153" t="s">
        <v>19</v>
      </c>
      <c r="I11" s="153" t="s">
        <v>1675</v>
      </c>
      <c r="J11" s="32"/>
      <c r="P11" s="32"/>
      <c r="Q11" s="32"/>
    </row>
    <row r="16" spans="1:17" x14ac:dyDescent="0.3">
      <c r="A16" s="68" t="s">
        <v>1682</v>
      </c>
    </row>
    <row r="18" spans="1:10" x14ac:dyDescent="0.3">
      <c r="A18" s="32" t="s">
        <v>1684</v>
      </c>
      <c r="D18" s="40" t="s">
        <v>1685</v>
      </c>
    </row>
    <row r="19" spans="1:10" x14ac:dyDescent="0.3">
      <c r="A19" s="32" t="s">
        <v>1683</v>
      </c>
    </row>
    <row r="20" spans="1:10" x14ac:dyDescent="0.3">
      <c r="A20" s="54" t="s">
        <v>1681</v>
      </c>
      <c r="B20" s="54" t="s">
        <v>1400</v>
      </c>
      <c r="C20" s="54" t="s">
        <v>1401</v>
      </c>
      <c r="D20" s="54" t="s">
        <v>1664</v>
      </c>
      <c r="E20" s="54" t="s">
        <v>1090</v>
      </c>
      <c r="F20" s="54" t="s">
        <v>189</v>
      </c>
      <c r="G20" s="54" t="s">
        <v>190</v>
      </c>
      <c r="H20" s="54" t="s">
        <v>191</v>
      </c>
      <c r="I20" s="54" t="s">
        <v>1637</v>
      </c>
      <c r="J20" s="114"/>
    </row>
    <row r="21" spans="1:10" x14ac:dyDescent="0.3">
      <c r="A21" s="32" t="s">
        <v>242</v>
      </c>
      <c r="B21" s="32" t="s">
        <v>242</v>
      </c>
      <c r="C21" s="32" t="s">
        <v>1404</v>
      </c>
      <c r="D21" s="32" t="s">
        <v>1094</v>
      </c>
      <c r="E21" s="32" t="s">
        <v>979</v>
      </c>
      <c r="F21" s="32" t="s">
        <v>257</v>
      </c>
      <c r="G21" s="32" t="s">
        <v>1099</v>
      </c>
      <c r="H21" s="32" t="s">
        <v>963</v>
      </c>
      <c r="I21" s="32" t="s">
        <v>1094</v>
      </c>
    </row>
    <row r="22" spans="1:10" x14ac:dyDescent="0.3">
      <c r="A22" s="32" t="s">
        <v>242</v>
      </c>
      <c r="B22" s="32" t="s">
        <v>242</v>
      </c>
      <c r="C22" s="32" t="s">
        <v>1414</v>
      </c>
      <c r="D22" s="32" t="s">
        <v>1094</v>
      </c>
      <c r="E22" s="32" t="s">
        <v>979</v>
      </c>
      <c r="F22" s="32" t="s">
        <v>257</v>
      </c>
      <c r="G22" s="32" t="s">
        <v>1102</v>
      </c>
      <c r="H22" s="32" t="s">
        <v>963</v>
      </c>
      <c r="I22" s="32" t="s">
        <v>1094</v>
      </c>
    </row>
    <row r="23" spans="1:10" x14ac:dyDescent="0.3">
      <c r="A23" s="32" t="s">
        <v>242</v>
      </c>
      <c r="B23" s="32" t="s">
        <v>242</v>
      </c>
      <c r="C23" s="32" t="s">
        <v>1410</v>
      </c>
      <c r="D23" s="32" t="s">
        <v>1094</v>
      </c>
      <c r="E23" s="32" t="s">
        <v>979</v>
      </c>
      <c r="F23" s="32" t="s">
        <v>257</v>
      </c>
      <c r="G23" s="32" t="s">
        <v>1096</v>
      </c>
      <c r="H23" s="32" t="s">
        <v>963</v>
      </c>
      <c r="I23" s="32" t="s">
        <v>1094</v>
      </c>
    </row>
  </sheetData>
  <mergeCells count="2">
    <mergeCell ref="A7:D7"/>
    <mergeCell ref="E7:I7"/>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AV87"/>
  <sheetViews>
    <sheetView showGridLines="0" topLeftCell="A37" workbookViewId="0">
      <selection activeCell="I10" sqref="I10"/>
    </sheetView>
  </sheetViews>
  <sheetFormatPr defaultRowHeight="14.4" x14ac:dyDescent="0.3"/>
  <cols>
    <col min="1" max="1" width="3.6640625" style="112" customWidth="1"/>
    <col min="2" max="2" width="7.88671875" style="112" bestFit="1" customWidth="1"/>
    <col min="3" max="3" width="16.77734375" style="112" bestFit="1" customWidth="1"/>
    <col min="4" max="4" width="16.109375" style="112" bestFit="1" customWidth="1"/>
    <col min="5" max="5" width="16.77734375" style="112" bestFit="1" customWidth="1"/>
    <col min="6" max="6" width="8.44140625" style="112" bestFit="1" customWidth="1"/>
    <col min="7" max="7" width="12" style="112" bestFit="1" customWidth="1"/>
    <col min="8" max="9" width="16.109375" style="112" bestFit="1" customWidth="1"/>
    <col min="10" max="10" width="12.5546875" style="112" bestFit="1" customWidth="1"/>
    <col min="11" max="11" width="12.77734375" style="112" bestFit="1" customWidth="1"/>
    <col min="12" max="12" width="9.33203125" style="112" bestFit="1" customWidth="1"/>
    <col min="13" max="13" width="10.5546875" style="112" bestFit="1" customWidth="1"/>
    <col min="14" max="14" width="7.109375" style="112" bestFit="1" customWidth="1"/>
    <col min="15" max="15" width="8.33203125" style="112" bestFit="1" customWidth="1"/>
    <col min="16" max="16" width="8.88671875" style="112"/>
    <col min="17" max="17" width="9.109375" style="112" bestFit="1" customWidth="1"/>
    <col min="18" max="18" width="6.88671875" style="112" bestFit="1" customWidth="1"/>
    <col min="19" max="19" width="9.6640625" style="112" bestFit="1" customWidth="1"/>
    <col min="20" max="20" width="21.77734375" style="112" bestFit="1" customWidth="1"/>
    <col min="21" max="21" width="10.33203125" style="112" bestFit="1" customWidth="1"/>
    <col min="22" max="22" width="9.21875" style="112" bestFit="1" customWidth="1"/>
    <col min="23" max="16384" width="8.88671875" style="112"/>
  </cols>
  <sheetData>
    <row r="1" spans="1:23" s="3" customFormat="1" x14ac:dyDescent="0.3">
      <c r="A1"/>
      <c r="B1" s="51" t="s">
        <v>1481</v>
      </c>
      <c r="C1" s="52"/>
      <c r="D1" s="52"/>
      <c r="E1" s="52"/>
      <c r="F1" s="52"/>
      <c r="G1" s="52"/>
      <c r="H1" s="52"/>
    </row>
    <row r="2" spans="1:23" s="3" customFormat="1" x14ac:dyDescent="0.3">
      <c r="A2"/>
      <c r="B2"/>
      <c r="C2"/>
      <c r="D2"/>
      <c r="E2"/>
    </row>
    <row r="3" spans="1:23" s="60" customFormat="1" x14ac:dyDescent="0.3">
      <c r="A3" s="122" t="s">
        <v>1154</v>
      </c>
      <c r="B3" s="57" t="s">
        <v>1493</v>
      </c>
      <c r="C3" s="58"/>
      <c r="D3" s="58"/>
      <c r="E3" s="58"/>
      <c r="F3" s="58"/>
      <c r="G3" s="58"/>
      <c r="H3" s="58"/>
    </row>
    <row r="4" spans="1:23" customFormat="1" x14ac:dyDescent="0.3">
      <c r="B4" s="59"/>
      <c r="C4" s="60"/>
      <c r="D4" s="60"/>
      <c r="E4" s="60"/>
      <c r="F4" s="92"/>
      <c r="G4" s="92"/>
      <c r="H4" s="92"/>
      <c r="I4" s="92"/>
      <c r="J4" s="92"/>
    </row>
    <row r="5" spans="1:23" s="60" customFormat="1" x14ac:dyDescent="0.3">
      <c r="A5" s="3"/>
      <c r="B5" s="88" t="s">
        <v>1489</v>
      </c>
      <c r="C5" s="89"/>
      <c r="D5" s="89"/>
      <c r="E5" s="90"/>
    </row>
    <row r="7" spans="1:23" x14ac:dyDescent="0.3">
      <c r="B7" s="119" t="s">
        <v>1458</v>
      </c>
      <c r="C7" s="120" t="s">
        <v>1649</v>
      </c>
      <c r="D7" s="120" t="s">
        <v>1650</v>
      </c>
      <c r="E7" s="121" t="s">
        <v>1110</v>
      </c>
    </row>
    <row r="8" spans="1:23" x14ac:dyDescent="0.3">
      <c r="B8" s="115" t="s">
        <v>1482</v>
      </c>
      <c r="C8" s="112" t="s">
        <v>230</v>
      </c>
      <c r="D8" s="112" t="s">
        <v>1094</v>
      </c>
      <c r="E8" s="116" t="s">
        <v>1641</v>
      </c>
    </row>
    <row r="9" spans="1:23" x14ac:dyDescent="0.3">
      <c r="B9" s="133" t="s">
        <v>1706</v>
      </c>
      <c r="C9" s="134" t="s">
        <v>196</v>
      </c>
      <c r="D9" s="134" t="s">
        <v>1094</v>
      </c>
      <c r="E9" s="135" t="s">
        <v>1641</v>
      </c>
    </row>
    <row r="10" spans="1:23" x14ac:dyDescent="0.3">
      <c r="B10" s="115" t="s">
        <v>1246</v>
      </c>
      <c r="C10" s="112" t="s">
        <v>1094</v>
      </c>
      <c r="D10" s="112" t="s">
        <v>1483</v>
      </c>
      <c r="E10" s="116" t="s">
        <v>1640</v>
      </c>
    </row>
    <row r="11" spans="1:23" x14ac:dyDescent="0.3">
      <c r="B11" s="136" t="s">
        <v>1705</v>
      </c>
      <c r="C11" s="137" t="s">
        <v>1094</v>
      </c>
      <c r="D11" s="137" t="s">
        <v>196</v>
      </c>
      <c r="E11" s="138" t="s">
        <v>1640</v>
      </c>
    </row>
    <row r="13" spans="1:23" x14ac:dyDescent="0.3">
      <c r="B13" s="114" t="s">
        <v>1490</v>
      </c>
      <c r="C13" s="113"/>
      <c r="D13" s="113"/>
      <c r="E13" s="113"/>
      <c r="F13" s="113"/>
      <c r="G13" s="113"/>
      <c r="H13" s="113"/>
    </row>
    <row r="15" spans="1:23" x14ac:dyDescent="0.3">
      <c r="B15" s="114" t="s">
        <v>943</v>
      </c>
      <c r="C15" s="114" t="s">
        <v>944</v>
      </c>
      <c r="D15" s="114" t="s">
        <v>945</v>
      </c>
      <c r="E15" s="114" t="s">
        <v>946</v>
      </c>
      <c r="F15" s="114" t="s">
        <v>152</v>
      </c>
      <c r="G15" s="114" t="s">
        <v>153</v>
      </c>
      <c r="H15" s="114" t="s">
        <v>154</v>
      </c>
      <c r="I15" s="114" t="s">
        <v>947</v>
      </c>
      <c r="J15" s="114" t="s">
        <v>948</v>
      </c>
      <c r="K15" s="114" t="s">
        <v>949</v>
      </c>
      <c r="L15" s="114" t="s">
        <v>950</v>
      </c>
      <c r="M15" s="114" t="s">
        <v>951</v>
      </c>
      <c r="N15" s="114" t="s">
        <v>952</v>
      </c>
      <c r="O15" s="114" t="s">
        <v>953</v>
      </c>
      <c r="P15" s="114" t="s">
        <v>954</v>
      </c>
      <c r="Q15" s="114" t="s">
        <v>955</v>
      </c>
      <c r="R15" s="114" t="s">
        <v>956</v>
      </c>
      <c r="S15" s="114" t="s">
        <v>130</v>
      </c>
      <c r="T15" s="114" t="s">
        <v>957</v>
      </c>
      <c r="U15" s="114" t="s">
        <v>192</v>
      </c>
      <c r="V15" s="114" t="s">
        <v>193</v>
      </c>
      <c r="W15" s="114" t="s">
        <v>1110</v>
      </c>
    </row>
    <row r="16" spans="1:23" x14ac:dyDescent="0.3">
      <c r="B16" s="112" t="s">
        <v>211</v>
      </c>
      <c r="C16" s="126" t="s">
        <v>257</v>
      </c>
      <c r="D16" s="126" t="s">
        <v>1469</v>
      </c>
      <c r="E16" s="126" t="s">
        <v>214</v>
      </c>
      <c r="F16" s="126" t="s">
        <v>211</v>
      </c>
      <c r="G16" s="126" t="s">
        <v>1470</v>
      </c>
      <c r="H16" s="126" t="s">
        <v>1469</v>
      </c>
      <c r="I16" s="126" t="s">
        <v>1145</v>
      </c>
      <c r="J16" s="112" t="s">
        <v>1471</v>
      </c>
      <c r="K16" s="112" t="s">
        <v>202</v>
      </c>
      <c r="L16" s="112" t="s">
        <v>1472</v>
      </c>
      <c r="M16" s="112" t="s">
        <v>215</v>
      </c>
      <c r="N16" s="112" t="s">
        <v>1467</v>
      </c>
      <c r="O16" s="112" t="s">
        <v>1473</v>
      </c>
      <c r="P16" s="112" t="s">
        <v>1474</v>
      </c>
      <c r="Q16" s="112" t="s">
        <v>1094</v>
      </c>
      <c r="R16" s="112" t="s">
        <v>1094</v>
      </c>
      <c r="S16" s="112" t="s">
        <v>230</v>
      </c>
      <c r="T16" s="112" t="s">
        <v>958</v>
      </c>
      <c r="U16" s="112" t="s">
        <v>1468</v>
      </c>
      <c r="V16" s="112" t="s">
        <v>967</v>
      </c>
      <c r="W16" s="112" t="s">
        <v>1459</v>
      </c>
    </row>
    <row r="17" spans="1:23" x14ac:dyDescent="0.3">
      <c r="B17" s="112" t="s">
        <v>211</v>
      </c>
      <c r="C17" s="112" t="s">
        <v>257</v>
      </c>
      <c r="D17" s="112" t="s">
        <v>1475</v>
      </c>
      <c r="E17" s="112" t="s">
        <v>214</v>
      </c>
      <c r="F17" s="112" t="s">
        <v>211</v>
      </c>
      <c r="G17" s="112" t="s">
        <v>1470</v>
      </c>
      <c r="H17" s="112" t="s">
        <v>1475</v>
      </c>
      <c r="I17" s="112" t="s">
        <v>1124</v>
      </c>
      <c r="J17" s="112" t="s">
        <v>1476</v>
      </c>
      <c r="K17" s="112" t="s">
        <v>202</v>
      </c>
      <c r="L17" s="112" t="s">
        <v>1477</v>
      </c>
      <c r="M17" s="112" t="s">
        <v>215</v>
      </c>
      <c r="N17" s="112" t="s">
        <v>1467</v>
      </c>
      <c r="O17" s="112" t="s">
        <v>1473</v>
      </c>
      <c r="P17" s="112" t="s">
        <v>1474</v>
      </c>
      <c r="Q17" s="112" t="s">
        <v>1094</v>
      </c>
      <c r="R17" s="112" t="s">
        <v>1094</v>
      </c>
      <c r="S17" s="112" t="s">
        <v>230</v>
      </c>
      <c r="T17" s="112" t="s">
        <v>958</v>
      </c>
      <c r="U17" s="112" t="s">
        <v>1468</v>
      </c>
      <c r="V17" s="112" t="s">
        <v>967</v>
      </c>
      <c r="W17" s="112" t="s">
        <v>1459</v>
      </c>
    </row>
    <row r="18" spans="1:23" x14ac:dyDescent="0.3">
      <c r="B18" s="112" t="s">
        <v>211</v>
      </c>
      <c r="C18" s="112" t="s">
        <v>257</v>
      </c>
      <c r="D18" s="112" t="s">
        <v>1478</v>
      </c>
      <c r="E18" s="112" t="s">
        <v>214</v>
      </c>
      <c r="F18" s="112" t="s">
        <v>211</v>
      </c>
      <c r="G18" s="112" t="s">
        <v>1470</v>
      </c>
      <c r="H18" s="112" t="s">
        <v>1478</v>
      </c>
      <c r="I18" s="112" t="s">
        <v>1124</v>
      </c>
      <c r="J18" s="112" t="s">
        <v>1479</v>
      </c>
      <c r="K18" s="112" t="s">
        <v>202</v>
      </c>
      <c r="L18" s="112" t="s">
        <v>1480</v>
      </c>
      <c r="M18" s="112" t="s">
        <v>215</v>
      </c>
      <c r="N18" s="112" t="s">
        <v>1467</v>
      </c>
      <c r="O18" s="112" t="s">
        <v>1473</v>
      </c>
      <c r="P18" s="112" t="s">
        <v>1474</v>
      </c>
      <c r="Q18" s="112" t="s">
        <v>1094</v>
      </c>
      <c r="R18" s="112" t="s">
        <v>1094</v>
      </c>
      <c r="S18" s="112" t="s">
        <v>230</v>
      </c>
      <c r="T18" s="112" t="s">
        <v>958</v>
      </c>
      <c r="U18" s="112" t="s">
        <v>1468</v>
      </c>
      <c r="V18" s="112" t="s">
        <v>967</v>
      </c>
      <c r="W18" s="112" t="s">
        <v>1459</v>
      </c>
    </row>
    <row r="20" spans="1:23" x14ac:dyDescent="0.3">
      <c r="B20" s="114" t="s">
        <v>1491</v>
      </c>
      <c r="C20" s="113"/>
      <c r="D20" s="113"/>
      <c r="E20" s="113"/>
      <c r="F20" s="113"/>
      <c r="G20" s="113"/>
      <c r="H20" s="113"/>
    </row>
    <row r="21" spans="1:23" x14ac:dyDescent="0.3">
      <c r="B21" s="111"/>
    </row>
    <row r="22" spans="1:23" x14ac:dyDescent="0.3">
      <c r="B22" s="114" t="s">
        <v>943</v>
      </c>
      <c r="C22" s="114" t="s">
        <v>944</v>
      </c>
      <c r="D22" s="114" t="s">
        <v>945</v>
      </c>
      <c r="E22" s="114" t="s">
        <v>946</v>
      </c>
      <c r="F22" s="114" t="s">
        <v>152</v>
      </c>
      <c r="G22" s="114" t="s">
        <v>153</v>
      </c>
      <c r="H22" s="114" t="s">
        <v>154</v>
      </c>
      <c r="I22" s="114" t="s">
        <v>947</v>
      </c>
      <c r="J22" s="114" t="s">
        <v>948</v>
      </c>
      <c r="K22" s="114" t="s">
        <v>949</v>
      </c>
      <c r="L22" s="114" t="s">
        <v>950</v>
      </c>
      <c r="M22" s="114" t="s">
        <v>951</v>
      </c>
      <c r="N22" s="114" t="s">
        <v>952</v>
      </c>
      <c r="O22" s="114" t="s">
        <v>953</v>
      </c>
      <c r="P22" s="114" t="s">
        <v>954</v>
      </c>
      <c r="Q22" s="114" t="s">
        <v>955</v>
      </c>
      <c r="R22" s="114" t="s">
        <v>956</v>
      </c>
      <c r="S22" s="114" t="s">
        <v>130</v>
      </c>
      <c r="T22" s="114" t="s">
        <v>957</v>
      </c>
      <c r="U22" s="114" t="s">
        <v>192</v>
      </c>
      <c r="V22" s="114" t="s">
        <v>193</v>
      </c>
      <c r="W22" s="114" t="s">
        <v>1110</v>
      </c>
    </row>
    <row r="23" spans="1:23" x14ac:dyDescent="0.3">
      <c r="B23" s="125" t="s">
        <v>211</v>
      </c>
      <c r="C23" s="125" t="s">
        <v>280</v>
      </c>
      <c r="D23" s="125" t="s">
        <v>1484</v>
      </c>
      <c r="E23" s="125" t="s">
        <v>214</v>
      </c>
      <c r="F23" s="112" t="s">
        <v>211</v>
      </c>
      <c r="G23" s="112" t="s">
        <v>280</v>
      </c>
      <c r="H23" s="112" t="s">
        <v>1484</v>
      </c>
      <c r="I23" s="112" t="s">
        <v>214</v>
      </c>
      <c r="J23" s="112" t="s">
        <v>1485</v>
      </c>
      <c r="K23" s="112" t="s">
        <v>202</v>
      </c>
      <c r="L23" s="112" t="s">
        <v>1486</v>
      </c>
      <c r="M23" s="112" t="s">
        <v>215</v>
      </c>
      <c r="N23" s="112" t="s">
        <v>1487</v>
      </c>
      <c r="Q23" s="112" t="s">
        <v>1094</v>
      </c>
      <c r="R23" s="112" t="s">
        <v>1094</v>
      </c>
      <c r="S23" s="112" t="s">
        <v>1483</v>
      </c>
      <c r="T23" s="112" t="s">
        <v>958</v>
      </c>
      <c r="U23" s="112" t="s">
        <v>1488</v>
      </c>
      <c r="V23" s="112" t="s">
        <v>967</v>
      </c>
      <c r="W23" s="112" t="s">
        <v>1137</v>
      </c>
    </row>
    <row r="26" spans="1:23" s="60" customFormat="1" x14ac:dyDescent="0.3">
      <c r="A26" s="122" t="s">
        <v>1494</v>
      </c>
      <c r="B26" s="57" t="s">
        <v>1460</v>
      </c>
      <c r="C26" s="58"/>
      <c r="D26" s="58"/>
      <c r="E26" s="58"/>
      <c r="F26" s="58"/>
      <c r="G26" s="58"/>
      <c r="H26" s="58"/>
    </row>
    <row r="29" spans="1:23" x14ac:dyDescent="0.3">
      <c r="B29" s="119" t="s">
        <v>1458</v>
      </c>
      <c r="C29" s="120" t="s">
        <v>1649</v>
      </c>
      <c r="D29" s="120" t="s">
        <v>1650</v>
      </c>
      <c r="E29" s="121" t="s">
        <v>1110</v>
      </c>
    </row>
    <row r="30" spans="1:23" x14ac:dyDescent="0.3">
      <c r="B30" s="139" t="s">
        <v>1707</v>
      </c>
      <c r="C30" s="140" t="s">
        <v>196</v>
      </c>
      <c r="D30" s="140" t="s">
        <v>1094</v>
      </c>
      <c r="E30" s="135" t="s">
        <v>1641</v>
      </c>
    </row>
    <row r="31" spans="1:23" x14ac:dyDescent="0.3">
      <c r="B31" s="115" t="s">
        <v>1482</v>
      </c>
      <c r="C31" s="112" t="s">
        <v>230</v>
      </c>
      <c r="D31" s="112" t="s">
        <v>1094</v>
      </c>
      <c r="E31" s="116" t="s">
        <v>1641</v>
      </c>
    </row>
    <row r="32" spans="1:23" x14ac:dyDescent="0.3">
      <c r="B32" s="133" t="s">
        <v>1694</v>
      </c>
      <c r="C32" s="134" t="s">
        <v>1094</v>
      </c>
      <c r="D32" s="134" t="s">
        <v>196</v>
      </c>
      <c r="E32" s="135" t="s">
        <v>1640</v>
      </c>
    </row>
    <row r="33" spans="1:33" x14ac:dyDescent="0.3">
      <c r="B33" s="117" t="s">
        <v>1246</v>
      </c>
      <c r="C33" s="113" t="s">
        <v>1094</v>
      </c>
      <c r="D33" s="113" t="s">
        <v>1483</v>
      </c>
      <c r="E33" s="118" t="s">
        <v>1640</v>
      </c>
    </row>
    <row r="35" spans="1:33" x14ac:dyDescent="0.3">
      <c r="B35" s="114" t="s">
        <v>1490</v>
      </c>
      <c r="C35" s="113"/>
      <c r="D35" s="113"/>
      <c r="E35" s="113"/>
      <c r="F35" s="113"/>
      <c r="G35" s="113"/>
      <c r="H35" s="113"/>
    </row>
    <row r="37" spans="1:33" x14ac:dyDescent="0.3">
      <c r="B37" s="114" t="s">
        <v>152</v>
      </c>
      <c r="C37" s="114" t="s">
        <v>153</v>
      </c>
      <c r="D37" s="114" t="s">
        <v>154</v>
      </c>
      <c r="E37" s="114" t="s">
        <v>947</v>
      </c>
      <c r="F37" s="114" t="s">
        <v>160</v>
      </c>
      <c r="G37" s="114" t="s">
        <v>161</v>
      </c>
      <c r="H37" s="114" t="s">
        <v>136</v>
      </c>
      <c r="I37" s="114" t="s">
        <v>977</v>
      </c>
      <c r="J37" s="114" t="s">
        <v>167</v>
      </c>
      <c r="K37" s="114" t="s">
        <v>178</v>
      </c>
      <c r="L37" s="114" t="s">
        <v>164</v>
      </c>
      <c r="M37" s="114" t="s">
        <v>978</v>
      </c>
      <c r="N37" s="114" t="s">
        <v>130</v>
      </c>
      <c r="O37" s="114" t="s">
        <v>957</v>
      </c>
      <c r="P37" s="114" t="s">
        <v>192</v>
      </c>
      <c r="Q37" s="114" t="s">
        <v>193</v>
      </c>
      <c r="R37" s="114" t="s">
        <v>1110</v>
      </c>
      <c r="S37" s="111"/>
      <c r="T37" s="111"/>
      <c r="U37" s="111"/>
      <c r="V37" s="111"/>
      <c r="W37" s="111"/>
      <c r="X37" s="111"/>
      <c r="Y37" s="111"/>
      <c r="Z37" s="111"/>
      <c r="AA37" s="111"/>
      <c r="AB37" s="111"/>
      <c r="AC37" s="111"/>
      <c r="AD37" s="111"/>
      <c r="AE37" s="111"/>
      <c r="AF37" s="111"/>
      <c r="AG37" s="111"/>
    </row>
    <row r="38" spans="1:33" x14ac:dyDescent="0.3">
      <c r="B38" s="126" t="s">
        <v>211</v>
      </c>
      <c r="C38" s="126" t="s">
        <v>1470</v>
      </c>
      <c r="D38" s="126" t="s">
        <v>1469</v>
      </c>
      <c r="E38" s="126" t="s">
        <v>1145</v>
      </c>
      <c r="F38" s="112" t="s">
        <v>215</v>
      </c>
      <c r="G38" s="112" t="s">
        <v>1467</v>
      </c>
      <c r="H38" s="112" t="s">
        <v>1495</v>
      </c>
      <c r="I38" s="112" t="s">
        <v>202</v>
      </c>
      <c r="K38" s="112" t="s">
        <v>986</v>
      </c>
      <c r="L38" s="112" t="s">
        <v>1496</v>
      </c>
      <c r="M38" s="112" t="s">
        <v>1430</v>
      </c>
      <c r="N38" s="112" t="s">
        <v>230</v>
      </c>
      <c r="O38" s="112" t="s">
        <v>958</v>
      </c>
      <c r="P38" s="112" t="s">
        <v>1497</v>
      </c>
      <c r="Q38" s="112" t="s">
        <v>967</v>
      </c>
      <c r="R38" s="112" t="s">
        <v>1459</v>
      </c>
    </row>
    <row r="39" spans="1:33" x14ac:dyDescent="0.3">
      <c r="B39" s="112" t="s">
        <v>211</v>
      </c>
      <c r="C39" s="112" t="s">
        <v>1470</v>
      </c>
      <c r="D39" s="112" t="s">
        <v>1475</v>
      </c>
      <c r="E39" s="112" t="s">
        <v>1124</v>
      </c>
      <c r="F39" s="112" t="s">
        <v>215</v>
      </c>
      <c r="G39" s="112" t="s">
        <v>1467</v>
      </c>
      <c r="H39" s="112" t="s">
        <v>1498</v>
      </c>
      <c r="I39" s="112" t="s">
        <v>202</v>
      </c>
      <c r="K39" s="112" t="s">
        <v>986</v>
      </c>
      <c r="L39" s="112" t="s">
        <v>1496</v>
      </c>
      <c r="M39" s="112" t="s">
        <v>1430</v>
      </c>
      <c r="N39" s="112" t="s">
        <v>230</v>
      </c>
      <c r="O39" s="112" t="s">
        <v>958</v>
      </c>
      <c r="P39" s="112" t="s">
        <v>1497</v>
      </c>
      <c r="Q39" s="112" t="s">
        <v>967</v>
      </c>
      <c r="R39" s="112" t="s">
        <v>1459</v>
      </c>
    </row>
    <row r="40" spans="1:33" x14ac:dyDescent="0.3">
      <c r="B40" s="112" t="s">
        <v>211</v>
      </c>
      <c r="C40" s="112" t="s">
        <v>1470</v>
      </c>
      <c r="D40" s="112" t="s">
        <v>1478</v>
      </c>
      <c r="E40" s="112" t="s">
        <v>1124</v>
      </c>
      <c r="F40" s="112" t="s">
        <v>215</v>
      </c>
      <c r="G40" s="112" t="s">
        <v>1467</v>
      </c>
      <c r="H40" s="112" t="s">
        <v>1499</v>
      </c>
      <c r="I40" s="112" t="s">
        <v>202</v>
      </c>
      <c r="K40" s="112" t="s">
        <v>986</v>
      </c>
      <c r="L40" s="112" t="s">
        <v>1496</v>
      </c>
      <c r="M40" s="112" t="s">
        <v>1430</v>
      </c>
      <c r="N40" s="112" t="s">
        <v>230</v>
      </c>
      <c r="O40" s="112" t="s">
        <v>958</v>
      </c>
      <c r="P40" s="112" t="s">
        <v>1497</v>
      </c>
      <c r="Q40" s="112" t="s">
        <v>967</v>
      </c>
      <c r="R40" s="112" t="s">
        <v>1459</v>
      </c>
    </row>
    <row r="42" spans="1:33" x14ac:dyDescent="0.3">
      <c r="B42" s="114" t="s">
        <v>1491</v>
      </c>
      <c r="C42" s="113"/>
      <c r="D42" s="113"/>
      <c r="E42" s="113"/>
      <c r="F42" s="113"/>
      <c r="G42" s="113"/>
      <c r="H42" s="113"/>
    </row>
    <row r="44" spans="1:33" x14ac:dyDescent="0.3">
      <c r="B44" s="114" t="s">
        <v>152</v>
      </c>
      <c r="C44" s="114" t="s">
        <v>153</v>
      </c>
      <c r="D44" s="114" t="s">
        <v>154</v>
      </c>
      <c r="E44" s="114" t="s">
        <v>947</v>
      </c>
      <c r="F44" s="114" t="s">
        <v>160</v>
      </c>
      <c r="G44" s="114" t="s">
        <v>161</v>
      </c>
      <c r="H44" s="114" t="s">
        <v>136</v>
      </c>
      <c r="I44" s="114" t="s">
        <v>977</v>
      </c>
      <c r="J44" s="114" t="s">
        <v>167</v>
      </c>
      <c r="K44" s="114" t="s">
        <v>178</v>
      </c>
      <c r="L44" s="114" t="s">
        <v>164</v>
      </c>
      <c r="M44" s="114" t="s">
        <v>978</v>
      </c>
      <c r="N44" s="114" t="s">
        <v>130</v>
      </c>
      <c r="O44" s="114" t="s">
        <v>957</v>
      </c>
      <c r="P44" s="114" t="s">
        <v>192</v>
      </c>
      <c r="Q44" s="114" t="s">
        <v>193</v>
      </c>
      <c r="R44" s="114" t="s">
        <v>1110</v>
      </c>
    </row>
    <row r="45" spans="1:33" x14ac:dyDescent="0.3">
      <c r="B45" s="127" t="s">
        <v>211</v>
      </c>
      <c r="C45" s="127" t="s">
        <v>280</v>
      </c>
      <c r="D45" s="127" t="s">
        <v>1484</v>
      </c>
      <c r="E45" s="127" t="s">
        <v>214</v>
      </c>
      <c r="F45" s="112" t="s">
        <v>215</v>
      </c>
      <c r="G45" s="112" t="s">
        <v>1487</v>
      </c>
      <c r="H45" s="112" t="s">
        <v>1485</v>
      </c>
      <c r="I45" s="112" t="s">
        <v>202</v>
      </c>
      <c r="K45" s="112" t="s">
        <v>986</v>
      </c>
      <c r="L45" s="112" t="s">
        <v>1256</v>
      </c>
      <c r="N45" s="112" t="s">
        <v>1483</v>
      </c>
      <c r="O45" s="112" t="s">
        <v>958</v>
      </c>
      <c r="P45" s="112" t="s">
        <v>1500</v>
      </c>
      <c r="Q45" s="112" t="s">
        <v>967</v>
      </c>
      <c r="R45" s="112" t="s">
        <v>1137</v>
      </c>
    </row>
    <row r="48" spans="1:33" s="60" customFormat="1" x14ac:dyDescent="0.3">
      <c r="A48" s="122" t="s">
        <v>1463</v>
      </c>
      <c r="B48" s="57" t="s">
        <v>1542</v>
      </c>
      <c r="C48" s="58"/>
      <c r="D48" s="58"/>
      <c r="E48" s="58"/>
      <c r="F48" s="58"/>
      <c r="G48" s="58"/>
      <c r="H48" s="58"/>
    </row>
    <row r="50" spans="1:8" x14ac:dyDescent="0.3">
      <c r="B50" s="128" t="s">
        <v>1458</v>
      </c>
      <c r="C50" s="120" t="s">
        <v>1650</v>
      </c>
      <c r="D50" s="120" t="s">
        <v>1649</v>
      </c>
      <c r="E50" s="129" t="s">
        <v>1110</v>
      </c>
    </row>
    <row r="51" spans="1:8" x14ac:dyDescent="0.3">
      <c r="B51" s="141">
        <v>36</v>
      </c>
      <c r="C51" s="142" t="s">
        <v>230</v>
      </c>
      <c r="D51" s="142" t="s">
        <v>1094</v>
      </c>
      <c r="E51" s="116" t="s">
        <v>1640</v>
      </c>
    </row>
    <row r="52" spans="1:8" x14ac:dyDescent="0.3">
      <c r="B52" s="143">
        <v>13</v>
      </c>
      <c r="C52" s="144" t="s">
        <v>196</v>
      </c>
      <c r="D52" s="144" t="s">
        <v>1094</v>
      </c>
      <c r="E52" s="135" t="s">
        <v>1640</v>
      </c>
    </row>
    <row r="53" spans="1:8" x14ac:dyDescent="0.3">
      <c r="B53" s="130">
        <v>1</v>
      </c>
      <c r="C53" s="92" t="s">
        <v>1483</v>
      </c>
      <c r="D53" s="92" t="s">
        <v>1094</v>
      </c>
      <c r="E53" s="116" t="s">
        <v>1640</v>
      </c>
    </row>
    <row r="54" spans="1:8" x14ac:dyDescent="0.3">
      <c r="B54" s="143">
        <v>131</v>
      </c>
      <c r="C54" s="144" t="s">
        <v>1094</v>
      </c>
      <c r="D54" s="144" t="s">
        <v>196</v>
      </c>
      <c r="E54" s="135" t="s">
        <v>1641</v>
      </c>
    </row>
    <row r="55" spans="1:8" x14ac:dyDescent="0.3">
      <c r="B55" s="131">
        <v>59</v>
      </c>
      <c r="C55" s="66" t="s">
        <v>1094</v>
      </c>
      <c r="D55" s="66" t="s">
        <v>230</v>
      </c>
      <c r="E55" s="118" t="s">
        <v>1641</v>
      </c>
    </row>
    <row r="57" spans="1:8" s="60" customFormat="1" x14ac:dyDescent="0.3">
      <c r="A57" s="122" t="s">
        <v>1549</v>
      </c>
      <c r="B57" s="57" t="s">
        <v>1548</v>
      </c>
      <c r="C57" s="58"/>
      <c r="D57" s="58"/>
      <c r="E57" s="58"/>
      <c r="F57" s="58"/>
      <c r="G57" s="58"/>
      <c r="H57" s="58"/>
    </row>
    <row r="59" spans="1:8" x14ac:dyDescent="0.3">
      <c r="B59" s="128" t="s">
        <v>1458</v>
      </c>
      <c r="C59" s="129" t="s">
        <v>1110</v>
      </c>
      <c r="D59" s="59"/>
      <c r="E59" s="59"/>
    </row>
    <row r="60" spans="1:8" x14ac:dyDescent="0.3">
      <c r="B60" s="131">
        <v>22</v>
      </c>
      <c r="C60" s="132" t="s">
        <v>1137</v>
      </c>
      <c r="D60"/>
      <c r="E60"/>
    </row>
    <row r="61" spans="1:8" x14ac:dyDescent="0.3">
      <c r="B61" s="92"/>
      <c r="C61" s="92"/>
      <c r="D61"/>
      <c r="E61"/>
    </row>
    <row r="62" spans="1:8" x14ac:dyDescent="0.3">
      <c r="B62" t="s">
        <v>1651</v>
      </c>
      <c r="C62"/>
      <c r="D62"/>
      <c r="E62"/>
    </row>
    <row r="63" spans="1:8" x14ac:dyDescent="0.3">
      <c r="B63"/>
      <c r="C63"/>
      <c r="D63"/>
      <c r="E63"/>
    </row>
    <row r="64" spans="1:8" s="60" customFormat="1" x14ac:dyDescent="0.3">
      <c r="A64" s="122" t="s">
        <v>1555</v>
      </c>
      <c r="B64" s="57" t="s">
        <v>1369</v>
      </c>
      <c r="C64" s="58"/>
      <c r="D64" s="58"/>
      <c r="E64" s="58"/>
      <c r="F64" s="58"/>
      <c r="G64" s="58"/>
      <c r="H64" s="58"/>
    </row>
    <row r="65" spans="1:48" s="60" customFormat="1" x14ac:dyDescent="0.3">
      <c r="A65" s="77"/>
      <c r="B65" s="59"/>
    </row>
    <row r="66" spans="1:48" x14ac:dyDescent="0.3">
      <c r="B66" s="119" t="s">
        <v>1458</v>
      </c>
      <c r="C66" s="120" t="s">
        <v>1650</v>
      </c>
      <c r="D66" s="120" t="s">
        <v>1649</v>
      </c>
      <c r="E66" s="121" t="s">
        <v>1110</v>
      </c>
    </row>
    <row r="67" spans="1:48" x14ac:dyDescent="0.3">
      <c r="B67" s="123" t="s">
        <v>1502</v>
      </c>
      <c r="C67" s="124" t="s">
        <v>230</v>
      </c>
      <c r="D67" s="124" t="s">
        <v>1094</v>
      </c>
      <c r="E67" s="116" t="s">
        <v>1640</v>
      </c>
    </row>
    <row r="68" spans="1:48" x14ac:dyDescent="0.3">
      <c r="B68" s="133" t="s">
        <v>1504</v>
      </c>
      <c r="C68" s="134" t="s">
        <v>196</v>
      </c>
      <c r="D68" s="134" t="s">
        <v>1094</v>
      </c>
      <c r="E68" s="135" t="s">
        <v>1640</v>
      </c>
    </row>
    <row r="69" spans="1:48" x14ac:dyDescent="0.3">
      <c r="B69" s="115" t="s">
        <v>1246</v>
      </c>
      <c r="C69" s="112" t="s">
        <v>1483</v>
      </c>
      <c r="D69" s="112" t="s">
        <v>1094</v>
      </c>
      <c r="E69" s="116" t="s">
        <v>1640</v>
      </c>
    </row>
    <row r="70" spans="1:48" x14ac:dyDescent="0.3">
      <c r="B70" s="115" t="s">
        <v>1503</v>
      </c>
      <c r="C70" s="112" t="s">
        <v>1094</v>
      </c>
      <c r="D70" s="112" t="s">
        <v>230</v>
      </c>
      <c r="E70" s="116" t="s">
        <v>1641</v>
      </c>
    </row>
    <row r="71" spans="1:48" x14ac:dyDescent="0.3">
      <c r="B71" s="136" t="s">
        <v>1505</v>
      </c>
      <c r="C71" s="137" t="s">
        <v>1094</v>
      </c>
      <c r="D71" s="137" t="s">
        <v>196</v>
      </c>
      <c r="E71" s="138" t="s">
        <v>1641</v>
      </c>
    </row>
    <row r="74" spans="1:48" x14ac:dyDescent="0.3">
      <c r="B74" s="114" t="s">
        <v>1634</v>
      </c>
      <c r="C74" s="113"/>
      <c r="D74" s="113"/>
      <c r="E74" s="113"/>
      <c r="F74" s="113"/>
      <c r="G74" s="113"/>
      <c r="H74" s="113"/>
    </row>
    <row r="76" spans="1:48" x14ac:dyDescent="0.3">
      <c r="B76" s="114" t="s">
        <v>1507</v>
      </c>
      <c r="C76" s="114" t="s">
        <v>943</v>
      </c>
      <c r="D76" s="114" t="s">
        <v>944</v>
      </c>
      <c r="E76" s="114" t="s">
        <v>945</v>
      </c>
      <c r="F76" s="114" t="s">
        <v>946</v>
      </c>
      <c r="G76" s="114" t="s">
        <v>152</v>
      </c>
      <c r="H76" s="114" t="s">
        <v>153</v>
      </c>
      <c r="I76" s="114" t="s">
        <v>154</v>
      </c>
      <c r="J76" s="114" t="s">
        <v>947</v>
      </c>
      <c r="K76" s="114" t="s">
        <v>1090</v>
      </c>
      <c r="L76" s="114" t="s">
        <v>189</v>
      </c>
      <c r="M76" s="114" t="s">
        <v>190</v>
      </c>
      <c r="N76" s="114" t="s">
        <v>191</v>
      </c>
      <c r="O76" s="114" t="s">
        <v>1510</v>
      </c>
      <c r="P76" s="114" t="s">
        <v>1511</v>
      </c>
      <c r="Q76" s="114" t="s">
        <v>1091</v>
      </c>
      <c r="R76" s="114" t="s">
        <v>1390</v>
      </c>
      <c r="S76" s="114" t="s">
        <v>1512</v>
      </c>
      <c r="T76" s="114" t="s">
        <v>1513</v>
      </c>
      <c r="U76" s="114" t="s">
        <v>1514</v>
      </c>
      <c r="V76" s="114" t="s">
        <v>1515</v>
      </c>
      <c r="W76" s="114" t="s">
        <v>1516</v>
      </c>
      <c r="X76" s="114" t="s">
        <v>1400</v>
      </c>
      <c r="Y76" s="114" t="s">
        <v>1517</v>
      </c>
      <c r="Z76" s="114" t="s">
        <v>1518</v>
      </c>
      <c r="AA76" s="114" t="s">
        <v>1519</v>
      </c>
      <c r="AB76" s="114" t="s">
        <v>1520</v>
      </c>
      <c r="AC76" s="114" t="s">
        <v>1521</v>
      </c>
      <c r="AD76" s="114" t="s">
        <v>1522</v>
      </c>
      <c r="AE76" s="114" t="s">
        <v>235</v>
      </c>
      <c r="AF76" s="114" t="s">
        <v>1523</v>
      </c>
      <c r="AG76" s="114" t="s">
        <v>1524</v>
      </c>
      <c r="AH76" s="114" t="s">
        <v>1508</v>
      </c>
      <c r="AI76" s="114" t="s">
        <v>1525</v>
      </c>
      <c r="AJ76" s="114" t="s">
        <v>1526</v>
      </c>
      <c r="AK76" s="114" t="s">
        <v>1509</v>
      </c>
      <c r="AL76" s="114" t="s">
        <v>149</v>
      </c>
      <c r="AM76" s="114" t="s">
        <v>1527</v>
      </c>
      <c r="AN76" s="114" t="s">
        <v>1528</v>
      </c>
      <c r="AO76" s="114" t="s">
        <v>1529</v>
      </c>
      <c r="AP76" s="114" t="s">
        <v>1401</v>
      </c>
      <c r="AQ76" s="114" t="s">
        <v>1402</v>
      </c>
      <c r="AR76" s="114" t="s">
        <v>1530</v>
      </c>
      <c r="AS76" s="114" t="s">
        <v>130</v>
      </c>
      <c r="AT76" s="114" t="s">
        <v>129</v>
      </c>
      <c r="AU76" s="114" t="s">
        <v>192</v>
      </c>
      <c r="AV76" s="114" t="s">
        <v>193</v>
      </c>
    </row>
    <row r="77" spans="1:48" x14ac:dyDescent="0.3">
      <c r="B77" s="112" t="s">
        <v>1616</v>
      </c>
      <c r="C77" s="112" t="s">
        <v>211</v>
      </c>
      <c r="D77" s="112" t="s">
        <v>212</v>
      </c>
      <c r="E77" s="112" t="s">
        <v>1617</v>
      </c>
      <c r="F77" s="112" t="s">
        <v>214</v>
      </c>
      <c r="G77" s="112" t="s">
        <v>211</v>
      </c>
      <c r="H77" s="112" t="s">
        <v>1599</v>
      </c>
      <c r="I77" s="112" t="s">
        <v>1618</v>
      </c>
      <c r="J77" s="112" t="s">
        <v>1145</v>
      </c>
      <c r="K77" s="112" t="s">
        <v>211</v>
      </c>
      <c r="L77" s="112" t="s">
        <v>257</v>
      </c>
      <c r="M77" s="112" t="s">
        <v>1560</v>
      </c>
      <c r="N77" s="112" t="s">
        <v>1623</v>
      </c>
      <c r="O77" s="112" t="s">
        <v>1624</v>
      </c>
      <c r="P77" s="112" t="s">
        <v>1624</v>
      </c>
      <c r="Q77" s="112" t="s">
        <v>1474</v>
      </c>
      <c r="V77" s="112" t="s">
        <v>1619</v>
      </c>
      <c r="W77" s="112" t="s">
        <v>1620</v>
      </c>
      <c r="X77" s="112" t="s">
        <v>1620</v>
      </c>
      <c r="Y77" s="112" t="s">
        <v>1577</v>
      </c>
      <c r="Z77" s="112" t="s">
        <v>222</v>
      </c>
      <c r="AB77" s="112" t="s">
        <v>1531</v>
      </c>
      <c r="AC77" s="112" t="s">
        <v>1621</v>
      </c>
      <c r="AD77" s="112" t="s">
        <v>1622</v>
      </c>
      <c r="AE77" s="112" t="s">
        <v>1622</v>
      </c>
      <c r="AF77" s="112" t="s">
        <v>1580</v>
      </c>
      <c r="AG77" s="112" t="s">
        <v>1580</v>
      </c>
      <c r="AH77" s="112" t="s">
        <v>1580</v>
      </c>
      <c r="AI77" s="112" t="s">
        <v>1581</v>
      </c>
      <c r="AJ77" s="112" t="s">
        <v>1531</v>
      </c>
      <c r="AK77" s="112" t="s">
        <v>1531</v>
      </c>
      <c r="AL77" s="112" t="s">
        <v>1620</v>
      </c>
      <c r="AM77" s="112" t="s">
        <v>1625</v>
      </c>
      <c r="AN77" s="112" t="s">
        <v>1531</v>
      </c>
      <c r="AO77" s="112" t="s">
        <v>967</v>
      </c>
      <c r="AP77" s="112" t="s">
        <v>1094</v>
      </c>
      <c r="AS77" s="112" t="s">
        <v>230</v>
      </c>
      <c r="AT77" s="112" t="s">
        <v>1568</v>
      </c>
      <c r="AU77" s="112" t="s">
        <v>1626</v>
      </c>
      <c r="AV77" s="112" t="s">
        <v>967</v>
      </c>
    </row>
    <row r="78" spans="1:48" x14ac:dyDescent="0.3">
      <c r="B78" s="112" t="s">
        <v>1600</v>
      </c>
      <c r="C78" s="112" t="s">
        <v>211</v>
      </c>
      <c r="D78" s="112" t="s">
        <v>212</v>
      </c>
      <c r="E78" s="112" t="s">
        <v>1601</v>
      </c>
      <c r="F78" s="112" t="s">
        <v>214</v>
      </c>
      <c r="G78" s="112" t="s">
        <v>211</v>
      </c>
      <c r="H78" s="112" t="s">
        <v>1599</v>
      </c>
      <c r="I78" s="112" t="s">
        <v>1602</v>
      </c>
      <c r="J78" s="112" t="s">
        <v>1124</v>
      </c>
      <c r="K78" s="112" t="s">
        <v>211</v>
      </c>
      <c r="L78" s="112" t="s">
        <v>257</v>
      </c>
      <c r="M78" s="112" t="s">
        <v>1560</v>
      </c>
      <c r="N78" s="112" t="s">
        <v>1627</v>
      </c>
      <c r="O78" s="112" t="s">
        <v>1628</v>
      </c>
      <c r="P78" s="112" t="s">
        <v>1628</v>
      </c>
      <c r="Q78" s="112" t="s">
        <v>1474</v>
      </c>
      <c r="V78" s="112" t="s">
        <v>1603</v>
      </c>
      <c r="W78" s="112" t="s">
        <v>1604</v>
      </c>
      <c r="X78" s="112" t="s">
        <v>1604</v>
      </c>
      <c r="Y78" s="112" t="s">
        <v>1604</v>
      </c>
      <c r="Z78" s="112" t="s">
        <v>222</v>
      </c>
      <c r="AB78" s="112" t="s">
        <v>1531</v>
      </c>
      <c r="AC78" s="112" t="s">
        <v>1605</v>
      </c>
      <c r="AD78" s="112" t="s">
        <v>1605</v>
      </c>
      <c r="AE78" s="112" t="s">
        <v>1605</v>
      </c>
      <c r="AF78" s="112" t="s">
        <v>1606</v>
      </c>
      <c r="AG78" s="112" t="s">
        <v>1606</v>
      </c>
      <c r="AH78" s="112" t="s">
        <v>1606</v>
      </c>
      <c r="AI78" s="112" t="s">
        <v>1531</v>
      </c>
      <c r="AJ78" s="112" t="s">
        <v>1531</v>
      </c>
      <c r="AK78" s="112" t="s">
        <v>1531</v>
      </c>
      <c r="AL78" s="112" t="s">
        <v>1604</v>
      </c>
      <c r="AM78" s="112" t="s">
        <v>1629</v>
      </c>
      <c r="AN78" s="112" t="s">
        <v>1531</v>
      </c>
      <c r="AO78" s="112" t="s">
        <v>967</v>
      </c>
      <c r="AP78" s="112" t="s">
        <v>1094</v>
      </c>
      <c r="AS78" s="112" t="s">
        <v>230</v>
      </c>
      <c r="AT78" s="112" t="s">
        <v>1568</v>
      </c>
      <c r="AU78" s="112" t="s">
        <v>1626</v>
      </c>
      <c r="AV78" s="112" t="s">
        <v>967</v>
      </c>
    </row>
    <row r="79" spans="1:48" x14ac:dyDescent="0.3">
      <c r="B79" s="112" t="s">
        <v>1607</v>
      </c>
      <c r="C79" s="112" t="s">
        <v>211</v>
      </c>
      <c r="D79" s="112" t="s">
        <v>1608</v>
      </c>
      <c r="E79" s="112" t="s">
        <v>1609</v>
      </c>
      <c r="F79" s="112" t="s">
        <v>214</v>
      </c>
      <c r="G79" s="112" t="s">
        <v>211</v>
      </c>
      <c r="H79" s="112" t="s">
        <v>1599</v>
      </c>
      <c r="I79" s="112" t="s">
        <v>1610</v>
      </c>
      <c r="J79" s="112" t="s">
        <v>1115</v>
      </c>
      <c r="K79" s="112" t="s">
        <v>211</v>
      </c>
      <c r="L79" s="112" t="s">
        <v>257</v>
      </c>
      <c r="M79" s="112" t="s">
        <v>1560</v>
      </c>
      <c r="N79" s="112" t="s">
        <v>1630</v>
      </c>
      <c r="O79" s="112" t="s">
        <v>1631</v>
      </c>
      <c r="P79" s="112" t="s">
        <v>1631</v>
      </c>
      <c r="Q79" s="112" t="s">
        <v>1474</v>
      </c>
      <c r="V79" s="112" t="s">
        <v>1611</v>
      </c>
      <c r="W79" s="112" t="s">
        <v>1612</v>
      </c>
      <c r="X79" s="112" t="s">
        <v>1612</v>
      </c>
      <c r="Y79" s="112" t="s">
        <v>1632</v>
      </c>
      <c r="Z79" s="112" t="s">
        <v>222</v>
      </c>
      <c r="AB79" s="112" t="s">
        <v>1531</v>
      </c>
      <c r="AC79" s="112" t="s">
        <v>1613</v>
      </c>
      <c r="AD79" s="112" t="s">
        <v>1614</v>
      </c>
      <c r="AE79" s="112" t="s">
        <v>1614</v>
      </c>
      <c r="AF79" s="112" t="s">
        <v>1615</v>
      </c>
      <c r="AG79" s="112" t="s">
        <v>1615</v>
      </c>
      <c r="AH79" s="112" t="s">
        <v>1615</v>
      </c>
      <c r="AI79" s="112" t="s">
        <v>1581</v>
      </c>
      <c r="AJ79" s="112" t="s">
        <v>1531</v>
      </c>
      <c r="AK79" s="112" t="s">
        <v>1531</v>
      </c>
      <c r="AL79" s="112" t="s">
        <v>1612</v>
      </c>
      <c r="AM79" s="112" t="s">
        <v>1633</v>
      </c>
      <c r="AN79" s="112" t="s">
        <v>1531</v>
      </c>
      <c r="AO79" s="112" t="s">
        <v>967</v>
      </c>
      <c r="AP79" s="112" t="s">
        <v>1094</v>
      </c>
      <c r="AS79" s="112" t="s">
        <v>230</v>
      </c>
      <c r="AT79" s="112" t="s">
        <v>1568</v>
      </c>
      <c r="AU79" s="112" t="s">
        <v>1626</v>
      </c>
      <c r="AV79" s="112" t="s">
        <v>967</v>
      </c>
    </row>
    <row r="81" spans="2:48" x14ac:dyDescent="0.3">
      <c r="B81" s="114" t="s">
        <v>1490</v>
      </c>
      <c r="C81" s="113"/>
      <c r="D81" s="113"/>
      <c r="E81" s="113"/>
      <c r="F81" s="113"/>
      <c r="G81" s="113"/>
      <c r="H81" s="113"/>
    </row>
    <row r="83" spans="2:48" x14ac:dyDescent="0.3">
      <c r="B83" s="114" t="s">
        <v>1507</v>
      </c>
      <c r="C83" s="114" t="s">
        <v>943</v>
      </c>
      <c r="D83" s="114" t="s">
        <v>944</v>
      </c>
      <c r="E83" s="114" t="s">
        <v>945</v>
      </c>
      <c r="F83" s="114" t="s">
        <v>946</v>
      </c>
      <c r="G83" s="114" t="s">
        <v>152</v>
      </c>
      <c r="H83" s="114" t="s">
        <v>153</v>
      </c>
      <c r="I83" s="114" t="s">
        <v>154</v>
      </c>
      <c r="J83" s="114" t="s">
        <v>947</v>
      </c>
      <c r="K83" s="114" t="s">
        <v>1090</v>
      </c>
      <c r="L83" s="114" t="s">
        <v>189</v>
      </c>
      <c r="M83" s="114" t="s">
        <v>190</v>
      </c>
      <c r="N83" s="114" t="s">
        <v>191</v>
      </c>
      <c r="O83" s="114" t="s">
        <v>1510</v>
      </c>
      <c r="P83" s="114" t="s">
        <v>1511</v>
      </c>
      <c r="Q83" s="114" t="s">
        <v>1091</v>
      </c>
      <c r="R83" s="114" t="s">
        <v>1390</v>
      </c>
      <c r="S83" s="114" t="s">
        <v>1512</v>
      </c>
      <c r="T83" s="114" t="s">
        <v>1513</v>
      </c>
      <c r="U83" s="114" t="s">
        <v>1514</v>
      </c>
      <c r="V83" s="114" t="s">
        <v>1515</v>
      </c>
      <c r="W83" s="114" t="s">
        <v>1516</v>
      </c>
      <c r="X83" s="114" t="s">
        <v>1400</v>
      </c>
      <c r="Y83" s="114" t="s">
        <v>1517</v>
      </c>
      <c r="Z83" s="114" t="s">
        <v>1518</v>
      </c>
      <c r="AA83" s="114" t="s">
        <v>1519</v>
      </c>
      <c r="AB83" s="114" t="s">
        <v>1520</v>
      </c>
      <c r="AC83" s="114" t="s">
        <v>1521</v>
      </c>
      <c r="AD83" s="114" t="s">
        <v>1522</v>
      </c>
      <c r="AE83" s="114" t="s">
        <v>235</v>
      </c>
      <c r="AF83" s="114" t="s">
        <v>1523</v>
      </c>
      <c r="AG83" s="114" t="s">
        <v>1524</v>
      </c>
      <c r="AH83" s="114" t="s">
        <v>1508</v>
      </c>
      <c r="AI83" s="114" t="s">
        <v>1525</v>
      </c>
      <c r="AJ83" s="114" t="s">
        <v>1526</v>
      </c>
      <c r="AK83" s="114" t="s">
        <v>1509</v>
      </c>
      <c r="AL83" s="114" t="s">
        <v>149</v>
      </c>
      <c r="AM83" s="114" t="s">
        <v>1528</v>
      </c>
      <c r="AN83" s="114" t="s">
        <v>1529</v>
      </c>
      <c r="AO83" s="114" t="s">
        <v>1401</v>
      </c>
      <c r="AP83" s="114" t="s">
        <v>1402</v>
      </c>
      <c r="AQ83" s="114" t="s">
        <v>1530</v>
      </c>
      <c r="AR83" s="114" t="s">
        <v>130</v>
      </c>
      <c r="AS83" s="114" t="s">
        <v>129</v>
      </c>
      <c r="AT83" s="114" t="s">
        <v>192</v>
      </c>
      <c r="AU83" s="114" t="s">
        <v>193</v>
      </c>
      <c r="AV83" s="114" t="s">
        <v>1110</v>
      </c>
    </row>
    <row r="84" spans="2:48" x14ac:dyDescent="0.3">
      <c r="B84" s="112" t="s">
        <v>1557</v>
      </c>
      <c r="C84" s="112" t="s">
        <v>211</v>
      </c>
      <c r="D84" s="112" t="s">
        <v>212</v>
      </c>
      <c r="E84" s="112" t="s">
        <v>1558</v>
      </c>
      <c r="F84" s="112" t="s">
        <v>214</v>
      </c>
      <c r="G84" s="112" t="s">
        <v>211</v>
      </c>
      <c r="H84" s="112" t="s">
        <v>1470</v>
      </c>
      <c r="I84" s="112" t="s">
        <v>1559</v>
      </c>
      <c r="J84" s="112" t="s">
        <v>1115</v>
      </c>
      <c r="K84" s="112" t="s">
        <v>211</v>
      </c>
      <c r="L84" s="112" t="s">
        <v>257</v>
      </c>
      <c r="M84" s="112" t="s">
        <v>1560</v>
      </c>
      <c r="N84" s="112" t="s">
        <v>1561</v>
      </c>
      <c r="O84" s="112" t="s">
        <v>1562</v>
      </c>
      <c r="P84" s="112" t="s">
        <v>1562</v>
      </c>
      <c r="Q84" s="112" t="s">
        <v>1474</v>
      </c>
      <c r="V84" s="112" t="s">
        <v>1563</v>
      </c>
      <c r="W84" s="112" t="s">
        <v>1564</v>
      </c>
      <c r="X84" s="112" t="s">
        <v>1564</v>
      </c>
      <c r="Y84" s="112" t="s">
        <v>1565</v>
      </c>
      <c r="Z84" s="112" t="s">
        <v>222</v>
      </c>
      <c r="AB84" s="112" t="s">
        <v>1531</v>
      </c>
      <c r="AC84" s="112" t="s">
        <v>1566</v>
      </c>
      <c r="AD84" s="112" t="s">
        <v>1566</v>
      </c>
      <c r="AE84" s="112" t="s">
        <v>1566</v>
      </c>
      <c r="AF84" s="112" t="s">
        <v>1567</v>
      </c>
      <c r="AG84" s="112" t="s">
        <v>1567</v>
      </c>
      <c r="AH84" s="112" t="s">
        <v>1567</v>
      </c>
      <c r="AI84" s="112" t="s">
        <v>1531</v>
      </c>
      <c r="AJ84" s="112" t="s">
        <v>1531</v>
      </c>
      <c r="AK84" s="112" t="s">
        <v>1531</v>
      </c>
      <c r="AL84" s="112" t="s">
        <v>1564</v>
      </c>
      <c r="AM84" s="112" t="s">
        <v>1531</v>
      </c>
      <c r="AN84" s="112" t="s">
        <v>967</v>
      </c>
      <c r="AO84" s="112" t="s">
        <v>1094</v>
      </c>
      <c r="AR84" s="112" t="s">
        <v>230</v>
      </c>
      <c r="AS84" s="112" t="s">
        <v>1568</v>
      </c>
      <c r="AT84" s="112" t="s">
        <v>1569</v>
      </c>
      <c r="AU84" s="112" t="s">
        <v>967</v>
      </c>
      <c r="AV84" s="112" t="s">
        <v>1459</v>
      </c>
    </row>
    <row r="85" spans="2:48" x14ac:dyDescent="0.3">
      <c r="B85" s="112" t="s">
        <v>1570</v>
      </c>
      <c r="C85" s="112" t="s">
        <v>211</v>
      </c>
      <c r="D85" s="112" t="s">
        <v>212</v>
      </c>
      <c r="E85" s="112" t="s">
        <v>1571</v>
      </c>
      <c r="F85" s="112" t="s">
        <v>214</v>
      </c>
      <c r="G85" s="112" t="s">
        <v>211</v>
      </c>
      <c r="H85" s="112" t="s">
        <v>1470</v>
      </c>
      <c r="I85" s="112" t="s">
        <v>1572</v>
      </c>
      <c r="J85" s="112" t="s">
        <v>1145</v>
      </c>
      <c r="K85" s="112" t="s">
        <v>211</v>
      </c>
      <c r="L85" s="112" t="s">
        <v>257</v>
      </c>
      <c r="M85" s="112" t="s">
        <v>1560</v>
      </c>
      <c r="N85" s="112" t="s">
        <v>1573</v>
      </c>
      <c r="O85" s="112" t="s">
        <v>1574</v>
      </c>
      <c r="P85" s="112" t="s">
        <v>1574</v>
      </c>
      <c r="Q85" s="112" t="s">
        <v>1474</v>
      </c>
      <c r="V85" s="112" t="s">
        <v>1575</v>
      </c>
      <c r="W85" s="112" t="s">
        <v>1576</v>
      </c>
      <c r="X85" s="112" t="s">
        <v>1576</v>
      </c>
      <c r="Y85" s="112" t="s">
        <v>1577</v>
      </c>
      <c r="Z85" s="112" t="s">
        <v>222</v>
      </c>
      <c r="AB85" s="112" t="s">
        <v>1531</v>
      </c>
      <c r="AC85" s="112" t="s">
        <v>1578</v>
      </c>
      <c r="AD85" s="112" t="s">
        <v>1579</v>
      </c>
      <c r="AE85" s="112" t="s">
        <v>1579</v>
      </c>
      <c r="AF85" s="112" t="s">
        <v>1580</v>
      </c>
      <c r="AG85" s="112" t="s">
        <v>1580</v>
      </c>
      <c r="AH85" s="112" t="s">
        <v>1580</v>
      </c>
      <c r="AI85" s="112" t="s">
        <v>1581</v>
      </c>
      <c r="AJ85" s="112" t="s">
        <v>1531</v>
      </c>
      <c r="AK85" s="112" t="s">
        <v>1531</v>
      </c>
      <c r="AL85" s="112" t="s">
        <v>1576</v>
      </c>
      <c r="AM85" s="112" t="s">
        <v>1531</v>
      </c>
      <c r="AN85" s="112" t="s">
        <v>967</v>
      </c>
      <c r="AO85" s="112" t="s">
        <v>1094</v>
      </c>
      <c r="AR85" s="112" t="s">
        <v>230</v>
      </c>
      <c r="AS85" s="112" t="s">
        <v>1568</v>
      </c>
      <c r="AT85" s="112" t="s">
        <v>1569</v>
      </c>
      <c r="AU85" s="112" t="s">
        <v>967</v>
      </c>
      <c r="AV85" s="112" t="s">
        <v>1459</v>
      </c>
    </row>
    <row r="86" spans="2:48" x14ac:dyDescent="0.3">
      <c r="B86" s="112" t="s">
        <v>1582</v>
      </c>
      <c r="C86" s="112" t="s">
        <v>211</v>
      </c>
      <c r="D86" s="112" t="s">
        <v>257</v>
      </c>
      <c r="E86" s="112" t="s">
        <v>1583</v>
      </c>
      <c r="F86" s="112" t="s">
        <v>214</v>
      </c>
      <c r="G86" s="112" t="s">
        <v>211</v>
      </c>
      <c r="H86" s="112" t="s">
        <v>1584</v>
      </c>
      <c r="I86" s="112" t="s">
        <v>1583</v>
      </c>
      <c r="J86" s="112" t="s">
        <v>1145</v>
      </c>
      <c r="K86" s="112" t="s">
        <v>211</v>
      </c>
      <c r="L86" s="112" t="s">
        <v>257</v>
      </c>
      <c r="M86" s="112" t="s">
        <v>1560</v>
      </c>
      <c r="N86" s="112" t="s">
        <v>1585</v>
      </c>
      <c r="O86" s="112" t="s">
        <v>1586</v>
      </c>
      <c r="P86" s="112" t="s">
        <v>1586</v>
      </c>
      <c r="Q86" s="112" t="s">
        <v>1474</v>
      </c>
      <c r="V86" s="112" t="s">
        <v>1587</v>
      </c>
      <c r="W86" s="112" t="s">
        <v>1588</v>
      </c>
      <c r="X86" s="112" t="s">
        <v>1588</v>
      </c>
      <c r="Y86" s="112" t="s">
        <v>1588</v>
      </c>
      <c r="Z86" s="112" t="s">
        <v>222</v>
      </c>
      <c r="AB86" s="112" t="s">
        <v>1531</v>
      </c>
      <c r="AC86" s="112" t="s">
        <v>1589</v>
      </c>
      <c r="AD86" s="112" t="s">
        <v>1589</v>
      </c>
      <c r="AE86" s="112" t="s">
        <v>1589</v>
      </c>
      <c r="AF86" s="112" t="s">
        <v>1590</v>
      </c>
      <c r="AG86" s="112" t="s">
        <v>1590</v>
      </c>
      <c r="AH86" s="112" t="s">
        <v>1590</v>
      </c>
      <c r="AI86" s="112" t="s">
        <v>1531</v>
      </c>
      <c r="AJ86" s="112" t="s">
        <v>1531</v>
      </c>
      <c r="AK86" s="112" t="s">
        <v>1531</v>
      </c>
      <c r="AL86" s="112" t="s">
        <v>1588</v>
      </c>
      <c r="AM86" s="112" t="s">
        <v>1531</v>
      </c>
      <c r="AN86" s="112" t="s">
        <v>967</v>
      </c>
      <c r="AO86" s="112" t="s">
        <v>1094</v>
      </c>
      <c r="AR86" s="112" t="s">
        <v>230</v>
      </c>
      <c r="AS86" s="112" t="s">
        <v>1568</v>
      </c>
      <c r="AT86" s="112" t="s">
        <v>1569</v>
      </c>
      <c r="AU86" s="112" t="s">
        <v>967</v>
      </c>
      <c r="AV86" s="112" t="s">
        <v>1459</v>
      </c>
    </row>
    <row r="87" spans="2:48" x14ac:dyDescent="0.3">
      <c r="B87" s="112" t="s">
        <v>1591</v>
      </c>
      <c r="C87" s="112" t="s">
        <v>211</v>
      </c>
      <c r="D87" s="112" t="s">
        <v>257</v>
      </c>
      <c r="E87" s="112" t="s">
        <v>1478</v>
      </c>
      <c r="F87" s="112" t="s">
        <v>214</v>
      </c>
      <c r="G87" s="112" t="s">
        <v>211</v>
      </c>
      <c r="H87" s="112" t="s">
        <v>1470</v>
      </c>
      <c r="I87" s="112" t="s">
        <v>1478</v>
      </c>
      <c r="J87" s="112" t="s">
        <v>1124</v>
      </c>
      <c r="K87" s="112" t="s">
        <v>211</v>
      </c>
      <c r="L87" s="112" t="s">
        <v>257</v>
      </c>
      <c r="M87" s="112" t="s">
        <v>1560</v>
      </c>
      <c r="N87" s="112" t="s">
        <v>1592</v>
      </c>
      <c r="O87" s="112" t="s">
        <v>1593</v>
      </c>
      <c r="P87" s="112" t="s">
        <v>1593</v>
      </c>
      <c r="Q87" s="112" t="s">
        <v>1474</v>
      </c>
      <c r="V87" s="112" t="s">
        <v>1594</v>
      </c>
      <c r="W87" s="112" t="s">
        <v>1595</v>
      </c>
      <c r="X87" s="112" t="s">
        <v>1595</v>
      </c>
      <c r="Y87" s="112" t="s">
        <v>1596</v>
      </c>
      <c r="Z87" s="112" t="s">
        <v>222</v>
      </c>
      <c r="AB87" s="112" t="s">
        <v>1531</v>
      </c>
      <c r="AC87" s="112" t="s">
        <v>1597</v>
      </c>
      <c r="AD87" s="112" t="s">
        <v>1598</v>
      </c>
      <c r="AE87" s="112" t="s">
        <v>1598</v>
      </c>
      <c r="AF87" s="112" t="s">
        <v>1479</v>
      </c>
      <c r="AG87" s="112" t="s">
        <v>1479</v>
      </c>
      <c r="AH87" s="112" t="s">
        <v>1479</v>
      </c>
      <c r="AI87" s="112" t="s">
        <v>1581</v>
      </c>
      <c r="AJ87" s="112" t="s">
        <v>1531</v>
      </c>
      <c r="AK87" s="112" t="s">
        <v>1531</v>
      </c>
      <c r="AL87" s="112" t="s">
        <v>1595</v>
      </c>
      <c r="AM87" s="112" t="s">
        <v>1531</v>
      </c>
      <c r="AN87" s="112" t="s">
        <v>967</v>
      </c>
      <c r="AO87" s="112" t="s">
        <v>1094</v>
      </c>
      <c r="AR87" s="112" t="s">
        <v>230</v>
      </c>
      <c r="AS87" s="112" t="s">
        <v>1568</v>
      </c>
      <c r="AT87" s="112" t="s">
        <v>1569</v>
      </c>
      <c r="AU87" s="112" t="s">
        <v>967</v>
      </c>
      <c r="AV87" s="112" t="s">
        <v>1459</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4:G29"/>
  <sheetViews>
    <sheetView showGridLines="0" tabSelected="1" zoomScale="90" zoomScaleNormal="90" workbookViewId="0">
      <selection activeCell="E10" sqref="E10"/>
    </sheetView>
  </sheetViews>
  <sheetFormatPr defaultRowHeight="12" x14ac:dyDescent="0.25"/>
  <cols>
    <col min="1" max="1" width="2.77734375" style="170" bestFit="1" customWidth="1"/>
    <col min="2" max="2" width="5.5546875" style="170" customWidth="1"/>
    <col min="3" max="3" width="37.109375" style="170" customWidth="1"/>
    <col min="4" max="4" width="11" style="170" customWidth="1"/>
    <col min="5" max="5" width="48.77734375" style="170" customWidth="1"/>
    <col min="6" max="6" width="71.44140625" style="170" customWidth="1"/>
    <col min="7" max="7" width="27.33203125" style="170" customWidth="1"/>
    <col min="8" max="16384" width="8.88671875" style="170"/>
  </cols>
  <sheetData>
    <row r="4" spans="1:6" x14ac:dyDescent="0.25">
      <c r="B4" s="177" t="s">
        <v>1722</v>
      </c>
      <c r="C4" s="178"/>
      <c r="D4" s="178"/>
      <c r="E4" s="178"/>
      <c r="F4" s="178"/>
    </row>
    <row r="6" spans="1:6" x14ac:dyDescent="0.25">
      <c r="B6" s="168" t="s">
        <v>11</v>
      </c>
      <c r="C6" s="169" t="s">
        <v>12</v>
      </c>
      <c r="D6" s="168" t="s">
        <v>15</v>
      </c>
      <c r="E6" s="168" t="s">
        <v>16</v>
      </c>
      <c r="F6" s="168" t="s">
        <v>17</v>
      </c>
    </row>
    <row r="7" spans="1:6" s="171" customFormat="1" x14ac:dyDescent="0.25">
      <c r="A7" s="185" t="s">
        <v>1701</v>
      </c>
      <c r="B7" s="185"/>
      <c r="C7" s="185"/>
      <c r="D7" s="185"/>
      <c r="E7" s="185"/>
      <c r="F7" s="185"/>
    </row>
    <row r="8" spans="1:6" ht="37.799999999999997" customHeight="1" x14ac:dyDescent="0.25">
      <c r="B8" s="172" t="s">
        <v>19</v>
      </c>
      <c r="C8" s="174" t="s">
        <v>1159</v>
      </c>
      <c r="D8" s="160" t="s">
        <v>23</v>
      </c>
      <c r="E8" s="161" t="s">
        <v>1714</v>
      </c>
      <c r="F8" s="163" t="s">
        <v>23</v>
      </c>
    </row>
    <row r="9" spans="1:6" x14ac:dyDescent="0.25">
      <c r="B9" s="158" t="s">
        <v>27</v>
      </c>
      <c r="C9" s="173" t="s">
        <v>922</v>
      </c>
      <c r="D9" s="160" t="s">
        <v>23</v>
      </c>
      <c r="E9" s="161" t="s">
        <v>1703</v>
      </c>
      <c r="F9" s="163" t="s">
        <v>23</v>
      </c>
    </row>
    <row r="10" spans="1:6" ht="48" x14ac:dyDescent="0.25">
      <c r="B10" s="158" t="s">
        <v>1318</v>
      </c>
      <c r="C10" s="173" t="s">
        <v>941</v>
      </c>
      <c r="D10" s="160" t="s">
        <v>23</v>
      </c>
      <c r="E10" s="161" t="s">
        <v>1703</v>
      </c>
      <c r="F10" s="163" t="s">
        <v>1710</v>
      </c>
    </row>
    <row r="11" spans="1:6" ht="36.6" customHeight="1" x14ac:dyDescent="0.25">
      <c r="B11" s="158" t="s">
        <v>936</v>
      </c>
      <c r="C11" s="162" t="s">
        <v>1320</v>
      </c>
      <c r="D11" s="160" t="s">
        <v>23</v>
      </c>
      <c r="E11" s="161" t="s">
        <v>1703</v>
      </c>
      <c r="F11" s="163" t="s">
        <v>23</v>
      </c>
    </row>
    <row r="12" spans="1:6" ht="63" customHeight="1" x14ac:dyDescent="0.25">
      <c r="B12" s="158" t="s">
        <v>942</v>
      </c>
      <c r="C12" s="173" t="s">
        <v>1311</v>
      </c>
      <c r="D12" s="160" t="s">
        <v>23</v>
      </c>
      <c r="E12" s="161" t="s">
        <v>1714</v>
      </c>
      <c r="F12" s="163" t="s">
        <v>1715</v>
      </c>
    </row>
    <row r="13" spans="1:6" s="171" customFormat="1" x14ac:dyDescent="0.25">
      <c r="A13" s="186" t="s">
        <v>1702</v>
      </c>
      <c r="B13" s="186"/>
      <c r="C13" s="186"/>
      <c r="D13" s="186"/>
      <c r="E13" s="186"/>
      <c r="F13" s="186"/>
    </row>
    <row r="14" spans="1:6" ht="19.8" customHeight="1" x14ac:dyDescent="0.25">
      <c r="B14" s="158">
        <v>323</v>
      </c>
      <c r="C14" s="159" t="s">
        <v>1372</v>
      </c>
      <c r="D14" s="160" t="s">
        <v>23</v>
      </c>
      <c r="E14" s="161" t="s">
        <v>1445</v>
      </c>
      <c r="F14" s="163" t="s">
        <v>23</v>
      </c>
    </row>
    <row r="15" spans="1:6" ht="28.2" customHeight="1" x14ac:dyDescent="0.25">
      <c r="B15" s="158">
        <v>327</v>
      </c>
      <c r="C15" s="162" t="s">
        <v>1360</v>
      </c>
      <c r="D15" s="160" t="s">
        <v>23</v>
      </c>
      <c r="E15" s="161" t="s">
        <v>1699</v>
      </c>
      <c r="F15" s="163" t="s">
        <v>23</v>
      </c>
    </row>
    <row r="16" spans="1:6" ht="37.200000000000003" customHeight="1" x14ac:dyDescent="0.25">
      <c r="B16" s="158">
        <v>328</v>
      </c>
      <c r="C16" s="162" t="s">
        <v>1361</v>
      </c>
      <c r="D16" s="160" t="s">
        <v>23</v>
      </c>
      <c r="E16" s="161" t="s">
        <v>1700</v>
      </c>
      <c r="F16" s="163"/>
    </row>
    <row r="17" spans="1:7" ht="27.6" customHeight="1" x14ac:dyDescent="0.25">
      <c r="B17" s="158">
        <v>329</v>
      </c>
      <c r="C17" s="159" t="s">
        <v>1363</v>
      </c>
      <c r="D17" s="160" t="s">
        <v>23</v>
      </c>
      <c r="E17" s="161" t="s">
        <v>1387</v>
      </c>
      <c r="F17" s="161" t="s">
        <v>1712</v>
      </c>
    </row>
    <row r="18" spans="1:7" ht="30" customHeight="1" x14ac:dyDescent="0.25">
      <c r="B18" s="158">
        <v>330</v>
      </c>
      <c r="C18" s="159" t="s">
        <v>1450</v>
      </c>
      <c r="D18" s="160" t="s">
        <v>23</v>
      </c>
      <c r="E18" s="163" t="s">
        <v>23</v>
      </c>
      <c r="F18" s="163" t="s">
        <v>23</v>
      </c>
    </row>
    <row r="19" spans="1:7" ht="32.4" customHeight="1" x14ac:dyDescent="0.25">
      <c r="B19" s="158">
        <v>333</v>
      </c>
      <c r="C19" s="159" t="s">
        <v>1367</v>
      </c>
      <c r="D19" s="160" t="s">
        <v>23</v>
      </c>
      <c r="E19" s="161" t="s">
        <v>1442</v>
      </c>
      <c r="F19" s="163" t="s">
        <v>23</v>
      </c>
    </row>
    <row r="20" spans="1:7" ht="24" x14ac:dyDescent="0.25">
      <c r="B20" s="158">
        <v>335</v>
      </c>
      <c r="C20" s="164" t="s">
        <v>1370</v>
      </c>
      <c r="D20" s="160" t="s">
        <v>23</v>
      </c>
      <c r="E20" s="165"/>
      <c r="F20" s="166"/>
    </row>
    <row r="21" spans="1:7" ht="51.6" customHeight="1" x14ac:dyDescent="0.25">
      <c r="B21" s="158" t="s">
        <v>1455</v>
      </c>
      <c r="C21" s="159" t="s">
        <v>1719</v>
      </c>
      <c r="D21" s="160" t="s">
        <v>23</v>
      </c>
      <c r="E21" s="167" t="s">
        <v>1716</v>
      </c>
      <c r="F21" s="161" t="s">
        <v>1720</v>
      </c>
    </row>
    <row r="22" spans="1:7" ht="57" customHeight="1" x14ac:dyDescent="0.25">
      <c r="B22" s="158" t="s">
        <v>1456</v>
      </c>
      <c r="C22" s="159" t="s">
        <v>1718</v>
      </c>
      <c r="D22" s="160" t="s">
        <v>23</v>
      </c>
      <c r="E22" s="167" t="s">
        <v>1717</v>
      </c>
      <c r="F22" s="163" t="s">
        <v>23</v>
      </c>
    </row>
    <row r="23" spans="1:7" ht="56.4" customHeight="1" x14ac:dyDescent="0.25">
      <c r="B23" s="158" t="s">
        <v>19</v>
      </c>
      <c r="C23" s="159" t="s">
        <v>1451</v>
      </c>
      <c r="D23" s="160" t="s">
        <v>23</v>
      </c>
      <c r="E23" s="161" t="s">
        <v>1534</v>
      </c>
      <c r="F23" s="163" t="s">
        <v>1704</v>
      </c>
    </row>
    <row r="24" spans="1:7" ht="24" x14ac:dyDescent="0.25">
      <c r="B24" s="158" t="s">
        <v>27</v>
      </c>
      <c r="C24" s="175" t="s">
        <v>1454</v>
      </c>
      <c r="D24" s="160" t="s">
        <v>23</v>
      </c>
      <c r="E24" s="163" t="s">
        <v>1711</v>
      </c>
      <c r="F24" s="163" t="s">
        <v>23</v>
      </c>
    </row>
    <row r="25" spans="1:7" x14ac:dyDescent="0.25">
      <c r="B25" s="158" t="s">
        <v>32</v>
      </c>
      <c r="C25" s="175" t="s">
        <v>1690</v>
      </c>
      <c r="D25" s="160" t="s">
        <v>23</v>
      </c>
      <c r="E25" s="163" t="s">
        <v>23</v>
      </c>
      <c r="F25" s="163"/>
    </row>
    <row r="26" spans="1:7" x14ac:dyDescent="0.25">
      <c r="A26" s="187" t="s">
        <v>1708</v>
      </c>
      <c r="B26" s="187"/>
      <c r="C26" s="187"/>
      <c r="D26" s="187"/>
      <c r="E26" s="187"/>
      <c r="F26" s="187"/>
    </row>
    <row r="27" spans="1:7" ht="72" x14ac:dyDescent="0.25">
      <c r="B27" s="158" t="s">
        <v>1709</v>
      </c>
      <c r="C27" s="175" t="s">
        <v>1713</v>
      </c>
      <c r="D27" s="160" t="s">
        <v>23</v>
      </c>
      <c r="E27" s="163" t="s">
        <v>23</v>
      </c>
      <c r="F27" s="163" t="s">
        <v>1721</v>
      </c>
      <c r="G27" s="176"/>
    </row>
    <row r="29" spans="1:7" ht="14.4" x14ac:dyDescent="0.3">
      <c r="C29"/>
    </row>
  </sheetData>
  <autoFilter ref="B6:F6"/>
  <mergeCells count="3">
    <mergeCell ref="A7:F7"/>
    <mergeCell ref="A13:F13"/>
    <mergeCell ref="A26:F26"/>
  </mergeCells>
  <conditionalFormatting sqref="D14">
    <cfRule type="containsText" dxfId="89" priority="271" operator="containsText" text="Bloqueado">
      <formula>NOT(ISERROR(SEARCH("Bloqueado",D14)))</formula>
    </cfRule>
  </conditionalFormatting>
  <conditionalFormatting sqref="D15">
    <cfRule type="containsText" dxfId="88" priority="256" operator="containsText" text="Bloqueado">
      <formula>NOT(ISERROR(SEARCH("Bloqueado",D15)))</formula>
    </cfRule>
  </conditionalFormatting>
  <conditionalFormatting sqref="D19">
    <cfRule type="containsText" dxfId="87" priority="233" operator="containsText" text="Por iniciar">
      <formula>NOT(ISERROR(SEARCH("Por iniciar",D19)))</formula>
    </cfRule>
    <cfRule type="containsText" dxfId="86" priority="234" operator="containsText" text="Wip">
      <formula>NOT(ISERROR(SEARCH("Wip",D19)))</formula>
    </cfRule>
    <cfRule type="containsText" dxfId="85" priority="235" operator="containsText" text="Concluído">
      <formula>NOT(ISERROR(SEARCH("Concluído",D19)))</formula>
    </cfRule>
  </conditionalFormatting>
  <conditionalFormatting sqref="D19">
    <cfRule type="containsText" dxfId="84" priority="231" operator="containsText" text="Bloqueado">
      <formula>NOT(ISERROR(SEARCH("Bloqueado",D19)))</formula>
    </cfRule>
  </conditionalFormatting>
  <conditionalFormatting sqref="D19">
    <cfRule type="containsText" dxfId="83" priority="232" operator="containsText" text="Cancelado">
      <formula>NOT(ISERROR(SEARCH("Cancelado",D19)))</formula>
    </cfRule>
  </conditionalFormatting>
  <conditionalFormatting sqref="D14">
    <cfRule type="containsText" dxfId="82" priority="273" operator="containsText" text="Por iniciar">
      <formula>NOT(ISERROR(SEARCH("Por iniciar",D14)))</formula>
    </cfRule>
    <cfRule type="containsText" dxfId="81" priority="274" operator="containsText" text="Wip">
      <formula>NOT(ISERROR(SEARCH("Wip",D14)))</formula>
    </cfRule>
    <cfRule type="containsText" dxfId="80" priority="275" operator="containsText" text="Concluído">
      <formula>NOT(ISERROR(SEARCH("Concluído",D14)))</formula>
    </cfRule>
  </conditionalFormatting>
  <conditionalFormatting sqref="D14">
    <cfRule type="containsText" dxfId="79" priority="272" operator="containsText" text="Cancelado">
      <formula>NOT(ISERROR(SEARCH("Cancelado",D14)))</formula>
    </cfRule>
  </conditionalFormatting>
  <conditionalFormatting sqref="D15">
    <cfRule type="containsText" dxfId="78" priority="258" operator="containsText" text="Por iniciar">
      <formula>NOT(ISERROR(SEARCH("Por iniciar",D15)))</formula>
    </cfRule>
    <cfRule type="containsText" dxfId="77" priority="259" operator="containsText" text="Wip">
      <formula>NOT(ISERROR(SEARCH("Wip",D15)))</formula>
    </cfRule>
    <cfRule type="containsText" dxfId="76" priority="260" operator="containsText" text="Concluído">
      <formula>NOT(ISERROR(SEARCH("Concluído",D15)))</formula>
    </cfRule>
  </conditionalFormatting>
  <conditionalFormatting sqref="D17">
    <cfRule type="containsText" dxfId="75" priority="241" operator="containsText" text="Bloqueado">
      <formula>NOT(ISERROR(SEARCH("Bloqueado",D17)))</formula>
    </cfRule>
  </conditionalFormatting>
  <conditionalFormatting sqref="D15">
    <cfRule type="containsText" dxfId="74" priority="257" operator="containsText" text="Cancelado">
      <formula>NOT(ISERROR(SEARCH("Cancelado",D15)))</formula>
    </cfRule>
  </conditionalFormatting>
  <conditionalFormatting sqref="D17">
    <cfRule type="containsText" dxfId="73" priority="243" operator="containsText" text="Por iniciar">
      <formula>NOT(ISERROR(SEARCH("Por iniciar",D17)))</formula>
    </cfRule>
    <cfRule type="containsText" dxfId="72" priority="244" operator="containsText" text="Wip">
      <formula>NOT(ISERROR(SEARCH("Wip",D17)))</formula>
    </cfRule>
    <cfRule type="containsText" dxfId="71" priority="245" operator="containsText" text="Concluído">
      <formula>NOT(ISERROR(SEARCH("Concluído",D17)))</formula>
    </cfRule>
  </conditionalFormatting>
  <conditionalFormatting sqref="D17">
    <cfRule type="containsText" dxfId="70" priority="242" operator="containsText" text="Cancelado">
      <formula>NOT(ISERROR(SEARCH("Cancelado",D17)))</formula>
    </cfRule>
  </conditionalFormatting>
  <conditionalFormatting sqref="D18">
    <cfRule type="containsText" dxfId="69" priority="236" operator="containsText" text="Bloqueado">
      <formula>NOT(ISERROR(SEARCH("Bloqueado",D18)))</formula>
    </cfRule>
  </conditionalFormatting>
  <conditionalFormatting sqref="D18">
    <cfRule type="containsText" dxfId="68" priority="238" operator="containsText" text="Por iniciar">
      <formula>NOT(ISERROR(SEARCH("Por iniciar",D18)))</formula>
    </cfRule>
    <cfRule type="containsText" dxfId="67" priority="239" operator="containsText" text="Wip">
      <formula>NOT(ISERROR(SEARCH("Wip",D18)))</formula>
    </cfRule>
    <cfRule type="containsText" dxfId="66" priority="240" operator="containsText" text="Concluído">
      <formula>NOT(ISERROR(SEARCH("Concluído",D18)))</formula>
    </cfRule>
  </conditionalFormatting>
  <conditionalFormatting sqref="D18">
    <cfRule type="containsText" dxfId="65" priority="237" operator="containsText" text="Cancelado">
      <formula>NOT(ISERROR(SEARCH("Cancelado",D18)))</formula>
    </cfRule>
  </conditionalFormatting>
  <conditionalFormatting sqref="D8">
    <cfRule type="containsText" dxfId="64" priority="96" operator="containsText" text="Bloqueado">
      <formula>NOT(ISERROR(SEARCH("Bloqueado",D8)))</formula>
    </cfRule>
  </conditionalFormatting>
  <conditionalFormatting sqref="D8">
    <cfRule type="containsText" dxfId="63" priority="98" operator="containsText" text="Por iniciar">
      <formula>NOT(ISERROR(SEARCH("Por iniciar",D8)))</formula>
    </cfRule>
    <cfRule type="containsText" dxfId="62" priority="99" operator="containsText" text="Wip">
      <formula>NOT(ISERROR(SEARCH("Wip",D8)))</formula>
    </cfRule>
    <cfRule type="containsText" dxfId="61" priority="100" operator="containsText" text="Concluído">
      <formula>NOT(ISERROR(SEARCH("Concluído",D8)))</formula>
    </cfRule>
  </conditionalFormatting>
  <conditionalFormatting sqref="D8">
    <cfRule type="containsText" dxfId="60" priority="97" operator="containsText" text="Cancelado">
      <formula>NOT(ISERROR(SEARCH("Cancelado",D8)))</formula>
    </cfRule>
  </conditionalFormatting>
  <conditionalFormatting sqref="D9">
    <cfRule type="containsText" dxfId="59" priority="103" operator="containsText" text="Por iniciar">
      <formula>NOT(ISERROR(SEARCH("Por iniciar",D9)))</formula>
    </cfRule>
    <cfRule type="containsText" dxfId="58" priority="104" operator="containsText" text="Wip">
      <formula>NOT(ISERROR(SEARCH("Wip",D9)))</formula>
    </cfRule>
    <cfRule type="containsText" dxfId="57" priority="105" operator="containsText" text="Concluído">
      <formula>NOT(ISERROR(SEARCH("Concluído",D9)))</formula>
    </cfRule>
  </conditionalFormatting>
  <conditionalFormatting sqref="D9">
    <cfRule type="containsText" dxfId="56" priority="101" operator="containsText" text="Bloqueado">
      <formula>NOT(ISERROR(SEARCH("Bloqueado",D9)))</formula>
    </cfRule>
  </conditionalFormatting>
  <conditionalFormatting sqref="D9">
    <cfRule type="containsText" dxfId="55" priority="102" operator="containsText" text="Cancelado">
      <formula>NOT(ISERROR(SEARCH("Cancelado",D9)))</formula>
    </cfRule>
  </conditionalFormatting>
  <conditionalFormatting sqref="D11">
    <cfRule type="containsText" dxfId="54" priority="93" operator="containsText" text="Por iniciar">
      <formula>NOT(ISERROR(SEARCH("Por iniciar",D11)))</formula>
    </cfRule>
    <cfRule type="containsText" dxfId="53" priority="94" operator="containsText" text="Wip">
      <formula>NOT(ISERROR(SEARCH("Wip",D11)))</formula>
    </cfRule>
    <cfRule type="containsText" dxfId="52" priority="95" operator="containsText" text="Concluído">
      <formula>NOT(ISERROR(SEARCH("Concluído",D11)))</formula>
    </cfRule>
  </conditionalFormatting>
  <conditionalFormatting sqref="D11">
    <cfRule type="containsText" dxfId="51" priority="91" operator="containsText" text="Bloqueado">
      <formula>NOT(ISERROR(SEARCH("Bloqueado",D11)))</formula>
    </cfRule>
  </conditionalFormatting>
  <conditionalFormatting sqref="D11">
    <cfRule type="containsText" dxfId="50" priority="92" operator="containsText" text="Cancelado">
      <formula>NOT(ISERROR(SEARCH("Cancelado",D11)))</formula>
    </cfRule>
  </conditionalFormatting>
  <conditionalFormatting sqref="D10">
    <cfRule type="containsText" dxfId="49" priority="88" operator="containsText" text="Por iniciar">
      <formula>NOT(ISERROR(SEARCH("Por iniciar",D10)))</formula>
    </cfRule>
    <cfRule type="containsText" dxfId="48" priority="89" operator="containsText" text="Wip">
      <formula>NOT(ISERROR(SEARCH("Wip",D10)))</formula>
    </cfRule>
    <cfRule type="containsText" dxfId="47" priority="90" operator="containsText" text="Concluído">
      <formula>NOT(ISERROR(SEARCH("Concluído",D10)))</formula>
    </cfRule>
  </conditionalFormatting>
  <conditionalFormatting sqref="D10">
    <cfRule type="containsText" dxfId="46" priority="86" operator="containsText" text="Bloqueado">
      <formula>NOT(ISERROR(SEARCH("Bloqueado",D10)))</formula>
    </cfRule>
  </conditionalFormatting>
  <conditionalFormatting sqref="D10">
    <cfRule type="containsText" dxfId="45" priority="87" operator="containsText" text="Cancelado">
      <formula>NOT(ISERROR(SEARCH("Cancelado",D10)))</formula>
    </cfRule>
  </conditionalFormatting>
  <conditionalFormatting sqref="D12">
    <cfRule type="containsText" dxfId="44" priority="73" operator="containsText" text="Por iniciar">
      <formula>NOT(ISERROR(SEARCH("Por iniciar",D12)))</formula>
    </cfRule>
    <cfRule type="containsText" dxfId="43" priority="74" operator="containsText" text="Wip">
      <formula>NOT(ISERROR(SEARCH("Wip",D12)))</formula>
    </cfRule>
    <cfRule type="containsText" dxfId="42" priority="75" operator="containsText" text="Concluído">
      <formula>NOT(ISERROR(SEARCH("Concluído",D12)))</formula>
    </cfRule>
  </conditionalFormatting>
  <conditionalFormatting sqref="D12">
    <cfRule type="containsText" dxfId="41" priority="71" operator="containsText" text="Bloqueado">
      <formula>NOT(ISERROR(SEARCH("Bloqueado",D12)))</formula>
    </cfRule>
  </conditionalFormatting>
  <conditionalFormatting sqref="D12">
    <cfRule type="containsText" dxfId="40" priority="72" operator="containsText" text="Cancelado">
      <formula>NOT(ISERROR(SEARCH("Cancelado",D12)))</formula>
    </cfRule>
  </conditionalFormatting>
  <conditionalFormatting sqref="D24">
    <cfRule type="containsText" dxfId="39" priority="63" operator="containsText" text="Por iniciar">
      <formula>NOT(ISERROR(SEARCH("Por iniciar",D24)))</formula>
    </cfRule>
    <cfRule type="containsText" dxfId="38" priority="64" operator="containsText" text="Wip">
      <formula>NOT(ISERROR(SEARCH("Wip",D24)))</formula>
    </cfRule>
    <cfRule type="containsText" dxfId="37" priority="65" operator="containsText" text="Concluído">
      <formula>NOT(ISERROR(SEARCH("Concluído",D24)))</formula>
    </cfRule>
  </conditionalFormatting>
  <conditionalFormatting sqref="D24">
    <cfRule type="containsText" dxfId="36" priority="61" operator="containsText" text="Bloqueado">
      <formula>NOT(ISERROR(SEARCH("Bloqueado",D24)))</formula>
    </cfRule>
  </conditionalFormatting>
  <conditionalFormatting sqref="D24">
    <cfRule type="containsText" dxfId="35" priority="62" operator="containsText" text="Cancelado">
      <formula>NOT(ISERROR(SEARCH("Cancelado",D24)))</formula>
    </cfRule>
  </conditionalFormatting>
  <conditionalFormatting sqref="D27">
    <cfRule type="containsText" dxfId="34" priority="41" operator="containsText" text="Bloqueado">
      <formula>NOT(ISERROR(SEARCH("Bloqueado",D27)))</formula>
    </cfRule>
  </conditionalFormatting>
  <conditionalFormatting sqref="D27">
    <cfRule type="containsText" dxfId="33" priority="43" operator="containsText" text="Por iniciar">
      <formula>NOT(ISERROR(SEARCH("Por iniciar",D27)))</formula>
    </cfRule>
    <cfRule type="containsText" dxfId="32" priority="44" operator="containsText" text="Wip">
      <formula>NOT(ISERROR(SEARCH("Wip",D27)))</formula>
    </cfRule>
    <cfRule type="containsText" dxfId="31" priority="45" operator="containsText" text="Concluído">
      <formula>NOT(ISERROR(SEARCH("Concluído",D27)))</formula>
    </cfRule>
  </conditionalFormatting>
  <conditionalFormatting sqref="D27">
    <cfRule type="containsText" dxfId="30" priority="42" operator="containsText" text="Cancelado">
      <formula>NOT(ISERROR(SEARCH("Cancelado",D27)))</formula>
    </cfRule>
  </conditionalFormatting>
  <conditionalFormatting sqref="D23">
    <cfRule type="containsText" dxfId="29" priority="31" operator="containsText" text="Bloqueado">
      <formula>NOT(ISERROR(SEARCH("Bloqueado",D23)))</formula>
    </cfRule>
  </conditionalFormatting>
  <conditionalFormatting sqref="D23">
    <cfRule type="containsText" dxfId="28" priority="33" operator="containsText" text="Por iniciar">
      <formula>NOT(ISERROR(SEARCH("Por iniciar",D23)))</formula>
    </cfRule>
    <cfRule type="containsText" dxfId="27" priority="34" operator="containsText" text="Wip">
      <formula>NOT(ISERROR(SEARCH("Wip",D23)))</formula>
    </cfRule>
    <cfRule type="containsText" dxfId="26" priority="35" operator="containsText" text="Concluído">
      <formula>NOT(ISERROR(SEARCH("Concluído",D23)))</formula>
    </cfRule>
  </conditionalFormatting>
  <conditionalFormatting sqref="D23">
    <cfRule type="containsText" dxfId="25" priority="32" operator="containsText" text="Cancelado">
      <formula>NOT(ISERROR(SEARCH("Cancelado",D23)))</formula>
    </cfRule>
  </conditionalFormatting>
  <conditionalFormatting sqref="D16">
    <cfRule type="containsText" dxfId="24" priority="21" operator="containsText" text="Bloqueado">
      <formula>NOT(ISERROR(SEARCH("Bloqueado",D16)))</formula>
    </cfRule>
  </conditionalFormatting>
  <conditionalFormatting sqref="D16">
    <cfRule type="containsText" dxfId="23" priority="23" operator="containsText" text="Por iniciar">
      <formula>NOT(ISERROR(SEARCH("Por iniciar",D16)))</formula>
    </cfRule>
    <cfRule type="containsText" dxfId="22" priority="24" operator="containsText" text="Wip">
      <formula>NOT(ISERROR(SEARCH("Wip",D16)))</formula>
    </cfRule>
    <cfRule type="containsText" dxfId="21" priority="25" operator="containsText" text="Concluído">
      <formula>NOT(ISERROR(SEARCH("Concluído",D16)))</formula>
    </cfRule>
  </conditionalFormatting>
  <conditionalFormatting sqref="D16">
    <cfRule type="containsText" dxfId="20" priority="22" operator="containsText" text="Cancelado">
      <formula>NOT(ISERROR(SEARCH("Cancelado",D16)))</formula>
    </cfRule>
  </conditionalFormatting>
  <conditionalFormatting sqref="D25">
    <cfRule type="containsText" dxfId="19" priority="16" operator="containsText" text="Bloqueado">
      <formula>NOT(ISERROR(SEARCH("Bloqueado",D25)))</formula>
    </cfRule>
  </conditionalFormatting>
  <conditionalFormatting sqref="D25">
    <cfRule type="containsText" dxfId="18" priority="18" operator="containsText" text="Por iniciar">
      <formula>NOT(ISERROR(SEARCH("Por iniciar",D25)))</formula>
    </cfRule>
    <cfRule type="containsText" dxfId="17" priority="19" operator="containsText" text="Wip">
      <formula>NOT(ISERROR(SEARCH("Wip",D25)))</formula>
    </cfRule>
    <cfRule type="containsText" dxfId="16" priority="20" operator="containsText" text="Concluído">
      <formula>NOT(ISERROR(SEARCH("Concluído",D25)))</formula>
    </cfRule>
  </conditionalFormatting>
  <conditionalFormatting sqref="D25">
    <cfRule type="containsText" dxfId="15" priority="17" operator="containsText" text="Cancelado">
      <formula>NOT(ISERROR(SEARCH("Cancelado",D25)))</formula>
    </cfRule>
  </conditionalFormatting>
  <conditionalFormatting sqref="D22">
    <cfRule type="containsText" dxfId="14" priority="11" operator="containsText" text="Bloqueado">
      <formula>NOT(ISERROR(SEARCH("Bloqueado",D22)))</formula>
    </cfRule>
  </conditionalFormatting>
  <conditionalFormatting sqref="D22">
    <cfRule type="containsText" dxfId="13" priority="13" operator="containsText" text="Por iniciar">
      <formula>NOT(ISERROR(SEARCH("Por iniciar",D22)))</formula>
    </cfRule>
    <cfRule type="containsText" dxfId="12" priority="14" operator="containsText" text="Wip">
      <formula>NOT(ISERROR(SEARCH("Wip",D22)))</formula>
    </cfRule>
    <cfRule type="containsText" dxfId="11" priority="15" operator="containsText" text="Concluído">
      <formula>NOT(ISERROR(SEARCH("Concluído",D22)))</formula>
    </cfRule>
  </conditionalFormatting>
  <conditionalFormatting sqref="D22">
    <cfRule type="containsText" dxfId="10" priority="12" operator="containsText" text="Cancelado">
      <formula>NOT(ISERROR(SEARCH("Cancelado",D22)))</formula>
    </cfRule>
  </conditionalFormatting>
  <conditionalFormatting sqref="D21">
    <cfRule type="containsText" dxfId="9" priority="6" operator="containsText" text="Bloqueado">
      <formula>NOT(ISERROR(SEARCH("Bloqueado",D21)))</formula>
    </cfRule>
  </conditionalFormatting>
  <conditionalFormatting sqref="D21">
    <cfRule type="containsText" dxfId="8" priority="8" operator="containsText" text="Por iniciar">
      <formula>NOT(ISERROR(SEARCH("Por iniciar",D21)))</formula>
    </cfRule>
    <cfRule type="containsText" dxfId="7" priority="9" operator="containsText" text="Wip">
      <formula>NOT(ISERROR(SEARCH("Wip",D21)))</formula>
    </cfRule>
    <cfRule type="containsText" dxfId="6" priority="10" operator="containsText" text="Concluído">
      <formula>NOT(ISERROR(SEARCH("Concluído",D21)))</formula>
    </cfRule>
  </conditionalFormatting>
  <conditionalFormatting sqref="D21">
    <cfRule type="containsText" dxfId="5" priority="7" operator="containsText" text="Cancelado">
      <formula>NOT(ISERROR(SEARCH("Cancelado",D21)))</formula>
    </cfRule>
  </conditionalFormatting>
  <conditionalFormatting sqref="D20">
    <cfRule type="containsText" dxfId="4" priority="3" operator="containsText" text="Por iniciar">
      <formula>NOT(ISERROR(SEARCH("Por iniciar",D20)))</formula>
    </cfRule>
    <cfRule type="containsText" dxfId="3" priority="4" operator="containsText" text="Wip">
      <formula>NOT(ISERROR(SEARCH("Wip",D20)))</formula>
    </cfRule>
    <cfRule type="containsText" dxfId="2" priority="5" operator="containsText" text="Concluído">
      <formula>NOT(ISERROR(SEARCH("Concluído",D20)))</formula>
    </cfRule>
  </conditionalFormatting>
  <conditionalFormatting sqref="D20">
    <cfRule type="containsText" dxfId="1" priority="1" operator="containsText" text="Bloqueado">
      <formula>NOT(ISERROR(SEARCH("Bloqueado",D20)))</formula>
    </cfRule>
  </conditionalFormatting>
  <conditionalFormatting sqref="D20">
    <cfRule type="containsText" dxfId="0" priority="2" operator="containsText" text="Cancelado">
      <formula>NOT(ISERROR(SEARCH("Cancelado",D20)))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5" ma:contentTypeDescription="Create a new document." ma:contentTypeScope="" ma:versionID="227ef61e06442c04571c71c62bc066b5">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664ccac259a9ef08632df25fa10eaa8b"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F9E075-3A9E-408B-9781-EAA3EC53CB51}">
  <ds:schemaRefs>
    <ds:schemaRef ds:uri="http://schemas.microsoft.com/sharepoint/v3"/>
    <ds:schemaRef ds:uri="a9b50dc7-8f72-473c-8b7e-4a8c46ecad32"/>
    <ds:schemaRef ds:uri="http://purl.org/dc/elements/1.1/"/>
    <ds:schemaRef ds:uri="http://purl.org/dc/dcmitype/"/>
    <ds:schemaRef ds:uri="http://schemas.microsoft.com/office/2006/documentManagement/types"/>
    <ds:schemaRef ds:uri="http://schemas.microsoft.com/office/infopath/2007/PartnerControls"/>
    <ds:schemaRef ds:uri="7b1ec8e5-5652-48eb-8550-a56a35f5f817"/>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1EC368E-72F8-451A-ADE4-5123740DA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9b50dc7-8f72-473c-8b7e-4a8c46ecad32"/>
    <ds:schemaRef ds:uri="7b1ec8e5-5652-48eb-8550-a56a35f5f8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8DFA48-90FF-4823-90F6-CE6DDBA753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Planeamento </vt:lpstr>
      <vt:lpstr>Testes 2</vt:lpstr>
      <vt:lpstr>I e J</vt:lpstr>
      <vt:lpstr>L</vt:lpstr>
      <vt:lpstr>M</vt:lpstr>
      <vt:lpstr>Testes 3</vt:lpstr>
      <vt:lpstr>A</vt:lpstr>
      <vt:lpstr>C</vt:lpstr>
      <vt:lpstr>F.1</vt:lpstr>
      <vt:lpstr>F.3</vt:lpstr>
      <vt:lpstr>Testes 4 </vt:lpstr>
      <vt:lpstr>ID.330</vt:lpstr>
      <vt:lpstr>ID 325.1</vt:lpstr>
      <vt:lpstr>B</vt:lpstr>
      <vt:lpstr>Testes 5 </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Rafaela Teixeira Nunes</dc:creator>
  <cp:lastModifiedBy>Marta Rafaela Teixeira Nunes</cp:lastModifiedBy>
  <dcterms:created xsi:type="dcterms:W3CDTF">2024-07-30T16:02:19Z</dcterms:created>
  <dcterms:modified xsi:type="dcterms:W3CDTF">2024-10-24T10:12:58Z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2024-07-30T16:02:29Z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9f7b0267-1454-4766-a4a7-8faeb25509df</vt:lpwstr>
  </property>
  <property fmtid="{D5CDD505-2E9C-101B-9397-08002B2CF9AE}" pid="8" name="MSIP_Label_41b88ec2-a72b-4523-9e84-0458a1764731_ContentBits">
    <vt:lpwstr>0</vt:lpwstr>
  </property>
  <property fmtid="{D5CDD505-2E9C-101B-9397-08002B2CF9AE}" pid="9" name="ContentTypeId">
    <vt:lpwstr>0x010100C6D051AEB2C48B458F82B58F7F6D9A00</vt:lpwstr>
  </property>
  <property fmtid="{D5CDD505-2E9C-101B-9397-08002B2CF9AE}" pid="10" name="MediaServiceImageTags">
    <vt:lpwstr/>
  </property>
</Properties>
</file>